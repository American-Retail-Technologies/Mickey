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21600" windowHeight="11025" activeTab="4"/>
  </bookViews>
  <sheets>
    <sheet name="categories-old" sheetId="2" r:id="rId1"/>
    <sheet name="categories" sheetId="6" r:id="rId2"/>
    <sheet name="url_rewrite" sheetId="7" r:id="rId3"/>
    <sheet name="Description" sheetId="3" r:id="rId4"/>
    <sheet name="image_url" sheetId="4" r:id="rId5"/>
    <sheet name="copy_images" sheetId="5" r:id="rId6"/>
    <sheet name="art_category_path_name" sheetId="1" r:id="rId7"/>
  </sheets>
  <definedNames>
    <definedName name="_xlnm._FilterDatabase" localSheetId="1" hidden="1">categories!$A$1:$I$1445</definedName>
    <definedName name="_xlnm._FilterDatabase" localSheetId="0" hidden="1">'categories-old'!$A$1:$H$1450</definedName>
    <definedName name="_xlnm._FilterDatabase" localSheetId="5" hidden="1">copy_images!$A$2:$F$1450</definedName>
    <definedName name="_xlnm._FilterDatabase" localSheetId="4" hidden="1">image_url!$A$1:$C$1450</definedName>
  </definedNames>
  <calcPr calcId="152511"/>
</workbook>
</file>

<file path=xl/calcChain.xml><?xml version="1.0" encoding="utf-8"?>
<calcChain xmlns="http://schemas.openxmlformats.org/spreadsheetml/2006/main">
  <c r="E1021" i="4" l="1"/>
  <c r="E1014" i="4"/>
  <c r="E1007" i="4"/>
  <c r="E1006" i="4"/>
  <c r="E511" i="4"/>
  <c r="E239" i="4"/>
  <c r="E236" i="4"/>
  <c r="E231" i="4"/>
  <c r="E229" i="4"/>
  <c r="E222" i="4"/>
  <c r="E221" i="4"/>
  <c r="E220" i="4"/>
  <c r="E219" i="4"/>
  <c r="E218" i="4"/>
  <c r="E217" i="4"/>
  <c r="E216" i="4"/>
  <c r="E215" i="4"/>
  <c r="E213" i="4"/>
  <c r="E211" i="4"/>
  <c r="E203" i="4"/>
  <c r="E202" i="4"/>
  <c r="E201" i="4"/>
  <c r="E200" i="4"/>
  <c r="E199" i="4"/>
  <c r="E198" i="4"/>
  <c r="E194" i="4"/>
  <c r="E193" i="4"/>
  <c r="E192" i="4"/>
  <c r="E191" i="4"/>
  <c r="E190" i="4"/>
  <c r="E188" i="4"/>
  <c r="E187" i="4"/>
  <c r="E185" i="4"/>
  <c r="E184" i="4"/>
  <c r="E182" i="4"/>
  <c r="E170" i="4"/>
  <c r="E155" i="4"/>
  <c r="E152" i="4"/>
  <c r="E150" i="4"/>
  <c r="E146" i="4"/>
  <c r="E145" i="4"/>
  <c r="E143" i="4"/>
  <c r="E138" i="4"/>
  <c r="E135" i="4"/>
  <c r="E131" i="4"/>
  <c r="E124" i="4"/>
  <c r="E123" i="4"/>
  <c r="E110" i="4"/>
  <c r="E108" i="4"/>
  <c r="E106" i="4"/>
  <c r="E95" i="4"/>
  <c r="E89" i="4"/>
  <c r="E88" i="4"/>
  <c r="E87" i="4"/>
  <c r="E76" i="4"/>
  <c r="E71" i="4"/>
  <c r="E60" i="4"/>
  <c r="E56" i="4"/>
  <c r="E53" i="4"/>
  <c r="E44" i="4"/>
  <c r="E37" i="4"/>
  <c r="E36" i="4"/>
  <c r="E32" i="4"/>
  <c r="E31" i="4"/>
  <c r="E30" i="4"/>
  <c r="E27" i="4"/>
  <c r="E24" i="4"/>
  <c r="E23" i="4"/>
  <c r="E21" i="4"/>
  <c r="E20" i="4"/>
  <c r="E19" i="4"/>
  <c r="E18" i="4"/>
  <c r="E17" i="4"/>
  <c r="E16" i="4"/>
  <c r="E15" i="4"/>
  <c r="E13" i="4"/>
  <c r="E4" i="4"/>
  <c r="E3" i="4"/>
  <c r="E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2" i="4"/>
  <c r="D3" i="7" l="1"/>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D817" i="7"/>
  <c r="D818" i="7"/>
  <c r="D819" i="7"/>
  <c r="D820" i="7"/>
  <c r="D821" i="7"/>
  <c r="D822" i="7"/>
  <c r="D823" i="7"/>
  <c r="D824" i="7"/>
  <c r="D825" i="7"/>
  <c r="D826" i="7"/>
  <c r="D827" i="7"/>
  <c r="D828" i="7"/>
  <c r="D829" i="7"/>
  <c r="D830" i="7"/>
  <c r="D831" i="7"/>
  <c r="D832" i="7"/>
  <c r="D833" i="7"/>
  <c r="D834" i="7"/>
  <c r="D835" i="7"/>
  <c r="D836" i="7"/>
  <c r="D837" i="7"/>
  <c r="D838" i="7"/>
  <c r="D839" i="7"/>
  <c r="D840" i="7"/>
  <c r="D841" i="7"/>
  <c r="D842" i="7"/>
  <c r="D843" i="7"/>
  <c r="D844" i="7"/>
  <c r="D845" i="7"/>
  <c r="D846" i="7"/>
  <c r="D847" i="7"/>
  <c r="D848" i="7"/>
  <c r="D849" i="7"/>
  <c r="D850" i="7"/>
  <c r="D851" i="7"/>
  <c r="D852" i="7"/>
  <c r="D853" i="7"/>
  <c r="D854" i="7"/>
  <c r="D855" i="7"/>
  <c r="D856" i="7"/>
  <c r="D857" i="7"/>
  <c r="D858" i="7"/>
  <c r="D859" i="7"/>
  <c r="D860" i="7"/>
  <c r="D861" i="7"/>
  <c r="D862" i="7"/>
  <c r="D863" i="7"/>
  <c r="D864" i="7"/>
  <c r="D865" i="7"/>
  <c r="D866" i="7"/>
  <c r="D867" i="7"/>
  <c r="D868" i="7"/>
  <c r="D869" i="7"/>
  <c r="D870" i="7"/>
  <c r="D871" i="7"/>
  <c r="D872" i="7"/>
  <c r="D873" i="7"/>
  <c r="D874" i="7"/>
  <c r="D875" i="7"/>
  <c r="D876" i="7"/>
  <c r="D877" i="7"/>
  <c r="D878" i="7"/>
  <c r="D879" i="7"/>
  <c r="D880" i="7"/>
  <c r="D881" i="7"/>
  <c r="D882" i="7"/>
  <c r="D883" i="7"/>
  <c r="D884" i="7"/>
  <c r="D885" i="7"/>
  <c r="D886" i="7"/>
  <c r="D887" i="7"/>
  <c r="D888" i="7"/>
  <c r="D889" i="7"/>
  <c r="D890" i="7"/>
  <c r="D891" i="7"/>
  <c r="D892" i="7"/>
  <c r="D893" i="7"/>
  <c r="D894" i="7"/>
  <c r="D895" i="7"/>
  <c r="D896" i="7"/>
  <c r="D897" i="7"/>
  <c r="D898" i="7"/>
  <c r="D899" i="7"/>
  <c r="D900" i="7"/>
  <c r="D901" i="7"/>
  <c r="D902" i="7"/>
  <c r="D903" i="7"/>
  <c r="D904" i="7"/>
  <c r="D905" i="7"/>
  <c r="D906" i="7"/>
  <c r="D907" i="7"/>
  <c r="D908" i="7"/>
  <c r="D909" i="7"/>
  <c r="D910" i="7"/>
  <c r="D911" i="7"/>
  <c r="D912" i="7"/>
  <c r="D913" i="7"/>
  <c r="D914" i="7"/>
  <c r="D915" i="7"/>
  <c r="D916" i="7"/>
  <c r="D917" i="7"/>
  <c r="D918" i="7"/>
  <c r="D919" i="7"/>
  <c r="D920" i="7"/>
  <c r="D921" i="7"/>
  <c r="D922" i="7"/>
  <c r="D923" i="7"/>
  <c r="D924" i="7"/>
  <c r="D925" i="7"/>
  <c r="D926" i="7"/>
  <c r="D927" i="7"/>
  <c r="D928" i="7"/>
  <c r="D929" i="7"/>
  <c r="D930" i="7"/>
  <c r="D931" i="7"/>
  <c r="D932" i="7"/>
  <c r="D933" i="7"/>
  <c r="D934" i="7"/>
  <c r="D935" i="7"/>
  <c r="D936" i="7"/>
  <c r="D937" i="7"/>
  <c r="D938" i="7"/>
  <c r="D939" i="7"/>
  <c r="D940" i="7"/>
  <c r="D941" i="7"/>
  <c r="D942" i="7"/>
  <c r="D943" i="7"/>
  <c r="D944" i="7"/>
  <c r="D945" i="7"/>
  <c r="D946" i="7"/>
  <c r="D947" i="7"/>
  <c r="D948" i="7"/>
  <c r="D949" i="7"/>
  <c r="D950" i="7"/>
  <c r="D951" i="7"/>
  <c r="D952" i="7"/>
  <c r="D953" i="7"/>
  <c r="D954" i="7"/>
  <c r="D955" i="7"/>
  <c r="D956" i="7"/>
  <c r="D957" i="7"/>
  <c r="D958" i="7"/>
  <c r="D959" i="7"/>
  <c r="D960" i="7"/>
  <c r="D961" i="7"/>
  <c r="D962" i="7"/>
  <c r="D963" i="7"/>
  <c r="D964" i="7"/>
  <c r="D965" i="7"/>
  <c r="D966" i="7"/>
  <c r="D967" i="7"/>
  <c r="D968" i="7"/>
  <c r="D969" i="7"/>
  <c r="D970" i="7"/>
  <c r="D971" i="7"/>
  <c r="D972" i="7"/>
  <c r="D973" i="7"/>
  <c r="D974" i="7"/>
  <c r="D975" i="7"/>
  <c r="D976" i="7"/>
  <c r="D977" i="7"/>
  <c r="D978" i="7"/>
  <c r="D979" i="7"/>
  <c r="D980" i="7"/>
  <c r="D981" i="7"/>
  <c r="D982" i="7"/>
  <c r="D983" i="7"/>
  <c r="D984" i="7"/>
  <c r="D985" i="7"/>
  <c r="D986" i="7"/>
  <c r="D987" i="7"/>
  <c r="D988" i="7"/>
  <c r="D989" i="7"/>
  <c r="D990" i="7"/>
  <c r="D991" i="7"/>
  <c r="D992" i="7"/>
  <c r="D993" i="7"/>
  <c r="D994" i="7"/>
  <c r="D995" i="7"/>
  <c r="D996" i="7"/>
  <c r="D997" i="7"/>
  <c r="D998" i="7"/>
  <c r="D999" i="7"/>
  <c r="D1000" i="7"/>
  <c r="D1001" i="7"/>
  <c r="D1002" i="7"/>
  <c r="D1003" i="7"/>
  <c r="D1004" i="7"/>
  <c r="D1005" i="7"/>
  <c r="D1006" i="7"/>
  <c r="D1007" i="7"/>
  <c r="D1008" i="7"/>
  <c r="D1009" i="7"/>
  <c r="D1010" i="7"/>
  <c r="D1011" i="7"/>
  <c r="D1012" i="7"/>
  <c r="D1013" i="7"/>
  <c r="D1014" i="7"/>
  <c r="D1015" i="7"/>
  <c r="D1016" i="7"/>
  <c r="D1017" i="7"/>
  <c r="D1018" i="7"/>
  <c r="D1019" i="7"/>
  <c r="D1020" i="7"/>
  <c r="D1021" i="7"/>
  <c r="D1022" i="7"/>
  <c r="D1023" i="7"/>
  <c r="D1024" i="7"/>
  <c r="D1025" i="7"/>
  <c r="D1026" i="7"/>
  <c r="D1027" i="7"/>
  <c r="D1028" i="7"/>
  <c r="D1029" i="7"/>
  <c r="D1030" i="7"/>
  <c r="D1031" i="7"/>
  <c r="D1032" i="7"/>
  <c r="D1033" i="7"/>
  <c r="D1034" i="7"/>
  <c r="D1035" i="7"/>
  <c r="D1036"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2" i="7"/>
  <c r="D1063" i="7"/>
  <c r="D1064" i="7"/>
  <c r="D1065" i="7"/>
  <c r="D1066" i="7"/>
  <c r="D1067" i="7"/>
  <c r="D1068" i="7"/>
  <c r="D1069" i="7"/>
  <c r="D1070" i="7"/>
  <c r="D1071" i="7"/>
  <c r="D1072" i="7"/>
  <c r="D1073" i="7"/>
  <c r="D1074" i="7"/>
  <c r="D1075" i="7"/>
  <c r="D1076" i="7"/>
  <c r="D1077" i="7"/>
  <c r="D1078" i="7"/>
  <c r="D1079" i="7"/>
  <c r="D1080" i="7"/>
  <c r="D1081" i="7"/>
  <c r="D1082" i="7"/>
  <c r="D1083" i="7"/>
  <c r="D1084" i="7"/>
  <c r="D1085" i="7"/>
  <c r="D1086" i="7"/>
  <c r="D1087" i="7"/>
  <c r="D1088" i="7"/>
  <c r="D1089" i="7"/>
  <c r="D1090" i="7"/>
  <c r="D1091" i="7"/>
  <c r="D1092" i="7"/>
  <c r="D1093" i="7"/>
  <c r="D1094" i="7"/>
  <c r="D1095" i="7"/>
  <c r="D1096" i="7"/>
  <c r="D1097" i="7"/>
  <c r="D1098" i="7"/>
  <c r="D109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2" i="7"/>
  <c r="B3" i="7"/>
  <c r="B4" i="7"/>
  <c r="B5" i="7"/>
  <c r="B6" i="7"/>
  <c r="B7" i="7"/>
  <c r="B8" i="7"/>
  <c r="C8" i="7" s="1"/>
  <c r="B9" i="7"/>
  <c r="C9" i="7" s="1"/>
  <c r="B10" i="7"/>
  <c r="C10" i="7" s="1"/>
  <c r="B11" i="7"/>
  <c r="B12" i="7"/>
  <c r="B13" i="7"/>
  <c r="B14" i="7"/>
  <c r="B15" i="7"/>
  <c r="B16" i="7"/>
  <c r="C16" i="7" s="1"/>
  <c r="B17" i="7"/>
  <c r="C17" i="7" s="1"/>
  <c r="B18" i="7"/>
  <c r="C18" i="7" s="1"/>
  <c r="B19" i="7"/>
  <c r="B20" i="7"/>
  <c r="B21" i="7"/>
  <c r="C21" i="7" s="1"/>
  <c r="B22" i="7"/>
  <c r="B23" i="7"/>
  <c r="B24" i="7"/>
  <c r="C24" i="7" s="1"/>
  <c r="B25" i="7"/>
  <c r="C25" i="7" s="1"/>
  <c r="B26" i="7"/>
  <c r="C26" i="7" s="1"/>
  <c r="B27" i="7"/>
  <c r="B28" i="7"/>
  <c r="B29" i="7"/>
  <c r="B30" i="7"/>
  <c r="C30" i="7" s="1"/>
  <c r="B31" i="7"/>
  <c r="B32" i="7"/>
  <c r="C32" i="7" s="1"/>
  <c r="B33" i="7"/>
  <c r="C33" i="7" s="1"/>
  <c r="B34" i="7"/>
  <c r="C34" i="7" s="1"/>
  <c r="B35" i="7"/>
  <c r="B36" i="7"/>
  <c r="B37" i="7"/>
  <c r="C37" i="7" s="1"/>
  <c r="B38" i="7"/>
  <c r="B39" i="7"/>
  <c r="B40" i="7"/>
  <c r="C40" i="7" s="1"/>
  <c r="B41" i="7"/>
  <c r="C41" i="7" s="1"/>
  <c r="B42" i="7"/>
  <c r="C42" i="7" s="1"/>
  <c r="B43" i="7"/>
  <c r="B44" i="7"/>
  <c r="B45" i="7"/>
  <c r="C45" i="7" s="1"/>
  <c r="B46" i="7"/>
  <c r="B47" i="7"/>
  <c r="B48" i="7"/>
  <c r="C48" i="7" s="1"/>
  <c r="B49" i="7"/>
  <c r="C49" i="7" s="1"/>
  <c r="B50" i="7"/>
  <c r="C50" i="7" s="1"/>
  <c r="B51" i="7"/>
  <c r="B52" i="7"/>
  <c r="B53" i="7"/>
  <c r="C53" i="7" s="1"/>
  <c r="B54" i="7"/>
  <c r="C54" i="7" s="1"/>
  <c r="B55" i="7"/>
  <c r="B56" i="7"/>
  <c r="C56" i="7" s="1"/>
  <c r="B57" i="7"/>
  <c r="C57" i="7" s="1"/>
  <c r="B58" i="7"/>
  <c r="C58" i="7" s="1"/>
  <c r="B59" i="7"/>
  <c r="B60" i="7"/>
  <c r="B61" i="7"/>
  <c r="B62" i="7"/>
  <c r="C62" i="7" s="1"/>
  <c r="B63" i="7"/>
  <c r="B64" i="7"/>
  <c r="C64" i="7" s="1"/>
  <c r="B65" i="7"/>
  <c r="C65" i="7" s="1"/>
  <c r="B66" i="7"/>
  <c r="C66" i="7" s="1"/>
  <c r="B67" i="7"/>
  <c r="B68" i="7"/>
  <c r="B69" i="7"/>
  <c r="B70" i="7"/>
  <c r="B71" i="7"/>
  <c r="B72" i="7"/>
  <c r="C72" i="7" s="1"/>
  <c r="B73" i="7"/>
  <c r="C73" i="7" s="1"/>
  <c r="B74" i="7"/>
  <c r="C74" i="7" s="1"/>
  <c r="B75" i="7"/>
  <c r="B76" i="7"/>
  <c r="B77" i="7"/>
  <c r="C77" i="7" s="1"/>
  <c r="B78" i="7"/>
  <c r="B79" i="7"/>
  <c r="B80" i="7"/>
  <c r="C80" i="7" s="1"/>
  <c r="B81" i="7"/>
  <c r="C81" i="7" s="1"/>
  <c r="B82" i="7"/>
  <c r="C82" i="7" s="1"/>
  <c r="B83" i="7"/>
  <c r="B84" i="7"/>
  <c r="B85" i="7"/>
  <c r="C85" i="7" s="1"/>
  <c r="B86" i="7"/>
  <c r="B87" i="7"/>
  <c r="B88" i="7"/>
  <c r="C88" i="7" s="1"/>
  <c r="B89" i="7"/>
  <c r="C89" i="7" s="1"/>
  <c r="B90" i="7"/>
  <c r="C90" i="7" s="1"/>
  <c r="B91" i="7"/>
  <c r="B92" i="7"/>
  <c r="B93" i="7"/>
  <c r="B94" i="7"/>
  <c r="C94" i="7" s="1"/>
  <c r="B95" i="7"/>
  <c r="B96" i="7"/>
  <c r="C96" i="7" s="1"/>
  <c r="B97" i="7"/>
  <c r="B98" i="7"/>
  <c r="B99" i="7"/>
  <c r="B100" i="7"/>
  <c r="B101" i="7"/>
  <c r="C101" i="7" s="1"/>
  <c r="B102" i="7"/>
  <c r="B103" i="7"/>
  <c r="B104" i="7"/>
  <c r="C104" i="7" s="1"/>
  <c r="B105" i="7"/>
  <c r="C105" i="7" s="1"/>
  <c r="B106" i="7"/>
  <c r="C106" i="7" s="1"/>
  <c r="B107" i="7"/>
  <c r="B108" i="7"/>
  <c r="B109" i="7"/>
  <c r="C109" i="7" s="1"/>
  <c r="B110" i="7"/>
  <c r="B111" i="7"/>
  <c r="B112" i="7"/>
  <c r="C112" i="7" s="1"/>
  <c r="B113" i="7"/>
  <c r="C113" i="7" s="1"/>
  <c r="B114" i="7"/>
  <c r="C114" i="7" s="1"/>
  <c r="B115" i="7"/>
  <c r="B116" i="7"/>
  <c r="B117" i="7"/>
  <c r="C117" i="7" s="1"/>
  <c r="B118" i="7"/>
  <c r="C118" i="7" s="1"/>
  <c r="B119" i="7"/>
  <c r="B120" i="7"/>
  <c r="C120" i="7" s="1"/>
  <c r="B121" i="7"/>
  <c r="C121" i="7" s="1"/>
  <c r="B122" i="7"/>
  <c r="C122" i="7" s="1"/>
  <c r="B123" i="7"/>
  <c r="B124" i="7"/>
  <c r="B125" i="7"/>
  <c r="C125" i="7" s="1"/>
  <c r="B126" i="7"/>
  <c r="C126" i="7" s="1"/>
  <c r="B127" i="7"/>
  <c r="B128" i="7"/>
  <c r="C128" i="7" s="1"/>
  <c r="B129" i="7"/>
  <c r="C129" i="7" s="1"/>
  <c r="B130" i="7"/>
  <c r="C130" i="7" s="1"/>
  <c r="B131" i="7"/>
  <c r="B132" i="7"/>
  <c r="B133" i="7"/>
  <c r="B134" i="7"/>
  <c r="B135" i="7"/>
  <c r="B136" i="7"/>
  <c r="C136" i="7" s="1"/>
  <c r="B137" i="7"/>
  <c r="C137" i="7" s="1"/>
  <c r="B138" i="7"/>
  <c r="C138" i="7" s="1"/>
  <c r="B139" i="7"/>
  <c r="B140" i="7"/>
  <c r="B141" i="7"/>
  <c r="B142" i="7"/>
  <c r="B143" i="7"/>
  <c r="B144" i="7"/>
  <c r="C144" i="7" s="1"/>
  <c r="B145" i="7"/>
  <c r="C145" i="7" s="1"/>
  <c r="B146" i="7"/>
  <c r="C146" i="7" s="1"/>
  <c r="B147" i="7"/>
  <c r="B148" i="7"/>
  <c r="B149" i="7"/>
  <c r="C149" i="7" s="1"/>
  <c r="B150" i="7"/>
  <c r="B151" i="7"/>
  <c r="B152" i="7"/>
  <c r="C152" i="7" s="1"/>
  <c r="B153" i="7"/>
  <c r="C153" i="7" s="1"/>
  <c r="B154" i="7"/>
  <c r="C154" i="7" s="1"/>
  <c r="B155" i="7"/>
  <c r="B156" i="7"/>
  <c r="B157" i="7"/>
  <c r="B158" i="7"/>
  <c r="C158" i="7" s="1"/>
  <c r="B159" i="7"/>
  <c r="B160" i="7"/>
  <c r="C160" i="7" s="1"/>
  <c r="B161" i="7"/>
  <c r="C161" i="7" s="1"/>
  <c r="B162" i="7"/>
  <c r="C162" i="7" s="1"/>
  <c r="B163" i="7"/>
  <c r="B164" i="7"/>
  <c r="B165" i="7"/>
  <c r="C165" i="7" s="1"/>
  <c r="B166" i="7"/>
  <c r="B167" i="7"/>
  <c r="B168" i="7"/>
  <c r="C168" i="7" s="1"/>
  <c r="B169" i="7"/>
  <c r="C169" i="7" s="1"/>
  <c r="B170" i="7"/>
  <c r="C170" i="7" s="1"/>
  <c r="B171" i="7"/>
  <c r="B172" i="7"/>
  <c r="B173" i="7"/>
  <c r="C173" i="7" s="1"/>
  <c r="B174" i="7"/>
  <c r="B175" i="7"/>
  <c r="B176" i="7"/>
  <c r="C176" i="7" s="1"/>
  <c r="B177" i="7"/>
  <c r="C177" i="7" s="1"/>
  <c r="B178" i="7"/>
  <c r="C178" i="7" s="1"/>
  <c r="B179" i="7"/>
  <c r="B180" i="7"/>
  <c r="B181" i="7"/>
  <c r="C181" i="7" s="1"/>
  <c r="B182" i="7"/>
  <c r="C182" i="7" s="1"/>
  <c r="B183" i="7"/>
  <c r="B184" i="7"/>
  <c r="C184" i="7" s="1"/>
  <c r="B185" i="7"/>
  <c r="C185" i="7" s="1"/>
  <c r="B186" i="7"/>
  <c r="C186" i="7" s="1"/>
  <c r="B187" i="7"/>
  <c r="B188" i="7"/>
  <c r="B189" i="7"/>
  <c r="B190" i="7"/>
  <c r="C190" i="7" s="1"/>
  <c r="B191" i="7"/>
  <c r="B192" i="7"/>
  <c r="C192" i="7" s="1"/>
  <c r="B193" i="7"/>
  <c r="C193" i="7" s="1"/>
  <c r="B194" i="7"/>
  <c r="C194" i="7" s="1"/>
  <c r="B195" i="7"/>
  <c r="B196" i="7"/>
  <c r="B197" i="7"/>
  <c r="B198" i="7"/>
  <c r="B199" i="7"/>
  <c r="B200" i="7"/>
  <c r="C200" i="7" s="1"/>
  <c r="B201" i="7"/>
  <c r="C201" i="7" s="1"/>
  <c r="B202" i="7"/>
  <c r="B203" i="7"/>
  <c r="B204" i="7"/>
  <c r="B205" i="7"/>
  <c r="C205" i="7" s="1"/>
  <c r="B206" i="7"/>
  <c r="B207" i="7"/>
  <c r="B208" i="7"/>
  <c r="C208" i="7" s="1"/>
  <c r="B209" i="7"/>
  <c r="C209" i="7" s="1"/>
  <c r="B210" i="7"/>
  <c r="C210" i="7" s="1"/>
  <c r="B211" i="7"/>
  <c r="B212" i="7"/>
  <c r="B213" i="7"/>
  <c r="C213" i="7" s="1"/>
  <c r="B214" i="7"/>
  <c r="B215" i="7"/>
  <c r="B216" i="7"/>
  <c r="C216" i="7" s="1"/>
  <c r="B217" i="7"/>
  <c r="C217" i="7" s="1"/>
  <c r="B218" i="7"/>
  <c r="C218" i="7" s="1"/>
  <c r="B219" i="7"/>
  <c r="B220" i="7"/>
  <c r="B221" i="7"/>
  <c r="B222" i="7"/>
  <c r="C222" i="7" s="1"/>
  <c r="B223" i="7"/>
  <c r="B224" i="7"/>
  <c r="C224" i="7" s="1"/>
  <c r="B225" i="7"/>
  <c r="C225" i="7" s="1"/>
  <c r="B226" i="7"/>
  <c r="C226" i="7" s="1"/>
  <c r="B227" i="7"/>
  <c r="B228" i="7"/>
  <c r="B229" i="7"/>
  <c r="C229" i="7" s="1"/>
  <c r="B230" i="7"/>
  <c r="C230" i="7" s="1"/>
  <c r="B231" i="7"/>
  <c r="B232" i="7"/>
  <c r="C232" i="7" s="1"/>
  <c r="B233" i="7"/>
  <c r="C233" i="7" s="1"/>
  <c r="B234" i="7"/>
  <c r="C234" i="7" s="1"/>
  <c r="B235" i="7"/>
  <c r="B236" i="7"/>
  <c r="B237" i="7"/>
  <c r="C237" i="7" s="1"/>
  <c r="B238" i="7"/>
  <c r="B239" i="7"/>
  <c r="B240" i="7"/>
  <c r="C240" i="7" s="1"/>
  <c r="B241" i="7"/>
  <c r="C241" i="7" s="1"/>
  <c r="B242" i="7"/>
  <c r="C242" i="7" s="1"/>
  <c r="B243" i="7"/>
  <c r="B244" i="7"/>
  <c r="B245" i="7"/>
  <c r="C245" i="7" s="1"/>
  <c r="B246" i="7"/>
  <c r="C246" i="7" s="1"/>
  <c r="B247" i="7"/>
  <c r="B248" i="7"/>
  <c r="C248" i="7" s="1"/>
  <c r="B249" i="7"/>
  <c r="C249" i="7" s="1"/>
  <c r="B250" i="7"/>
  <c r="C250" i="7" s="1"/>
  <c r="B251" i="7"/>
  <c r="B252" i="7"/>
  <c r="B253" i="7"/>
  <c r="C253" i="7" s="1"/>
  <c r="B254" i="7"/>
  <c r="C254" i="7" s="1"/>
  <c r="B255" i="7"/>
  <c r="B256" i="7"/>
  <c r="C256" i="7" s="1"/>
  <c r="B257" i="7"/>
  <c r="B258" i="7"/>
  <c r="C258" i="7" s="1"/>
  <c r="B259" i="7"/>
  <c r="B260" i="7"/>
  <c r="B261" i="7"/>
  <c r="B262" i="7"/>
  <c r="B263" i="7"/>
  <c r="B264" i="7"/>
  <c r="C264" i="7" s="1"/>
  <c r="B265" i="7"/>
  <c r="C265" i="7" s="1"/>
  <c r="B266" i="7"/>
  <c r="C266" i="7" s="1"/>
  <c r="B267" i="7"/>
  <c r="B268" i="7"/>
  <c r="B269" i="7"/>
  <c r="C269" i="7" s="1"/>
  <c r="B270" i="7"/>
  <c r="B271" i="7"/>
  <c r="B272" i="7"/>
  <c r="C272" i="7" s="1"/>
  <c r="B273" i="7"/>
  <c r="C273" i="7" s="1"/>
  <c r="B274" i="7"/>
  <c r="C274" i="7" s="1"/>
  <c r="B275" i="7"/>
  <c r="B276" i="7"/>
  <c r="B277" i="7"/>
  <c r="C277" i="7" s="1"/>
  <c r="B278" i="7"/>
  <c r="C278" i="7" s="1"/>
  <c r="B279" i="7"/>
  <c r="B280" i="7"/>
  <c r="C280" i="7" s="1"/>
  <c r="B281" i="7"/>
  <c r="B282" i="7"/>
  <c r="C282" i="7" s="1"/>
  <c r="B283" i="7"/>
  <c r="B284" i="7"/>
  <c r="B285" i="7"/>
  <c r="C285" i="7" s="1"/>
  <c r="B286" i="7"/>
  <c r="C286" i="7" s="1"/>
  <c r="B287" i="7"/>
  <c r="B288" i="7"/>
  <c r="C288" i="7" s="1"/>
  <c r="B289" i="7"/>
  <c r="C289" i="7" s="1"/>
  <c r="B290" i="7"/>
  <c r="C290" i="7" s="1"/>
  <c r="B291" i="7"/>
  <c r="B292" i="7"/>
  <c r="B293" i="7"/>
  <c r="B294" i="7"/>
  <c r="B295" i="7"/>
  <c r="B296" i="7"/>
  <c r="C296" i="7" s="1"/>
  <c r="B297" i="7"/>
  <c r="C297" i="7" s="1"/>
  <c r="B298" i="7"/>
  <c r="C298" i="7" s="1"/>
  <c r="B299" i="7"/>
  <c r="B300" i="7"/>
  <c r="B301" i="7"/>
  <c r="C301" i="7" s="1"/>
  <c r="B302" i="7"/>
  <c r="B303" i="7"/>
  <c r="B304" i="7"/>
  <c r="C304" i="7" s="1"/>
  <c r="B305" i="7"/>
  <c r="C305" i="7" s="1"/>
  <c r="B306" i="7"/>
  <c r="C306" i="7" s="1"/>
  <c r="B307" i="7"/>
  <c r="B308" i="7"/>
  <c r="B309" i="7"/>
  <c r="C309" i="7" s="1"/>
  <c r="B310" i="7"/>
  <c r="C310" i="7" s="1"/>
  <c r="B311" i="7"/>
  <c r="B312" i="7"/>
  <c r="C312" i="7" s="1"/>
  <c r="B313" i="7"/>
  <c r="C313" i="7" s="1"/>
  <c r="B314" i="7"/>
  <c r="C314" i="7" s="1"/>
  <c r="B315" i="7"/>
  <c r="B316" i="7"/>
  <c r="B317" i="7"/>
  <c r="B318" i="7"/>
  <c r="C318" i="7" s="1"/>
  <c r="B319" i="7"/>
  <c r="B320" i="7"/>
  <c r="C320" i="7" s="1"/>
  <c r="B321" i="7"/>
  <c r="C321" i="7" s="1"/>
  <c r="B322" i="7"/>
  <c r="C322" i="7" s="1"/>
  <c r="B323" i="7"/>
  <c r="B324" i="7"/>
  <c r="B325" i="7"/>
  <c r="C325" i="7" s="1"/>
  <c r="B326" i="7"/>
  <c r="B327" i="7"/>
  <c r="B328" i="7"/>
  <c r="C328" i="7" s="1"/>
  <c r="B329" i="7"/>
  <c r="C329" i="7" s="1"/>
  <c r="B330" i="7"/>
  <c r="C330" i="7" s="1"/>
  <c r="B331" i="7"/>
  <c r="B332" i="7"/>
  <c r="B333" i="7"/>
  <c r="C333" i="7" s="1"/>
  <c r="B334" i="7"/>
  <c r="C334" i="7" s="1"/>
  <c r="B335" i="7"/>
  <c r="B336" i="7"/>
  <c r="C336" i="7" s="1"/>
  <c r="B337" i="7"/>
  <c r="C337" i="7" s="1"/>
  <c r="B338" i="7"/>
  <c r="C338" i="7" s="1"/>
  <c r="B339" i="7"/>
  <c r="B340" i="7"/>
  <c r="B341" i="7"/>
  <c r="C341" i="7" s="1"/>
  <c r="B342" i="7"/>
  <c r="B343" i="7"/>
  <c r="B344" i="7"/>
  <c r="C344" i="7" s="1"/>
  <c r="B345" i="7"/>
  <c r="C345" i="7" s="1"/>
  <c r="B346" i="7"/>
  <c r="C346" i="7" s="1"/>
  <c r="B347" i="7"/>
  <c r="B348" i="7"/>
  <c r="B349" i="7"/>
  <c r="B350" i="7"/>
  <c r="C350" i="7" s="1"/>
  <c r="B351" i="7"/>
  <c r="B352" i="7"/>
  <c r="C352" i="7" s="1"/>
  <c r="B353" i="7"/>
  <c r="C353" i="7" s="1"/>
  <c r="B354" i="7"/>
  <c r="C354" i="7" s="1"/>
  <c r="B355" i="7"/>
  <c r="B356" i="7"/>
  <c r="B357" i="7"/>
  <c r="C357" i="7" s="1"/>
  <c r="B358" i="7"/>
  <c r="C358" i="7" s="1"/>
  <c r="B359" i="7"/>
  <c r="B360" i="7"/>
  <c r="C360" i="7" s="1"/>
  <c r="B361" i="7"/>
  <c r="B362" i="7"/>
  <c r="B363" i="7"/>
  <c r="B364" i="7"/>
  <c r="B365" i="7"/>
  <c r="C365" i="7" s="1"/>
  <c r="B366" i="7"/>
  <c r="B367" i="7"/>
  <c r="B368" i="7"/>
  <c r="C368" i="7" s="1"/>
  <c r="B369" i="7"/>
  <c r="C369" i="7" s="1"/>
  <c r="B370" i="7"/>
  <c r="C370" i="7" s="1"/>
  <c r="B371" i="7"/>
  <c r="B372" i="7"/>
  <c r="B373" i="7"/>
  <c r="C373" i="7" s="1"/>
  <c r="B374" i="7"/>
  <c r="C374" i="7" s="1"/>
  <c r="B375" i="7"/>
  <c r="B376" i="7"/>
  <c r="C376" i="7" s="1"/>
  <c r="B377" i="7"/>
  <c r="B378" i="7"/>
  <c r="C378" i="7" s="1"/>
  <c r="B379" i="7"/>
  <c r="B380" i="7"/>
  <c r="B381" i="7"/>
  <c r="C381" i="7" s="1"/>
  <c r="B382" i="7"/>
  <c r="C382" i="7" s="1"/>
  <c r="B383" i="7"/>
  <c r="B384" i="7"/>
  <c r="C384" i="7" s="1"/>
  <c r="B385" i="7"/>
  <c r="C385" i="7" s="1"/>
  <c r="B386" i="7"/>
  <c r="C386" i="7" s="1"/>
  <c r="B387" i="7"/>
  <c r="B388" i="7"/>
  <c r="B389" i="7"/>
  <c r="B390" i="7"/>
  <c r="B391" i="7"/>
  <c r="B392" i="7"/>
  <c r="C392" i="7" s="1"/>
  <c r="B393" i="7"/>
  <c r="C393" i="7" s="1"/>
  <c r="B394" i="7"/>
  <c r="C394" i="7" s="1"/>
  <c r="B395" i="7"/>
  <c r="B396" i="7"/>
  <c r="B397" i="7"/>
  <c r="B398" i="7"/>
  <c r="B399" i="7"/>
  <c r="B400" i="7"/>
  <c r="C400" i="7" s="1"/>
  <c r="B401" i="7"/>
  <c r="C401" i="7" s="1"/>
  <c r="B402" i="7"/>
  <c r="C402" i="7" s="1"/>
  <c r="B403" i="7"/>
  <c r="B404" i="7"/>
  <c r="B405" i="7"/>
  <c r="C405" i="7" s="1"/>
  <c r="B406" i="7"/>
  <c r="C406" i="7" s="1"/>
  <c r="B407" i="7"/>
  <c r="B408" i="7"/>
  <c r="C408" i="7" s="1"/>
  <c r="B409" i="7"/>
  <c r="C409" i="7" s="1"/>
  <c r="B410" i="7"/>
  <c r="C410" i="7" s="1"/>
  <c r="B411" i="7"/>
  <c r="B412" i="7"/>
  <c r="B413" i="7"/>
  <c r="B414" i="7"/>
  <c r="C414" i="7" s="1"/>
  <c r="B415" i="7"/>
  <c r="B416" i="7"/>
  <c r="C416" i="7" s="1"/>
  <c r="B417" i="7"/>
  <c r="C417" i="7" s="1"/>
  <c r="B418" i="7"/>
  <c r="C418" i="7" s="1"/>
  <c r="B419" i="7"/>
  <c r="B420" i="7"/>
  <c r="B421" i="7"/>
  <c r="C421" i="7" s="1"/>
  <c r="B422" i="7"/>
  <c r="B423" i="7"/>
  <c r="B424" i="7"/>
  <c r="C424" i="7" s="1"/>
  <c r="B425" i="7"/>
  <c r="C425" i="7" s="1"/>
  <c r="B426" i="7"/>
  <c r="C426" i="7" s="1"/>
  <c r="B427" i="7"/>
  <c r="B428" i="7"/>
  <c r="B429" i="7"/>
  <c r="B430" i="7"/>
  <c r="B431" i="7"/>
  <c r="B432" i="7"/>
  <c r="C432" i="7" s="1"/>
  <c r="B433" i="7"/>
  <c r="C433" i="7" s="1"/>
  <c r="B434" i="7"/>
  <c r="C434" i="7" s="1"/>
  <c r="B435" i="7"/>
  <c r="B436" i="7"/>
  <c r="B437" i="7"/>
  <c r="C437" i="7" s="1"/>
  <c r="B438" i="7"/>
  <c r="B439" i="7"/>
  <c r="B440" i="7"/>
  <c r="C440" i="7" s="1"/>
  <c r="B441" i="7"/>
  <c r="B442" i="7"/>
  <c r="C442" i="7" s="1"/>
  <c r="B443" i="7"/>
  <c r="B444" i="7"/>
  <c r="B445" i="7"/>
  <c r="B446" i="7"/>
  <c r="C446" i="7" s="1"/>
  <c r="B447" i="7"/>
  <c r="B448" i="7"/>
  <c r="C448" i="7" s="1"/>
  <c r="B449" i="7"/>
  <c r="C449" i="7" s="1"/>
  <c r="B450" i="7"/>
  <c r="C450" i="7" s="1"/>
  <c r="B451" i="7"/>
  <c r="B452" i="7"/>
  <c r="B453" i="7"/>
  <c r="C453" i="7" s="1"/>
  <c r="B454" i="7"/>
  <c r="B455" i="7"/>
  <c r="B456" i="7"/>
  <c r="C456" i="7" s="1"/>
  <c r="B457" i="7"/>
  <c r="C457" i="7" s="1"/>
  <c r="B458" i="7"/>
  <c r="C458" i="7" s="1"/>
  <c r="B459" i="7"/>
  <c r="B460" i="7"/>
  <c r="B461" i="7"/>
  <c r="B462" i="7"/>
  <c r="B463" i="7"/>
  <c r="B464" i="7"/>
  <c r="C464" i="7" s="1"/>
  <c r="B465" i="7"/>
  <c r="C465" i="7" s="1"/>
  <c r="B466" i="7"/>
  <c r="C466" i="7" s="1"/>
  <c r="B467" i="7"/>
  <c r="B468" i="7"/>
  <c r="B469" i="7"/>
  <c r="C469" i="7" s="1"/>
  <c r="B470" i="7"/>
  <c r="B471" i="7"/>
  <c r="B472" i="7"/>
  <c r="C472" i="7" s="1"/>
  <c r="B473" i="7"/>
  <c r="C473" i="7" s="1"/>
  <c r="B474" i="7"/>
  <c r="C474" i="7" s="1"/>
  <c r="B475" i="7"/>
  <c r="B476" i="7"/>
  <c r="B477" i="7"/>
  <c r="C477" i="7" s="1"/>
  <c r="B478" i="7"/>
  <c r="C478" i="7" s="1"/>
  <c r="B479" i="7"/>
  <c r="B480" i="7"/>
  <c r="C480" i="7" s="1"/>
  <c r="B481" i="7"/>
  <c r="C481" i="7" s="1"/>
  <c r="B482" i="7"/>
  <c r="C482" i="7" s="1"/>
  <c r="B483" i="7"/>
  <c r="B484" i="7"/>
  <c r="B485" i="7"/>
  <c r="C485" i="7" s="1"/>
  <c r="B486" i="7"/>
  <c r="C486" i="7" s="1"/>
  <c r="B487" i="7"/>
  <c r="B488" i="7"/>
  <c r="C488" i="7" s="1"/>
  <c r="B489" i="7"/>
  <c r="C489" i="7" s="1"/>
  <c r="B490" i="7"/>
  <c r="C490" i="7" s="1"/>
  <c r="B491" i="7"/>
  <c r="B492" i="7"/>
  <c r="B493" i="7"/>
  <c r="B494" i="7"/>
  <c r="C494" i="7" s="1"/>
  <c r="B495" i="7"/>
  <c r="B496" i="7"/>
  <c r="C496" i="7" s="1"/>
  <c r="B497" i="7"/>
  <c r="C497" i="7" s="1"/>
  <c r="B498" i="7"/>
  <c r="C498" i="7" s="1"/>
  <c r="B499" i="7"/>
  <c r="B500" i="7"/>
  <c r="B501" i="7"/>
  <c r="C501" i="7" s="1"/>
  <c r="B502" i="7"/>
  <c r="B503" i="7"/>
  <c r="B504" i="7"/>
  <c r="C504" i="7" s="1"/>
  <c r="B505" i="7"/>
  <c r="C505" i="7" s="1"/>
  <c r="B506" i="7"/>
  <c r="C506" i="7" s="1"/>
  <c r="B507" i="7"/>
  <c r="B508" i="7"/>
  <c r="B509" i="7"/>
  <c r="B510" i="7"/>
  <c r="B511" i="7"/>
  <c r="B512" i="7"/>
  <c r="C512" i="7" s="1"/>
  <c r="B513" i="7"/>
  <c r="C513" i="7" s="1"/>
  <c r="B514" i="7"/>
  <c r="C514" i="7" s="1"/>
  <c r="B515" i="7"/>
  <c r="B516" i="7"/>
  <c r="B517" i="7"/>
  <c r="B518" i="7"/>
  <c r="B519" i="7"/>
  <c r="B520" i="7"/>
  <c r="C520" i="7" s="1"/>
  <c r="B521" i="7"/>
  <c r="C521" i="7" s="1"/>
  <c r="B522" i="7"/>
  <c r="C522" i="7" s="1"/>
  <c r="B523" i="7"/>
  <c r="B524" i="7"/>
  <c r="B525" i="7"/>
  <c r="C525" i="7" s="1"/>
  <c r="B526" i="7"/>
  <c r="B527" i="7"/>
  <c r="B528" i="7"/>
  <c r="C528" i="7" s="1"/>
  <c r="B529" i="7"/>
  <c r="B530" i="7"/>
  <c r="B531" i="7"/>
  <c r="B532" i="7"/>
  <c r="B533" i="7"/>
  <c r="C533" i="7" s="1"/>
  <c r="B534" i="7"/>
  <c r="C534" i="7" s="1"/>
  <c r="B535" i="7"/>
  <c r="B536" i="7"/>
  <c r="C536" i="7" s="1"/>
  <c r="B537" i="7"/>
  <c r="C537" i="7" s="1"/>
  <c r="B538" i="7"/>
  <c r="C538" i="7" s="1"/>
  <c r="B539" i="7"/>
  <c r="B540" i="7"/>
  <c r="B541" i="7"/>
  <c r="B542" i="7"/>
  <c r="C542" i="7" s="1"/>
  <c r="B543" i="7"/>
  <c r="B544" i="7"/>
  <c r="C544" i="7" s="1"/>
  <c r="B545" i="7"/>
  <c r="C545" i="7" s="1"/>
  <c r="B546" i="7"/>
  <c r="C546" i="7" s="1"/>
  <c r="B547" i="7"/>
  <c r="B548" i="7"/>
  <c r="B549" i="7"/>
  <c r="B550" i="7"/>
  <c r="B551" i="7"/>
  <c r="B552" i="7"/>
  <c r="C552" i="7" s="1"/>
  <c r="B553" i="7"/>
  <c r="B554" i="7"/>
  <c r="C554" i="7" s="1"/>
  <c r="B555" i="7"/>
  <c r="B556" i="7"/>
  <c r="B557" i="7"/>
  <c r="C557" i="7" s="1"/>
  <c r="B558" i="7"/>
  <c r="B559" i="7"/>
  <c r="B560" i="7"/>
  <c r="C560" i="7" s="1"/>
  <c r="B561" i="7"/>
  <c r="C561" i="7" s="1"/>
  <c r="B562" i="7"/>
  <c r="C562" i="7" s="1"/>
  <c r="B563" i="7"/>
  <c r="B564" i="7"/>
  <c r="B565" i="7"/>
  <c r="C565" i="7" s="1"/>
  <c r="B566" i="7"/>
  <c r="B567" i="7"/>
  <c r="B568" i="7"/>
  <c r="C568" i="7" s="1"/>
  <c r="B569" i="7"/>
  <c r="C569" i="7" s="1"/>
  <c r="B570" i="7"/>
  <c r="C570" i="7" s="1"/>
  <c r="B571" i="7"/>
  <c r="B572" i="7"/>
  <c r="B573" i="7"/>
  <c r="B574" i="7"/>
  <c r="C574" i="7" s="1"/>
  <c r="B575" i="7"/>
  <c r="B576" i="7"/>
  <c r="C576" i="7" s="1"/>
  <c r="B577" i="7"/>
  <c r="B578" i="7"/>
  <c r="B579" i="7"/>
  <c r="B580" i="7"/>
  <c r="B581" i="7"/>
  <c r="B582" i="7"/>
  <c r="B583" i="7"/>
  <c r="B584" i="7"/>
  <c r="C584" i="7" s="1"/>
  <c r="B585" i="7"/>
  <c r="C585" i="7" s="1"/>
  <c r="B586" i="7"/>
  <c r="C586" i="7" s="1"/>
  <c r="B587" i="7"/>
  <c r="B588" i="7"/>
  <c r="B589" i="7"/>
  <c r="C589" i="7" s="1"/>
  <c r="B590" i="7"/>
  <c r="B591" i="7"/>
  <c r="B592" i="7"/>
  <c r="C592" i="7" s="1"/>
  <c r="B593" i="7"/>
  <c r="C593" i="7" s="1"/>
  <c r="B594" i="7"/>
  <c r="C594" i="7" s="1"/>
  <c r="B595" i="7"/>
  <c r="B596" i="7"/>
  <c r="B597" i="7"/>
  <c r="C597" i="7" s="1"/>
  <c r="B598" i="7"/>
  <c r="B599" i="7"/>
  <c r="B600" i="7"/>
  <c r="C600" i="7" s="1"/>
  <c r="B601" i="7"/>
  <c r="B602" i="7"/>
  <c r="C602" i="7" s="1"/>
  <c r="B603" i="7"/>
  <c r="B604" i="7"/>
  <c r="B605" i="7"/>
  <c r="B606" i="7"/>
  <c r="C606" i="7" s="1"/>
  <c r="B607" i="7"/>
  <c r="B608" i="7"/>
  <c r="C608" i="7" s="1"/>
  <c r="B609" i="7"/>
  <c r="C609" i="7" s="1"/>
  <c r="B610" i="7"/>
  <c r="C610" i="7" s="1"/>
  <c r="B611" i="7"/>
  <c r="B612" i="7"/>
  <c r="B613" i="7"/>
  <c r="C613" i="7" s="1"/>
  <c r="B614" i="7"/>
  <c r="C614" i="7" s="1"/>
  <c r="B615" i="7"/>
  <c r="B616" i="7"/>
  <c r="C616" i="7" s="1"/>
  <c r="B617" i="7"/>
  <c r="C617" i="7" s="1"/>
  <c r="B618" i="7"/>
  <c r="C618" i="7" s="1"/>
  <c r="B619" i="7"/>
  <c r="B620" i="7"/>
  <c r="B621" i="7"/>
  <c r="B622" i="7"/>
  <c r="C622" i="7" s="1"/>
  <c r="B623" i="7"/>
  <c r="B624" i="7"/>
  <c r="C624" i="7" s="1"/>
  <c r="B625" i="7"/>
  <c r="C625" i="7" s="1"/>
  <c r="B626" i="7"/>
  <c r="C626" i="7" s="1"/>
  <c r="B627" i="7"/>
  <c r="B628" i="7"/>
  <c r="B629" i="7"/>
  <c r="B630" i="7"/>
  <c r="B631" i="7"/>
  <c r="B632" i="7"/>
  <c r="C632" i="7" s="1"/>
  <c r="B633" i="7"/>
  <c r="C633" i="7" s="1"/>
  <c r="B634" i="7"/>
  <c r="C634" i="7" s="1"/>
  <c r="B635" i="7"/>
  <c r="B636" i="7"/>
  <c r="B637" i="7"/>
  <c r="C637" i="7" s="1"/>
  <c r="B638" i="7"/>
  <c r="C638" i="7" s="1"/>
  <c r="B639" i="7"/>
  <c r="B640" i="7"/>
  <c r="C640" i="7" s="1"/>
  <c r="B641" i="7"/>
  <c r="C641" i="7" s="1"/>
  <c r="B642" i="7"/>
  <c r="C642" i="7" s="1"/>
  <c r="B643" i="7"/>
  <c r="B644" i="7"/>
  <c r="B645" i="7"/>
  <c r="B646" i="7"/>
  <c r="C646" i="7" s="1"/>
  <c r="B647" i="7"/>
  <c r="B648" i="7"/>
  <c r="C648" i="7" s="1"/>
  <c r="B649" i="7"/>
  <c r="C649" i="7" s="1"/>
  <c r="B650" i="7"/>
  <c r="C650" i="7" s="1"/>
  <c r="B651" i="7"/>
  <c r="B652" i="7"/>
  <c r="B653" i="7"/>
  <c r="C653" i="7" s="1"/>
  <c r="B654" i="7"/>
  <c r="B655" i="7"/>
  <c r="B656" i="7"/>
  <c r="C656" i="7" s="1"/>
  <c r="B657" i="7"/>
  <c r="C657" i="7" s="1"/>
  <c r="B658" i="7"/>
  <c r="C658" i="7" s="1"/>
  <c r="B659" i="7"/>
  <c r="B660" i="7"/>
  <c r="B661" i="7"/>
  <c r="C661" i="7" s="1"/>
  <c r="B662" i="7"/>
  <c r="C662" i="7" s="1"/>
  <c r="B663" i="7"/>
  <c r="B664" i="7"/>
  <c r="C664" i="7" s="1"/>
  <c r="B665" i="7"/>
  <c r="C665" i="7" s="1"/>
  <c r="B666" i="7"/>
  <c r="C666" i="7" s="1"/>
  <c r="B667" i="7"/>
  <c r="B668" i="7"/>
  <c r="B669" i="7"/>
  <c r="C669" i="7" s="1"/>
  <c r="B670" i="7"/>
  <c r="C670" i="7" s="1"/>
  <c r="B671" i="7"/>
  <c r="B672" i="7"/>
  <c r="C672" i="7" s="1"/>
  <c r="B673" i="7"/>
  <c r="C673" i="7" s="1"/>
  <c r="B674" i="7"/>
  <c r="C674" i="7" s="1"/>
  <c r="B675" i="7"/>
  <c r="B676" i="7"/>
  <c r="B677" i="7"/>
  <c r="B678" i="7"/>
  <c r="B679" i="7"/>
  <c r="B680" i="7"/>
  <c r="C680" i="7" s="1"/>
  <c r="B681" i="7"/>
  <c r="C681" i="7" s="1"/>
  <c r="B682" i="7"/>
  <c r="C682" i="7" s="1"/>
  <c r="B683" i="7"/>
  <c r="B684" i="7"/>
  <c r="B685" i="7"/>
  <c r="B686" i="7"/>
  <c r="B687" i="7"/>
  <c r="B688" i="7"/>
  <c r="C688" i="7" s="1"/>
  <c r="B689" i="7"/>
  <c r="B690" i="7"/>
  <c r="B691" i="7"/>
  <c r="B692" i="7"/>
  <c r="B693" i="7"/>
  <c r="B694" i="7"/>
  <c r="B695" i="7"/>
  <c r="B696" i="7"/>
  <c r="C696" i="7" s="1"/>
  <c r="B697" i="7"/>
  <c r="C697" i="7" s="1"/>
  <c r="B698" i="7"/>
  <c r="C698" i="7" s="1"/>
  <c r="B699" i="7"/>
  <c r="B700" i="7"/>
  <c r="B701" i="7"/>
  <c r="C701" i="7" s="1"/>
  <c r="B702" i="7"/>
  <c r="C702" i="7" s="1"/>
  <c r="B703" i="7"/>
  <c r="B704" i="7"/>
  <c r="C704" i="7" s="1"/>
  <c r="B705" i="7"/>
  <c r="C705" i="7" s="1"/>
  <c r="B706" i="7"/>
  <c r="C706" i="7" s="1"/>
  <c r="B707" i="7"/>
  <c r="B708" i="7"/>
  <c r="B709" i="7"/>
  <c r="C709" i="7" s="1"/>
  <c r="B710" i="7"/>
  <c r="C710" i="7" s="1"/>
  <c r="B711" i="7"/>
  <c r="B712" i="7"/>
  <c r="C712" i="7" s="1"/>
  <c r="B713" i="7"/>
  <c r="C713" i="7" s="1"/>
  <c r="B714" i="7"/>
  <c r="C714" i="7" s="1"/>
  <c r="B715" i="7"/>
  <c r="B716" i="7"/>
  <c r="B717" i="7"/>
  <c r="B718" i="7"/>
  <c r="C718" i="7" s="1"/>
  <c r="B719" i="7"/>
  <c r="B720" i="7"/>
  <c r="C720" i="7" s="1"/>
  <c r="B721" i="7"/>
  <c r="B722" i="7"/>
  <c r="B723" i="7"/>
  <c r="B724" i="7"/>
  <c r="B725" i="7"/>
  <c r="B726" i="7"/>
  <c r="B727" i="7"/>
  <c r="B728" i="7"/>
  <c r="C728" i="7" s="1"/>
  <c r="B729" i="7"/>
  <c r="C729" i="7" s="1"/>
  <c r="B730" i="7"/>
  <c r="C730" i="7" s="1"/>
  <c r="B731" i="7"/>
  <c r="B732" i="7"/>
  <c r="B733" i="7"/>
  <c r="C733" i="7" s="1"/>
  <c r="B734" i="7"/>
  <c r="C734" i="7" s="1"/>
  <c r="B735" i="7"/>
  <c r="B736" i="7"/>
  <c r="C736" i="7" s="1"/>
  <c r="B737" i="7"/>
  <c r="C737" i="7" s="1"/>
  <c r="B738" i="7"/>
  <c r="C738" i="7" s="1"/>
  <c r="B739" i="7"/>
  <c r="B740" i="7"/>
  <c r="B741" i="7"/>
  <c r="B742" i="7"/>
  <c r="B743" i="7"/>
  <c r="B744" i="7"/>
  <c r="C744" i="7" s="1"/>
  <c r="B745" i="7"/>
  <c r="C745" i="7" s="1"/>
  <c r="B746" i="7"/>
  <c r="C746" i="7" s="1"/>
  <c r="B747" i="7"/>
  <c r="B748" i="7"/>
  <c r="B749" i="7"/>
  <c r="B750" i="7"/>
  <c r="B751" i="7"/>
  <c r="B752" i="7"/>
  <c r="C752" i="7" s="1"/>
  <c r="B753" i="7"/>
  <c r="B754" i="7"/>
  <c r="B755" i="7"/>
  <c r="B756" i="7"/>
  <c r="B757" i="7"/>
  <c r="B758" i="7"/>
  <c r="B759" i="7"/>
  <c r="B760" i="7"/>
  <c r="C760" i="7" s="1"/>
  <c r="B761" i="7"/>
  <c r="C761" i="7" s="1"/>
  <c r="B762" i="7"/>
  <c r="C762" i="7" s="1"/>
  <c r="B763" i="7"/>
  <c r="B764" i="7"/>
  <c r="B765" i="7"/>
  <c r="C765" i="7" s="1"/>
  <c r="B766" i="7"/>
  <c r="C766" i="7" s="1"/>
  <c r="B767" i="7"/>
  <c r="B768" i="7"/>
  <c r="C768" i="7" s="1"/>
  <c r="B769" i="7"/>
  <c r="C769" i="7" s="1"/>
  <c r="B770" i="7"/>
  <c r="C770" i="7" s="1"/>
  <c r="B771" i="7"/>
  <c r="B772" i="7"/>
  <c r="B773" i="7"/>
  <c r="C773" i="7" s="1"/>
  <c r="B774" i="7"/>
  <c r="C774" i="7" s="1"/>
  <c r="B775" i="7"/>
  <c r="B776" i="7"/>
  <c r="C776" i="7" s="1"/>
  <c r="B777" i="7"/>
  <c r="C777" i="7" s="1"/>
  <c r="B778" i="7"/>
  <c r="C778" i="7" s="1"/>
  <c r="B779" i="7"/>
  <c r="B780" i="7"/>
  <c r="B781" i="7"/>
  <c r="B782" i="7"/>
  <c r="C782" i="7" s="1"/>
  <c r="B783" i="7"/>
  <c r="B784" i="7"/>
  <c r="C784" i="7" s="1"/>
  <c r="B785" i="7"/>
  <c r="B786" i="7"/>
  <c r="B787" i="7"/>
  <c r="B788" i="7"/>
  <c r="B789" i="7"/>
  <c r="B790" i="7"/>
  <c r="B791" i="7"/>
  <c r="B792" i="7"/>
  <c r="C792" i="7" s="1"/>
  <c r="B793" i="7"/>
  <c r="C793" i="7" s="1"/>
  <c r="B794" i="7"/>
  <c r="C794" i="7" s="1"/>
  <c r="B795" i="7"/>
  <c r="B796" i="7"/>
  <c r="B797" i="7"/>
  <c r="C797" i="7" s="1"/>
  <c r="B798" i="7"/>
  <c r="C798" i="7" s="1"/>
  <c r="B799" i="7"/>
  <c r="B800" i="7"/>
  <c r="C800" i="7" s="1"/>
  <c r="B801" i="7"/>
  <c r="C801" i="7" s="1"/>
  <c r="B802" i="7"/>
  <c r="C802" i="7" s="1"/>
  <c r="B803" i="7"/>
  <c r="B804" i="7"/>
  <c r="B805" i="7"/>
  <c r="B806" i="7"/>
  <c r="B807" i="7"/>
  <c r="B808" i="7"/>
  <c r="C808" i="7" s="1"/>
  <c r="B809" i="7"/>
  <c r="C809" i="7" s="1"/>
  <c r="B810" i="7"/>
  <c r="C810" i="7" s="1"/>
  <c r="B811" i="7"/>
  <c r="B812" i="7"/>
  <c r="B813" i="7"/>
  <c r="B814" i="7"/>
  <c r="B815" i="7"/>
  <c r="B816" i="7"/>
  <c r="C816" i="7" s="1"/>
  <c r="B817" i="7"/>
  <c r="B818" i="7"/>
  <c r="B819" i="7"/>
  <c r="B820" i="7"/>
  <c r="B821" i="7"/>
  <c r="B822" i="7"/>
  <c r="B823" i="7"/>
  <c r="B824" i="7"/>
  <c r="C824" i="7" s="1"/>
  <c r="B825" i="7"/>
  <c r="C825" i="7" s="1"/>
  <c r="B826" i="7"/>
  <c r="C826" i="7" s="1"/>
  <c r="B827" i="7"/>
  <c r="B828" i="7"/>
  <c r="B829" i="7"/>
  <c r="C829" i="7" s="1"/>
  <c r="B830" i="7"/>
  <c r="C830" i="7" s="1"/>
  <c r="B831" i="7"/>
  <c r="B832" i="7"/>
  <c r="C832" i="7" s="1"/>
  <c r="B833" i="7"/>
  <c r="C833" i="7" s="1"/>
  <c r="B834" i="7"/>
  <c r="C834" i="7" s="1"/>
  <c r="B835" i="7"/>
  <c r="B836" i="7"/>
  <c r="B837" i="7"/>
  <c r="C837" i="7" s="1"/>
  <c r="B838" i="7"/>
  <c r="C838" i="7" s="1"/>
  <c r="B839" i="7"/>
  <c r="B840" i="7"/>
  <c r="C840" i="7" s="1"/>
  <c r="B841" i="7"/>
  <c r="C841" i="7" s="1"/>
  <c r="B842" i="7"/>
  <c r="C842" i="7" s="1"/>
  <c r="B843" i="7"/>
  <c r="B844" i="7"/>
  <c r="B845" i="7"/>
  <c r="B846" i="7"/>
  <c r="C846" i="7" s="1"/>
  <c r="B847" i="7"/>
  <c r="B848" i="7"/>
  <c r="C848" i="7" s="1"/>
  <c r="B849" i="7"/>
  <c r="B850" i="7"/>
  <c r="B851" i="7"/>
  <c r="B852" i="7"/>
  <c r="B853" i="7"/>
  <c r="B854" i="7"/>
  <c r="B855" i="7"/>
  <c r="B856" i="7"/>
  <c r="C856" i="7" s="1"/>
  <c r="B857" i="7"/>
  <c r="C857" i="7" s="1"/>
  <c r="B858" i="7"/>
  <c r="C858" i="7" s="1"/>
  <c r="B859" i="7"/>
  <c r="B860" i="7"/>
  <c r="B861" i="7"/>
  <c r="C861" i="7" s="1"/>
  <c r="B862" i="7"/>
  <c r="C862" i="7" s="1"/>
  <c r="B863" i="7"/>
  <c r="B864" i="7"/>
  <c r="C864" i="7" s="1"/>
  <c r="B865" i="7"/>
  <c r="C865" i="7" s="1"/>
  <c r="B866" i="7"/>
  <c r="C866" i="7" s="1"/>
  <c r="B867" i="7"/>
  <c r="B868" i="7"/>
  <c r="B869" i="7"/>
  <c r="B870" i="7"/>
  <c r="B871" i="7"/>
  <c r="B872" i="7"/>
  <c r="C872" i="7" s="1"/>
  <c r="B873" i="7"/>
  <c r="C873" i="7" s="1"/>
  <c r="B874" i="7"/>
  <c r="C874" i="7" s="1"/>
  <c r="B875" i="7"/>
  <c r="B876" i="7"/>
  <c r="B877" i="7"/>
  <c r="B878" i="7"/>
  <c r="B879" i="7"/>
  <c r="B880" i="7"/>
  <c r="C880" i="7" s="1"/>
  <c r="B881" i="7"/>
  <c r="B882" i="7"/>
  <c r="B883" i="7"/>
  <c r="B884" i="7"/>
  <c r="B885" i="7"/>
  <c r="B886" i="7"/>
  <c r="B887" i="7"/>
  <c r="B888" i="7"/>
  <c r="C888" i="7" s="1"/>
  <c r="B889" i="7"/>
  <c r="C889" i="7" s="1"/>
  <c r="B890" i="7"/>
  <c r="C890" i="7" s="1"/>
  <c r="B891" i="7"/>
  <c r="B892" i="7"/>
  <c r="B893" i="7"/>
  <c r="C893" i="7" s="1"/>
  <c r="B894" i="7"/>
  <c r="C894" i="7" s="1"/>
  <c r="B895" i="7"/>
  <c r="B896" i="7"/>
  <c r="C896" i="7" s="1"/>
  <c r="B897" i="7"/>
  <c r="C897" i="7" s="1"/>
  <c r="B898" i="7"/>
  <c r="C898" i="7" s="1"/>
  <c r="B899" i="7"/>
  <c r="B900" i="7"/>
  <c r="B901" i="7"/>
  <c r="C901" i="7" s="1"/>
  <c r="B902" i="7"/>
  <c r="C902" i="7" s="1"/>
  <c r="B903" i="7"/>
  <c r="B904" i="7"/>
  <c r="C904" i="7" s="1"/>
  <c r="B905" i="7"/>
  <c r="C905" i="7" s="1"/>
  <c r="B906" i="7"/>
  <c r="C906" i="7" s="1"/>
  <c r="B907" i="7"/>
  <c r="B908" i="7"/>
  <c r="B909" i="7"/>
  <c r="B910" i="7"/>
  <c r="C910" i="7" s="1"/>
  <c r="B911" i="7"/>
  <c r="B912" i="7"/>
  <c r="C912" i="7" s="1"/>
  <c r="B913" i="7"/>
  <c r="B914" i="7"/>
  <c r="B915" i="7"/>
  <c r="B916" i="7"/>
  <c r="B917" i="7"/>
  <c r="B918" i="7"/>
  <c r="B919" i="7"/>
  <c r="B920" i="7"/>
  <c r="C920" i="7" s="1"/>
  <c r="B921" i="7"/>
  <c r="C921" i="7" s="1"/>
  <c r="B922" i="7"/>
  <c r="C922" i="7" s="1"/>
  <c r="B923" i="7"/>
  <c r="B924" i="7"/>
  <c r="B925" i="7"/>
  <c r="C925" i="7" s="1"/>
  <c r="B926" i="7"/>
  <c r="C926" i="7" s="1"/>
  <c r="B927" i="7"/>
  <c r="B928" i="7"/>
  <c r="C928" i="7" s="1"/>
  <c r="B929" i="7"/>
  <c r="C929" i="7" s="1"/>
  <c r="B930" i="7"/>
  <c r="C930" i="7" s="1"/>
  <c r="B931" i="7"/>
  <c r="B932" i="7"/>
  <c r="B933" i="7"/>
  <c r="B934" i="7"/>
  <c r="B935" i="7"/>
  <c r="B936" i="7"/>
  <c r="C936" i="7" s="1"/>
  <c r="B937" i="7"/>
  <c r="C937" i="7" s="1"/>
  <c r="B938" i="7"/>
  <c r="C938" i="7" s="1"/>
  <c r="B939" i="7"/>
  <c r="B940" i="7"/>
  <c r="B941" i="7"/>
  <c r="B942" i="7"/>
  <c r="B943" i="7"/>
  <c r="B944" i="7"/>
  <c r="C944" i="7" s="1"/>
  <c r="B945" i="7"/>
  <c r="B946" i="7"/>
  <c r="B947" i="7"/>
  <c r="B948" i="7"/>
  <c r="B949" i="7"/>
  <c r="B950" i="7"/>
  <c r="B951" i="7"/>
  <c r="B952" i="7"/>
  <c r="C952" i="7" s="1"/>
  <c r="B953" i="7"/>
  <c r="C953" i="7" s="1"/>
  <c r="B954" i="7"/>
  <c r="C954" i="7" s="1"/>
  <c r="B955" i="7"/>
  <c r="B956" i="7"/>
  <c r="B957" i="7"/>
  <c r="C957" i="7" s="1"/>
  <c r="B958" i="7"/>
  <c r="C958" i="7" s="1"/>
  <c r="B959" i="7"/>
  <c r="B960" i="7"/>
  <c r="C960" i="7" s="1"/>
  <c r="B961" i="7"/>
  <c r="C961" i="7" s="1"/>
  <c r="B962" i="7"/>
  <c r="C962" i="7" s="1"/>
  <c r="B963" i="7"/>
  <c r="B964" i="7"/>
  <c r="B965" i="7"/>
  <c r="C965" i="7" s="1"/>
  <c r="B966" i="7"/>
  <c r="C966" i="7" s="1"/>
  <c r="B967" i="7"/>
  <c r="B968" i="7"/>
  <c r="C968" i="7" s="1"/>
  <c r="B969" i="7"/>
  <c r="C969" i="7" s="1"/>
  <c r="B970" i="7"/>
  <c r="C970" i="7" s="1"/>
  <c r="B971" i="7"/>
  <c r="B972" i="7"/>
  <c r="B973" i="7"/>
  <c r="B974" i="7"/>
  <c r="C974" i="7" s="1"/>
  <c r="B975" i="7"/>
  <c r="B976" i="7"/>
  <c r="C976" i="7" s="1"/>
  <c r="B977" i="7"/>
  <c r="B978" i="7"/>
  <c r="B979" i="7"/>
  <c r="B980" i="7"/>
  <c r="B981" i="7"/>
  <c r="B982" i="7"/>
  <c r="B983" i="7"/>
  <c r="B984" i="7"/>
  <c r="C984" i="7" s="1"/>
  <c r="B985" i="7"/>
  <c r="C985" i="7" s="1"/>
  <c r="B986" i="7"/>
  <c r="C986" i="7" s="1"/>
  <c r="B987" i="7"/>
  <c r="B988" i="7"/>
  <c r="B989" i="7"/>
  <c r="C989" i="7" s="1"/>
  <c r="B990" i="7"/>
  <c r="C990" i="7" s="1"/>
  <c r="B991" i="7"/>
  <c r="B992" i="7"/>
  <c r="C992" i="7" s="1"/>
  <c r="B993" i="7"/>
  <c r="C993" i="7" s="1"/>
  <c r="B994" i="7"/>
  <c r="C994" i="7" s="1"/>
  <c r="B995" i="7"/>
  <c r="B996" i="7"/>
  <c r="B997" i="7"/>
  <c r="B998" i="7"/>
  <c r="B999" i="7"/>
  <c r="B1000" i="7"/>
  <c r="C1000" i="7" s="1"/>
  <c r="B1001" i="7"/>
  <c r="C1001" i="7" s="1"/>
  <c r="B1002" i="7"/>
  <c r="C1002" i="7" s="1"/>
  <c r="B1003" i="7"/>
  <c r="B1004" i="7"/>
  <c r="B1005" i="7"/>
  <c r="B1006" i="7"/>
  <c r="B1007" i="7"/>
  <c r="B1008" i="7"/>
  <c r="C1008" i="7" s="1"/>
  <c r="B1009" i="7"/>
  <c r="B1010" i="7"/>
  <c r="C1010" i="7" s="1"/>
  <c r="B1011" i="7"/>
  <c r="B1012" i="7"/>
  <c r="B1013" i="7"/>
  <c r="B1014" i="7"/>
  <c r="B1015" i="7"/>
  <c r="B1016" i="7"/>
  <c r="C1016" i="7" s="1"/>
  <c r="B1017" i="7"/>
  <c r="B1018" i="7"/>
  <c r="B1019" i="7"/>
  <c r="B1020" i="7"/>
  <c r="B1021" i="7"/>
  <c r="B1022" i="7"/>
  <c r="B1023" i="7"/>
  <c r="B1024" i="7"/>
  <c r="C1024" i="7" s="1"/>
  <c r="B1025" i="7"/>
  <c r="C1025" i="7" s="1"/>
  <c r="B1026" i="7"/>
  <c r="C1026" i="7" s="1"/>
  <c r="B1027" i="7"/>
  <c r="B1028" i="7"/>
  <c r="B1029" i="7"/>
  <c r="C1029" i="7" s="1"/>
  <c r="B1030" i="7"/>
  <c r="C1030" i="7" s="1"/>
  <c r="B1031" i="7"/>
  <c r="B1032" i="7"/>
  <c r="C1032" i="7" s="1"/>
  <c r="B1033" i="7"/>
  <c r="C1033" i="7" s="1"/>
  <c r="B1034" i="7"/>
  <c r="C1034" i="7" s="1"/>
  <c r="B1035" i="7"/>
  <c r="B1036" i="7"/>
  <c r="B1037" i="7"/>
  <c r="C1037" i="7" s="1"/>
  <c r="B1038" i="7"/>
  <c r="C1038" i="7" s="1"/>
  <c r="B1039" i="7"/>
  <c r="B1040" i="7"/>
  <c r="C1040" i="7" s="1"/>
  <c r="B1041" i="7"/>
  <c r="C1041" i="7" s="1"/>
  <c r="B1042" i="7"/>
  <c r="C1042" i="7" s="1"/>
  <c r="B1043" i="7"/>
  <c r="B1044" i="7"/>
  <c r="B1045" i="7"/>
  <c r="C1045" i="7" s="1"/>
  <c r="B1046" i="7"/>
  <c r="B1047" i="7"/>
  <c r="B1048" i="7"/>
  <c r="C1048" i="7" s="1"/>
  <c r="B1049" i="7"/>
  <c r="C1049" i="7" s="1"/>
  <c r="B1050" i="7"/>
  <c r="C1050" i="7" s="1"/>
  <c r="B1051" i="7"/>
  <c r="B1052" i="7"/>
  <c r="B1053" i="7"/>
  <c r="C1053" i="7" s="1"/>
  <c r="B1054" i="7"/>
  <c r="B1055" i="7"/>
  <c r="B1056" i="7"/>
  <c r="C1056" i="7" s="1"/>
  <c r="B1057" i="7"/>
  <c r="C1057" i="7" s="1"/>
  <c r="B1058" i="7"/>
  <c r="C1058" i="7" s="1"/>
  <c r="B1059" i="7"/>
  <c r="B1060" i="7"/>
  <c r="B1061" i="7"/>
  <c r="C1061" i="7" s="1"/>
  <c r="B1062" i="7"/>
  <c r="B1063" i="7"/>
  <c r="B1064" i="7"/>
  <c r="B1065" i="7"/>
  <c r="C1065" i="7" s="1"/>
  <c r="B1066" i="7"/>
  <c r="C1066" i="7" s="1"/>
  <c r="B1067" i="7"/>
  <c r="B1068" i="7"/>
  <c r="B1069" i="7"/>
  <c r="C1069" i="7" s="1"/>
  <c r="B1070" i="7"/>
  <c r="B1071" i="7"/>
  <c r="B1072" i="7"/>
  <c r="B1073" i="7"/>
  <c r="B1074" i="7"/>
  <c r="C1074" i="7" s="1"/>
  <c r="B1075" i="7"/>
  <c r="B1076" i="7"/>
  <c r="B1077" i="7"/>
  <c r="C1077" i="7" s="1"/>
  <c r="B1078" i="7"/>
  <c r="B1079" i="7"/>
  <c r="B1080" i="7"/>
  <c r="B1081" i="7"/>
  <c r="B1082" i="7"/>
  <c r="B1083" i="7"/>
  <c r="B1084" i="7"/>
  <c r="B1085" i="7"/>
  <c r="C1085" i="7" s="1"/>
  <c r="B1086" i="7"/>
  <c r="B1087" i="7"/>
  <c r="B1088" i="7"/>
  <c r="C1088" i="7" s="1"/>
  <c r="B1089" i="7"/>
  <c r="C1089" i="7" s="1"/>
  <c r="B1090" i="7"/>
  <c r="C1090" i="7" s="1"/>
  <c r="B1091" i="7"/>
  <c r="B1092" i="7"/>
  <c r="B1093" i="7"/>
  <c r="C1093" i="7" s="1"/>
  <c r="B1094" i="7"/>
  <c r="C1094" i="7" s="1"/>
  <c r="B1095" i="7"/>
  <c r="B1096" i="7"/>
  <c r="C1096" i="7" s="1"/>
  <c r="B1097" i="7"/>
  <c r="C1097" i="7" s="1"/>
  <c r="B1098" i="7"/>
  <c r="C1098" i="7" s="1"/>
  <c r="B1099" i="7"/>
  <c r="B1100" i="7"/>
  <c r="B1101" i="7"/>
  <c r="C1101" i="7" s="1"/>
  <c r="B1102" i="7"/>
  <c r="C1102" i="7" s="1"/>
  <c r="B1103" i="7"/>
  <c r="B1104" i="7"/>
  <c r="C1104" i="7" s="1"/>
  <c r="B1105" i="7"/>
  <c r="C1105" i="7" s="1"/>
  <c r="B1106" i="7"/>
  <c r="C1106" i="7" s="1"/>
  <c r="B1107" i="7"/>
  <c r="B1108" i="7"/>
  <c r="B1109" i="7"/>
  <c r="C1109" i="7" s="1"/>
  <c r="B1110" i="7"/>
  <c r="B1111" i="7"/>
  <c r="B1112" i="7"/>
  <c r="C1112" i="7" s="1"/>
  <c r="B1113" i="7"/>
  <c r="C1113" i="7" s="1"/>
  <c r="B1114" i="7"/>
  <c r="C1114" i="7" s="1"/>
  <c r="B1115" i="7"/>
  <c r="B1116" i="7"/>
  <c r="B1117" i="7"/>
  <c r="C1117" i="7" s="1"/>
  <c r="B1118" i="7"/>
  <c r="B1119" i="7"/>
  <c r="B1120" i="7"/>
  <c r="C1120" i="7" s="1"/>
  <c r="B1121" i="7"/>
  <c r="C1121" i="7" s="1"/>
  <c r="B1122" i="7"/>
  <c r="C1122" i="7" s="1"/>
  <c r="B1123" i="7"/>
  <c r="B1124" i="7"/>
  <c r="B1125" i="7"/>
  <c r="C1125" i="7" s="1"/>
  <c r="B1126" i="7"/>
  <c r="B1127" i="7"/>
  <c r="B1128" i="7"/>
  <c r="B1129" i="7"/>
  <c r="C1129" i="7" s="1"/>
  <c r="B1130" i="7"/>
  <c r="C1130" i="7" s="1"/>
  <c r="B1131" i="7"/>
  <c r="B1132" i="7"/>
  <c r="B1133" i="7"/>
  <c r="C1133" i="7" s="1"/>
  <c r="B1134" i="7"/>
  <c r="B1135" i="7"/>
  <c r="B1136" i="7"/>
  <c r="B1137" i="7"/>
  <c r="B1138" i="7"/>
  <c r="C1138" i="7" s="1"/>
  <c r="B1139" i="7"/>
  <c r="B1140" i="7"/>
  <c r="B1141" i="7"/>
  <c r="C1141" i="7" s="1"/>
  <c r="B1142" i="7"/>
  <c r="B1143" i="7"/>
  <c r="B1144" i="7"/>
  <c r="B1145" i="7"/>
  <c r="B1146" i="7"/>
  <c r="B1147" i="7"/>
  <c r="B1148" i="7"/>
  <c r="B1149" i="7"/>
  <c r="C1149" i="7" s="1"/>
  <c r="B1150" i="7"/>
  <c r="B1151" i="7"/>
  <c r="B1152" i="7"/>
  <c r="C1152" i="7" s="1"/>
  <c r="B1153" i="7"/>
  <c r="C1153" i="7" s="1"/>
  <c r="B1154" i="7"/>
  <c r="C1154" i="7" s="1"/>
  <c r="B1155" i="7"/>
  <c r="B1156" i="7"/>
  <c r="B1157" i="7"/>
  <c r="C1157" i="7" s="1"/>
  <c r="B1158" i="7"/>
  <c r="C1158" i="7" s="1"/>
  <c r="B1159" i="7"/>
  <c r="B1160" i="7"/>
  <c r="C1160" i="7" s="1"/>
  <c r="B1161" i="7"/>
  <c r="C1161" i="7" s="1"/>
  <c r="B1162" i="7"/>
  <c r="C1162" i="7" s="1"/>
  <c r="B1163" i="7"/>
  <c r="B1164" i="7"/>
  <c r="B1165" i="7"/>
  <c r="C1165" i="7" s="1"/>
  <c r="B1166" i="7"/>
  <c r="C1166" i="7" s="1"/>
  <c r="B1167" i="7"/>
  <c r="B1168" i="7"/>
  <c r="C1168" i="7" s="1"/>
  <c r="B1169" i="7"/>
  <c r="C1169" i="7" s="1"/>
  <c r="B1170" i="7"/>
  <c r="C1170" i="7" s="1"/>
  <c r="B1171" i="7"/>
  <c r="B1172" i="7"/>
  <c r="B1173" i="7"/>
  <c r="C1173" i="7" s="1"/>
  <c r="B1174" i="7"/>
  <c r="B1175" i="7"/>
  <c r="B1176" i="7"/>
  <c r="C1176" i="7" s="1"/>
  <c r="B1177" i="7"/>
  <c r="C1177" i="7" s="1"/>
  <c r="B1178" i="7"/>
  <c r="C1178" i="7" s="1"/>
  <c r="B1179" i="7"/>
  <c r="B1180" i="7"/>
  <c r="B1181" i="7"/>
  <c r="C1181" i="7" s="1"/>
  <c r="B1182" i="7"/>
  <c r="B1183" i="7"/>
  <c r="B1184" i="7"/>
  <c r="C1184" i="7" s="1"/>
  <c r="B1185" i="7"/>
  <c r="C1185" i="7" s="1"/>
  <c r="B1186" i="7"/>
  <c r="C1186" i="7" s="1"/>
  <c r="B1187" i="7"/>
  <c r="B1188" i="7"/>
  <c r="B1189" i="7"/>
  <c r="C1189" i="7" s="1"/>
  <c r="B1190" i="7"/>
  <c r="B1191" i="7"/>
  <c r="B1192" i="7"/>
  <c r="B1193" i="7"/>
  <c r="C1193" i="7" s="1"/>
  <c r="B1194" i="7"/>
  <c r="C1194" i="7" s="1"/>
  <c r="B1195" i="7"/>
  <c r="B1196" i="7"/>
  <c r="B1197" i="7"/>
  <c r="C1197" i="7" s="1"/>
  <c r="B1198" i="7"/>
  <c r="B1199" i="7"/>
  <c r="B1200" i="7"/>
  <c r="B1201" i="7"/>
  <c r="B1202" i="7"/>
  <c r="C1202" i="7" s="1"/>
  <c r="B1203" i="7"/>
  <c r="B1204" i="7"/>
  <c r="B1205" i="7"/>
  <c r="C1205" i="7" s="1"/>
  <c r="B1206" i="7"/>
  <c r="B1207" i="7"/>
  <c r="B1208" i="7"/>
  <c r="B1209" i="7"/>
  <c r="B1210" i="7"/>
  <c r="B1211" i="7"/>
  <c r="B1212" i="7"/>
  <c r="B1213" i="7"/>
  <c r="C1213" i="7" s="1"/>
  <c r="B1214" i="7"/>
  <c r="B1215" i="7"/>
  <c r="B1216" i="7"/>
  <c r="C1216" i="7" s="1"/>
  <c r="B1217" i="7"/>
  <c r="C1217" i="7" s="1"/>
  <c r="B1218" i="7"/>
  <c r="C1218" i="7" s="1"/>
  <c r="B1219" i="7"/>
  <c r="B1220" i="7"/>
  <c r="B1221" i="7"/>
  <c r="C1221" i="7" s="1"/>
  <c r="B1222" i="7"/>
  <c r="C1222" i="7" s="1"/>
  <c r="B1223" i="7"/>
  <c r="B1224" i="7"/>
  <c r="C1224" i="7" s="1"/>
  <c r="B1225" i="7"/>
  <c r="C1225" i="7" s="1"/>
  <c r="B1226" i="7"/>
  <c r="C1226" i="7" s="1"/>
  <c r="B1227" i="7"/>
  <c r="B1228" i="7"/>
  <c r="B1229" i="7"/>
  <c r="C1229" i="7" s="1"/>
  <c r="B1230" i="7"/>
  <c r="C1230" i="7" s="1"/>
  <c r="B1231" i="7"/>
  <c r="B1232" i="7"/>
  <c r="C1232" i="7" s="1"/>
  <c r="B1233" i="7"/>
  <c r="C1233" i="7" s="1"/>
  <c r="B1234" i="7"/>
  <c r="C1234" i="7" s="1"/>
  <c r="B1235" i="7"/>
  <c r="B1236" i="7"/>
  <c r="B1237" i="7"/>
  <c r="C1237" i="7" s="1"/>
  <c r="B1238" i="7"/>
  <c r="B1239" i="7"/>
  <c r="B1240" i="7"/>
  <c r="C1240" i="7" s="1"/>
  <c r="B1241" i="7"/>
  <c r="C1241" i="7" s="1"/>
  <c r="B1242" i="7"/>
  <c r="C1242" i="7" s="1"/>
  <c r="B1243" i="7"/>
  <c r="B1244" i="7"/>
  <c r="B1245" i="7"/>
  <c r="C1245" i="7" s="1"/>
  <c r="B1246" i="7"/>
  <c r="B1247" i="7"/>
  <c r="B1248" i="7"/>
  <c r="C1248" i="7" s="1"/>
  <c r="B1249" i="7"/>
  <c r="C1249" i="7" s="1"/>
  <c r="B1250" i="7"/>
  <c r="C1250" i="7" s="1"/>
  <c r="B1251" i="7"/>
  <c r="B1252" i="7"/>
  <c r="B1253" i="7"/>
  <c r="C1253" i="7" s="1"/>
  <c r="B1254" i="7"/>
  <c r="B1255" i="7"/>
  <c r="B1256" i="7"/>
  <c r="B1257" i="7"/>
  <c r="C1257" i="7" s="1"/>
  <c r="B1258" i="7"/>
  <c r="C1258" i="7" s="1"/>
  <c r="B1259" i="7"/>
  <c r="B1260" i="7"/>
  <c r="B1261" i="7"/>
  <c r="C1261" i="7" s="1"/>
  <c r="B1262" i="7"/>
  <c r="B1263" i="7"/>
  <c r="B1264" i="7"/>
  <c r="B1265" i="7"/>
  <c r="B1266" i="7"/>
  <c r="C1266" i="7" s="1"/>
  <c r="B1267" i="7"/>
  <c r="B1268" i="7"/>
  <c r="B1269" i="7"/>
  <c r="C1269" i="7" s="1"/>
  <c r="B1270" i="7"/>
  <c r="B1271" i="7"/>
  <c r="B1272" i="7"/>
  <c r="B1273" i="7"/>
  <c r="B1274" i="7"/>
  <c r="B1275" i="7"/>
  <c r="B1276" i="7"/>
  <c r="B1277" i="7"/>
  <c r="C1277" i="7" s="1"/>
  <c r="B1278" i="7"/>
  <c r="B1279" i="7"/>
  <c r="B1280" i="7"/>
  <c r="C1280" i="7" s="1"/>
  <c r="B1281" i="7"/>
  <c r="C1281" i="7" s="1"/>
  <c r="B1282" i="7"/>
  <c r="C1282" i="7" s="1"/>
  <c r="B1283" i="7"/>
  <c r="B1284" i="7"/>
  <c r="B1285" i="7"/>
  <c r="C1285" i="7" s="1"/>
  <c r="B1286" i="7"/>
  <c r="B1287" i="7"/>
  <c r="B1288" i="7"/>
  <c r="C1288" i="7" s="1"/>
  <c r="B1289" i="7"/>
  <c r="C1289" i="7" s="1"/>
  <c r="B1290" i="7"/>
  <c r="C1290" i="7" s="1"/>
  <c r="B1291" i="7"/>
  <c r="B1292" i="7"/>
  <c r="B1293" i="7"/>
  <c r="C1293" i="7" s="1"/>
  <c r="B1294" i="7"/>
  <c r="B1295" i="7"/>
  <c r="B1296" i="7"/>
  <c r="C1296" i="7" s="1"/>
  <c r="B1297" i="7"/>
  <c r="C1297" i="7" s="1"/>
  <c r="B1298" i="7"/>
  <c r="C1298" i="7" s="1"/>
  <c r="B1299" i="7"/>
  <c r="B1300" i="7"/>
  <c r="B1301" i="7"/>
  <c r="C1301" i="7" s="1"/>
  <c r="B1302" i="7"/>
  <c r="B1303" i="7"/>
  <c r="B1304" i="7"/>
  <c r="C1304" i="7" s="1"/>
  <c r="B1305" i="7"/>
  <c r="C1305" i="7" s="1"/>
  <c r="B1306" i="7"/>
  <c r="C1306" i="7" s="1"/>
  <c r="B1307" i="7"/>
  <c r="B1308" i="7"/>
  <c r="B1309" i="7"/>
  <c r="C1309" i="7" s="1"/>
  <c r="B1310" i="7"/>
  <c r="B1311" i="7"/>
  <c r="B1312" i="7"/>
  <c r="C1312" i="7" s="1"/>
  <c r="B1313" i="7"/>
  <c r="C1313" i="7" s="1"/>
  <c r="B1314" i="7"/>
  <c r="C1314" i="7" s="1"/>
  <c r="B1315" i="7"/>
  <c r="B1316" i="7"/>
  <c r="B1317" i="7"/>
  <c r="C1317" i="7" s="1"/>
  <c r="B1318" i="7"/>
  <c r="B1319" i="7"/>
  <c r="B1320" i="7"/>
  <c r="C1320" i="7" s="1"/>
  <c r="B1321" i="7"/>
  <c r="C1321" i="7" s="1"/>
  <c r="B1322" i="7"/>
  <c r="C1322" i="7" s="1"/>
  <c r="B1323" i="7"/>
  <c r="B1324" i="7"/>
  <c r="B1325" i="7"/>
  <c r="C1325" i="7" s="1"/>
  <c r="B1326" i="7"/>
  <c r="B1327" i="7"/>
  <c r="B1328" i="7"/>
  <c r="C1328" i="7" s="1"/>
  <c r="B1329" i="7"/>
  <c r="C1329" i="7" s="1"/>
  <c r="B1330" i="7"/>
  <c r="C1330" i="7" s="1"/>
  <c r="B1331" i="7"/>
  <c r="B1332" i="7"/>
  <c r="B1333" i="7"/>
  <c r="C1333" i="7" s="1"/>
  <c r="B1334" i="7"/>
  <c r="B1335" i="7"/>
  <c r="B1336" i="7"/>
  <c r="C1336" i="7" s="1"/>
  <c r="B1337" i="7"/>
  <c r="C1337" i="7" s="1"/>
  <c r="B1338" i="7"/>
  <c r="C1338" i="7" s="1"/>
  <c r="B1339" i="7"/>
  <c r="B1340" i="7"/>
  <c r="B1341" i="7"/>
  <c r="C1341" i="7" s="1"/>
  <c r="B1342" i="7"/>
  <c r="B1343" i="7"/>
  <c r="B1344" i="7"/>
  <c r="C1344" i="7" s="1"/>
  <c r="B1345" i="7"/>
  <c r="C1345" i="7" s="1"/>
  <c r="B1346" i="7"/>
  <c r="C1346" i="7" s="1"/>
  <c r="B1347" i="7"/>
  <c r="B1348" i="7"/>
  <c r="B1349" i="7"/>
  <c r="C1349" i="7" s="1"/>
  <c r="B1350" i="7"/>
  <c r="B1351" i="7"/>
  <c r="B1352" i="7"/>
  <c r="C1352" i="7" s="1"/>
  <c r="B1353" i="7"/>
  <c r="C1353" i="7" s="1"/>
  <c r="B1354" i="7"/>
  <c r="C1354" i="7" s="1"/>
  <c r="B1355" i="7"/>
  <c r="B1356" i="7"/>
  <c r="B1357" i="7"/>
  <c r="C1357" i="7" s="1"/>
  <c r="B1358" i="7"/>
  <c r="B1359" i="7"/>
  <c r="B1360" i="7"/>
  <c r="C1360" i="7" s="1"/>
  <c r="B1361" i="7"/>
  <c r="C1361" i="7" s="1"/>
  <c r="B1362" i="7"/>
  <c r="C1362" i="7" s="1"/>
  <c r="B1363" i="7"/>
  <c r="B1364" i="7"/>
  <c r="B1365" i="7"/>
  <c r="C1365" i="7" s="1"/>
  <c r="B1366" i="7"/>
  <c r="B1367" i="7"/>
  <c r="B1368" i="7"/>
  <c r="C1368" i="7" s="1"/>
  <c r="B1369" i="7"/>
  <c r="C1369" i="7" s="1"/>
  <c r="B1370" i="7"/>
  <c r="C1370" i="7" s="1"/>
  <c r="B1371" i="7"/>
  <c r="B1372" i="7"/>
  <c r="B1373" i="7"/>
  <c r="C1373" i="7" s="1"/>
  <c r="B1374" i="7"/>
  <c r="B1375" i="7"/>
  <c r="B1376" i="7"/>
  <c r="C1376" i="7" s="1"/>
  <c r="B1377" i="7"/>
  <c r="C1377" i="7" s="1"/>
  <c r="B1378" i="7"/>
  <c r="C1378" i="7" s="1"/>
  <c r="B1379" i="7"/>
  <c r="B1380" i="7"/>
  <c r="B1381" i="7"/>
  <c r="C1381" i="7" s="1"/>
  <c r="B1382" i="7"/>
  <c r="B1383" i="7"/>
  <c r="B1384" i="7"/>
  <c r="C1384" i="7" s="1"/>
  <c r="B1385" i="7"/>
  <c r="C1385" i="7" s="1"/>
  <c r="B1386" i="7"/>
  <c r="C1386" i="7" s="1"/>
  <c r="B1387" i="7"/>
  <c r="B1388" i="7"/>
  <c r="B1389" i="7"/>
  <c r="C1389" i="7" s="1"/>
  <c r="B1390" i="7"/>
  <c r="B1391" i="7"/>
  <c r="B1392" i="7"/>
  <c r="C1392" i="7" s="1"/>
  <c r="B1393" i="7"/>
  <c r="C1393" i="7" s="1"/>
  <c r="B1394" i="7"/>
  <c r="C1394" i="7" s="1"/>
  <c r="B1395" i="7"/>
  <c r="B1396" i="7"/>
  <c r="B1397" i="7"/>
  <c r="C1397" i="7" s="1"/>
  <c r="B1398" i="7"/>
  <c r="B1399" i="7"/>
  <c r="B1400" i="7"/>
  <c r="C1400" i="7" s="1"/>
  <c r="B1401" i="7"/>
  <c r="C1401" i="7" s="1"/>
  <c r="B1402" i="7"/>
  <c r="C1402" i="7" s="1"/>
  <c r="B1403" i="7"/>
  <c r="B1404" i="7"/>
  <c r="B1405" i="7"/>
  <c r="C1405" i="7" s="1"/>
  <c r="B1406" i="7"/>
  <c r="B1407" i="7"/>
  <c r="B1408" i="7"/>
  <c r="C1408" i="7" s="1"/>
  <c r="B1409" i="7"/>
  <c r="C1409" i="7" s="1"/>
  <c r="B1410" i="7"/>
  <c r="C1410" i="7" s="1"/>
  <c r="B1411" i="7"/>
  <c r="B1412" i="7"/>
  <c r="B1413" i="7"/>
  <c r="C1413" i="7" s="1"/>
  <c r="B1414" i="7"/>
  <c r="B1415" i="7"/>
  <c r="B1416" i="7"/>
  <c r="C1416" i="7" s="1"/>
  <c r="B1417" i="7"/>
  <c r="C1417" i="7" s="1"/>
  <c r="B1418" i="7"/>
  <c r="C1418" i="7" s="1"/>
  <c r="B1419" i="7"/>
  <c r="B1420" i="7"/>
  <c r="B1421" i="7"/>
  <c r="C1421" i="7" s="1"/>
  <c r="B1422" i="7"/>
  <c r="B1423" i="7"/>
  <c r="B1424" i="7"/>
  <c r="C1424" i="7" s="1"/>
  <c r="B1425" i="7"/>
  <c r="C1425" i="7" s="1"/>
  <c r="B1426" i="7"/>
  <c r="C1426" i="7" s="1"/>
  <c r="B1427" i="7"/>
  <c r="B1428" i="7"/>
  <c r="B1429" i="7"/>
  <c r="C1429" i="7" s="1"/>
  <c r="B1430" i="7"/>
  <c r="B1431" i="7"/>
  <c r="B1432" i="7"/>
  <c r="C1432" i="7" s="1"/>
  <c r="B1433" i="7"/>
  <c r="C1433" i="7" s="1"/>
  <c r="B1434" i="7"/>
  <c r="C1434" i="7" s="1"/>
  <c r="B1435" i="7"/>
  <c r="B1436" i="7"/>
  <c r="B1437" i="7"/>
  <c r="C1437" i="7" s="1"/>
  <c r="B1438" i="7"/>
  <c r="B1439" i="7"/>
  <c r="B1440" i="7"/>
  <c r="C1440" i="7" s="1"/>
  <c r="B1441" i="7"/>
  <c r="C1441" i="7" s="1"/>
  <c r="B1442" i="7"/>
  <c r="C1442" i="7" s="1"/>
  <c r="B1443" i="7"/>
  <c r="B1444" i="7"/>
  <c r="B1445" i="7"/>
  <c r="C1445" i="7" s="1"/>
  <c r="B2" i="7"/>
  <c r="C3" i="7"/>
  <c r="C4" i="7"/>
  <c r="C5" i="7"/>
  <c r="C6" i="7"/>
  <c r="C7" i="7"/>
  <c r="C11" i="7"/>
  <c r="C12" i="7"/>
  <c r="C13" i="7"/>
  <c r="C14" i="7"/>
  <c r="C15" i="7"/>
  <c r="C19" i="7"/>
  <c r="C20" i="7"/>
  <c r="C22" i="7"/>
  <c r="C23" i="7"/>
  <c r="C27" i="7"/>
  <c r="C28" i="7"/>
  <c r="C29" i="7"/>
  <c r="C31" i="7"/>
  <c r="C35" i="7"/>
  <c r="C36" i="7"/>
  <c r="C38" i="7"/>
  <c r="C39" i="7"/>
  <c r="C43" i="7"/>
  <c r="C44" i="7"/>
  <c r="C46" i="7"/>
  <c r="C47" i="7"/>
  <c r="C51" i="7"/>
  <c r="C52" i="7"/>
  <c r="C55" i="7"/>
  <c r="C59" i="7"/>
  <c r="C60" i="7"/>
  <c r="C61" i="7"/>
  <c r="C63" i="7"/>
  <c r="C67" i="7"/>
  <c r="C68" i="7"/>
  <c r="C69" i="7"/>
  <c r="C70" i="7"/>
  <c r="C71" i="7"/>
  <c r="C75" i="7"/>
  <c r="C76" i="7"/>
  <c r="C78" i="7"/>
  <c r="C79" i="7"/>
  <c r="C83" i="7"/>
  <c r="C84" i="7"/>
  <c r="C86" i="7"/>
  <c r="C87" i="7"/>
  <c r="C91" i="7"/>
  <c r="C92" i="7"/>
  <c r="C93" i="7"/>
  <c r="C95" i="7"/>
  <c r="C97" i="7"/>
  <c r="C98" i="7"/>
  <c r="C99" i="7"/>
  <c r="C100" i="7"/>
  <c r="C102" i="7"/>
  <c r="C103" i="7"/>
  <c r="C107" i="7"/>
  <c r="C108" i="7"/>
  <c r="C110" i="7"/>
  <c r="C111" i="7"/>
  <c r="C115" i="7"/>
  <c r="C116" i="7"/>
  <c r="C119" i="7"/>
  <c r="C123" i="7"/>
  <c r="C124" i="7"/>
  <c r="C127" i="7"/>
  <c r="C131" i="7"/>
  <c r="C132" i="7"/>
  <c r="C133" i="7"/>
  <c r="C134" i="7"/>
  <c r="C135" i="7"/>
  <c r="C139" i="7"/>
  <c r="C140" i="7"/>
  <c r="C141" i="7"/>
  <c r="C142" i="7"/>
  <c r="C143" i="7"/>
  <c r="C147" i="7"/>
  <c r="C148" i="7"/>
  <c r="C150" i="7"/>
  <c r="C151" i="7"/>
  <c r="C155" i="7"/>
  <c r="C156" i="7"/>
  <c r="C157" i="7"/>
  <c r="C159" i="7"/>
  <c r="C163" i="7"/>
  <c r="C164" i="7"/>
  <c r="C166" i="7"/>
  <c r="C167" i="7"/>
  <c r="C171" i="7"/>
  <c r="C172" i="7"/>
  <c r="C174" i="7"/>
  <c r="C175" i="7"/>
  <c r="C179" i="7"/>
  <c r="C180" i="7"/>
  <c r="C183" i="7"/>
  <c r="C187" i="7"/>
  <c r="C188" i="7"/>
  <c r="C189" i="7"/>
  <c r="C191" i="7"/>
  <c r="C195" i="7"/>
  <c r="C196" i="7"/>
  <c r="C197" i="7"/>
  <c r="C198" i="7"/>
  <c r="C199" i="7"/>
  <c r="C202" i="7"/>
  <c r="C203" i="7"/>
  <c r="C204" i="7"/>
  <c r="C206" i="7"/>
  <c r="C207" i="7"/>
  <c r="C211" i="7"/>
  <c r="C212" i="7"/>
  <c r="C214" i="7"/>
  <c r="C215" i="7"/>
  <c r="C219" i="7"/>
  <c r="C220" i="7"/>
  <c r="C221" i="7"/>
  <c r="C223" i="7"/>
  <c r="C227" i="7"/>
  <c r="C228" i="7"/>
  <c r="C231" i="7"/>
  <c r="C235" i="7"/>
  <c r="C236" i="7"/>
  <c r="C238" i="7"/>
  <c r="C239" i="7"/>
  <c r="C243" i="7"/>
  <c r="C244" i="7"/>
  <c r="C247" i="7"/>
  <c r="C251" i="7"/>
  <c r="C252" i="7"/>
  <c r="C255" i="7"/>
  <c r="C257" i="7"/>
  <c r="C259" i="7"/>
  <c r="C260" i="7"/>
  <c r="C261" i="7"/>
  <c r="C262" i="7"/>
  <c r="C263" i="7"/>
  <c r="C267" i="7"/>
  <c r="C268" i="7"/>
  <c r="C270" i="7"/>
  <c r="C271" i="7"/>
  <c r="C275" i="7"/>
  <c r="C276" i="7"/>
  <c r="C279" i="7"/>
  <c r="C281" i="7"/>
  <c r="C283" i="7"/>
  <c r="C284" i="7"/>
  <c r="C287" i="7"/>
  <c r="C291" i="7"/>
  <c r="C292" i="7"/>
  <c r="C293" i="7"/>
  <c r="C294" i="7"/>
  <c r="C295" i="7"/>
  <c r="C299" i="7"/>
  <c r="C300" i="7"/>
  <c r="C302" i="7"/>
  <c r="C303" i="7"/>
  <c r="C307" i="7"/>
  <c r="C308" i="7"/>
  <c r="C311" i="7"/>
  <c r="C315" i="7"/>
  <c r="C316" i="7"/>
  <c r="C317" i="7"/>
  <c r="C319" i="7"/>
  <c r="C323" i="7"/>
  <c r="C324" i="7"/>
  <c r="C326" i="7"/>
  <c r="C327" i="7"/>
  <c r="C331" i="7"/>
  <c r="C332" i="7"/>
  <c r="C335" i="7"/>
  <c r="C339" i="7"/>
  <c r="C340" i="7"/>
  <c r="C342" i="7"/>
  <c r="C343" i="7"/>
  <c r="C347" i="7"/>
  <c r="C348" i="7"/>
  <c r="C349" i="7"/>
  <c r="C351" i="7"/>
  <c r="C355" i="7"/>
  <c r="C356" i="7"/>
  <c r="C359" i="7"/>
  <c r="C361" i="7"/>
  <c r="C362" i="7"/>
  <c r="C363" i="7"/>
  <c r="C364" i="7"/>
  <c r="C366" i="7"/>
  <c r="C367" i="7"/>
  <c r="C371" i="7"/>
  <c r="C372" i="7"/>
  <c r="C375" i="7"/>
  <c r="C377" i="7"/>
  <c r="C379" i="7"/>
  <c r="C380" i="7"/>
  <c r="C383" i="7"/>
  <c r="C387" i="7"/>
  <c r="C388" i="7"/>
  <c r="C389" i="7"/>
  <c r="C390" i="7"/>
  <c r="C391" i="7"/>
  <c r="C395" i="7"/>
  <c r="C396" i="7"/>
  <c r="C397" i="7"/>
  <c r="C398" i="7"/>
  <c r="C399" i="7"/>
  <c r="C403" i="7"/>
  <c r="C404" i="7"/>
  <c r="C407" i="7"/>
  <c r="C411" i="7"/>
  <c r="C412" i="7"/>
  <c r="C413" i="7"/>
  <c r="C415" i="7"/>
  <c r="C419" i="7"/>
  <c r="C420" i="7"/>
  <c r="C422" i="7"/>
  <c r="C423" i="7"/>
  <c r="C427" i="7"/>
  <c r="C428" i="7"/>
  <c r="C429" i="7"/>
  <c r="C430" i="7"/>
  <c r="C431" i="7"/>
  <c r="C435" i="7"/>
  <c r="C436" i="7"/>
  <c r="C438" i="7"/>
  <c r="C439" i="7"/>
  <c r="C441" i="7"/>
  <c r="C443" i="7"/>
  <c r="C444" i="7"/>
  <c r="C445" i="7"/>
  <c r="C447" i="7"/>
  <c r="C451" i="7"/>
  <c r="C452" i="7"/>
  <c r="C454" i="7"/>
  <c r="C455" i="7"/>
  <c r="C459" i="7"/>
  <c r="C460" i="7"/>
  <c r="C461" i="7"/>
  <c r="C462" i="7"/>
  <c r="C463" i="7"/>
  <c r="C467" i="7"/>
  <c r="C468" i="7"/>
  <c r="C470" i="7"/>
  <c r="C471" i="7"/>
  <c r="C475" i="7"/>
  <c r="C476" i="7"/>
  <c r="C479" i="7"/>
  <c r="C483" i="7"/>
  <c r="C484" i="7"/>
  <c r="C487" i="7"/>
  <c r="C491" i="7"/>
  <c r="C492" i="7"/>
  <c r="C493" i="7"/>
  <c r="C495" i="7"/>
  <c r="C499" i="7"/>
  <c r="C500" i="7"/>
  <c r="C502" i="7"/>
  <c r="C503" i="7"/>
  <c r="C507" i="7"/>
  <c r="C508" i="7"/>
  <c r="C509" i="7"/>
  <c r="C510" i="7"/>
  <c r="C511" i="7"/>
  <c r="C515" i="7"/>
  <c r="C516" i="7"/>
  <c r="C517" i="7"/>
  <c r="C518" i="7"/>
  <c r="C519" i="7"/>
  <c r="C523" i="7"/>
  <c r="C524" i="7"/>
  <c r="C526" i="7"/>
  <c r="C527" i="7"/>
  <c r="C529" i="7"/>
  <c r="C530" i="7"/>
  <c r="C531" i="7"/>
  <c r="C532" i="7"/>
  <c r="C535" i="7"/>
  <c r="C539" i="7"/>
  <c r="C540" i="7"/>
  <c r="C541" i="7"/>
  <c r="C543" i="7"/>
  <c r="C547" i="7"/>
  <c r="C548" i="7"/>
  <c r="C549" i="7"/>
  <c r="C550" i="7"/>
  <c r="C551" i="7"/>
  <c r="C553" i="7"/>
  <c r="C555" i="7"/>
  <c r="C556" i="7"/>
  <c r="C558" i="7"/>
  <c r="C559" i="7"/>
  <c r="C563" i="7"/>
  <c r="C564" i="7"/>
  <c r="C566" i="7"/>
  <c r="C567" i="7"/>
  <c r="C571" i="7"/>
  <c r="C572" i="7"/>
  <c r="C573" i="7"/>
  <c r="C575" i="7"/>
  <c r="C577" i="7"/>
  <c r="C578" i="7"/>
  <c r="C579" i="7"/>
  <c r="C580" i="7"/>
  <c r="C581" i="7"/>
  <c r="C582" i="7"/>
  <c r="C583" i="7"/>
  <c r="C587" i="7"/>
  <c r="C588" i="7"/>
  <c r="C590" i="7"/>
  <c r="C591" i="7"/>
  <c r="C595" i="7"/>
  <c r="C596" i="7"/>
  <c r="C598" i="7"/>
  <c r="C599" i="7"/>
  <c r="C601" i="7"/>
  <c r="C603" i="7"/>
  <c r="C604" i="7"/>
  <c r="C605" i="7"/>
  <c r="C607" i="7"/>
  <c r="C611" i="7"/>
  <c r="C612" i="7"/>
  <c r="C615" i="7"/>
  <c r="C619" i="7"/>
  <c r="C620" i="7"/>
  <c r="C621" i="7"/>
  <c r="C623" i="7"/>
  <c r="C627" i="7"/>
  <c r="C628" i="7"/>
  <c r="C629" i="7"/>
  <c r="C630" i="7"/>
  <c r="C631" i="7"/>
  <c r="C635" i="7"/>
  <c r="C636" i="7"/>
  <c r="C639" i="7"/>
  <c r="C643" i="7"/>
  <c r="C644" i="7"/>
  <c r="C645" i="7"/>
  <c r="C647" i="7"/>
  <c r="C651" i="7"/>
  <c r="C652" i="7"/>
  <c r="C654" i="7"/>
  <c r="C655" i="7"/>
  <c r="C659" i="7"/>
  <c r="C660" i="7"/>
  <c r="C663" i="7"/>
  <c r="C667" i="7"/>
  <c r="C668" i="7"/>
  <c r="C671" i="7"/>
  <c r="C675" i="7"/>
  <c r="C676" i="7"/>
  <c r="C677" i="7"/>
  <c r="C678" i="7"/>
  <c r="C679" i="7"/>
  <c r="C683" i="7"/>
  <c r="C684" i="7"/>
  <c r="C685" i="7"/>
  <c r="C686" i="7"/>
  <c r="C687" i="7"/>
  <c r="C689" i="7"/>
  <c r="C690" i="7"/>
  <c r="C691" i="7"/>
  <c r="C692" i="7"/>
  <c r="C693" i="7"/>
  <c r="C694" i="7"/>
  <c r="C695" i="7"/>
  <c r="C699" i="7"/>
  <c r="C700" i="7"/>
  <c r="C703" i="7"/>
  <c r="C707" i="7"/>
  <c r="C708" i="7"/>
  <c r="C711" i="7"/>
  <c r="C715" i="7"/>
  <c r="C716" i="7"/>
  <c r="C717" i="7"/>
  <c r="C719" i="7"/>
  <c r="C721" i="7"/>
  <c r="C722" i="7"/>
  <c r="C723" i="7"/>
  <c r="C724" i="7"/>
  <c r="C725" i="7"/>
  <c r="C726" i="7"/>
  <c r="C727" i="7"/>
  <c r="C731" i="7"/>
  <c r="C732" i="7"/>
  <c r="C735" i="7"/>
  <c r="C739" i="7"/>
  <c r="C740" i="7"/>
  <c r="C741" i="7"/>
  <c r="C742" i="7"/>
  <c r="C743" i="7"/>
  <c r="C747" i="7"/>
  <c r="C748" i="7"/>
  <c r="C749" i="7"/>
  <c r="C750" i="7"/>
  <c r="C751" i="7"/>
  <c r="C753" i="7"/>
  <c r="C754" i="7"/>
  <c r="C755" i="7"/>
  <c r="C756" i="7"/>
  <c r="C757" i="7"/>
  <c r="C758" i="7"/>
  <c r="C759" i="7"/>
  <c r="C763" i="7"/>
  <c r="C764" i="7"/>
  <c r="C767" i="7"/>
  <c r="C771" i="7"/>
  <c r="C772" i="7"/>
  <c r="C775" i="7"/>
  <c r="C779" i="7"/>
  <c r="C780" i="7"/>
  <c r="C781" i="7"/>
  <c r="C783" i="7"/>
  <c r="C785" i="7"/>
  <c r="C786" i="7"/>
  <c r="C787" i="7"/>
  <c r="C788" i="7"/>
  <c r="C789" i="7"/>
  <c r="C790" i="7"/>
  <c r="C791" i="7"/>
  <c r="C795" i="7"/>
  <c r="C796" i="7"/>
  <c r="C799" i="7"/>
  <c r="C803" i="7"/>
  <c r="C804" i="7"/>
  <c r="C805" i="7"/>
  <c r="C806" i="7"/>
  <c r="C807" i="7"/>
  <c r="C811" i="7"/>
  <c r="C812" i="7"/>
  <c r="C813" i="7"/>
  <c r="C814" i="7"/>
  <c r="C815" i="7"/>
  <c r="C817" i="7"/>
  <c r="C818" i="7"/>
  <c r="C819" i="7"/>
  <c r="C820" i="7"/>
  <c r="C821" i="7"/>
  <c r="C822" i="7"/>
  <c r="C823" i="7"/>
  <c r="C827" i="7"/>
  <c r="C828" i="7"/>
  <c r="C831" i="7"/>
  <c r="C835" i="7"/>
  <c r="C836" i="7"/>
  <c r="C839" i="7"/>
  <c r="C843" i="7"/>
  <c r="C844" i="7"/>
  <c r="C845" i="7"/>
  <c r="C847" i="7"/>
  <c r="C849" i="7"/>
  <c r="C850" i="7"/>
  <c r="C851" i="7"/>
  <c r="C852" i="7"/>
  <c r="C853" i="7"/>
  <c r="C854" i="7"/>
  <c r="C855" i="7"/>
  <c r="C859" i="7"/>
  <c r="C860" i="7"/>
  <c r="C863" i="7"/>
  <c r="C867" i="7"/>
  <c r="C868" i="7"/>
  <c r="C869" i="7"/>
  <c r="C870" i="7"/>
  <c r="C871" i="7"/>
  <c r="C875" i="7"/>
  <c r="C876" i="7"/>
  <c r="C877" i="7"/>
  <c r="C878" i="7"/>
  <c r="C879" i="7"/>
  <c r="C881" i="7"/>
  <c r="C882" i="7"/>
  <c r="C883" i="7"/>
  <c r="C884" i="7"/>
  <c r="C885" i="7"/>
  <c r="C886" i="7"/>
  <c r="C887" i="7"/>
  <c r="C891" i="7"/>
  <c r="C892" i="7"/>
  <c r="C895" i="7"/>
  <c r="C899" i="7"/>
  <c r="C900" i="7"/>
  <c r="C903" i="7"/>
  <c r="C907" i="7"/>
  <c r="C908" i="7"/>
  <c r="C909" i="7"/>
  <c r="C911" i="7"/>
  <c r="C913" i="7"/>
  <c r="C914" i="7"/>
  <c r="C915" i="7"/>
  <c r="C916" i="7"/>
  <c r="C917" i="7"/>
  <c r="C918" i="7"/>
  <c r="C919" i="7"/>
  <c r="C923" i="7"/>
  <c r="C924" i="7"/>
  <c r="C927" i="7"/>
  <c r="C931" i="7"/>
  <c r="C932" i="7"/>
  <c r="C933" i="7"/>
  <c r="C934" i="7"/>
  <c r="C935" i="7"/>
  <c r="C939" i="7"/>
  <c r="C940" i="7"/>
  <c r="C941" i="7"/>
  <c r="C942" i="7"/>
  <c r="C943" i="7"/>
  <c r="C945" i="7"/>
  <c r="C946" i="7"/>
  <c r="C947" i="7"/>
  <c r="C948" i="7"/>
  <c r="C949" i="7"/>
  <c r="C950" i="7"/>
  <c r="C951" i="7"/>
  <c r="C955" i="7"/>
  <c r="C956" i="7"/>
  <c r="C959" i="7"/>
  <c r="C963" i="7"/>
  <c r="C964" i="7"/>
  <c r="C967" i="7"/>
  <c r="C971" i="7"/>
  <c r="C972" i="7"/>
  <c r="C973" i="7"/>
  <c r="C975" i="7"/>
  <c r="C977" i="7"/>
  <c r="C978" i="7"/>
  <c r="C979" i="7"/>
  <c r="C980" i="7"/>
  <c r="C981" i="7"/>
  <c r="C982" i="7"/>
  <c r="C983" i="7"/>
  <c r="C987" i="7"/>
  <c r="C988" i="7"/>
  <c r="C991" i="7"/>
  <c r="C995" i="7"/>
  <c r="C996" i="7"/>
  <c r="C997" i="7"/>
  <c r="C998" i="7"/>
  <c r="C999" i="7"/>
  <c r="C1003" i="7"/>
  <c r="C1004" i="7"/>
  <c r="C1005" i="7"/>
  <c r="C1006" i="7"/>
  <c r="C1007" i="7"/>
  <c r="C1009" i="7"/>
  <c r="C1011" i="7"/>
  <c r="C1012" i="7"/>
  <c r="C1013" i="7"/>
  <c r="C1014" i="7"/>
  <c r="C1015" i="7"/>
  <c r="C1017" i="7"/>
  <c r="C1018" i="7"/>
  <c r="C1019" i="7"/>
  <c r="C1020" i="7"/>
  <c r="C1021" i="7"/>
  <c r="C1022" i="7"/>
  <c r="C1023" i="7"/>
  <c r="C1027" i="7"/>
  <c r="C1028" i="7"/>
  <c r="C1031" i="7"/>
  <c r="C1035" i="7"/>
  <c r="C1036" i="7"/>
  <c r="C1039" i="7"/>
  <c r="C1043" i="7"/>
  <c r="C1044" i="7"/>
  <c r="C1046" i="7"/>
  <c r="C1047" i="7"/>
  <c r="C1051" i="7"/>
  <c r="C1052" i="7"/>
  <c r="C1054" i="7"/>
  <c r="C1055" i="7"/>
  <c r="C1059" i="7"/>
  <c r="C1060" i="7"/>
  <c r="C1062" i="7"/>
  <c r="C1063" i="7"/>
  <c r="C1064" i="7"/>
  <c r="C1067" i="7"/>
  <c r="C1068" i="7"/>
  <c r="C1070" i="7"/>
  <c r="C1071" i="7"/>
  <c r="C1072" i="7"/>
  <c r="C1073" i="7"/>
  <c r="C1075" i="7"/>
  <c r="C1076" i="7"/>
  <c r="C1078" i="7"/>
  <c r="C1079" i="7"/>
  <c r="C1080" i="7"/>
  <c r="C1081" i="7"/>
  <c r="C1082" i="7"/>
  <c r="C1083" i="7"/>
  <c r="C1084" i="7"/>
  <c r="C1086" i="7"/>
  <c r="C1087" i="7"/>
  <c r="C1091" i="7"/>
  <c r="C1092" i="7"/>
  <c r="C1095" i="7"/>
  <c r="C1099" i="7"/>
  <c r="C1100" i="7"/>
  <c r="C1103" i="7"/>
  <c r="C1107" i="7"/>
  <c r="C1108" i="7"/>
  <c r="C1110" i="7"/>
  <c r="C1111" i="7"/>
  <c r="C1115" i="7"/>
  <c r="C1116" i="7"/>
  <c r="C1118" i="7"/>
  <c r="C1119" i="7"/>
  <c r="C1123" i="7"/>
  <c r="C1124" i="7"/>
  <c r="C1126" i="7"/>
  <c r="C1127" i="7"/>
  <c r="C1128" i="7"/>
  <c r="C1131" i="7"/>
  <c r="C1132" i="7"/>
  <c r="C1134" i="7"/>
  <c r="C1135" i="7"/>
  <c r="C1136" i="7"/>
  <c r="C1137" i="7"/>
  <c r="C1139" i="7"/>
  <c r="C1140" i="7"/>
  <c r="C1142" i="7"/>
  <c r="C1143" i="7"/>
  <c r="C1144" i="7"/>
  <c r="C1145" i="7"/>
  <c r="C1146" i="7"/>
  <c r="C1147" i="7"/>
  <c r="C1148" i="7"/>
  <c r="C1150" i="7"/>
  <c r="C1151" i="7"/>
  <c r="C1155" i="7"/>
  <c r="C1156" i="7"/>
  <c r="C1159" i="7"/>
  <c r="C1163" i="7"/>
  <c r="C1164" i="7"/>
  <c r="C1167" i="7"/>
  <c r="C1171" i="7"/>
  <c r="C1172" i="7"/>
  <c r="C1174" i="7"/>
  <c r="C1175" i="7"/>
  <c r="C1179" i="7"/>
  <c r="C1180" i="7"/>
  <c r="C1182" i="7"/>
  <c r="C1183" i="7"/>
  <c r="C1187" i="7"/>
  <c r="C1188" i="7"/>
  <c r="C1190" i="7"/>
  <c r="C1191" i="7"/>
  <c r="C1192" i="7"/>
  <c r="C1195" i="7"/>
  <c r="C1196" i="7"/>
  <c r="C1198" i="7"/>
  <c r="C1199" i="7"/>
  <c r="C1200" i="7"/>
  <c r="C1201" i="7"/>
  <c r="C1203" i="7"/>
  <c r="C1204" i="7"/>
  <c r="C1206" i="7"/>
  <c r="C1207" i="7"/>
  <c r="C1208" i="7"/>
  <c r="C1209" i="7"/>
  <c r="C1210" i="7"/>
  <c r="C1211" i="7"/>
  <c r="C1212" i="7"/>
  <c r="C1214" i="7"/>
  <c r="C1215" i="7"/>
  <c r="C1219" i="7"/>
  <c r="C1220" i="7"/>
  <c r="C1223" i="7"/>
  <c r="C1227" i="7"/>
  <c r="C1228" i="7"/>
  <c r="C1231" i="7"/>
  <c r="C1235" i="7"/>
  <c r="C1236" i="7"/>
  <c r="C1238" i="7"/>
  <c r="C1239" i="7"/>
  <c r="C1243" i="7"/>
  <c r="C1244" i="7"/>
  <c r="C1246" i="7"/>
  <c r="C1247" i="7"/>
  <c r="C1251" i="7"/>
  <c r="C1252" i="7"/>
  <c r="C1254" i="7"/>
  <c r="C1255" i="7"/>
  <c r="C1256" i="7"/>
  <c r="C1259" i="7"/>
  <c r="C1260" i="7"/>
  <c r="C1262" i="7"/>
  <c r="C1263" i="7"/>
  <c r="C1264" i="7"/>
  <c r="C1265" i="7"/>
  <c r="C1267" i="7"/>
  <c r="C1268" i="7"/>
  <c r="C1270" i="7"/>
  <c r="C1271" i="7"/>
  <c r="C1272" i="7"/>
  <c r="C1273" i="7"/>
  <c r="C1274" i="7"/>
  <c r="C1275" i="7"/>
  <c r="C1276" i="7"/>
  <c r="C1278" i="7"/>
  <c r="C1279" i="7"/>
  <c r="C1283" i="7"/>
  <c r="C1284" i="7"/>
  <c r="C1286" i="7"/>
  <c r="C1287" i="7"/>
  <c r="C1291" i="7"/>
  <c r="C1292" i="7"/>
  <c r="C1294" i="7"/>
  <c r="C1295" i="7"/>
  <c r="C1299" i="7"/>
  <c r="C1300" i="7"/>
  <c r="C1302" i="7"/>
  <c r="C1303" i="7"/>
  <c r="C1307" i="7"/>
  <c r="C1308" i="7"/>
  <c r="C1310" i="7"/>
  <c r="C1311" i="7"/>
  <c r="C1315" i="7"/>
  <c r="C1316" i="7"/>
  <c r="C1318" i="7"/>
  <c r="C1319" i="7"/>
  <c r="C1323" i="7"/>
  <c r="C1324" i="7"/>
  <c r="C1326" i="7"/>
  <c r="C1327" i="7"/>
  <c r="C1331" i="7"/>
  <c r="C1332" i="7"/>
  <c r="C1334" i="7"/>
  <c r="C1335" i="7"/>
  <c r="C1339" i="7"/>
  <c r="C1340" i="7"/>
  <c r="C1342" i="7"/>
  <c r="C1343" i="7"/>
  <c r="C1347" i="7"/>
  <c r="C1348" i="7"/>
  <c r="C1350" i="7"/>
  <c r="C1351" i="7"/>
  <c r="C1355" i="7"/>
  <c r="C1356" i="7"/>
  <c r="C1358" i="7"/>
  <c r="C1359" i="7"/>
  <c r="C1363" i="7"/>
  <c r="C1364" i="7"/>
  <c r="C1366" i="7"/>
  <c r="C1367" i="7"/>
  <c r="C1371" i="7"/>
  <c r="C1372" i="7"/>
  <c r="C1374" i="7"/>
  <c r="C1375" i="7"/>
  <c r="C1379" i="7"/>
  <c r="C1380" i="7"/>
  <c r="C1382" i="7"/>
  <c r="C1383" i="7"/>
  <c r="C1387" i="7"/>
  <c r="C1388" i="7"/>
  <c r="C1390" i="7"/>
  <c r="C1391" i="7"/>
  <c r="C1395" i="7"/>
  <c r="C1396" i="7"/>
  <c r="C1398" i="7"/>
  <c r="C1399" i="7"/>
  <c r="C1403" i="7"/>
  <c r="C1404" i="7"/>
  <c r="C1406" i="7"/>
  <c r="C1407" i="7"/>
  <c r="C1411" i="7"/>
  <c r="C1412" i="7"/>
  <c r="C1414" i="7"/>
  <c r="C1415" i="7"/>
  <c r="C1419" i="7"/>
  <c r="C1420" i="7"/>
  <c r="C1422" i="7"/>
  <c r="C1423" i="7"/>
  <c r="C1427" i="7"/>
  <c r="C1428" i="7"/>
  <c r="C1430" i="7"/>
  <c r="C1431" i="7"/>
  <c r="C1435" i="7"/>
  <c r="C1436" i="7"/>
  <c r="C1438" i="7"/>
  <c r="C1439" i="7"/>
  <c r="C1443" i="7"/>
  <c r="C1444" i="7"/>
  <c r="C2" i="7"/>
  <c r="A1445" i="7"/>
  <c r="A1444" i="7"/>
  <c r="A1443" i="7"/>
  <c r="A1442" i="7"/>
  <c r="A1441" i="7"/>
  <c r="A1440" i="7"/>
  <c r="A1439" i="7"/>
  <c r="A1438" i="7"/>
  <c r="A1437" i="7"/>
  <c r="A1436" i="7"/>
  <c r="A1435" i="7"/>
  <c r="A1434" i="7"/>
  <c r="A1433" i="7"/>
  <c r="A1432" i="7"/>
  <c r="A1431" i="7"/>
  <c r="A1430" i="7"/>
  <c r="A1429" i="7"/>
  <c r="A1428" i="7"/>
  <c r="A1427" i="7"/>
  <c r="A1426" i="7"/>
  <c r="A1425" i="7"/>
  <c r="A1424" i="7"/>
  <c r="A1423" i="7"/>
  <c r="A1422" i="7"/>
  <c r="A1421" i="7"/>
  <c r="A1420" i="7"/>
  <c r="A1419" i="7"/>
  <c r="A1418" i="7"/>
  <c r="A1417" i="7"/>
  <c r="A1416" i="7"/>
  <c r="A1415" i="7"/>
  <c r="A1414" i="7"/>
  <c r="A1413" i="7"/>
  <c r="A1412" i="7"/>
  <c r="A1411" i="7"/>
  <c r="A1410" i="7"/>
  <c r="A1409" i="7"/>
  <c r="A1408" i="7"/>
  <c r="A1407" i="7"/>
  <c r="A1406" i="7"/>
  <c r="A1405" i="7"/>
  <c r="A1404" i="7"/>
  <c r="A1403" i="7"/>
  <c r="A1402" i="7"/>
  <c r="A1401" i="7"/>
  <c r="A1400" i="7"/>
  <c r="A1399" i="7"/>
  <c r="A1398" i="7"/>
  <c r="A1397" i="7"/>
  <c r="A1396" i="7"/>
  <c r="A1395" i="7"/>
  <c r="A1394" i="7"/>
  <c r="A1393" i="7"/>
  <c r="A1392" i="7"/>
  <c r="A1391" i="7"/>
  <c r="A1390" i="7"/>
  <c r="A1389" i="7"/>
  <c r="A1388" i="7"/>
  <c r="A1387" i="7"/>
  <c r="A1386" i="7"/>
  <c r="A1385" i="7"/>
  <c r="A1384" i="7"/>
  <c r="A1383" i="7"/>
  <c r="A1382" i="7"/>
  <c r="A1381" i="7"/>
  <c r="A1380" i="7"/>
  <c r="A1379" i="7"/>
  <c r="A1378" i="7"/>
  <c r="A1377" i="7"/>
  <c r="A1376" i="7"/>
  <c r="A1375" i="7"/>
  <c r="A1374" i="7"/>
  <c r="A1373" i="7"/>
  <c r="A1372" i="7"/>
  <c r="A1371" i="7"/>
  <c r="A1370" i="7"/>
  <c r="A1369" i="7"/>
  <c r="A1368" i="7"/>
  <c r="A1367" i="7"/>
  <c r="A1366" i="7"/>
  <c r="A1365" i="7"/>
  <c r="A1364" i="7"/>
  <c r="A1363" i="7"/>
  <c r="A1362" i="7"/>
  <c r="A1361" i="7"/>
  <c r="A1360" i="7"/>
  <c r="A1359" i="7"/>
  <c r="A1358" i="7"/>
  <c r="A1357" i="7"/>
  <c r="A1356" i="7"/>
  <c r="A1355" i="7"/>
  <c r="A1354" i="7"/>
  <c r="A1353" i="7"/>
  <c r="A1352" i="7"/>
  <c r="A1351" i="7"/>
  <c r="A1350" i="7"/>
  <c r="A1349" i="7"/>
  <c r="A1348" i="7"/>
  <c r="A1347" i="7"/>
  <c r="A1346" i="7"/>
  <c r="A1345" i="7"/>
  <c r="A1344" i="7"/>
  <c r="A1343" i="7"/>
  <c r="A1342" i="7"/>
  <c r="A1341" i="7"/>
  <c r="A1340" i="7"/>
  <c r="A1339" i="7"/>
  <c r="A1338" i="7"/>
  <c r="A1337" i="7"/>
  <c r="A1336" i="7"/>
  <c r="A1335" i="7"/>
  <c r="A1334" i="7"/>
  <c r="A1333" i="7"/>
  <c r="A1332" i="7"/>
  <c r="A1331" i="7"/>
  <c r="A1330" i="7"/>
  <c r="A1329" i="7"/>
  <c r="A1328" i="7"/>
  <c r="A1327" i="7"/>
  <c r="A1326" i="7"/>
  <c r="A1325" i="7"/>
  <c r="A1324" i="7"/>
  <c r="A1323" i="7"/>
  <c r="A1322" i="7"/>
  <c r="A1321" i="7"/>
  <c r="A1320" i="7"/>
  <c r="A1319" i="7"/>
  <c r="A1318" i="7"/>
  <c r="A1317" i="7"/>
  <c r="A1316" i="7"/>
  <c r="A1315" i="7"/>
  <c r="A1314" i="7"/>
  <c r="A1313" i="7"/>
  <c r="A1312" i="7"/>
  <c r="A1311" i="7"/>
  <c r="A1310" i="7"/>
  <c r="A1309" i="7"/>
  <c r="A1308" i="7"/>
  <c r="A1307" i="7"/>
  <c r="A1306" i="7"/>
  <c r="A1305" i="7"/>
  <c r="A1304" i="7"/>
  <c r="A1303" i="7"/>
  <c r="A1302" i="7"/>
  <c r="A1301" i="7"/>
  <c r="A1300" i="7"/>
  <c r="A1299" i="7"/>
  <c r="A1298" i="7"/>
  <c r="A1297" i="7"/>
  <c r="A1296" i="7"/>
  <c r="A1295" i="7"/>
  <c r="A1294" i="7"/>
  <c r="A1293" i="7"/>
  <c r="A1292" i="7"/>
  <c r="A1291" i="7"/>
  <c r="A1290" i="7"/>
  <c r="A1289" i="7"/>
  <c r="A1288" i="7"/>
  <c r="A1287" i="7"/>
  <c r="A1286" i="7"/>
  <c r="A1285" i="7"/>
  <c r="A1284" i="7"/>
  <c r="A1283" i="7"/>
  <c r="A1282" i="7"/>
  <c r="A1281" i="7"/>
  <c r="A1280" i="7"/>
  <c r="A1279" i="7"/>
  <c r="A1278" i="7"/>
  <c r="A1277" i="7"/>
  <c r="A1276" i="7"/>
  <c r="A1275" i="7"/>
  <c r="A1274" i="7"/>
  <c r="A1273" i="7"/>
  <c r="A1272" i="7"/>
  <c r="A1271" i="7"/>
  <c r="A1270" i="7"/>
  <c r="A1269" i="7"/>
  <c r="A1268" i="7"/>
  <c r="A1267" i="7"/>
  <c r="A1266" i="7"/>
  <c r="A1265" i="7"/>
  <c r="A1264" i="7"/>
  <c r="A1263" i="7"/>
  <c r="A1262" i="7"/>
  <c r="A1261" i="7"/>
  <c r="A1260" i="7"/>
  <c r="A1259" i="7"/>
  <c r="A1258" i="7"/>
  <c r="A1257" i="7"/>
  <c r="A1256" i="7"/>
  <c r="A1255" i="7"/>
  <c r="A1254" i="7"/>
  <c r="A1253" i="7"/>
  <c r="A1252" i="7"/>
  <c r="A1251" i="7"/>
  <c r="A1250" i="7"/>
  <c r="A1249" i="7"/>
  <c r="A1248" i="7"/>
  <c r="A1247" i="7"/>
  <c r="A1246" i="7"/>
  <c r="A1245" i="7"/>
  <c r="A1244" i="7"/>
  <c r="A1243" i="7"/>
  <c r="A1242" i="7"/>
  <c r="A1241" i="7"/>
  <c r="A1240" i="7"/>
  <c r="A1239" i="7"/>
  <c r="A1238" i="7"/>
  <c r="A1237" i="7"/>
  <c r="A1236" i="7"/>
  <c r="A1235" i="7"/>
  <c r="A1234" i="7"/>
  <c r="A1233" i="7"/>
  <c r="A1232" i="7"/>
  <c r="A1231" i="7"/>
  <c r="A1230" i="7"/>
  <c r="A1229" i="7"/>
  <c r="A1228" i="7"/>
  <c r="A1227" i="7"/>
  <c r="A1226" i="7"/>
  <c r="A1225" i="7"/>
  <c r="A1224" i="7"/>
  <c r="A1223" i="7"/>
  <c r="A1222" i="7"/>
  <c r="A1221" i="7"/>
  <c r="A1220" i="7"/>
  <c r="A1219" i="7"/>
  <c r="A1218" i="7"/>
  <c r="A1217" i="7"/>
  <c r="A1216" i="7"/>
  <c r="A1215" i="7"/>
  <c r="A1214" i="7"/>
  <c r="A1213" i="7"/>
  <c r="A1212" i="7"/>
  <c r="A1211" i="7"/>
  <c r="A1210" i="7"/>
  <c r="A1209" i="7"/>
  <c r="A1208" i="7"/>
  <c r="A1207" i="7"/>
  <c r="A1206" i="7"/>
  <c r="A1205" i="7"/>
  <c r="A1204" i="7"/>
  <c r="A1203" i="7"/>
  <c r="A1202" i="7"/>
  <c r="A1201" i="7"/>
  <c r="A1200" i="7"/>
  <c r="A1199" i="7"/>
  <c r="A1198" i="7"/>
  <c r="A1197" i="7"/>
  <c r="A1196" i="7"/>
  <c r="A1195" i="7"/>
  <c r="A1194" i="7"/>
  <c r="A1193" i="7"/>
  <c r="A1192" i="7"/>
  <c r="A1191" i="7"/>
  <c r="A1190" i="7"/>
  <c r="A1189" i="7"/>
  <c r="A1188" i="7"/>
  <c r="A1187" i="7"/>
  <c r="A1186" i="7"/>
  <c r="A1185" i="7"/>
  <c r="A1184" i="7"/>
  <c r="A1183" i="7"/>
  <c r="A1182" i="7"/>
  <c r="A1181" i="7"/>
  <c r="A1180" i="7"/>
  <c r="A1179" i="7"/>
  <c r="A1178" i="7"/>
  <c r="A1177" i="7"/>
  <c r="A1176" i="7"/>
  <c r="A1175" i="7"/>
  <c r="A1174" i="7"/>
  <c r="A1173" i="7"/>
  <c r="A1172" i="7"/>
  <c r="A1171" i="7"/>
  <c r="A1170" i="7"/>
  <c r="A1169" i="7"/>
  <c r="A1168" i="7"/>
  <c r="A1167" i="7"/>
  <c r="A1166" i="7"/>
  <c r="A1165" i="7"/>
  <c r="A1164" i="7"/>
  <c r="A1163" i="7"/>
  <c r="A1162" i="7"/>
  <c r="A1161" i="7"/>
  <c r="A1160" i="7"/>
  <c r="A1159" i="7"/>
  <c r="A1158" i="7"/>
  <c r="A1157" i="7"/>
  <c r="A1156" i="7"/>
  <c r="A1155" i="7"/>
  <c r="A1154" i="7"/>
  <c r="A1153" i="7"/>
  <c r="A1152" i="7"/>
  <c r="A1151" i="7"/>
  <c r="A1150" i="7"/>
  <c r="A1149" i="7"/>
  <c r="A1148" i="7"/>
  <c r="A1147" i="7"/>
  <c r="A1146" i="7"/>
  <c r="A1145" i="7"/>
  <c r="A1144" i="7"/>
  <c r="A1143" i="7"/>
  <c r="A1142" i="7"/>
  <c r="A1141" i="7"/>
  <c r="A1140" i="7"/>
  <c r="A1139" i="7"/>
  <c r="A1138" i="7"/>
  <c r="A1137" i="7"/>
  <c r="A1136" i="7"/>
  <c r="A1135" i="7"/>
  <c r="A1134" i="7"/>
  <c r="A1133" i="7"/>
  <c r="A1132" i="7"/>
  <c r="A1131" i="7"/>
  <c r="A1130" i="7"/>
  <c r="A1129" i="7"/>
  <c r="A1128" i="7"/>
  <c r="A1127" i="7"/>
  <c r="A1126" i="7"/>
  <c r="A1125" i="7"/>
  <c r="A1124" i="7"/>
  <c r="A1123" i="7"/>
  <c r="A1122" i="7"/>
  <c r="A1121" i="7"/>
  <c r="A1120" i="7"/>
  <c r="A1119" i="7"/>
  <c r="A1118" i="7"/>
  <c r="A1117" i="7"/>
  <c r="A1116" i="7"/>
  <c r="A1115" i="7"/>
  <c r="A1114" i="7"/>
  <c r="A1113" i="7"/>
  <c r="A1112" i="7"/>
  <c r="A1111" i="7"/>
  <c r="A1110" i="7"/>
  <c r="A1109" i="7"/>
  <c r="A1108" i="7"/>
  <c r="A1107" i="7"/>
  <c r="A1106" i="7"/>
  <c r="A1105" i="7"/>
  <c r="A1104" i="7"/>
  <c r="A1103" i="7"/>
  <c r="A1102" i="7"/>
  <c r="A1101" i="7"/>
  <c r="A1100" i="7"/>
  <c r="A1099" i="7"/>
  <c r="A1098" i="7"/>
  <c r="A1097" i="7"/>
  <c r="A1096" i="7"/>
  <c r="A1095" i="7"/>
  <c r="A1094" i="7"/>
  <c r="A1093" i="7"/>
  <c r="A1092" i="7"/>
  <c r="A1091" i="7"/>
  <c r="A1090" i="7"/>
  <c r="A1089" i="7"/>
  <c r="A1088" i="7"/>
  <c r="A1087" i="7"/>
  <c r="A1086" i="7"/>
  <c r="A1085" i="7"/>
  <c r="A1084" i="7"/>
  <c r="A1083" i="7"/>
  <c r="A1082" i="7"/>
  <c r="A1081" i="7"/>
  <c r="A1080" i="7"/>
  <c r="A1079" i="7"/>
  <c r="A1078" i="7"/>
  <c r="A1077" i="7"/>
  <c r="A1076" i="7"/>
  <c r="A1075" i="7"/>
  <c r="A1074" i="7"/>
  <c r="A1073" i="7"/>
  <c r="A1072" i="7"/>
  <c r="A1071" i="7"/>
  <c r="A1070" i="7"/>
  <c r="A1069" i="7"/>
  <c r="A1068" i="7"/>
  <c r="A1067" i="7"/>
  <c r="A1066" i="7"/>
  <c r="A1065" i="7"/>
  <c r="A1064" i="7"/>
  <c r="A1063" i="7"/>
  <c r="A1062" i="7"/>
  <c r="A1061" i="7"/>
  <c r="A1060" i="7"/>
  <c r="A1059" i="7"/>
  <c r="A1058" i="7"/>
  <c r="A1057" i="7"/>
  <c r="A1056" i="7"/>
  <c r="A1055" i="7"/>
  <c r="A1054" i="7"/>
  <c r="A1053" i="7"/>
  <c r="A1052" i="7"/>
  <c r="A1051" i="7"/>
  <c r="A1050" i="7"/>
  <c r="A1049" i="7"/>
  <c r="A1048" i="7"/>
  <c r="A1047" i="7"/>
  <c r="A1046" i="7"/>
  <c r="A1045" i="7"/>
  <c r="A1044" i="7"/>
  <c r="A1043" i="7"/>
  <c r="A1042" i="7"/>
  <c r="A1041" i="7"/>
  <c r="A1040" i="7"/>
  <c r="A1039" i="7"/>
  <c r="A1038" i="7"/>
  <c r="A1037" i="7"/>
  <c r="A1036" i="7"/>
  <c r="A1035" i="7"/>
  <c r="A1034" i="7"/>
  <c r="A1033" i="7"/>
  <c r="A1032" i="7"/>
  <c r="A1031" i="7"/>
  <c r="A1030" i="7"/>
  <c r="A1029" i="7"/>
  <c r="A1028" i="7"/>
  <c r="A1027" i="7"/>
  <c r="A1026" i="7"/>
  <c r="A1025" i="7"/>
  <c r="A1024" i="7"/>
  <c r="A1023" i="7"/>
  <c r="A1022" i="7"/>
  <c r="A1021" i="7"/>
  <c r="A1020" i="7"/>
  <c r="A1019" i="7"/>
  <c r="A1018" i="7"/>
  <c r="A1017" i="7"/>
  <c r="A1016" i="7"/>
  <c r="A1015" i="7"/>
  <c r="A1014" i="7"/>
  <c r="A1013" i="7"/>
  <c r="A1012" i="7"/>
  <c r="A1011" i="7"/>
  <c r="A1010" i="7"/>
  <c r="A1009" i="7"/>
  <c r="A1008" i="7"/>
  <c r="A1007" i="7"/>
  <c r="A1006" i="7"/>
  <c r="A1005" i="7"/>
  <c r="A1004" i="7"/>
  <c r="A1003" i="7"/>
  <c r="A1002" i="7"/>
  <c r="A1001" i="7"/>
  <c r="A1000" i="7"/>
  <c r="A999" i="7"/>
  <c r="A998" i="7"/>
  <c r="A997" i="7"/>
  <c r="A996" i="7"/>
  <c r="A995" i="7"/>
  <c r="A994" i="7"/>
  <c r="A993" i="7"/>
  <c r="A992" i="7"/>
  <c r="A991" i="7"/>
  <c r="A990" i="7"/>
  <c r="A989" i="7"/>
  <c r="A988" i="7"/>
  <c r="A987" i="7"/>
  <c r="A986" i="7"/>
  <c r="A985" i="7"/>
  <c r="A984" i="7"/>
  <c r="A983" i="7"/>
  <c r="A982" i="7"/>
  <c r="A981" i="7"/>
  <c r="A980" i="7"/>
  <c r="A979" i="7"/>
  <c r="A978" i="7"/>
  <c r="A977" i="7"/>
  <c r="A976" i="7"/>
  <c r="A975" i="7"/>
  <c r="A974" i="7"/>
  <c r="A973" i="7"/>
  <c r="A972" i="7"/>
  <c r="A971" i="7"/>
  <c r="A970" i="7"/>
  <c r="A969" i="7"/>
  <c r="A968" i="7"/>
  <c r="A967" i="7"/>
  <c r="A966" i="7"/>
  <c r="A965" i="7"/>
  <c r="A964" i="7"/>
  <c r="A963" i="7"/>
  <c r="A962" i="7"/>
  <c r="A961" i="7"/>
  <c r="A960" i="7"/>
  <c r="A959" i="7"/>
  <c r="A958" i="7"/>
  <c r="A957" i="7"/>
  <c r="A956" i="7"/>
  <c r="A955" i="7"/>
  <c r="A954" i="7"/>
  <c r="A953" i="7"/>
  <c r="A952" i="7"/>
  <c r="A951" i="7"/>
  <c r="A950" i="7"/>
  <c r="A949" i="7"/>
  <c r="A948" i="7"/>
  <c r="A947" i="7"/>
  <c r="A946" i="7"/>
  <c r="A945" i="7"/>
  <c r="A944" i="7"/>
  <c r="A943" i="7"/>
  <c r="A942" i="7"/>
  <c r="A941" i="7"/>
  <c r="A940" i="7"/>
  <c r="A939" i="7"/>
  <c r="A938" i="7"/>
  <c r="A937" i="7"/>
  <c r="A936" i="7"/>
  <c r="A935" i="7"/>
  <c r="A934" i="7"/>
  <c r="A933" i="7"/>
  <c r="A932" i="7"/>
  <c r="A931" i="7"/>
  <c r="A930" i="7"/>
  <c r="A929" i="7"/>
  <c r="A928" i="7"/>
  <c r="A927" i="7"/>
  <c r="A926" i="7"/>
  <c r="A925" i="7"/>
  <c r="A924" i="7"/>
  <c r="A923" i="7"/>
  <c r="A922" i="7"/>
  <c r="A921" i="7"/>
  <c r="A920" i="7"/>
  <c r="A919" i="7"/>
  <c r="A918" i="7"/>
  <c r="A917" i="7"/>
  <c r="A916" i="7"/>
  <c r="A915" i="7"/>
  <c r="A914" i="7"/>
  <c r="A913" i="7"/>
  <c r="A912" i="7"/>
  <c r="A911" i="7"/>
  <c r="A910" i="7"/>
  <c r="A909" i="7"/>
  <c r="A908" i="7"/>
  <c r="A907" i="7"/>
  <c r="A906" i="7"/>
  <c r="A905" i="7"/>
  <c r="A904" i="7"/>
  <c r="A903" i="7"/>
  <c r="A902" i="7"/>
  <c r="A901" i="7"/>
  <c r="A900" i="7"/>
  <c r="A899" i="7"/>
  <c r="A898" i="7"/>
  <c r="A897" i="7"/>
  <c r="A896" i="7"/>
  <c r="A895" i="7"/>
  <c r="A894" i="7"/>
  <c r="A893" i="7"/>
  <c r="A892" i="7"/>
  <c r="A891" i="7"/>
  <c r="A890" i="7"/>
  <c r="A889" i="7"/>
  <c r="A888" i="7"/>
  <c r="A887" i="7"/>
  <c r="A886" i="7"/>
  <c r="A885" i="7"/>
  <c r="A884" i="7"/>
  <c r="A883" i="7"/>
  <c r="A882" i="7"/>
  <c r="A881" i="7"/>
  <c r="A880" i="7"/>
  <c r="A879" i="7"/>
  <c r="A878" i="7"/>
  <c r="A877" i="7"/>
  <c r="A876" i="7"/>
  <c r="A875" i="7"/>
  <c r="A874" i="7"/>
  <c r="A873" i="7"/>
  <c r="A872" i="7"/>
  <c r="A871" i="7"/>
  <c r="A870" i="7"/>
  <c r="A869" i="7"/>
  <c r="A868" i="7"/>
  <c r="A867" i="7"/>
  <c r="A866" i="7"/>
  <c r="A865" i="7"/>
  <c r="A864" i="7"/>
  <c r="A863" i="7"/>
  <c r="A862" i="7"/>
  <c r="A861" i="7"/>
  <c r="A860" i="7"/>
  <c r="A859" i="7"/>
  <c r="A858" i="7"/>
  <c r="A857" i="7"/>
  <c r="A856" i="7"/>
  <c r="A855" i="7"/>
  <c r="A854" i="7"/>
  <c r="A853" i="7"/>
  <c r="A852" i="7"/>
  <c r="A851" i="7"/>
  <c r="A850" i="7"/>
  <c r="A849" i="7"/>
  <c r="A848" i="7"/>
  <c r="A847" i="7"/>
  <c r="A846" i="7"/>
  <c r="A845" i="7"/>
  <c r="A844" i="7"/>
  <c r="A843" i="7"/>
  <c r="A842" i="7"/>
  <c r="A841" i="7"/>
  <c r="A840" i="7"/>
  <c r="A839" i="7"/>
  <c r="A838" i="7"/>
  <c r="A837" i="7"/>
  <c r="A836" i="7"/>
  <c r="A835" i="7"/>
  <c r="A834" i="7"/>
  <c r="A833" i="7"/>
  <c r="A832" i="7"/>
  <c r="A831" i="7"/>
  <c r="A830" i="7"/>
  <c r="A829" i="7"/>
  <c r="A828" i="7"/>
  <c r="A827" i="7"/>
  <c r="A826" i="7"/>
  <c r="A825" i="7"/>
  <c r="A824" i="7"/>
  <c r="A823" i="7"/>
  <c r="A822" i="7"/>
  <c r="A821" i="7"/>
  <c r="A820" i="7"/>
  <c r="A819" i="7"/>
  <c r="A818" i="7"/>
  <c r="A817" i="7"/>
  <c r="A816" i="7"/>
  <c r="A815" i="7"/>
  <c r="A814" i="7"/>
  <c r="A813" i="7"/>
  <c r="A812" i="7"/>
  <c r="A811" i="7"/>
  <c r="A810" i="7"/>
  <c r="A809" i="7"/>
  <c r="A808" i="7"/>
  <c r="A807" i="7"/>
  <c r="A806" i="7"/>
  <c r="A805" i="7"/>
  <c r="A804" i="7"/>
  <c r="A803" i="7"/>
  <c r="A802" i="7"/>
  <c r="A801" i="7"/>
  <c r="A800" i="7"/>
  <c r="A799" i="7"/>
  <c r="A798" i="7"/>
  <c r="A797" i="7"/>
  <c r="A796" i="7"/>
  <c r="A795" i="7"/>
  <c r="A794" i="7"/>
  <c r="A793" i="7"/>
  <c r="A792" i="7"/>
  <c r="A791" i="7"/>
  <c r="A790" i="7"/>
  <c r="A789" i="7"/>
  <c r="A788" i="7"/>
  <c r="A787" i="7"/>
  <c r="A786" i="7"/>
  <c r="A785" i="7"/>
  <c r="A784" i="7"/>
  <c r="A783" i="7"/>
  <c r="A782" i="7"/>
  <c r="A781" i="7"/>
  <c r="A780" i="7"/>
  <c r="A779" i="7"/>
  <c r="A778" i="7"/>
  <c r="A777" i="7"/>
  <c r="A776" i="7"/>
  <c r="A775" i="7"/>
  <c r="A774" i="7"/>
  <c r="A773" i="7"/>
  <c r="A772" i="7"/>
  <c r="A771" i="7"/>
  <c r="A770" i="7"/>
  <c r="A769" i="7"/>
  <c r="A768" i="7"/>
  <c r="A767" i="7"/>
  <c r="A766" i="7"/>
  <c r="A765" i="7"/>
  <c r="A764" i="7"/>
  <c r="A763" i="7"/>
  <c r="A762" i="7"/>
  <c r="A761" i="7"/>
  <c r="A760" i="7"/>
  <c r="A759" i="7"/>
  <c r="A758" i="7"/>
  <c r="A757" i="7"/>
  <c r="A756" i="7"/>
  <c r="A755" i="7"/>
  <c r="A754" i="7"/>
  <c r="A753" i="7"/>
  <c r="A752" i="7"/>
  <c r="A751" i="7"/>
  <c r="A750" i="7"/>
  <c r="A749" i="7"/>
  <c r="A748" i="7"/>
  <c r="A747" i="7"/>
  <c r="A746" i="7"/>
  <c r="A745" i="7"/>
  <c r="A744" i="7"/>
  <c r="A743" i="7"/>
  <c r="A742" i="7"/>
  <c r="A741" i="7"/>
  <c r="A740" i="7"/>
  <c r="A739" i="7"/>
  <c r="A738" i="7"/>
  <c r="A737" i="7"/>
  <c r="A736" i="7"/>
  <c r="A735" i="7"/>
  <c r="A734" i="7"/>
  <c r="A733" i="7"/>
  <c r="A732" i="7"/>
  <c r="A731" i="7"/>
  <c r="A730" i="7"/>
  <c r="A729" i="7"/>
  <c r="A728" i="7"/>
  <c r="A727" i="7"/>
  <c r="A726" i="7"/>
  <c r="A725" i="7"/>
  <c r="A724" i="7"/>
  <c r="A723" i="7"/>
  <c r="A722" i="7"/>
  <c r="A721" i="7"/>
  <c r="A720" i="7"/>
  <c r="A719" i="7"/>
  <c r="A718" i="7"/>
  <c r="A717" i="7"/>
  <c r="A716" i="7"/>
  <c r="A715" i="7"/>
  <c r="A714" i="7"/>
  <c r="A713" i="7"/>
  <c r="A712" i="7"/>
  <c r="A711" i="7"/>
  <c r="A710" i="7"/>
  <c r="A709" i="7"/>
  <c r="A708" i="7"/>
  <c r="A707" i="7"/>
  <c r="A706" i="7"/>
  <c r="A705" i="7"/>
  <c r="A704" i="7"/>
  <c r="A703" i="7"/>
  <c r="A702" i="7"/>
  <c r="A701" i="7"/>
  <c r="A700" i="7"/>
  <c r="A699" i="7"/>
  <c r="A698" i="7"/>
  <c r="A697" i="7"/>
  <c r="A696" i="7"/>
  <c r="A695" i="7"/>
  <c r="A694" i="7"/>
  <c r="A693"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9" i="7"/>
  <c r="A658" i="7"/>
  <c r="A657" i="7"/>
  <c r="A656" i="7"/>
  <c r="A655" i="7"/>
  <c r="A654" i="7"/>
  <c r="A653" i="7"/>
  <c r="A652" i="7"/>
  <c r="A651" i="7"/>
  <c r="A650" i="7"/>
  <c r="A649" i="7"/>
  <c r="A648"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9" i="7"/>
  <c r="A608" i="7"/>
  <c r="A607" i="7"/>
  <c r="A606" i="7"/>
  <c r="A605" i="7"/>
  <c r="A604" i="7"/>
  <c r="A603" i="7"/>
  <c r="A602" i="7"/>
  <c r="A601" i="7"/>
  <c r="A600"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21" i="7"/>
  <c r="A520" i="7"/>
  <c r="A519" i="7"/>
  <c r="A518" i="7"/>
  <c r="A517" i="7"/>
  <c r="A516" i="7"/>
  <c r="A515" i="7"/>
  <c r="A514" i="7"/>
  <c r="A513" i="7"/>
  <c r="A512" i="7"/>
  <c r="A511" i="7"/>
  <c r="A510" i="7"/>
  <c r="A509" i="7"/>
  <c r="A508" i="7"/>
  <c r="A507" i="7"/>
  <c r="A506" i="7"/>
  <c r="A505" i="7"/>
  <c r="A504" i="7"/>
  <c r="A503" i="7"/>
  <c r="A502" i="7"/>
  <c r="A501" i="7"/>
  <c r="A500" i="7"/>
  <c r="A499" i="7"/>
  <c r="A498" i="7"/>
  <c r="A497" i="7"/>
  <c r="A496" i="7"/>
  <c r="A495" i="7"/>
  <c r="A494" i="7"/>
  <c r="A493" i="7"/>
  <c r="A492" i="7"/>
  <c r="A491" i="7"/>
  <c r="A490" i="7"/>
  <c r="A489" i="7"/>
  <c r="A488" i="7"/>
  <c r="A487" i="7"/>
  <c r="A486" i="7"/>
  <c r="A485" i="7"/>
  <c r="A484" i="7"/>
  <c r="A483" i="7"/>
  <c r="A482" i="7"/>
  <c r="A481" i="7"/>
  <c r="A480" i="7"/>
  <c r="A479" i="7"/>
  <c r="A478" i="7"/>
  <c r="A477" i="7"/>
  <c r="A476" i="7"/>
  <c r="A475" i="7"/>
  <c r="A474" i="7"/>
  <c r="A473" i="7"/>
  <c r="A472" i="7"/>
  <c r="A471" i="7"/>
  <c r="A470" i="7"/>
  <c r="A469" i="7"/>
  <c r="A468" i="7"/>
  <c r="A467" i="7"/>
  <c r="A466" i="7"/>
  <c r="A465" i="7"/>
  <c r="A464" i="7"/>
  <c r="A463" i="7"/>
  <c r="A462" i="7"/>
  <c r="A461" i="7"/>
  <c r="A460" i="7"/>
  <c r="A459" i="7"/>
  <c r="A458" i="7"/>
  <c r="A457" i="7"/>
  <c r="A456" i="7"/>
  <c r="A455" i="7"/>
  <c r="A454" i="7"/>
  <c r="A453" i="7"/>
  <c r="A452" i="7"/>
  <c r="A451" i="7"/>
  <c r="A450" i="7"/>
  <c r="A449" i="7"/>
  <c r="A448" i="7"/>
  <c r="A447" i="7"/>
  <c r="A446" i="7"/>
  <c r="A445" i="7"/>
  <c r="A444" i="7"/>
  <c r="A443" i="7"/>
  <c r="A442" i="7"/>
  <c r="A441" i="7"/>
  <c r="A440"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9" i="7"/>
  <c r="A408" i="7"/>
  <c r="A407" i="7"/>
  <c r="A406" i="7"/>
  <c r="A405" i="7"/>
  <c r="A404" i="7"/>
  <c r="A403" i="7"/>
  <c r="A402" i="7"/>
  <c r="A401" i="7"/>
  <c r="A400" i="7"/>
  <c r="A399" i="7"/>
  <c r="A398" i="7"/>
  <c r="A397" i="7"/>
  <c r="A396" i="7"/>
  <c r="A395" i="7"/>
  <c r="A394" i="7"/>
  <c r="A393" i="7"/>
  <c r="A392" i="7"/>
  <c r="A391" i="7"/>
  <c r="A390" i="7"/>
  <c r="A389" i="7"/>
  <c r="A388" i="7"/>
  <c r="A387" i="7"/>
  <c r="A386" i="7"/>
  <c r="A385" i="7"/>
  <c r="A384" i="7"/>
  <c r="A383" i="7"/>
  <c r="A382" i="7"/>
  <c r="A381"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2" i="7"/>
  <c r="A341" i="7"/>
  <c r="A340" i="7"/>
  <c r="A339" i="7"/>
  <c r="A338" i="7"/>
  <c r="A337" i="7"/>
  <c r="A336" i="7"/>
  <c r="A335" i="7"/>
  <c r="A334" i="7"/>
  <c r="A333" i="7"/>
  <c r="A332" i="7"/>
  <c r="A331" i="7"/>
  <c r="A330" i="7"/>
  <c r="A329" i="7"/>
  <c r="A328" i="7"/>
  <c r="A327" i="7"/>
  <c r="A326" i="7"/>
  <c r="A325" i="7"/>
  <c r="A324" i="7"/>
  <c r="A323" i="7"/>
  <c r="A322" i="7"/>
  <c r="A321" i="7"/>
  <c r="A320" i="7"/>
  <c r="A319" i="7"/>
  <c r="A318" i="7"/>
  <c r="A317" i="7"/>
  <c r="A316" i="7"/>
  <c r="A315" i="7"/>
  <c r="A314" i="7"/>
  <c r="A313" i="7"/>
  <c r="A312" i="7"/>
  <c r="A311" i="7"/>
  <c r="A310" i="7"/>
  <c r="A309" i="7"/>
  <c r="A308" i="7"/>
  <c r="A307" i="7"/>
  <c r="A306" i="7"/>
  <c r="A305" i="7"/>
  <c r="A304" i="7"/>
  <c r="A303" i="7"/>
  <c r="A302" i="7"/>
  <c r="A301" i="7"/>
  <c r="A300" i="7"/>
  <c r="A299"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4" i="7"/>
  <c r="A3" i="7"/>
  <c r="A2" i="7"/>
  <c r="C227" i="4" l="1"/>
  <c r="B15" i="4"/>
  <c r="B16" i="4"/>
  <c r="B17" i="4"/>
  <c r="B18" i="4"/>
  <c r="B19" i="4"/>
  <c r="B20" i="4"/>
  <c r="B21" i="4"/>
  <c r="B53" i="4"/>
  <c r="B200" i="4"/>
  <c r="B201" i="4"/>
  <c r="B511" i="4"/>
  <c r="B1006" i="4"/>
  <c r="B1007" i="4"/>
  <c r="B1014" i="4"/>
  <c r="B1021" i="4"/>
  <c r="B1446" i="4"/>
  <c r="B1447" i="4"/>
  <c r="B1448" i="4"/>
  <c r="B1449" i="4"/>
  <c r="B1450" i="4"/>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2" i="5"/>
  <c r="A1450" i="5"/>
  <c r="A1449" i="5"/>
  <c r="A1448" i="5"/>
  <c r="A1447" i="5"/>
  <c r="A1446" i="5"/>
  <c r="A1445" i="5"/>
  <c r="A1444" i="5"/>
  <c r="A1443" i="5"/>
  <c r="A1442" i="5"/>
  <c r="A1441" i="5"/>
  <c r="A1440" i="5"/>
  <c r="A1439" i="5"/>
  <c r="A1438" i="5"/>
  <c r="A1437" i="5"/>
  <c r="A1436" i="5"/>
  <c r="A1435" i="5"/>
  <c r="A1434" i="5"/>
  <c r="A1433" i="5"/>
  <c r="A1432" i="5"/>
  <c r="A1431" i="5"/>
  <c r="A1430" i="5"/>
  <c r="A1429" i="5"/>
  <c r="A1428" i="5"/>
  <c r="A1427" i="5"/>
  <c r="A1426" i="5"/>
  <c r="A1425" i="5"/>
  <c r="A1424" i="5"/>
  <c r="A1423" i="5"/>
  <c r="A1422" i="5"/>
  <c r="A1421" i="5"/>
  <c r="A1420" i="5"/>
  <c r="A1419" i="5"/>
  <c r="A1418" i="5"/>
  <c r="A1417" i="5"/>
  <c r="A1416" i="5"/>
  <c r="A1415" i="5"/>
  <c r="A1414" i="5"/>
  <c r="A1413" i="5"/>
  <c r="A1412" i="5"/>
  <c r="A1411" i="5"/>
  <c r="A1410" i="5"/>
  <c r="A1409" i="5"/>
  <c r="A1408" i="5"/>
  <c r="A1407" i="5"/>
  <c r="A1406" i="5"/>
  <c r="A1405" i="5"/>
  <c r="A1404" i="5"/>
  <c r="A1403" i="5"/>
  <c r="A1402" i="5"/>
  <c r="A1401" i="5"/>
  <c r="A1400" i="5"/>
  <c r="A1399" i="5"/>
  <c r="A1398" i="5"/>
  <c r="A1397" i="5"/>
  <c r="A1396" i="5"/>
  <c r="A1395" i="5"/>
  <c r="A1394" i="5"/>
  <c r="A1393" i="5"/>
  <c r="A1392" i="5"/>
  <c r="A1391" i="5"/>
  <c r="A1390" i="5"/>
  <c r="A1389" i="5"/>
  <c r="A1388" i="5"/>
  <c r="A1387" i="5"/>
  <c r="A1386" i="5"/>
  <c r="A1385" i="5"/>
  <c r="A1384" i="5"/>
  <c r="A1383" i="5"/>
  <c r="A1382" i="5"/>
  <c r="A1381" i="5"/>
  <c r="A1380" i="5"/>
  <c r="A1379" i="5"/>
  <c r="A1378" i="5"/>
  <c r="A1377" i="5"/>
  <c r="A1376" i="5"/>
  <c r="A1375" i="5"/>
  <c r="A1374" i="5"/>
  <c r="A1373" i="5"/>
  <c r="A1372" i="5"/>
  <c r="A1371" i="5"/>
  <c r="A1370" i="5"/>
  <c r="A1369" i="5"/>
  <c r="A1368" i="5"/>
  <c r="A1367" i="5"/>
  <c r="A1366" i="5"/>
  <c r="A1365" i="5"/>
  <c r="A1364" i="5"/>
  <c r="A1363" i="5"/>
  <c r="A1362" i="5"/>
  <c r="A1361" i="5"/>
  <c r="A1360" i="5"/>
  <c r="A1359" i="5"/>
  <c r="A1358" i="5"/>
  <c r="A1357" i="5"/>
  <c r="A1356" i="5"/>
  <c r="A1355" i="5"/>
  <c r="A1354" i="5"/>
  <c r="A1353" i="5"/>
  <c r="A1352" i="5"/>
  <c r="A1351" i="5"/>
  <c r="A1350" i="5"/>
  <c r="A1349" i="5"/>
  <c r="A1348" i="5"/>
  <c r="A1347" i="5"/>
  <c r="A1346" i="5"/>
  <c r="A1345" i="5"/>
  <c r="A1344" i="5"/>
  <c r="A1343" i="5"/>
  <c r="A1342" i="5"/>
  <c r="A1341" i="5"/>
  <c r="A1340" i="5"/>
  <c r="A1339" i="5"/>
  <c r="A1338" i="5"/>
  <c r="A1337" i="5"/>
  <c r="A1336" i="5"/>
  <c r="A1335" i="5"/>
  <c r="A1334" i="5"/>
  <c r="A1333" i="5"/>
  <c r="A1332" i="5"/>
  <c r="A1331" i="5"/>
  <c r="A1330" i="5"/>
  <c r="A1329" i="5"/>
  <c r="A1328" i="5"/>
  <c r="A1327" i="5"/>
  <c r="A1326" i="5"/>
  <c r="A1325" i="5"/>
  <c r="A1324" i="5"/>
  <c r="A1323" i="5"/>
  <c r="A1322" i="5"/>
  <c r="A1321" i="5"/>
  <c r="A1320" i="5"/>
  <c r="A1319" i="5"/>
  <c r="A1318" i="5"/>
  <c r="A1317" i="5"/>
  <c r="A1316" i="5"/>
  <c r="A1315" i="5"/>
  <c r="A1314" i="5"/>
  <c r="A1313" i="5"/>
  <c r="A1312" i="5"/>
  <c r="A1311" i="5"/>
  <c r="A1310" i="5"/>
  <c r="A1309" i="5"/>
  <c r="A1308" i="5"/>
  <c r="A1307" i="5"/>
  <c r="A1306" i="5"/>
  <c r="A1305" i="5"/>
  <c r="A1304" i="5"/>
  <c r="A1303" i="5"/>
  <c r="A1302" i="5"/>
  <c r="A1301" i="5"/>
  <c r="A1300" i="5"/>
  <c r="A1299" i="5"/>
  <c r="A1298" i="5"/>
  <c r="A1297" i="5"/>
  <c r="A1296" i="5"/>
  <c r="A1295" i="5"/>
  <c r="A1294" i="5"/>
  <c r="A1293" i="5"/>
  <c r="A1292" i="5"/>
  <c r="A1291" i="5"/>
  <c r="A1290" i="5"/>
  <c r="A1289" i="5"/>
  <c r="A1288" i="5"/>
  <c r="A1287" i="5"/>
  <c r="A1286" i="5"/>
  <c r="A1285" i="5"/>
  <c r="A1284" i="5"/>
  <c r="A1283" i="5"/>
  <c r="A1282" i="5"/>
  <c r="A1281" i="5"/>
  <c r="A1280" i="5"/>
  <c r="A1279" i="5"/>
  <c r="A1278" i="5"/>
  <c r="A1277" i="5"/>
  <c r="A1276" i="5"/>
  <c r="A1275" i="5"/>
  <c r="A1274" i="5"/>
  <c r="A1273" i="5"/>
  <c r="A1272" i="5"/>
  <c r="A1271" i="5"/>
  <c r="A1270" i="5"/>
  <c r="A1269" i="5"/>
  <c r="A1268" i="5"/>
  <c r="A1267" i="5"/>
  <c r="A1266" i="5"/>
  <c r="A1265" i="5"/>
  <c r="A1264" i="5"/>
  <c r="A1263" i="5"/>
  <c r="A1262" i="5"/>
  <c r="A1261" i="5"/>
  <c r="A1260" i="5"/>
  <c r="A1259" i="5"/>
  <c r="A1258" i="5"/>
  <c r="A1257" i="5"/>
  <c r="A1256" i="5"/>
  <c r="A1255" i="5"/>
  <c r="A1254" i="5"/>
  <c r="A1253" i="5"/>
  <c r="A1252" i="5"/>
  <c r="A1251" i="5"/>
  <c r="A1250" i="5"/>
  <c r="A1249" i="5"/>
  <c r="A1248" i="5"/>
  <c r="A1247" i="5"/>
  <c r="A1246" i="5"/>
  <c r="A1245" i="5"/>
  <c r="A1244" i="5"/>
  <c r="A1243" i="5"/>
  <c r="A1242" i="5"/>
  <c r="A1241" i="5"/>
  <c r="A1240" i="5"/>
  <c r="A1239" i="5"/>
  <c r="A1238" i="5"/>
  <c r="A1237" i="5"/>
  <c r="A1236" i="5"/>
  <c r="A1235" i="5"/>
  <c r="A1234" i="5"/>
  <c r="A1233" i="5"/>
  <c r="A1232" i="5"/>
  <c r="A1231" i="5"/>
  <c r="A1230" i="5"/>
  <c r="A1229" i="5"/>
  <c r="A1228" i="5"/>
  <c r="A1227" i="5"/>
  <c r="A1226" i="5"/>
  <c r="A1225" i="5"/>
  <c r="A1224" i="5"/>
  <c r="A1223" i="5"/>
  <c r="A1222" i="5"/>
  <c r="A1221" i="5"/>
  <c r="A1220" i="5"/>
  <c r="A1219" i="5"/>
  <c r="A1218" i="5"/>
  <c r="A1217" i="5"/>
  <c r="A1216" i="5"/>
  <c r="A1215" i="5"/>
  <c r="A1214" i="5"/>
  <c r="A1213" i="5"/>
  <c r="A1212" i="5"/>
  <c r="A1211" i="5"/>
  <c r="A1210" i="5"/>
  <c r="A1209" i="5"/>
  <c r="A1208" i="5"/>
  <c r="A1207" i="5"/>
  <c r="A1206" i="5"/>
  <c r="A1205" i="5"/>
  <c r="A1204" i="5"/>
  <c r="A1203" i="5"/>
  <c r="A1202" i="5"/>
  <c r="A1201" i="5"/>
  <c r="A1200" i="5"/>
  <c r="A1199" i="5"/>
  <c r="A1198" i="5"/>
  <c r="A1197" i="5"/>
  <c r="A1196" i="5"/>
  <c r="A1195" i="5"/>
  <c r="A1194" i="5"/>
  <c r="A1193" i="5"/>
  <c r="A1192" i="5"/>
  <c r="A1191" i="5"/>
  <c r="A1190" i="5"/>
  <c r="A1189" i="5"/>
  <c r="A1188" i="5"/>
  <c r="A1187" i="5"/>
  <c r="A1186" i="5"/>
  <c r="A1185" i="5"/>
  <c r="A1184" i="5"/>
  <c r="A1183" i="5"/>
  <c r="A1182" i="5"/>
  <c r="A1181" i="5"/>
  <c r="A1180" i="5"/>
  <c r="A1179" i="5"/>
  <c r="A1178" i="5"/>
  <c r="A1177" i="5"/>
  <c r="A1176" i="5"/>
  <c r="A1175" i="5"/>
  <c r="A1174" i="5"/>
  <c r="A1173" i="5"/>
  <c r="A1172" i="5"/>
  <c r="A1171" i="5"/>
  <c r="A1170" i="5"/>
  <c r="A1169" i="5"/>
  <c r="A1168" i="5"/>
  <c r="A1167" i="5"/>
  <c r="A1166" i="5"/>
  <c r="A1165" i="5"/>
  <c r="A1164" i="5"/>
  <c r="A1163" i="5"/>
  <c r="A1162" i="5"/>
  <c r="A1161" i="5"/>
  <c r="A1160" i="5"/>
  <c r="A1159" i="5"/>
  <c r="A1158" i="5"/>
  <c r="A1157" i="5"/>
  <c r="A1156" i="5"/>
  <c r="A1155" i="5"/>
  <c r="A1154" i="5"/>
  <c r="A1153" i="5"/>
  <c r="A1152" i="5"/>
  <c r="A1151" i="5"/>
  <c r="A1150" i="5"/>
  <c r="A1149" i="5"/>
  <c r="A1148" i="5"/>
  <c r="A1147" i="5"/>
  <c r="A1146" i="5"/>
  <c r="A1145" i="5"/>
  <c r="A1144" i="5"/>
  <c r="A1143" i="5"/>
  <c r="A1142" i="5"/>
  <c r="A1141" i="5"/>
  <c r="A1140" i="5"/>
  <c r="A1139" i="5"/>
  <c r="A1138" i="5"/>
  <c r="A1137" i="5"/>
  <c r="A1136" i="5"/>
  <c r="A1135" i="5"/>
  <c r="A1134" i="5"/>
  <c r="A1133" i="5"/>
  <c r="A1132" i="5"/>
  <c r="A1131" i="5"/>
  <c r="A1130" i="5"/>
  <c r="A1129" i="5"/>
  <c r="A1128" i="5"/>
  <c r="A1127" i="5"/>
  <c r="A1126" i="5"/>
  <c r="A1125" i="5"/>
  <c r="A1124" i="5"/>
  <c r="A1123" i="5"/>
  <c r="A1122" i="5"/>
  <c r="A1121" i="5"/>
  <c r="A1120" i="5"/>
  <c r="A1119" i="5"/>
  <c r="A1118" i="5"/>
  <c r="A1117" i="5"/>
  <c r="A1116" i="5"/>
  <c r="A1115" i="5"/>
  <c r="A1114" i="5"/>
  <c r="A1113" i="5"/>
  <c r="A1112" i="5"/>
  <c r="A1111" i="5"/>
  <c r="A1110" i="5"/>
  <c r="A1109" i="5"/>
  <c r="A1108" i="5"/>
  <c r="A1107" i="5"/>
  <c r="A1106" i="5"/>
  <c r="A1105" i="5"/>
  <c r="A1104" i="5"/>
  <c r="A1103" i="5"/>
  <c r="A1102" i="5"/>
  <c r="A1101" i="5"/>
  <c r="A1100" i="5"/>
  <c r="A1099" i="5"/>
  <c r="A1098" i="5"/>
  <c r="A1097" i="5"/>
  <c r="A1096" i="5"/>
  <c r="A1095" i="5"/>
  <c r="A1094" i="5"/>
  <c r="A1093" i="5"/>
  <c r="A1092" i="5"/>
  <c r="A1091" i="5"/>
  <c r="A1090" i="5"/>
  <c r="A1089" i="5"/>
  <c r="A1088" i="5"/>
  <c r="A1087" i="5"/>
  <c r="A1086" i="5"/>
  <c r="A1085" i="5"/>
  <c r="A1084" i="5"/>
  <c r="A1083" i="5"/>
  <c r="A1082" i="5"/>
  <c r="A1081" i="5"/>
  <c r="A1080" i="5"/>
  <c r="A1079" i="5"/>
  <c r="A1078" i="5"/>
  <c r="A1077" i="5"/>
  <c r="A1076" i="5"/>
  <c r="A1075" i="5"/>
  <c r="A1074" i="5"/>
  <c r="A1073" i="5"/>
  <c r="A1072" i="5"/>
  <c r="A1071" i="5"/>
  <c r="A1070" i="5"/>
  <c r="A1069" i="5"/>
  <c r="A1068" i="5"/>
  <c r="A1067" i="5"/>
  <c r="A1066" i="5"/>
  <c r="A1065" i="5"/>
  <c r="A1064" i="5"/>
  <c r="A1063" i="5"/>
  <c r="A1062" i="5"/>
  <c r="A1061" i="5"/>
  <c r="A1060" i="5"/>
  <c r="A1059" i="5"/>
  <c r="A1058" i="5"/>
  <c r="A1057" i="5"/>
  <c r="A1056" i="5"/>
  <c r="A1055" i="5"/>
  <c r="A1054" i="5"/>
  <c r="A1053" i="5"/>
  <c r="A1052" i="5"/>
  <c r="A1051" i="5"/>
  <c r="A1050" i="5"/>
  <c r="A1049" i="5"/>
  <c r="A1048" i="5"/>
  <c r="A1047" i="5"/>
  <c r="A1046" i="5"/>
  <c r="A1045" i="5"/>
  <c r="A1044" i="5"/>
  <c r="A1043" i="5"/>
  <c r="A1042" i="5"/>
  <c r="A1041" i="5"/>
  <c r="A1040" i="5"/>
  <c r="A1039" i="5"/>
  <c r="A1038" i="5"/>
  <c r="A1037" i="5"/>
  <c r="A1036" i="5"/>
  <c r="A1035" i="5"/>
  <c r="A1034" i="5"/>
  <c r="A1033" i="5"/>
  <c r="A1032" i="5"/>
  <c r="A1031" i="5"/>
  <c r="A1030" i="5"/>
  <c r="A1029" i="5"/>
  <c r="A1028" i="5"/>
  <c r="A1027" i="5"/>
  <c r="A1026" i="5"/>
  <c r="A1025" i="5"/>
  <c r="A1024" i="5"/>
  <c r="A1023" i="5"/>
  <c r="A1022" i="5"/>
  <c r="A1021" i="5"/>
  <c r="A1020" i="5"/>
  <c r="A1019" i="5"/>
  <c r="A1018" i="5"/>
  <c r="A1017" i="5"/>
  <c r="A1016" i="5"/>
  <c r="A1015" i="5"/>
  <c r="A1014" i="5"/>
  <c r="A1013" i="5"/>
  <c r="A1012" i="5"/>
  <c r="A1011" i="5"/>
  <c r="A1010" i="5"/>
  <c r="A1009" i="5"/>
  <c r="A1008" i="5"/>
  <c r="A1007" i="5"/>
  <c r="A1006" i="5"/>
  <c r="A1005" i="5"/>
  <c r="A1004" i="5"/>
  <c r="A1003" i="5"/>
  <c r="A1002" i="5"/>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B3" i="6"/>
  <c r="B4" i="6"/>
  <c r="B5" i="6"/>
  <c r="B6" i="6"/>
  <c r="B7" i="6"/>
  <c r="B8" i="6"/>
  <c r="B9" i="6"/>
  <c r="B10" i="6"/>
  <c r="B11" i="6"/>
  <c r="B12" i="6"/>
  <c r="B13" i="6"/>
  <c r="B14" i="6"/>
  <c r="B15" i="6"/>
  <c r="B16" i="6"/>
  <c r="B17" i="6"/>
  <c r="B18" i="6"/>
  <c r="B19" i="6"/>
  <c r="B20" i="6"/>
  <c r="B21" i="6"/>
  <c r="B22" i="6"/>
  <c r="B22" i="4" s="1"/>
  <c r="B23" i="6"/>
  <c r="B24" i="6"/>
  <c r="B24" i="4" s="1"/>
  <c r="B25" i="6"/>
  <c r="B26" i="6"/>
  <c r="B27" i="6"/>
  <c r="B28" i="6"/>
  <c r="B29" i="6"/>
  <c r="B30" i="6"/>
  <c r="B30" i="4" s="1"/>
  <c r="B31" i="6"/>
  <c r="B32" i="6"/>
  <c r="B33" i="6"/>
  <c r="B34" i="6"/>
  <c r="B35" i="6"/>
  <c r="B36" i="6"/>
  <c r="B37" i="6"/>
  <c r="B38" i="6"/>
  <c r="B38" i="4" s="1"/>
  <c r="B39" i="6"/>
  <c r="B39" i="4" s="1"/>
  <c r="B40" i="6"/>
  <c r="B41" i="6"/>
  <c r="B42" i="6"/>
  <c r="B42" i="4" s="1"/>
  <c r="B43" i="6"/>
  <c r="B44" i="6"/>
  <c r="B45" i="6"/>
  <c r="B46" i="6"/>
  <c r="B47" i="6"/>
  <c r="B48" i="6"/>
  <c r="B49" i="6"/>
  <c r="B50" i="6"/>
  <c r="B51" i="6"/>
  <c r="B52" i="6"/>
  <c r="B53" i="6"/>
  <c r="B54" i="6"/>
  <c r="B55" i="6"/>
  <c r="B56" i="6"/>
  <c r="B57" i="6"/>
  <c r="B58" i="6"/>
  <c r="B58" i="4" s="1"/>
  <c r="B59" i="6"/>
  <c r="B59" i="4" s="1"/>
  <c r="B60" i="6"/>
  <c r="B61" i="6"/>
  <c r="B62" i="6"/>
  <c r="B63" i="6"/>
  <c r="B64" i="6"/>
  <c r="B65" i="6"/>
  <c r="B66" i="6"/>
  <c r="B66" i="4" s="1"/>
  <c r="B67" i="6"/>
  <c r="B68" i="6"/>
  <c r="B69" i="6"/>
  <c r="B70" i="6"/>
  <c r="B71" i="6"/>
  <c r="B72" i="6"/>
  <c r="B72" i="4" s="1"/>
  <c r="B73" i="6"/>
  <c r="B74" i="6"/>
  <c r="B74" i="4" s="1"/>
  <c r="B75" i="6"/>
  <c r="B76" i="6"/>
  <c r="B77" i="6"/>
  <c r="B77" i="4" s="1"/>
  <c r="B78" i="6"/>
  <c r="B79" i="6"/>
  <c r="B80" i="6"/>
  <c r="B81" i="6"/>
  <c r="B82" i="6"/>
  <c r="B82" i="4" s="1"/>
  <c r="B83" i="6"/>
  <c r="B84" i="6"/>
  <c r="B85" i="6"/>
  <c r="B86" i="6"/>
  <c r="B87" i="6"/>
  <c r="B88" i="6"/>
  <c r="B89" i="6"/>
  <c r="B90" i="6"/>
  <c r="B90" i="4" s="1"/>
  <c r="B91" i="6"/>
  <c r="B91" i="4" s="1"/>
  <c r="B92" i="6"/>
  <c r="B93" i="6"/>
  <c r="B93" i="4" s="1"/>
  <c r="B94" i="6"/>
  <c r="B95" i="6"/>
  <c r="B96" i="6"/>
  <c r="B97" i="6"/>
  <c r="B98" i="6"/>
  <c r="B99" i="6"/>
  <c r="B100" i="6"/>
  <c r="B101" i="6"/>
  <c r="B102" i="6"/>
  <c r="B103" i="6"/>
  <c r="B104" i="6"/>
  <c r="B105" i="6"/>
  <c r="B105" i="4" s="1"/>
  <c r="B106" i="6"/>
  <c r="B107" i="6"/>
  <c r="B108" i="6"/>
  <c r="B109" i="6"/>
  <c r="B109" i="4" s="1"/>
  <c r="B110" i="6"/>
  <c r="B111" i="6"/>
  <c r="B111" i="4" s="1"/>
  <c r="B112" i="6"/>
  <c r="B113" i="6"/>
  <c r="B114" i="6"/>
  <c r="B115" i="6"/>
  <c r="B116" i="6"/>
  <c r="B117" i="6"/>
  <c r="B118" i="6"/>
  <c r="B119" i="6"/>
  <c r="B120" i="6"/>
  <c r="B121" i="6"/>
  <c r="B122" i="6"/>
  <c r="B122" i="4" s="1"/>
  <c r="B123" i="6"/>
  <c r="B123" i="4" s="1"/>
  <c r="B124" i="6"/>
  <c r="B125" i="6"/>
  <c r="B126" i="6"/>
  <c r="B127" i="6"/>
  <c r="B127" i="4" s="1"/>
  <c r="B128" i="6"/>
  <c r="B129" i="6"/>
  <c r="B130" i="6"/>
  <c r="B131" i="6"/>
  <c r="B132" i="6"/>
  <c r="B133" i="6"/>
  <c r="B134" i="6"/>
  <c r="B135" i="6"/>
  <c r="B136" i="6"/>
  <c r="B137" i="6"/>
  <c r="B138" i="6"/>
  <c r="B139" i="6"/>
  <c r="B139" i="4" s="1"/>
  <c r="B140" i="6"/>
  <c r="B141" i="6"/>
  <c r="B142" i="6"/>
  <c r="B142" i="4" s="1"/>
  <c r="B143" i="6"/>
  <c r="B144" i="6"/>
  <c r="B144" i="4" s="1"/>
  <c r="B145" i="6"/>
  <c r="B146" i="6"/>
  <c r="B147" i="6"/>
  <c r="B148" i="6"/>
  <c r="B149" i="6"/>
  <c r="B150" i="6"/>
  <c r="B150" i="4" s="1"/>
  <c r="B151" i="6"/>
  <c r="B152" i="6"/>
  <c r="B153" i="6"/>
  <c r="B154" i="6"/>
  <c r="B155" i="6"/>
  <c r="B155" i="4" s="1"/>
  <c r="B156" i="6"/>
  <c r="B157" i="6"/>
  <c r="B158" i="6"/>
  <c r="B158" i="4" s="1"/>
  <c r="B159" i="6"/>
  <c r="B160" i="6"/>
  <c r="B160" i="4" s="1"/>
  <c r="B161" i="6"/>
  <c r="B162" i="6"/>
  <c r="B163" i="6"/>
  <c r="B164" i="6"/>
  <c r="B165" i="6"/>
  <c r="B166" i="6"/>
  <c r="B166" i="4" s="1"/>
  <c r="B167" i="6"/>
  <c r="B168" i="6"/>
  <c r="B169" i="6"/>
  <c r="B170" i="6"/>
  <c r="B171" i="6"/>
  <c r="B172" i="6"/>
  <c r="B173" i="6"/>
  <c r="B174" i="6"/>
  <c r="B174" i="4" s="1"/>
  <c r="B175" i="6"/>
  <c r="B175" i="4" s="1"/>
  <c r="B176" i="6"/>
  <c r="B176" i="4" s="1"/>
  <c r="B177" i="6"/>
  <c r="B178" i="6"/>
  <c r="B179" i="6"/>
  <c r="B180" i="6"/>
  <c r="B181" i="6"/>
  <c r="B182" i="6"/>
  <c r="B183" i="6"/>
  <c r="B184" i="6"/>
  <c r="B185" i="6"/>
  <c r="B186" i="6"/>
  <c r="B187" i="6"/>
  <c r="B188" i="6"/>
  <c r="B189" i="6"/>
  <c r="B190" i="6"/>
  <c r="B190" i="4" s="1"/>
  <c r="B191" i="6"/>
  <c r="B192" i="6"/>
  <c r="B193" i="6"/>
  <c r="B194" i="6"/>
  <c r="B194" i="4" s="1"/>
  <c r="B195" i="6"/>
  <c r="B196" i="6"/>
  <c r="B197" i="6"/>
  <c r="B198" i="6"/>
  <c r="B199" i="6"/>
  <c r="B200" i="6"/>
  <c r="B201" i="6"/>
  <c r="B202" i="6"/>
  <c r="B203" i="6"/>
  <c r="B204" i="6"/>
  <c r="B205" i="6"/>
  <c r="B206" i="6"/>
  <c r="B206" i="4" s="1"/>
  <c r="B207" i="6"/>
  <c r="B208" i="6"/>
  <c r="B208" i="4" s="1"/>
  <c r="B209" i="6"/>
  <c r="B210" i="6"/>
  <c r="B210" i="4" s="1"/>
  <c r="B211" i="6"/>
  <c r="B212" i="6"/>
  <c r="B213" i="6"/>
  <c r="B214" i="6"/>
  <c r="B215" i="6"/>
  <c r="B216" i="6"/>
  <c r="B217" i="6"/>
  <c r="B218" i="6"/>
  <c r="B219" i="6"/>
  <c r="B220" i="6"/>
  <c r="B221" i="6"/>
  <c r="B222" i="6"/>
  <c r="B223" i="6"/>
  <c r="B224" i="6"/>
  <c r="B225" i="6"/>
  <c r="B226" i="6"/>
  <c r="B226" i="4" s="1"/>
  <c r="B227" i="6"/>
  <c r="B227" i="4" s="1"/>
  <c r="B228" i="6"/>
  <c r="B229" i="6"/>
  <c r="B230" i="6"/>
  <c r="B231" i="6"/>
  <c r="B232" i="6"/>
  <c r="B233" i="6"/>
  <c r="B234" i="6"/>
  <c r="B235" i="6"/>
  <c r="B236" i="6"/>
  <c r="B237" i="6"/>
  <c r="B238" i="6"/>
  <c r="B239" i="6"/>
  <c r="B239" i="4" s="1"/>
  <c r="B240" i="6"/>
  <c r="B241" i="6"/>
  <c r="B241" i="4" s="1"/>
  <c r="B242" i="6"/>
  <c r="B243" i="6"/>
  <c r="B244" i="6"/>
  <c r="B245" i="6"/>
  <c r="B245" i="4" s="1"/>
  <c r="B246" i="6"/>
  <c r="B247" i="6"/>
  <c r="B248" i="6"/>
  <c r="B249" i="6"/>
  <c r="B250" i="6"/>
  <c r="B251" i="6"/>
  <c r="B252" i="6"/>
  <c r="B253" i="6"/>
  <c r="B254" i="6"/>
  <c r="B255" i="6"/>
  <c r="B256" i="6"/>
  <c r="B257" i="6"/>
  <c r="B258" i="6"/>
  <c r="B258" i="4" s="1"/>
  <c r="B259" i="6"/>
  <c r="B259" i="4" s="1"/>
  <c r="B260" i="6"/>
  <c r="B261" i="6"/>
  <c r="B262" i="6"/>
  <c r="B263" i="6"/>
  <c r="B264" i="6"/>
  <c r="B265" i="6"/>
  <c r="B266" i="6"/>
  <c r="B267" i="6"/>
  <c r="B267" i="4" s="1"/>
  <c r="B268" i="6"/>
  <c r="B269" i="6"/>
  <c r="B270" i="6"/>
  <c r="B271" i="6"/>
  <c r="B272" i="6"/>
  <c r="B273" i="6"/>
  <c r="B273" i="4" s="1"/>
  <c r="B274" i="6"/>
  <c r="B275" i="6"/>
  <c r="B275" i="4" s="1"/>
  <c r="B276" i="6"/>
  <c r="B277" i="6"/>
  <c r="B278" i="6"/>
  <c r="B278" i="4" s="1"/>
  <c r="B279" i="6"/>
  <c r="B280" i="6"/>
  <c r="B281" i="6"/>
  <c r="B282" i="6"/>
  <c r="B283" i="6"/>
  <c r="B283" i="4" s="1"/>
  <c r="B284" i="6"/>
  <c r="B285" i="6"/>
  <c r="B286" i="6"/>
  <c r="B287" i="6"/>
  <c r="B288" i="6"/>
  <c r="B289" i="6"/>
  <c r="B290" i="6"/>
  <c r="B290" i="4" s="1"/>
  <c r="B291" i="6"/>
  <c r="B291" i="4" s="1"/>
  <c r="B292" i="6"/>
  <c r="B293" i="6"/>
  <c r="B294" i="6"/>
  <c r="B294" i="4" s="1"/>
  <c r="B295" i="6"/>
  <c r="B296" i="6"/>
  <c r="B297" i="6"/>
  <c r="B298" i="6"/>
  <c r="B299" i="6"/>
  <c r="B300" i="6"/>
  <c r="B301" i="6"/>
  <c r="B302" i="6"/>
  <c r="B303" i="6"/>
  <c r="B304" i="6"/>
  <c r="B305" i="6"/>
  <c r="B306" i="6"/>
  <c r="B306" i="4" s="1"/>
  <c r="B307" i="6"/>
  <c r="B308" i="6"/>
  <c r="B309" i="6"/>
  <c r="B310" i="6"/>
  <c r="B310" i="4" s="1"/>
  <c r="B311" i="6"/>
  <c r="B311" i="4" s="1"/>
  <c r="B312" i="6"/>
  <c r="B313" i="6"/>
  <c r="B314" i="6"/>
  <c r="B315" i="6"/>
  <c r="B316" i="6"/>
  <c r="B317" i="6"/>
  <c r="B318" i="6"/>
  <c r="B318" i="4" s="1"/>
  <c r="B319" i="6"/>
  <c r="B320" i="6"/>
  <c r="B321" i="6"/>
  <c r="B322" i="6"/>
  <c r="B323" i="6"/>
  <c r="B324" i="6"/>
  <c r="B325" i="6"/>
  <c r="B326" i="6"/>
  <c r="B327" i="6"/>
  <c r="B328" i="6"/>
  <c r="B328" i="4" s="1"/>
  <c r="B329" i="6"/>
  <c r="B330" i="6"/>
  <c r="B331" i="6"/>
  <c r="B332" i="6"/>
  <c r="B333" i="6"/>
  <c r="B334" i="6"/>
  <c r="B335" i="6"/>
  <c r="B336" i="6"/>
  <c r="B337" i="6"/>
  <c r="B338" i="6"/>
  <c r="B339" i="6"/>
  <c r="B340" i="6"/>
  <c r="B341" i="6"/>
  <c r="B341" i="4" s="1"/>
  <c r="B342" i="6"/>
  <c r="B342" i="4" s="1"/>
  <c r="B343" i="6"/>
  <c r="B343" i="4" s="1"/>
  <c r="B344" i="6"/>
  <c r="B345" i="6"/>
  <c r="B346" i="6"/>
  <c r="B347" i="6"/>
  <c r="B348" i="6"/>
  <c r="B349" i="6"/>
  <c r="B350" i="6"/>
  <c r="B351" i="6"/>
  <c r="B352" i="6"/>
  <c r="B353" i="6"/>
  <c r="B354" i="6"/>
  <c r="B355" i="6"/>
  <c r="B356" i="6"/>
  <c r="B357" i="6"/>
  <c r="B358" i="6"/>
  <c r="B359" i="6"/>
  <c r="B360" i="6"/>
  <c r="B361" i="6"/>
  <c r="B361" i="4" s="1"/>
  <c r="B362" i="6"/>
  <c r="B363" i="6"/>
  <c r="B364" i="6"/>
  <c r="B365" i="6"/>
  <c r="B366" i="6"/>
  <c r="B367" i="6"/>
  <c r="B368" i="6"/>
  <c r="B369" i="6"/>
  <c r="B370" i="6"/>
  <c r="B371" i="6"/>
  <c r="B372" i="6"/>
  <c r="B373" i="6"/>
  <c r="B374" i="6"/>
  <c r="B374" i="4" s="1"/>
  <c r="B375" i="6"/>
  <c r="B375" i="4" s="1"/>
  <c r="B376" i="6"/>
  <c r="B377" i="6"/>
  <c r="B377" i="4" s="1"/>
  <c r="B378" i="6"/>
  <c r="B379" i="6"/>
  <c r="B380" i="6"/>
  <c r="B381" i="6"/>
  <c r="B382" i="6"/>
  <c r="B383" i="6"/>
  <c r="B384" i="6"/>
  <c r="B385" i="6"/>
  <c r="B386" i="6"/>
  <c r="B387" i="6"/>
  <c r="B388" i="6"/>
  <c r="B389" i="6"/>
  <c r="B390" i="6"/>
  <c r="B391" i="6"/>
  <c r="B392" i="6"/>
  <c r="B393" i="6"/>
  <c r="B394" i="6"/>
  <c r="B394" i="4" s="1"/>
  <c r="B395" i="6"/>
  <c r="B396" i="6"/>
  <c r="B397" i="6"/>
  <c r="B398" i="6"/>
  <c r="B399" i="6"/>
  <c r="B400" i="6"/>
  <c r="B401" i="6"/>
  <c r="B402" i="6"/>
  <c r="B403" i="6"/>
  <c r="B404" i="6"/>
  <c r="B405" i="6"/>
  <c r="B406" i="6"/>
  <c r="B406" i="4" s="1"/>
  <c r="B407" i="6"/>
  <c r="B408" i="6"/>
  <c r="B409" i="6"/>
  <c r="B409" i="4" s="1"/>
  <c r="B410" i="6"/>
  <c r="B411" i="6"/>
  <c r="B411" i="4" s="1"/>
  <c r="B412" i="6"/>
  <c r="B413" i="6"/>
  <c r="B414" i="6"/>
  <c r="B415" i="6"/>
  <c r="B416" i="6"/>
  <c r="B417" i="6"/>
  <c r="B418" i="6"/>
  <c r="B419" i="6"/>
  <c r="B420" i="6"/>
  <c r="B421" i="6"/>
  <c r="B422" i="6"/>
  <c r="B423" i="6"/>
  <c r="B424" i="6"/>
  <c r="B425" i="6"/>
  <c r="B426" i="6"/>
  <c r="B427" i="6"/>
  <c r="B427" i="4" s="1"/>
  <c r="B428" i="6"/>
  <c r="B429" i="6"/>
  <c r="B430" i="6"/>
  <c r="B431" i="6"/>
  <c r="B432" i="6"/>
  <c r="B433" i="6"/>
  <c r="B434" i="6"/>
  <c r="B435" i="6"/>
  <c r="B436" i="6"/>
  <c r="B437" i="6"/>
  <c r="B438" i="6"/>
  <c r="B439" i="6"/>
  <c r="B440" i="6"/>
  <c r="B440" i="4" s="1"/>
  <c r="B441" i="6"/>
  <c r="B442" i="6"/>
  <c r="B442" i="4" s="1"/>
  <c r="B443" i="6"/>
  <c r="B444" i="6"/>
  <c r="B445" i="6"/>
  <c r="B446" i="6"/>
  <c r="B446" i="4" s="1"/>
  <c r="B447" i="6"/>
  <c r="B448" i="6"/>
  <c r="B449" i="6"/>
  <c r="B450" i="6"/>
  <c r="B451" i="6"/>
  <c r="B452" i="6"/>
  <c r="B453" i="6"/>
  <c r="B454" i="6"/>
  <c r="B455" i="6"/>
  <c r="B456" i="6"/>
  <c r="B457" i="6"/>
  <c r="B458" i="6"/>
  <c r="B459" i="6"/>
  <c r="B460" i="6"/>
  <c r="B461" i="6"/>
  <c r="B461" i="4" s="1"/>
  <c r="B462" i="6"/>
  <c r="B463" i="6"/>
  <c r="B464" i="6"/>
  <c r="B465" i="6"/>
  <c r="B466" i="6"/>
  <c r="B467" i="6"/>
  <c r="B468" i="6"/>
  <c r="B469" i="6"/>
  <c r="B470" i="6"/>
  <c r="B471" i="6"/>
  <c r="B472" i="6"/>
  <c r="B473" i="6"/>
  <c r="B474" i="6"/>
  <c r="B474" i="4" s="1"/>
  <c r="B475" i="6"/>
  <c r="B476" i="6"/>
  <c r="B477" i="6"/>
  <c r="B477" i="4" s="1"/>
  <c r="B478" i="6"/>
  <c r="B478" i="4" s="1"/>
  <c r="B479" i="6"/>
  <c r="B480" i="6"/>
  <c r="B481" i="6"/>
  <c r="B482" i="6"/>
  <c r="B483" i="6"/>
  <c r="B484" i="6"/>
  <c r="B485" i="6"/>
  <c r="B486" i="6"/>
  <c r="B487" i="6"/>
  <c r="B488" i="6"/>
  <c r="B489" i="6"/>
  <c r="B490" i="6"/>
  <c r="B491" i="6"/>
  <c r="B492" i="6"/>
  <c r="B493" i="6"/>
  <c r="B494" i="6"/>
  <c r="B495" i="6"/>
  <c r="B495" i="4" s="1"/>
  <c r="B496" i="6"/>
  <c r="B497" i="6"/>
  <c r="B498" i="6"/>
  <c r="B499" i="6"/>
  <c r="B500" i="6"/>
  <c r="B501" i="6"/>
  <c r="B502" i="6"/>
  <c r="B503" i="6"/>
  <c r="B504" i="6"/>
  <c r="B505" i="6"/>
  <c r="B506" i="6"/>
  <c r="B507" i="6"/>
  <c r="B507" i="4" s="1"/>
  <c r="B508" i="6"/>
  <c r="B509" i="6"/>
  <c r="B510" i="6"/>
  <c r="B510" i="4" s="1"/>
  <c r="B511" i="6"/>
  <c r="B512" i="6"/>
  <c r="B513" i="6"/>
  <c r="B514" i="6"/>
  <c r="B515" i="6"/>
  <c r="B516" i="6"/>
  <c r="B517" i="6"/>
  <c r="B518" i="6"/>
  <c r="B519" i="6"/>
  <c r="B520" i="6"/>
  <c r="B521" i="6"/>
  <c r="B522" i="6"/>
  <c r="B523" i="6"/>
  <c r="B524" i="6"/>
  <c r="B525" i="6"/>
  <c r="B526" i="6"/>
  <c r="B527" i="6"/>
  <c r="B528" i="6"/>
  <c r="B529" i="6"/>
  <c r="B529" i="4" s="1"/>
  <c r="B530" i="6"/>
  <c r="B531" i="6"/>
  <c r="B532" i="6"/>
  <c r="B533" i="6"/>
  <c r="B534" i="6"/>
  <c r="B535" i="6"/>
  <c r="B536" i="6"/>
  <c r="B537" i="6"/>
  <c r="B538" i="6"/>
  <c r="B539" i="6"/>
  <c r="B540" i="6"/>
  <c r="B541" i="6"/>
  <c r="B541" i="4" s="1"/>
  <c r="B542" i="6"/>
  <c r="B542" i="4" s="1"/>
  <c r="B543" i="6"/>
  <c r="B544" i="6"/>
  <c r="B544" i="4" s="1"/>
  <c r="B545" i="6"/>
  <c r="B546" i="6"/>
  <c r="B547" i="6"/>
  <c r="B548" i="6"/>
  <c r="B549" i="6"/>
  <c r="B550" i="6"/>
  <c r="B551" i="6"/>
  <c r="B552" i="6"/>
  <c r="B553" i="6"/>
  <c r="B554" i="6"/>
  <c r="B555" i="6"/>
  <c r="B556" i="6"/>
  <c r="B557" i="6"/>
  <c r="B558" i="6"/>
  <c r="B559" i="6"/>
  <c r="B560" i="6"/>
  <c r="B561" i="6"/>
  <c r="B561" i="4" s="1"/>
  <c r="B562" i="6"/>
  <c r="B563" i="6"/>
  <c r="B564" i="6"/>
  <c r="B565" i="6"/>
  <c r="B566" i="6"/>
  <c r="B567" i="6"/>
  <c r="B568" i="6"/>
  <c r="B569" i="6"/>
  <c r="B570" i="6"/>
  <c r="B571" i="6"/>
  <c r="B572" i="6"/>
  <c r="B573" i="6"/>
  <c r="B574" i="6"/>
  <c r="B574" i="4" s="1"/>
  <c r="B575" i="6"/>
  <c r="B576" i="6"/>
  <c r="B576" i="4" s="1"/>
  <c r="B577" i="6"/>
  <c r="B578" i="6"/>
  <c r="B578" i="4" s="1"/>
  <c r="B579" i="6"/>
  <c r="B580" i="6"/>
  <c r="B581" i="6"/>
  <c r="B582" i="6"/>
  <c r="B583" i="6"/>
  <c r="B584" i="6"/>
  <c r="B585" i="6"/>
  <c r="B586" i="6"/>
  <c r="B587" i="6"/>
  <c r="B588" i="6"/>
  <c r="B589" i="6"/>
  <c r="B590" i="6"/>
  <c r="B591" i="6"/>
  <c r="B592" i="6"/>
  <c r="B593" i="6"/>
  <c r="B594" i="6"/>
  <c r="B594" i="4" s="1"/>
  <c r="B595" i="6"/>
  <c r="B596" i="6"/>
  <c r="B597" i="6"/>
  <c r="B598" i="6"/>
  <c r="B599" i="6"/>
  <c r="B600" i="6"/>
  <c r="B601" i="6"/>
  <c r="B602" i="6"/>
  <c r="B603" i="6"/>
  <c r="B604" i="6"/>
  <c r="B605" i="6"/>
  <c r="B606" i="6"/>
  <c r="B607" i="6"/>
  <c r="B607" i="4" s="1"/>
  <c r="B608" i="6"/>
  <c r="B609" i="6"/>
  <c r="B610" i="6"/>
  <c r="B610" i="4" s="1"/>
  <c r="B611" i="6"/>
  <c r="B612" i="6"/>
  <c r="B613" i="6"/>
  <c r="B613" i="4" s="1"/>
  <c r="B614" i="6"/>
  <c r="B615" i="6"/>
  <c r="B616" i="6"/>
  <c r="B617" i="6"/>
  <c r="B618" i="6"/>
  <c r="B619" i="6"/>
  <c r="B620" i="6"/>
  <c r="B621" i="6"/>
  <c r="B622" i="6"/>
  <c r="B623" i="6"/>
  <c r="B624" i="6"/>
  <c r="B625" i="6"/>
  <c r="B626" i="6"/>
  <c r="B627" i="6"/>
  <c r="B628" i="6"/>
  <c r="B629" i="6"/>
  <c r="B629" i="4" s="1"/>
  <c r="B630" i="6"/>
  <c r="B631" i="6"/>
  <c r="B632" i="6"/>
  <c r="B633" i="6"/>
  <c r="B634" i="6"/>
  <c r="B635" i="6"/>
  <c r="B636" i="6"/>
  <c r="B637" i="6"/>
  <c r="B638" i="6"/>
  <c r="B639" i="6"/>
  <c r="B640" i="6"/>
  <c r="B641" i="6"/>
  <c r="B641" i="4" s="1"/>
  <c r="B642" i="6"/>
  <c r="B643" i="6"/>
  <c r="B643" i="4" s="1"/>
  <c r="B644" i="6"/>
  <c r="B645" i="6"/>
  <c r="B645" i="4" s="1"/>
  <c r="B646" i="6"/>
  <c r="B647" i="6"/>
  <c r="B648" i="6"/>
  <c r="B649" i="6"/>
  <c r="B650" i="6"/>
  <c r="B651" i="6"/>
  <c r="B652" i="6"/>
  <c r="B653" i="6"/>
  <c r="B654" i="6"/>
  <c r="B655" i="6"/>
  <c r="B656" i="6"/>
  <c r="B657" i="6"/>
  <c r="B658" i="6"/>
  <c r="B659" i="6"/>
  <c r="B660" i="6"/>
  <c r="B661" i="6"/>
  <c r="B662" i="6"/>
  <c r="B662" i="4" s="1"/>
  <c r="B663" i="6"/>
  <c r="B664" i="6"/>
  <c r="B665" i="6"/>
  <c r="B666" i="6"/>
  <c r="B667" i="6"/>
  <c r="B668" i="6"/>
  <c r="B669" i="6"/>
  <c r="B670" i="6"/>
  <c r="B671" i="6"/>
  <c r="B672" i="6"/>
  <c r="B673" i="6"/>
  <c r="B674" i="6"/>
  <c r="B675" i="6"/>
  <c r="B675" i="4" s="1"/>
  <c r="B676" i="6"/>
  <c r="B677" i="6"/>
  <c r="B677" i="4" s="1"/>
  <c r="B678" i="6"/>
  <c r="B678" i="4" s="1"/>
  <c r="B679" i="6"/>
  <c r="B680" i="6"/>
  <c r="B681" i="6"/>
  <c r="B682" i="6"/>
  <c r="B683" i="6"/>
  <c r="B684" i="6"/>
  <c r="B685" i="6"/>
  <c r="B686" i="6"/>
  <c r="B687" i="6"/>
  <c r="B688" i="6"/>
  <c r="B689" i="6"/>
  <c r="B690" i="6"/>
  <c r="B691" i="6"/>
  <c r="B692" i="6"/>
  <c r="B693" i="6"/>
  <c r="B694" i="6"/>
  <c r="B694" i="4" s="1"/>
  <c r="B695" i="6"/>
  <c r="B696" i="6"/>
  <c r="B697" i="6"/>
  <c r="B698" i="6"/>
  <c r="B699" i="6"/>
  <c r="B700" i="6"/>
  <c r="B701" i="6"/>
  <c r="B702" i="6"/>
  <c r="B703" i="6"/>
  <c r="B704" i="6"/>
  <c r="B704" i="4" s="1"/>
  <c r="B705" i="6"/>
  <c r="B705" i="4" s="1"/>
  <c r="B706" i="6"/>
  <c r="B707" i="6"/>
  <c r="B708" i="6"/>
  <c r="B708" i="4" s="1"/>
  <c r="B709" i="6"/>
  <c r="B710" i="6"/>
  <c r="B711" i="6"/>
  <c r="B712" i="6"/>
  <c r="B713" i="6"/>
  <c r="B714" i="6"/>
  <c r="B715" i="6"/>
  <c r="B716" i="6"/>
  <c r="B717" i="6"/>
  <c r="B718" i="6"/>
  <c r="B719" i="6"/>
  <c r="B720" i="6"/>
  <c r="B721" i="6"/>
  <c r="B722" i="6"/>
  <c r="B723" i="6"/>
  <c r="B723" i="4" s="1"/>
  <c r="B724" i="6"/>
  <c r="B725" i="6"/>
  <c r="B726" i="6"/>
  <c r="B727" i="6"/>
  <c r="B728" i="6"/>
  <c r="B729" i="6"/>
  <c r="B730" i="6"/>
  <c r="B731" i="6"/>
  <c r="B732" i="6"/>
  <c r="B733" i="6"/>
  <c r="B733" i="4" s="1"/>
  <c r="B734" i="6"/>
  <c r="B735" i="6"/>
  <c r="B735" i="4" s="1"/>
  <c r="B736" i="6"/>
  <c r="B737" i="6"/>
  <c r="B737" i="4" s="1"/>
  <c r="B738" i="6"/>
  <c r="B739" i="6"/>
  <c r="B740" i="6"/>
  <c r="B741" i="6"/>
  <c r="B742" i="6"/>
  <c r="B743" i="6"/>
  <c r="B744" i="6"/>
  <c r="B745" i="6"/>
  <c r="B746" i="6"/>
  <c r="B747" i="6"/>
  <c r="B748" i="6"/>
  <c r="B749" i="6"/>
  <c r="B750" i="6"/>
  <c r="B751" i="6"/>
  <c r="B751" i="4" s="1"/>
  <c r="B752" i="6"/>
  <c r="B753" i="6"/>
  <c r="B754" i="6"/>
  <c r="B755" i="6"/>
  <c r="B756" i="6"/>
  <c r="B757" i="6"/>
  <c r="B758" i="6"/>
  <c r="B759" i="6"/>
  <c r="B760" i="6"/>
  <c r="B761" i="6"/>
  <c r="B762" i="6"/>
  <c r="B763" i="6"/>
  <c r="B763" i="4" s="1"/>
  <c r="B764" i="6"/>
  <c r="B765" i="6"/>
  <c r="B765" i="4" s="1"/>
  <c r="B766" i="6"/>
  <c r="B767" i="6"/>
  <c r="B767" i="4" s="1"/>
  <c r="B768" i="6"/>
  <c r="B769" i="6"/>
  <c r="B770" i="6"/>
  <c r="B771" i="6"/>
  <c r="B772" i="6"/>
  <c r="B773" i="6"/>
  <c r="B774" i="6"/>
  <c r="B775" i="6"/>
  <c r="B776" i="6"/>
  <c r="B777" i="6"/>
  <c r="B778" i="6"/>
  <c r="B779" i="6"/>
  <c r="B780" i="6"/>
  <c r="B780" i="4" s="1"/>
  <c r="B781" i="6"/>
  <c r="B782" i="6"/>
  <c r="B783" i="6"/>
  <c r="B784" i="6"/>
  <c r="B785" i="6"/>
  <c r="B786" i="6"/>
  <c r="B787" i="6"/>
  <c r="B788" i="6"/>
  <c r="B789" i="6"/>
  <c r="B790" i="6"/>
  <c r="B790" i="4" s="1"/>
  <c r="B791" i="6"/>
  <c r="B792" i="6"/>
  <c r="B792" i="4" s="1"/>
  <c r="B793" i="6"/>
  <c r="B793" i="4" s="1"/>
  <c r="B794" i="6"/>
  <c r="B795" i="6"/>
  <c r="B796" i="6"/>
  <c r="B797" i="6"/>
  <c r="B798" i="6"/>
  <c r="B799" i="6"/>
  <c r="B800" i="6"/>
  <c r="B801" i="6"/>
  <c r="B802" i="6"/>
  <c r="B803" i="6"/>
  <c r="B804" i="6"/>
  <c r="B805" i="6"/>
  <c r="B806" i="6"/>
  <c r="B806" i="4" s="1"/>
  <c r="B807" i="6"/>
  <c r="B808" i="6"/>
  <c r="B809" i="6"/>
  <c r="B810" i="6"/>
  <c r="B811" i="6"/>
  <c r="B812" i="6"/>
  <c r="B813" i="6"/>
  <c r="B814" i="6"/>
  <c r="B815" i="6"/>
  <c r="B816" i="6"/>
  <c r="B816" i="4" s="1"/>
  <c r="B817" i="6"/>
  <c r="B817" i="4" s="1"/>
  <c r="B818" i="6"/>
  <c r="B818" i="4" s="1"/>
  <c r="B819" i="6"/>
  <c r="B820" i="6"/>
  <c r="B821" i="6"/>
  <c r="B822" i="6"/>
  <c r="B823" i="6"/>
  <c r="B824" i="6"/>
  <c r="B825" i="6"/>
  <c r="B826" i="6"/>
  <c r="B827" i="6"/>
  <c r="B828" i="6"/>
  <c r="B829" i="6"/>
  <c r="B830" i="6"/>
  <c r="B831" i="6"/>
  <c r="B832" i="6"/>
  <c r="B832" i="4" s="1"/>
  <c r="B833" i="6"/>
  <c r="B834" i="6"/>
  <c r="B835" i="6"/>
  <c r="B836" i="6"/>
  <c r="B837" i="6"/>
  <c r="B838" i="6"/>
  <c r="B839" i="6"/>
  <c r="B840" i="6"/>
  <c r="B841" i="6"/>
  <c r="B841" i="4" s="1"/>
  <c r="B842" i="6"/>
  <c r="B842" i="4" s="1"/>
  <c r="B843" i="6"/>
  <c r="B844" i="6"/>
  <c r="B844" i="4" s="1"/>
  <c r="B845" i="6"/>
  <c r="B846" i="6"/>
  <c r="B847" i="6"/>
  <c r="B848" i="6"/>
  <c r="B849" i="6"/>
  <c r="B850" i="6"/>
  <c r="B851" i="6"/>
  <c r="B852" i="6"/>
  <c r="B853" i="6"/>
  <c r="B854" i="6"/>
  <c r="B855" i="6"/>
  <c r="B856" i="6"/>
  <c r="B857" i="6"/>
  <c r="B857" i="4" s="1"/>
  <c r="B858" i="6"/>
  <c r="B859" i="6"/>
  <c r="B860" i="6"/>
  <c r="B861" i="6"/>
  <c r="B862" i="6"/>
  <c r="B863" i="6"/>
  <c r="B864" i="6"/>
  <c r="B864" i="4" s="1"/>
  <c r="B865" i="6"/>
  <c r="B865" i="4" s="1"/>
  <c r="B866" i="6"/>
  <c r="B866" i="4" s="1"/>
  <c r="B867" i="6"/>
  <c r="B868" i="6"/>
  <c r="B869" i="6"/>
  <c r="B870" i="6"/>
  <c r="B871" i="6"/>
  <c r="B872" i="6"/>
  <c r="B873" i="6"/>
  <c r="B874" i="6"/>
  <c r="B875" i="6"/>
  <c r="B875" i="4" s="1"/>
  <c r="B876" i="6"/>
  <c r="B877" i="6"/>
  <c r="B878" i="6"/>
  <c r="B879" i="6"/>
  <c r="B880" i="6"/>
  <c r="B881" i="6"/>
  <c r="B882" i="6"/>
  <c r="B882" i="4" s="1"/>
  <c r="B883" i="6"/>
  <c r="B883" i="4" s="1"/>
  <c r="B884" i="6"/>
  <c r="B884" i="4" s="1"/>
  <c r="B885" i="6"/>
  <c r="B886" i="6"/>
  <c r="B887" i="6"/>
  <c r="B888" i="6"/>
  <c r="B889" i="6"/>
  <c r="B890" i="6"/>
  <c r="B891" i="6"/>
  <c r="B892" i="6"/>
  <c r="B893" i="6"/>
  <c r="B893" i="4" s="1"/>
  <c r="B894" i="6"/>
  <c r="B895" i="6"/>
  <c r="B896" i="6"/>
  <c r="B897" i="6"/>
  <c r="B898" i="6"/>
  <c r="B899" i="6"/>
  <c r="B900" i="6"/>
  <c r="B900" i="4" s="1"/>
  <c r="B901" i="6"/>
  <c r="B901" i="4" s="1"/>
  <c r="B902" i="6"/>
  <c r="B902" i="4" s="1"/>
  <c r="B903" i="6"/>
  <c r="B904" i="6"/>
  <c r="B905" i="6"/>
  <c r="B906" i="6"/>
  <c r="B907" i="6"/>
  <c r="B908" i="6"/>
  <c r="B909" i="6"/>
  <c r="B910" i="6"/>
  <c r="B911" i="6"/>
  <c r="B912" i="6"/>
  <c r="B912" i="4" s="1"/>
  <c r="B913" i="6"/>
  <c r="B914" i="6"/>
  <c r="B915" i="6"/>
  <c r="B916" i="6"/>
  <c r="B917" i="6"/>
  <c r="B918" i="6"/>
  <c r="B918" i="4" s="1"/>
  <c r="B919" i="6"/>
  <c r="B920" i="6"/>
  <c r="B920" i="4" s="1"/>
  <c r="B921" i="6"/>
  <c r="B921" i="4" s="1"/>
  <c r="B922" i="6"/>
  <c r="B923" i="6"/>
  <c r="B924" i="6"/>
  <c r="B925" i="6"/>
  <c r="B926" i="6"/>
  <c r="B927" i="6"/>
  <c r="B928" i="6"/>
  <c r="B929" i="6"/>
  <c r="B930" i="6"/>
  <c r="B930" i="4" s="1"/>
  <c r="B931" i="6"/>
  <c r="B932" i="6"/>
  <c r="B933" i="6"/>
  <c r="B934" i="6"/>
  <c r="B935" i="6"/>
  <c r="B936" i="6"/>
  <c r="B937" i="6"/>
  <c r="B937" i="4" s="1"/>
  <c r="B938" i="6"/>
  <c r="B938" i="4" s="1"/>
  <c r="B939" i="6"/>
  <c r="B939" i="4" s="1"/>
  <c r="B940" i="6"/>
  <c r="B941" i="6"/>
  <c r="B942" i="6"/>
  <c r="B943" i="6"/>
  <c r="B944" i="6"/>
  <c r="B945" i="6"/>
  <c r="B946" i="6"/>
  <c r="B947" i="6"/>
  <c r="B948" i="6"/>
  <c r="B948" i="4" s="1"/>
  <c r="B949" i="6"/>
  <c r="B950" i="6"/>
  <c r="B951" i="6"/>
  <c r="B952" i="6"/>
  <c r="B953" i="6"/>
  <c r="B954" i="6"/>
  <c r="B955" i="6"/>
  <c r="B955" i="4" s="1"/>
  <c r="B956" i="6"/>
  <c r="B956" i="4" s="1"/>
  <c r="B957" i="6"/>
  <c r="B957" i="4" s="1"/>
  <c r="B958" i="6"/>
  <c r="B959" i="6"/>
  <c r="B960" i="6"/>
  <c r="B961" i="6"/>
  <c r="B962" i="6"/>
  <c r="B963" i="6"/>
  <c r="B964" i="6"/>
  <c r="B965" i="6"/>
  <c r="B966" i="6"/>
  <c r="B966" i="4" s="1"/>
  <c r="B967" i="6"/>
  <c r="B968" i="6"/>
  <c r="B969" i="6"/>
  <c r="B970" i="6"/>
  <c r="B971" i="6"/>
  <c r="B972" i="6"/>
  <c r="B973" i="6"/>
  <c r="B973" i="4" s="1"/>
  <c r="B974" i="6"/>
  <c r="B974" i="4" s="1"/>
  <c r="B975" i="6"/>
  <c r="B976" i="6"/>
  <c r="B976" i="4" s="1"/>
  <c r="B977" i="6"/>
  <c r="B978" i="6"/>
  <c r="B979" i="6"/>
  <c r="B980" i="6"/>
  <c r="B981" i="6"/>
  <c r="B982" i="6"/>
  <c r="B983" i="6"/>
  <c r="B984" i="6"/>
  <c r="B985" i="6"/>
  <c r="B985" i="4" s="1"/>
  <c r="B986" i="6"/>
  <c r="B987" i="6"/>
  <c r="B988" i="6"/>
  <c r="B989" i="6"/>
  <c r="B990" i="6"/>
  <c r="B991" i="6"/>
  <c r="B992" i="6"/>
  <c r="B992" i="4" s="1"/>
  <c r="B993" i="6"/>
  <c r="B993" i="4" s="1"/>
  <c r="B994" i="6"/>
  <c r="B994" i="4" s="1"/>
  <c r="B995" i="6"/>
  <c r="B996" i="6"/>
  <c r="B997" i="6"/>
  <c r="B998" i="6"/>
  <c r="B999" i="6"/>
  <c r="B1000" i="6"/>
  <c r="B1001" i="6"/>
  <c r="B1002" i="6"/>
  <c r="B1003" i="6"/>
  <c r="B1003" i="4" s="1"/>
  <c r="B1004" i="6"/>
  <c r="B1005" i="6"/>
  <c r="B1006" i="6"/>
  <c r="B1007" i="6"/>
  <c r="B1008" i="6"/>
  <c r="B1009" i="6"/>
  <c r="B1010" i="6"/>
  <c r="B1010" i="4" s="1"/>
  <c r="B1011" i="6"/>
  <c r="B1011" i="4" s="1"/>
  <c r="B1012" i="6"/>
  <c r="B1012" i="4" s="1"/>
  <c r="B1013" i="6"/>
  <c r="B1014" i="6"/>
  <c r="B1015" i="6"/>
  <c r="B1016" i="6"/>
  <c r="B1017" i="6"/>
  <c r="B1018" i="6"/>
  <c r="B1019" i="6"/>
  <c r="B1020" i="6"/>
  <c r="B1021" i="6"/>
  <c r="B1022" i="6"/>
  <c r="B1023" i="6"/>
  <c r="B1024" i="6"/>
  <c r="B1025" i="6"/>
  <c r="B1026" i="6"/>
  <c r="B1027" i="6"/>
  <c r="B1028" i="6"/>
  <c r="B1028" i="4" s="1"/>
  <c r="B1029" i="6"/>
  <c r="B1029" i="4" s="1"/>
  <c r="B1030" i="6"/>
  <c r="B1030" i="4" s="1"/>
  <c r="B1031" i="6"/>
  <c r="B1032" i="6"/>
  <c r="B1033" i="6"/>
  <c r="B1034" i="6"/>
  <c r="B1035" i="6"/>
  <c r="B1036" i="6"/>
  <c r="B1037" i="6"/>
  <c r="B1038" i="6"/>
  <c r="B1039" i="6"/>
  <c r="B1040" i="6"/>
  <c r="B1040" i="4" s="1"/>
  <c r="B1041" i="6"/>
  <c r="B1042" i="6"/>
  <c r="B1043" i="6"/>
  <c r="B1044" i="6"/>
  <c r="B1045" i="6"/>
  <c r="B1046" i="6"/>
  <c r="B1046" i="4" s="1"/>
  <c r="B1047" i="6"/>
  <c r="B1048" i="6"/>
  <c r="B1048" i="4" s="1"/>
  <c r="B1049" i="6"/>
  <c r="B1049" i="4" s="1"/>
  <c r="B1050" i="6"/>
  <c r="B1051" i="6"/>
  <c r="B1052" i="6"/>
  <c r="B1053" i="6"/>
  <c r="B1054" i="6"/>
  <c r="B1055" i="6"/>
  <c r="B1056" i="6"/>
  <c r="B1057" i="6"/>
  <c r="B1058" i="6"/>
  <c r="B1058" i="4" s="1"/>
  <c r="B1059" i="6"/>
  <c r="B1060" i="6"/>
  <c r="B1061" i="6"/>
  <c r="B1062" i="6"/>
  <c r="B1063" i="6"/>
  <c r="B1064" i="6"/>
  <c r="B1065" i="6"/>
  <c r="B1065" i="4" s="1"/>
  <c r="B1066" i="6"/>
  <c r="B1066" i="4" s="1"/>
  <c r="B1067" i="6"/>
  <c r="B1067" i="4" s="1"/>
  <c r="B1068" i="6"/>
  <c r="B1069" i="6"/>
  <c r="B1070" i="6"/>
  <c r="B1071" i="6"/>
  <c r="B1072" i="6"/>
  <c r="B1073" i="6"/>
  <c r="B1074" i="6"/>
  <c r="B1075" i="6"/>
  <c r="B1076" i="6"/>
  <c r="B1076" i="4" s="1"/>
  <c r="B1077" i="6"/>
  <c r="B1078" i="6"/>
  <c r="B1079" i="6"/>
  <c r="B1080" i="6"/>
  <c r="B1081" i="6"/>
  <c r="B1082" i="6"/>
  <c r="B1083" i="6"/>
  <c r="B1083" i="4" s="1"/>
  <c r="B1084" i="6"/>
  <c r="B1084" i="4" s="1"/>
  <c r="B1085" i="6"/>
  <c r="B1085" i="4" s="1"/>
  <c r="B1086" i="6"/>
  <c r="B1087" i="6"/>
  <c r="B1088" i="6"/>
  <c r="B1089" i="6"/>
  <c r="B1090" i="6"/>
  <c r="B1091" i="6"/>
  <c r="B1092" i="6"/>
  <c r="B1093" i="6"/>
  <c r="B1094" i="6"/>
  <c r="B1094" i="4" s="1"/>
  <c r="B1095" i="6"/>
  <c r="B1096" i="6"/>
  <c r="B1097" i="6"/>
  <c r="B1098" i="6"/>
  <c r="B1099" i="6"/>
  <c r="B1100" i="6"/>
  <c r="B1101" i="6"/>
  <c r="B1101" i="4" s="1"/>
  <c r="B1102" i="6"/>
  <c r="B1102" i="4" s="1"/>
  <c r="B1103" i="6"/>
  <c r="B1104" i="6"/>
  <c r="B1104" i="4" s="1"/>
  <c r="B1105" i="6"/>
  <c r="B1106" i="6"/>
  <c r="B1107" i="6"/>
  <c r="B1108" i="6"/>
  <c r="B1109" i="6"/>
  <c r="B1110" i="6"/>
  <c r="B1111" i="6"/>
  <c r="B1112" i="6"/>
  <c r="B1113" i="6"/>
  <c r="B1113" i="4" s="1"/>
  <c r="B1114" i="6"/>
  <c r="B1115" i="6"/>
  <c r="B1116" i="6"/>
  <c r="B1117" i="6"/>
  <c r="B1118" i="6"/>
  <c r="B1119" i="6"/>
  <c r="B1120" i="6"/>
  <c r="B1120" i="4" s="1"/>
  <c r="B1121" i="6"/>
  <c r="B1121" i="4" s="1"/>
  <c r="B1122" i="6"/>
  <c r="B1122" i="4" s="1"/>
  <c r="B1123" i="6"/>
  <c r="B1124" i="6"/>
  <c r="B1125" i="6"/>
  <c r="B1126" i="6"/>
  <c r="B1127" i="6"/>
  <c r="B1128" i="6"/>
  <c r="B1129" i="6"/>
  <c r="B1130" i="6"/>
  <c r="B1130" i="4" s="1"/>
  <c r="B1131" i="6"/>
  <c r="B1132" i="6"/>
  <c r="B1133" i="6"/>
  <c r="B1134" i="6"/>
  <c r="B1135" i="6"/>
  <c r="B1136" i="6"/>
  <c r="B1136" i="4" s="1"/>
  <c r="B1137" i="6"/>
  <c r="B1137" i="4" s="1"/>
  <c r="B1138" i="6"/>
  <c r="B1138" i="4" s="1"/>
  <c r="B1139" i="6"/>
  <c r="B1140" i="6"/>
  <c r="B1141" i="6"/>
  <c r="B1142" i="6"/>
  <c r="B1143" i="6"/>
  <c r="B1144" i="6"/>
  <c r="B1145" i="6"/>
  <c r="B1146" i="6"/>
  <c r="B1146" i="4" s="1"/>
  <c r="B1147" i="6"/>
  <c r="B1148" i="6"/>
  <c r="B1149" i="6"/>
  <c r="B1150" i="6"/>
  <c r="B1150" i="4" s="1"/>
  <c r="B1151" i="6"/>
  <c r="B1152" i="6"/>
  <c r="B1152" i="4" s="1"/>
  <c r="B1153" i="6"/>
  <c r="B1153" i="4" s="1"/>
  <c r="B1154" i="6"/>
  <c r="B1155" i="6"/>
  <c r="B1156" i="6"/>
  <c r="B1157" i="6"/>
  <c r="B1158" i="6"/>
  <c r="B1159" i="6"/>
  <c r="B1160" i="6"/>
  <c r="B1160" i="4" s="1"/>
  <c r="B1161" i="6"/>
  <c r="B1162" i="6"/>
  <c r="B1162" i="4" s="1"/>
  <c r="B1163" i="6"/>
  <c r="B1164" i="6"/>
  <c r="B1165" i="6"/>
  <c r="B1165" i="4" s="1"/>
  <c r="B1166" i="6"/>
  <c r="B1166" i="4" s="1"/>
  <c r="B1167" i="6"/>
  <c r="B1168" i="6"/>
  <c r="B1169" i="6"/>
  <c r="B1170" i="6"/>
  <c r="B1171" i="6"/>
  <c r="B1172" i="6"/>
  <c r="B1173" i="6"/>
  <c r="B1173" i="4" s="1"/>
  <c r="B1174" i="6"/>
  <c r="B1175" i="6"/>
  <c r="B1176" i="6"/>
  <c r="B1176" i="4" s="1"/>
  <c r="B1177" i="6"/>
  <c r="B1177" i="4" s="1"/>
  <c r="B1178" i="6"/>
  <c r="B1178" i="4" s="1"/>
  <c r="B1179" i="6"/>
  <c r="B1180" i="6"/>
  <c r="B1181" i="6"/>
  <c r="B1182" i="6"/>
  <c r="B1183" i="6"/>
  <c r="B1184" i="6"/>
  <c r="B1185" i="6"/>
  <c r="B1185" i="4" s="1"/>
  <c r="B1186" i="6"/>
  <c r="B1187" i="6"/>
  <c r="B1188" i="6"/>
  <c r="B1189" i="6"/>
  <c r="B1189" i="4" s="1"/>
  <c r="B1190" i="6"/>
  <c r="B1190" i="4" s="1"/>
  <c r="B1191" i="6"/>
  <c r="B1192" i="6"/>
  <c r="B1192" i="4" s="1"/>
  <c r="B1193" i="6"/>
  <c r="B1194" i="6"/>
  <c r="B1195" i="6"/>
  <c r="B1196" i="6"/>
  <c r="B1197" i="6"/>
  <c r="B1198" i="6"/>
  <c r="B1198" i="4" s="1"/>
  <c r="B1199" i="6"/>
  <c r="B1200" i="6"/>
  <c r="B1201" i="6"/>
  <c r="B1201" i="4" s="1"/>
  <c r="B1202" i="6"/>
  <c r="B1202" i="4" s="1"/>
  <c r="B1203" i="6"/>
  <c r="B1204" i="6"/>
  <c r="B1205" i="6"/>
  <c r="B1205" i="4" s="1"/>
  <c r="B1206" i="6"/>
  <c r="B1207" i="6"/>
  <c r="B1208" i="6"/>
  <c r="B1209" i="6"/>
  <c r="B1210" i="6"/>
  <c r="B1210" i="4" s="1"/>
  <c r="B1211" i="6"/>
  <c r="B1212" i="6"/>
  <c r="B1213" i="6"/>
  <c r="B1214" i="6"/>
  <c r="B1214" i="4" s="1"/>
  <c r="B1215" i="6"/>
  <c r="B1216" i="6"/>
  <c r="B1216" i="4" s="1"/>
  <c r="B1217" i="6"/>
  <c r="B1217" i="4" s="1"/>
  <c r="B1218" i="6"/>
  <c r="B1219" i="6"/>
  <c r="B1220" i="6"/>
  <c r="B1221" i="6"/>
  <c r="B1222" i="6"/>
  <c r="B1223" i="6"/>
  <c r="B1224" i="6"/>
  <c r="B1224" i="4" s="1"/>
  <c r="B1225" i="6"/>
  <c r="B1226" i="6"/>
  <c r="B1226" i="4" s="1"/>
  <c r="B1227" i="6"/>
  <c r="B1228" i="6"/>
  <c r="B1229" i="6"/>
  <c r="B1229" i="4" s="1"/>
  <c r="B1230" i="6"/>
  <c r="B1230" i="4" s="1"/>
  <c r="B1231" i="6"/>
  <c r="B1232" i="6"/>
  <c r="B1233" i="6"/>
  <c r="B1234" i="6"/>
  <c r="B1235" i="6"/>
  <c r="B1236" i="6"/>
  <c r="B1237" i="6"/>
  <c r="B1237" i="4" s="1"/>
  <c r="B1238" i="6"/>
  <c r="B1239" i="6"/>
  <c r="B1240" i="6"/>
  <c r="B1240" i="4" s="1"/>
  <c r="B1241" i="6"/>
  <c r="B1241" i="4" s="1"/>
  <c r="B1242" i="6"/>
  <c r="B1242" i="4" s="1"/>
  <c r="B1243" i="6"/>
  <c r="B1244" i="6"/>
  <c r="B1245" i="6"/>
  <c r="B1246" i="6"/>
  <c r="B1247" i="6"/>
  <c r="B1248" i="6"/>
  <c r="B1249" i="6"/>
  <c r="B1249" i="4" s="1"/>
  <c r="B1250" i="6"/>
  <c r="B1251" i="6"/>
  <c r="B1252" i="6"/>
  <c r="B1253" i="6"/>
  <c r="B1253" i="4" s="1"/>
  <c r="B1254" i="6"/>
  <c r="B1254" i="4" s="1"/>
  <c r="B1255" i="6"/>
  <c r="B1256" i="6"/>
  <c r="B1256" i="4" s="1"/>
  <c r="B1257" i="6"/>
  <c r="B1258" i="6"/>
  <c r="B1259" i="6"/>
  <c r="B1260" i="6"/>
  <c r="B1261" i="6"/>
  <c r="B1262" i="6"/>
  <c r="B1262" i="4" s="1"/>
  <c r="B1263" i="6"/>
  <c r="B1264" i="6"/>
  <c r="B1265" i="6"/>
  <c r="B1265" i="4" s="1"/>
  <c r="B1266" i="6"/>
  <c r="B1266" i="4" s="1"/>
  <c r="B1267" i="6"/>
  <c r="B1268" i="6"/>
  <c r="B1269" i="6"/>
  <c r="B1269" i="4" s="1"/>
  <c r="B1270" i="6"/>
  <c r="B1271" i="6"/>
  <c r="B1272" i="6"/>
  <c r="B1273" i="6"/>
  <c r="B1274" i="6"/>
  <c r="B1274" i="4" s="1"/>
  <c r="B1275" i="6"/>
  <c r="B1276" i="6"/>
  <c r="B1277" i="6"/>
  <c r="B1278" i="6"/>
  <c r="B1278" i="4" s="1"/>
  <c r="B1279" i="6"/>
  <c r="B1280" i="6"/>
  <c r="B1280" i="4" s="1"/>
  <c r="B1281" i="6"/>
  <c r="B1281" i="4" s="1"/>
  <c r="B1282" i="6"/>
  <c r="B1283" i="6"/>
  <c r="B1284" i="6"/>
  <c r="B1285" i="6"/>
  <c r="B1286" i="6"/>
  <c r="B1287" i="6"/>
  <c r="B1288" i="6"/>
  <c r="B1288" i="4" s="1"/>
  <c r="B1289" i="6"/>
  <c r="B1290" i="6"/>
  <c r="B1290" i="4" s="1"/>
  <c r="B1291" i="6"/>
  <c r="B1292" i="6"/>
  <c r="B1293" i="6"/>
  <c r="B1293" i="4" s="1"/>
  <c r="B1294" i="6"/>
  <c r="B1294" i="4" s="1"/>
  <c r="B1295" i="6"/>
  <c r="B1296" i="6"/>
  <c r="B1297" i="6"/>
  <c r="B1298" i="6"/>
  <c r="B1299" i="6"/>
  <c r="B1300" i="6"/>
  <c r="B1301" i="6"/>
  <c r="B1301" i="4" s="1"/>
  <c r="B1302" i="6"/>
  <c r="B1303" i="6"/>
  <c r="B1304" i="6"/>
  <c r="B1304" i="4" s="1"/>
  <c r="B1305" i="6"/>
  <c r="B1305" i="4" s="1"/>
  <c r="B1306" i="6"/>
  <c r="B1306" i="4" s="1"/>
  <c r="B1307" i="6"/>
  <c r="B1308" i="6"/>
  <c r="B1309" i="6"/>
  <c r="B1310" i="6"/>
  <c r="B1311" i="6"/>
  <c r="B1312" i="6"/>
  <c r="B1313" i="6"/>
  <c r="B1313" i="4" s="1"/>
  <c r="B1314" i="6"/>
  <c r="B1315" i="6"/>
  <c r="B1316" i="6"/>
  <c r="B1317" i="6"/>
  <c r="B1317" i="4" s="1"/>
  <c r="B1318" i="6"/>
  <c r="B1318" i="4" s="1"/>
  <c r="B1319" i="6"/>
  <c r="B1320" i="6"/>
  <c r="B1320" i="4" s="1"/>
  <c r="B1321" i="6"/>
  <c r="B1322" i="6"/>
  <c r="B1323" i="6"/>
  <c r="B1324" i="6"/>
  <c r="B1325" i="6"/>
  <c r="B1326" i="6"/>
  <c r="B1326" i="4" s="1"/>
  <c r="B1327" i="6"/>
  <c r="B1328" i="6"/>
  <c r="B1329" i="6"/>
  <c r="B1329" i="4" s="1"/>
  <c r="B1330" i="6"/>
  <c r="B1330" i="4" s="1"/>
  <c r="B1331" i="6"/>
  <c r="B1332" i="6"/>
  <c r="B1333" i="6"/>
  <c r="B1333" i="4" s="1"/>
  <c r="B1334" i="6"/>
  <c r="B1335" i="6"/>
  <c r="B1336" i="6"/>
  <c r="B1337" i="6"/>
  <c r="B1338" i="6"/>
  <c r="B1338" i="4" s="1"/>
  <c r="B1339" i="6"/>
  <c r="B1340" i="6"/>
  <c r="B1341" i="6"/>
  <c r="B1342" i="6"/>
  <c r="B1342" i="4" s="1"/>
  <c r="B1343" i="6"/>
  <c r="B1344" i="6"/>
  <c r="B1344" i="4" s="1"/>
  <c r="B1345" i="6"/>
  <c r="B1345" i="4" s="1"/>
  <c r="B1346" i="6"/>
  <c r="B1347" i="6"/>
  <c r="B1348" i="6"/>
  <c r="B1349" i="6"/>
  <c r="B1350" i="6"/>
  <c r="B1351" i="6"/>
  <c r="B1352" i="6"/>
  <c r="B1352" i="4" s="1"/>
  <c r="B1353" i="6"/>
  <c r="B1354" i="6"/>
  <c r="B1354" i="4" s="1"/>
  <c r="B1355" i="6"/>
  <c r="B1356" i="6"/>
  <c r="B1357" i="6"/>
  <c r="B1357" i="4" s="1"/>
  <c r="B1358" i="6"/>
  <c r="B1358" i="4" s="1"/>
  <c r="B1359" i="6"/>
  <c r="B1360" i="6"/>
  <c r="B1361" i="6"/>
  <c r="B1362" i="6"/>
  <c r="B1363" i="6"/>
  <c r="B1364" i="6"/>
  <c r="B1365" i="6"/>
  <c r="B1365" i="4" s="1"/>
  <c r="B1366" i="6"/>
  <c r="B1367" i="6"/>
  <c r="B1368" i="6"/>
  <c r="B1368" i="4" s="1"/>
  <c r="B1369" i="6"/>
  <c r="B1369" i="4" s="1"/>
  <c r="B1370" i="6"/>
  <c r="B1370" i="4" s="1"/>
  <c r="B1371" i="6"/>
  <c r="B1372" i="6"/>
  <c r="B1373" i="6"/>
  <c r="B1374" i="6"/>
  <c r="B1375" i="6"/>
  <c r="B1376" i="6"/>
  <c r="B1377" i="6"/>
  <c r="B1377" i="4" s="1"/>
  <c r="B1378" i="6"/>
  <c r="B1379" i="6"/>
  <c r="B1380" i="6"/>
  <c r="B1381" i="6"/>
  <c r="B1381" i="4" s="1"/>
  <c r="B1382" i="6"/>
  <c r="B1382" i="4" s="1"/>
  <c r="B1383" i="6"/>
  <c r="B1384" i="6"/>
  <c r="B1384" i="4" s="1"/>
  <c r="B1385" i="6"/>
  <c r="B1386" i="6"/>
  <c r="B1387" i="6"/>
  <c r="B1388" i="6"/>
  <c r="B1389" i="6"/>
  <c r="B1390" i="6"/>
  <c r="B1390" i="4" s="1"/>
  <c r="B1391" i="6"/>
  <c r="B1392" i="6"/>
  <c r="B1393" i="6"/>
  <c r="B1393" i="4" s="1"/>
  <c r="B1394" i="6"/>
  <c r="B1394" i="4" s="1"/>
  <c r="B1395" i="6"/>
  <c r="B1396" i="6"/>
  <c r="B1397" i="6"/>
  <c r="B1397" i="4" s="1"/>
  <c r="B1398" i="6"/>
  <c r="B1399" i="6"/>
  <c r="B1400" i="6"/>
  <c r="B1401" i="6"/>
  <c r="B1402" i="6"/>
  <c r="B1402" i="4" s="1"/>
  <c r="B1403" i="6"/>
  <c r="B1404" i="6"/>
  <c r="B1405" i="6"/>
  <c r="B1406" i="6"/>
  <c r="B1406" i="4" s="1"/>
  <c r="B1407" i="6"/>
  <c r="B1408" i="6"/>
  <c r="B1408" i="4" s="1"/>
  <c r="B1409" i="6"/>
  <c r="B1409" i="4" s="1"/>
  <c r="B1410" i="6"/>
  <c r="B1411" i="6"/>
  <c r="B1412" i="6"/>
  <c r="B1413" i="6"/>
  <c r="B1414" i="6"/>
  <c r="B1415" i="6"/>
  <c r="B1416" i="6"/>
  <c r="B1416" i="4" s="1"/>
  <c r="B1417" i="6"/>
  <c r="B1418" i="6"/>
  <c r="B1418" i="4" s="1"/>
  <c r="B1419" i="6"/>
  <c r="B1420" i="6"/>
  <c r="B1421" i="6"/>
  <c r="B1421" i="4" s="1"/>
  <c r="B1422" i="6"/>
  <c r="B1422" i="4" s="1"/>
  <c r="B1423" i="6"/>
  <c r="B1424" i="6"/>
  <c r="B1425" i="6"/>
  <c r="B1426" i="6"/>
  <c r="B1427" i="6"/>
  <c r="B1428" i="6"/>
  <c r="B1429" i="6"/>
  <c r="B1429" i="4" s="1"/>
  <c r="B1430" i="6"/>
  <c r="B1431" i="6"/>
  <c r="B1432" i="6"/>
  <c r="B1432" i="4" s="1"/>
  <c r="B1433" i="6"/>
  <c r="B1433" i="4" s="1"/>
  <c r="B1434" i="6"/>
  <c r="B1434" i="4" s="1"/>
  <c r="B1435" i="6"/>
  <c r="B1436" i="6"/>
  <c r="B1437" i="6"/>
  <c r="B1438" i="6"/>
  <c r="B1439" i="6"/>
  <c r="B1440" i="6"/>
  <c r="B1441" i="6"/>
  <c r="B1441" i="4" s="1"/>
  <c r="B1442" i="6"/>
  <c r="B1443" i="6"/>
  <c r="B1444" i="6"/>
  <c r="B1445" i="6"/>
  <c r="B1445" i="4" s="1"/>
  <c r="B2" i="6"/>
  <c r="B1379" i="4" l="1"/>
  <c r="B1355" i="4"/>
  <c r="B1267" i="4"/>
  <c r="B1147" i="4"/>
  <c r="B1051" i="4"/>
  <c r="B1361" i="4"/>
  <c r="B1257" i="4"/>
  <c r="B1105" i="4"/>
  <c r="B1097" i="4"/>
  <c r="B1025" i="4"/>
  <c r="B961" i="4"/>
  <c r="B825" i="4"/>
  <c r="B753" i="4"/>
  <c r="B721" i="4"/>
  <c r="B697" i="4"/>
  <c r="B577" i="4"/>
  <c r="B481" i="4"/>
  <c r="B393" i="4"/>
  <c r="B321" i="4"/>
  <c r="B281" i="4"/>
  <c r="B249" i="4"/>
  <c r="B193" i="4"/>
  <c r="B129" i="4"/>
  <c r="B65" i="4"/>
  <c r="B25" i="4"/>
  <c r="B1424" i="4"/>
  <c r="B1376" i="4"/>
  <c r="B1312" i="4"/>
  <c r="B1296" i="4"/>
  <c r="B1144" i="4"/>
  <c r="B1000" i="4"/>
  <c r="B936" i="4"/>
  <c r="B888" i="4"/>
  <c r="B728" i="4"/>
  <c r="B696" i="4"/>
  <c r="B632" i="4"/>
  <c r="B520" i="4"/>
  <c r="B488" i="4"/>
  <c r="B384" i="4"/>
  <c r="B312" i="4"/>
  <c r="B264" i="4"/>
  <c r="B248" i="4"/>
  <c r="B192" i="4"/>
  <c r="B128" i="4"/>
  <c r="B64" i="4"/>
  <c r="B32" i="4"/>
  <c r="B1431" i="4"/>
  <c r="B1391" i="4"/>
  <c r="B1327" i="4"/>
  <c r="B1255" i="4"/>
  <c r="B1167" i="4"/>
  <c r="B1079" i="4"/>
  <c r="B1071" i="4"/>
  <c r="B1039" i="4"/>
  <c r="B1023" i="4"/>
  <c r="B967" i="4"/>
  <c r="B927" i="4"/>
  <c r="B871" i="4"/>
  <c r="B823" i="4"/>
  <c r="B679" i="4"/>
  <c r="B559" i="4"/>
  <c r="B519" i="4"/>
  <c r="B487" i="4"/>
  <c r="B303" i="4"/>
  <c r="B263" i="4"/>
  <c r="B215" i="4"/>
  <c r="B143" i="4"/>
  <c r="B79" i="4"/>
  <c r="B55" i="4"/>
  <c r="B1419" i="4"/>
  <c r="B1395" i="4"/>
  <c r="B1339" i="4"/>
  <c r="B1315" i="4"/>
  <c r="B1283" i="4"/>
  <c r="B1243" i="4"/>
  <c r="B1227" i="4"/>
  <c r="B1219" i="4"/>
  <c r="B1203" i="4"/>
  <c r="B1155" i="4"/>
  <c r="B1091" i="4"/>
  <c r="B1059" i="4"/>
  <c r="B1337" i="4"/>
  <c r="B1297" i="4"/>
  <c r="B1209" i="4"/>
  <c r="B1169" i="4"/>
  <c r="B1161" i="4"/>
  <c r="B1089" i="4"/>
  <c r="B1057" i="4"/>
  <c r="B1033" i="4"/>
  <c r="B1009" i="4"/>
  <c r="B977" i="4"/>
  <c r="B913" i="4"/>
  <c r="B889" i="4"/>
  <c r="B801" i="4"/>
  <c r="B785" i="4"/>
  <c r="B769" i="4"/>
  <c r="B729" i="4"/>
  <c r="B689" i="4"/>
  <c r="B673" i="4"/>
  <c r="B649" i="4"/>
  <c r="B617" i="4"/>
  <c r="B609" i="4"/>
  <c r="B585" i="4"/>
  <c r="B553" i="4"/>
  <c r="B513" i="4"/>
  <c r="B489" i="4"/>
  <c r="B449" i="4"/>
  <c r="B401" i="4"/>
  <c r="B369" i="4"/>
  <c r="B345" i="4"/>
  <c r="B329" i="4"/>
  <c r="B297" i="4"/>
  <c r="B265" i="4"/>
  <c r="B233" i="4"/>
  <c r="B185" i="4"/>
  <c r="B177" i="4"/>
  <c r="B145" i="4"/>
  <c r="B113" i="4"/>
  <c r="B97" i="4"/>
  <c r="B73" i="4"/>
  <c r="B1400" i="4"/>
  <c r="B1232" i="4"/>
  <c r="B1208" i="4"/>
  <c r="B1184" i="4"/>
  <c r="B1112" i="4"/>
  <c r="B1096" i="4"/>
  <c r="B1064" i="4"/>
  <c r="B1016" i="4"/>
  <c r="B968" i="4"/>
  <c r="B952" i="4"/>
  <c r="B896" i="4"/>
  <c r="B856" i="4"/>
  <c r="B848" i="4"/>
  <c r="B824" i="4"/>
  <c r="B776" i="4"/>
  <c r="B736" i="4"/>
  <c r="B720" i="4"/>
  <c r="B688" i="4"/>
  <c r="B648" i="4"/>
  <c r="B624" i="4"/>
  <c r="B600" i="4"/>
  <c r="B568" i="4"/>
  <c r="B512" i="4"/>
  <c r="B480" i="4"/>
  <c r="B448" i="4"/>
  <c r="B432" i="4"/>
  <c r="B392" i="4"/>
  <c r="B360" i="4"/>
  <c r="B336" i="4"/>
  <c r="B296" i="4"/>
  <c r="B280" i="4"/>
  <c r="B256" i="4"/>
  <c r="B232" i="4"/>
  <c r="B184" i="4"/>
  <c r="B152" i="4"/>
  <c r="B120" i="4"/>
  <c r="B96" i="4"/>
  <c r="B1423" i="4"/>
  <c r="B1407" i="4"/>
  <c r="B1375" i="4"/>
  <c r="B1343" i="4"/>
  <c r="B1303" i="4"/>
  <c r="B1271" i="4"/>
  <c r="B1199" i="4"/>
  <c r="B1183" i="4"/>
  <c r="B1159" i="4"/>
  <c r="B1151" i="4"/>
  <c r="B1127" i="4"/>
  <c r="B1119" i="4"/>
  <c r="B1111" i="4"/>
  <c r="B1055" i="4"/>
  <c r="B999" i="4"/>
  <c r="B991" i="4"/>
  <c r="B975" i="4"/>
  <c r="B935" i="4"/>
  <c r="B911" i="4"/>
  <c r="B879" i="4"/>
  <c r="B863" i="4"/>
  <c r="B831" i="4"/>
  <c r="B807" i="4"/>
  <c r="B783" i="4"/>
  <c r="B727" i="4"/>
  <c r="B687" i="4"/>
  <c r="B647" i="4"/>
  <c r="B623" i="4"/>
  <c r="B591" i="4"/>
  <c r="B567" i="4"/>
  <c r="B535" i="4"/>
  <c r="B503" i="4"/>
  <c r="B471" i="4"/>
  <c r="B455" i="4"/>
  <c r="B439" i="4"/>
  <c r="B423" i="4"/>
  <c r="B391" i="4"/>
  <c r="B359" i="4"/>
  <c r="B319" i="4"/>
  <c r="B287" i="4"/>
  <c r="B231" i="4"/>
  <c r="B207" i="4"/>
  <c r="B183" i="4"/>
  <c r="B135" i="4"/>
  <c r="B95" i="4"/>
  <c r="B71" i="4"/>
  <c r="B63" i="4"/>
  <c r="B47" i="4"/>
  <c r="B31" i="4"/>
  <c r="B23" i="4"/>
  <c r="B7" i="4"/>
  <c r="B2" i="4"/>
  <c r="B1438" i="4"/>
  <c r="B1430" i="4"/>
  <c r="B1414" i="4"/>
  <c r="B1398" i="4"/>
  <c r="B1374" i="4"/>
  <c r="B1366" i="4"/>
  <c r="B1350" i="4"/>
  <c r="B1334" i="4"/>
  <c r="B1310" i="4"/>
  <c r="B1302" i="4"/>
  <c r="B1286" i="4"/>
  <c r="B1270" i="4"/>
  <c r="B1246" i="4"/>
  <c r="B1238" i="4"/>
  <c r="B1222" i="4"/>
  <c r="B1206" i="4"/>
  <c r="B1182" i="4"/>
  <c r="B1174" i="4"/>
  <c r="B1158" i="4"/>
  <c r="B1142" i="4"/>
  <c r="B1134" i="4"/>
  <c r="B1126" i="4"/>
  <c r="B1118" i="4"/>
  <c r="B1110" i="4"/>
  <c r="B1086" i="4"/>
  <c r="B1078" i="4"/>
  <c r="B1070" i="4"/>
  <c r="B1062" i="4"/>
  <c r="B1054" i="4"/>
  <c r="B1038" i="4"/>
  <c r="B1022" i="4"/>
  <c r="B998" i="4"/>
  <c r="B990" i="4"/>
  <c r="B982" i="4"/>
  <c r="B958" i="4"/>
  <c r="B950" i="4"/>
  <c r="B942" i="4"/>
  <c r="B934" i="4"/>
  <c r="B926" i="4"/>
  <c r="B910" i="4"/>
  <c r="B894" i="4"/>
  <c r="B886" i="4"/>
  <c r="B878" i="4"/>
  <c r="B870" i="4"/>
  <c r="B862" i="4"/>
  <c r="B854" i="4"/>
  <c r="B846" i="4"/>
  <c r="B838" i="4"/>
  <c r="B830" i="4"/>
  <c r="B822" i="4"/>
  <c r="B814" i="4"/>
  <c r="B798" i="4"/>
  <c r="B782" i="4"/>
  <c r="B774" i="4"/>
  <c r="B766" i="4"/>
  <c r="B758" i="4"/>
  <c r="B750" i="4"/>
  <c r="B742" i="4"/>
  <c r="B734" i="4"/>
  <c r="B726" i="4"/>
  <c r="B718" i="4"/>
  <c r="B710" i="4"/>
  <c r="B702" i="4"/>
  <c r="B686" i="4"/>
  <c r="B670" i="4"/>
  <c r="B654" i="4"/>
  <c r="B646" i="4"/>
  <c r="B638" i="4"/>
  <c r="B630" i="4"/>
  <c r="B622" i="4"/>
  <c r="B614" i="4"/>
  <c r="B606" i="4"/>
  <c r="B598" i="4"/>
  <c r="B590" i="4"/>
  <c r="B582" i="4"/>
  <c r="B566" i="4"/>
  <c r="B558" i="4"/>
  <c r="B550" i="4"/>
  <c r="B534" i="4"/>
  <c r="B526" i="4"/>
  <c r="B518" i="4"/>
  <c r="B502" i="4"/>
  <c r="B494" i="4"/>
  <c r="B486" i="4"/>
  <c r="B470" i="4"/>
  <c r="B462" i="4"/>
  <c r="B454" i="4"/>
  <c r="B438" i="4"/>
  <c r="B430" i="4"/>
  <c r="B422" i="4"/>
  <c r="B414" i="4"/>
  <c r="B398" i="4"/>
  <c r="B390" i="4"/>
  <c r="B382" i="4"/>
  <c r="B366" i="4"/>
  <c r="B358" i="4"/>
  <c r="B350" i="4"/>
  <c r="B1435" i="4"/>
  <c r="B1411" i="4"/>
  <c r="B1371" i="4"/>
  <c r="B1363" i="4"/>
  <c r="B1307" i="4"/>
  <c r="B1299" i="4"/>
  <c r="B1275" i="4"/>
  <c r="B1259" i="4"/>
  <c r="B1187" i="4"/>
  <c r="B1139" i="4"/>
  <c r="B1123" i="4"/>
  <c r="B1107" i="4"/>
  <c r="B1075" i="4"/>
  <c r="B1035" i="4"/>
  <c r="B1417" i="4"/>
  <c r="B1401" i="4"/>
  <c r="B1321" i="4"/>
  <c r="B1289" i="4"/>
  <c r="B1273" i="4"/>
  <c r="B1233" i="4"/>
  <c r="B1225" i="4"/>
  <c r="B1145" i="4"/>
  <c r="B1129" i="4"/>
  <c r="B1081" i="4"/>
  <c r="B1073" i="4"/>
  <c r="B1001" i="4"/>
  <c r="B969" i="4"/>
  <c r="B953" i="4"/>
  <c r="B929" i="4"/>
  <c r="B897" i="4"/>
  <c r="B873" i="4"/>
  <c r="B777" i="4"/>
  <c r="B761" i="4"/>
  <c r="B745" i="4"/>
  <c r="B665" i="4"/>
  <c r="B633" i="4"/>
  <c r="B601" i="4"/>
  <c r="B537" i="4"/>
  <c r="B505" i="4"/>
  <c r="B465" i="4"/>
  <c r="B457" i="4"/>
  <c r="B425" i="4"/>
  <c r="B385" i="4"/>
  <c r="B313" i="4"/>
  <c r="B289" i="4"/>
  <c r="B225" i="4"/>
  <c r="B161" i="4"/>
  <c r="B153" i="4"/>
  <c r="B121" i="4"/>
  <c r="B81" i="4"/>
  <c r="B57" i="4"/>
  <c r="B41" i="4"/>
  <c r="B9" i="4"/>
  <c r="B1336" i="4"/>
  <c r="B1272" i="4"/>
  <c r="B1200" i="4"/>
  <c r="B1128" i="4"/>
  <c r="B1080" i="4"/>
  <c r="B1072" i="4"/>
  <c r="B1032" i="4"/>
  <c r="B1024" i="4"/>
  <c r="B984" i="4"/>
  <c r="B960" i="4"/>
  <c r="B928" i="4"/>
  <c r="B904" i="4"/>
  <c r="B880" i="4"/>
  <c r="B800" i="4"/>
  <c r="B784" i="4"/>
  <c r="B768" i="4"/>
  <c r="B760" i="4"/>
  <c r="B744" i="4"/>
  <c r="B712" i="4"/>
  <c r="B680" i="4"/>
  <c r="B672" i="4"/>
  <c r="B656" i="4"/>
  <c r="B616" i="4"/>
  <c r="B592" i="4"/>
  <c r="B560" i="4"/>
  <c r="B536" i="4"/>
  <c r="B504" i="4"/>
  <c r="B472" i="4"/>
  <c r="B408" i="4"/>
  <c r="B400" i="4"/>
  <c r="B368" i="4"/>
  <c r="B344" i="4"/>
  <c r="B304" i="4"/>
  <c r="B272" i="4"/>
  <c r="B224" i="4"/>
  <c r="B112" i="4"/>
  <c r="B80" i="4"/>
  <c r="B56" i="4"/>
  <c r="B40" i="4"/>
  <c r="B8" i="4"/>
  <c r="B1399" i="4"/>
  <c r="B1367" i="4"/>
  <c r="B1335" i="4"/>
  <c r="B1311" i="4"/>
  <c r="B1279" i="4"/>
  <c r="B1247" i="4"/>
  <c r="B1231" i="4"/>
  <c r="B1215" i="4"/>
  <c r="B1175" i="4"/>
  <c r="B1143" i="4"/>
  <c r="B1103" i="4"/>
  <c r="B1095" i="4"/>
  <c r="B1031" i="4"/>
  <c r="B1015" i="4"/>
  <c r="B983" i="4"/>
  <c r="B943" i="4"/>
  <c r="B903" i="4"/>
  <c r="B887" i="4"/>
  <c r="B855" i="4"/>
  <c r="B815" i="4"/>
  <c r="B799" i="4"/>
  <c r="B775" i="4"/>
  <c r="B759" i="4"/>
  <c r="B743" i="4"/>
  <c r="B719" i="4"/>
  <c r="B695" i="4"/>
  <c r="B671" i="4"/>
  <c r="B655" i="4"/>
  <c r="B639" i="4"/>
  <c r="B599" i="4"/>
  <c r="B575" i="4"/>
  <c r="B543" i="4"/>
  <c r="B479" i="4"/>
  <c r="B463" i="4"/>
  <c r="B431" i="4"/>
  <c r="B415" i="4"/>
  <c r="B383" i="4"/>
  <c r="B351" i="4"/>
  <c r="B335" i="4"/>
  <c r="B327" i="4"/>
  <c r="B295" i="4"/>
  <c r="B271" i="4"/>
  <c r="B247" i="4"/>
  <c r="B223" i="4"/>
  <c r="B191" i="4"/>
  <c r="B159" i="4"/>
  <c r="B103" i="4"/>
  <c r="B1413" i="4"/>
  <c r="B1389" i="4"/>
  <c r="B1373" i="4"/>
  <c r="B1349" i="4"/>
  <c r="B1325" i="4"/>
  <c r="B1309" i="4"/>
  <c r="B1277" i="4"/>
  <c r="B1261" i="4"/>
  <c r="B1245" i="4"/>
  <c r="B1221" i="4"/>
  <c r="B1213" i="4"/>
  <c r="B1157" i="4"/>
  <c r="B1141" i="4"/>
  <c r="B1125" i="4"/>
  <c r="B1117" i="4"/>
  <c r="B1109" i="4"/>
  <c r="B1077" i="4"/>
  <c r="B1061" i="4"/>
  <c r="B1053" i="4"/>
  <c r="B997" i="4"/>
  <c r="B981" i="4"/>
  <c r="B941" i="4"/>
  <c r="B933" i="4"/>
  <c r="B925" i="4"/>
  <c r="B917" i="4"/>
  <c r="B909" i="4"/>
  <c r="B885" i="4"/>
  <c r="B877" i="4"/>
  <c r="B869" i="4"/>
  <c r="B861" i="4"/>
  <c r="B853" i="4"/>
  <c r="B845" i="4"/>
  <c r="B837" i="4"/>
  <c r="B829" i="4"/>
  <c r="B821" i="4"/>
  <c r="B813" i="4"/>
  <c r="B805" i="4"/>
  <c r="B797" i="4"/>
  <c r="B789" i="4"/>
  <c r="B781" i="4"/>
  <c r="B773" i="4"/>
  <c r="B757" i="4"/>
  <c r="B749" i="4"/>
  <c r="B741" i="4"/>
  <c r="B725" i="4"/>
  <c r="B717" i="4"/>
  <c r="B709" i="4"/>
  <c r="B701" i="4"/>
  <c r="B693" i="4"/>
  <c r="B685" i="4"/>
  <c r="B669" i="4"/>
  <c r="B661" i="4"/>
  <c r="B653" i="4"/>
  <c r="B637" i="4"/>
  <c r="B621" i="4"/>
  <c r="B605" i="4"/>
  <c r="B597" i="4"/>
  <c r="B589" i="4"/>
  <c r="B581" i="4"/>
  <c r="B573" i="4"/>
  <c r="B565" i="4"/>
  <c r="B557" i="4"/>
  <c r="B549" i="4"/>
  <c r="B533" i="4"/>
  <c r="B525" i="4"/>
  <c r="B517" i="4"/>
  <c r="B509" i="4"/>
  <c r="B501" i="4"/>
  <c r="B493" i="4"/>
  <c r="B485" i="4"/>
  <c r="B469" i="4"/>
  <c r="B453" i="4"/>
  <c r="B445" i="4"/>
  <c r="B437" i="4"/>
  <c r="B429" i="4"/>
  <c r="B421" i="4"/>
  <c r="B413" i="4"/>
  <c r="B405" i="4"/>
  <c r="B397" i="4"/>
  <c r="B389" i="4"/>
  <c r="B381" i="4"/>
  <c r="B373" i="4"/>
  <c r="B365" i="4"/>
  <c r="B357" i="4"/>
  <c r="B349" i="4"/>
  <c r="B333" i="4"/>
  <c r="B325" i="4"/>
  <c r="B317" i="4"/>
  <c r="B309" i="4"/>
  <c r="B301" i="4"/>
  <c r="B293" i="4"/>
  <c r="B285" i="4"/>
  <c r="B277" i="4"/>
  <c r="B269" i="4"/>
  <c r="B261" i="4"/>
  <c r="B253" i="4"/>
  <c r="B237" i="4"/>
  <c r="B229" i="4"/>
  <c r="B221" i="4"/>
  <c r="B213" i="4"/>
  <c r="B205" i="4"/>
  <c r="B197" i="4"/>
  <c r="C197" i="4"/>
  <c r="B189" i="4"/>
  <c r="B181" i="4"/>
  <c r="B173" i="4"/>
  <c r="B165" i="4"/>
  <c r="B157" i="4"/>
  <c r="B149" i="4"/>
  <c r="C149" i="4"/>
  <c r="B141" i="4"/>
  <c r="C141" i="4"/>
  <c r="B133" i="4"/>
  <c r="C133" i="4"/>
  <c r="B125" i="4"/>
  <c r="B117" i="4"/>
  <c r="B101" i="4"/>
  <c r="B85" i="4"/>
  <c r="B69" i="4"/>
  <c r="C69" i="4"/>
  <c r="B61" i="4"/>
  <c r="B45" i="4"/>
  <c r="B37" i="4"/>
  <c r="B29" i="4"/>
  <c r="B13" i="4"/>
  <c r="B5" i="4"/>
  <c r="B1443" i="4"/>
  <c r="B1427" i="4"/>
  <c r="B1403" i="4"/>
  <c r="B1347" i="4"/>
  <c r="B1331" i="4"/>
  <c r="B1291" i="4"/>
  <c r="B1251" i="4"/>
  <c r="B1235" i="4"/>
  <c r="B1211" i="4"/>
  <c r="B1171" i="4"/>
  <c r="B1099" i="4"/>
  <c r="B1043" i="4"/>
  <c r="B1425" i="4"/>
  <c r="B1385" i="4"/>
  <c r="B1353" i="4"/>
  <c r="B1193" i="4"/>
  <c r="B1041" i="4"/>
  <c r="B1017" i="4"/>
  <c r="B945" i="4"/>
  <c r="B905" i="4"/>
  <c r="B881" i="4"/>
  <c r="B849" i="4"/>
  <c r="B833" i="4"/>
  <c r="B809" i="4"/>
  <c r="B713" i="4"/>
  <c r="B681" i="4"/>
  <c r="B657" i="4"/>
  <c r="B625" i="4"/>
  <c r="B593" i="4"/>
  <c r="B569" i="4"/>
  <c r="B545" i="4"/>
  <c r="B521" i="4"/>
  <c r="B497" i="4"/>
  <c r="B473" i="4"/>
  <c r="B441" i="4"/>
  <c r="B433" i="4"/>
  <c r="B417" i="4"/>
  <c r="B353" i="4"/>
  <c r="B337" i="4"/>
  <c r="B305" i="4"/>
  <c r="B257" i="4"/>
  <c r="B217" i="4"/>
  <c r="B209" i="4"/>
  <c r="B169" i="4"/>
  <c r="B137" i="4"/>
  <c r="B89" i="4"/>
  <c r="B49" i="4"/>
  <c r="B33" i="4"/>
  <c r="B1440" i="4"/>
  <c r="B1392" i="4"/>
  <c r="B1360" i="4"/>
  <c r="B1328" i="4"/>
  <c r="B1264" i="4"/>
  <c r="B1248" i="4"/>
  <c r="B1168" i="4"/>
  <c r="B1088" i="4"/>
  <c r="B1056" i="4"/>
  <c r="B1008" i="4"/>
  <c r="B944" i="4"/>
  <c r="B872" i="4"/>
  <c r="B840" i="4"/>
  <c r="B808" i="4"/>
  <c r="B752" i="4"/>
  <c r="B664" i="4"/>
  <c r="B640" i="4"/>
  <c r="B608" i="4"/>
  <c r="B584" i="4"/>
  <c r="B552" i="4"/>
  <c r="B528" i="4"/>
  <c r="B496" i="4"/>
  <c r="B464" i="4"/>
  <c r="B456" i="4"/>
  <c r="B424" i="4"/>
  <c r="B416" i="4"/>
  <c r="B376" i="4"/>
  <c r="B352" i="4"/>
  <c r="B320" i="4"/>
  <c r="B288" i="4"/>
  <c r="B240" i="4"/>
  <c r="B216" i="4"/>
  <c r="B168" i="4"/>
  <c r="B136" i="4"/>
  <c r="B104" i="4"/>
  <c r="B88" i="4"/>
  <c r="B48" i="4"/>
  <c r="B1439" i="4"/>
  <c r="B1415" i="4"/>
  <c r="B1383" i="4"/>
  <c r="B1359" i="4"/>
  <c r="B1351" i="4"/>
  <c r="B1319" i="4"/>
  <c r="B1295" i="4"/>
  <c r="B1287" i="4"/>
  <c r="B1263" i="4"/>
  <c r="B1239" i="4"/>
  <c r="B1223" i="4"/>
  <c r="B1207" i="4"/>
  <c r="B1191" i="4"/>
  <c r="B1135" i="4"/>
  <c r="B1087" i="4"/>
  <c r="B1063" i="4"/>
  <c r="B1047" i="4"/>
  <c r="B959" i="4"/>
  <c r="B951" i="4"/>
  <c r="B919" i="4"/>
  <c r="B895" i="4"/>
  <c r="B847" i="4"/>
  <c r="B839" i="4"/>
  <c r="B791" i="4"/>
  <c r="B711" i="4"/>
  <c r="B703" i="4"/>
  <c r="B663" i="4"/>
  <c r="B631" i="4"/>
  <c r="B615" i="4"/>
  <c r="B583" i="4"/>
  <c r="B551" i="4"/>
  <c r="B527" i="4"/>
  <c r="B447" i="4"/>
  <c r="B407" i="4"/>
  <c r="B399" i="4"/>
  <c r="B367" i="4"/>
  <c r="B279" i="4"/>
  <c r="B255" i="4"/>
  <c r="B199" i="4"/>
  <c r="B167" i="4"/>
  <c r="B151" i="4"/>
  <c r="B119" i="4"/>
  <c r="B87" i="4"/>
  <c r="B1437" i="4"/>
  <c r="B1405" i="4"/>
  <c r="B1341" i="4"/>
  <c r="B1285" i="4"/>
  <c r="B1197" i="4"/>
  <c r="B1181" i="4"/>
  <c r="B1149" i="4"/>
  <c r="B1133" i="4"/>
  <c r="B1093" i="4"/>
  <c r="B1069" i="4"/>
  <c r="B1045" i="4"/>
  <c r="B1037" i="4"/>
  <c r="B1013" i="4"/>
  <c r="B1005" i="4"/>
  <c r="B989" i="4"/>
  <c r="B965" i="4"/>
  <c r="B949" i="4"/>
  <c r="B1444" i="4"/>
  <c r="B1436" i="4"/>
  <c r="B1428" i="4"/>
  <c r="B1420" i="4"/>
  <c r="B1412" i="4"/>
  <c r="B1404" i="4"/>
  <c r="B1396" i="4"/>
  <c r="B1388" i="4"/>
  <c r="B1380" i="4"/>
  <c r="B1372" i="4"/>
  <c r="B1364" i="4"/>
  <c r="B1356" i="4"/>
  <c r="B1348" i="4"/>
  <c r="B1340" i="4"/>
  <c r="B1332" i="4"/>
  <c r="B1324" i="4"/>
  <c r="B1316" i="4"/>
  <c r="B1308" i="4"/>
  <c r="B1300" i="4"/>
  <c r="B1292" i="4"/>
  <c r="B1284" i="4"/>
  <c r="B1276" i="4"/>
  <c r="B1268" i="4"/>
  <c r="B1260" i="4"/>
  <c r="B1252" i="4"/>
  <c r="B1244" i="4"/>
  <c r="B1236" i="4"/>
  <c r="B1228" i="4"/>
  <c r="B1220" i="4"/>
  <c r="B1212" i="4"/>
  <c r="B1204" i="4"/>
  <c r="B1196" i="4"/>
  <c r="B1188" i="4"/>
  <c r="B1180" i="4"/>
  <c r="B1172" i="4"/>
  <c r="B1164" i="4"/>
  <c r="B1156" i="4"/>
  <c r="B1148" i="4"/>
  <c r="B1140" i="4"/>
  <c r="B1132" i="4"/>
  <c r="B1124" i="4"/>
  <c r="B1116" i="4"/>
  <c r="B1108" i="4"/>
  <c r="B1100" i="4"/>
  <c r="B1092" i="4"/>
  <c r="B1068" i="4"/>
  <c r="B1060" i="4"/>
  <c r="B1052" i="4"/>
  <c r="B1044" i="4"/>
  <c r="B1036" i="4"/>
  <c r="B1020" i="4"/>
  <c r="B1004" i="4"/>
  <c r="B996" i="4"/>
  <c r="B988" i="4"/>
  <c r="B980" i="4"/>
  <c r="B972" i="4"/>
  <c r="B964" i="4"/>
  <c r="B940" i="4"/>
  <c r="B932" i="4"/>
  <c r="B924" i="4"/>
  <c r="B916" i="4"/>
  <c r="B908" i="4"/>
  <c r="B892" i="4"/>
  <c r="B876" i="4"/>
  <c r="B868" i="4"/>
  <c r="B860" i="4"/>
  <c r="B852" i="4"/>
  <c r="B836" i="4"/>
  <c r="B828" i="4"/>
  <c r="B820" i="4"/>
  <c r="B812" i="4"/>
  <c r="B804" i="4"/>
  <c r="B796" i="4"/>
  <c r="B788" i="4"/>
  <c r="B772" i="4"/>
  <c r="B764" i="4"/>
  <c r="B756" i="4"/>
  <c r="B748" i="4"/>
  <c r="B740" i="4"/>
  <c r="B732" i="4"/>
  <c r="B724" i="4"/>
  <c r="B716" i="4"/>
  <c r="B700" i="4"/>
  <c r="B692" i="4"/>
  <c r="B684" i="4"/>
  <c r="B676" i="4"/>
  <c r="B668" i="4"/>
  <c r="B660" i="4"/>
  <c r="B652" i="4"/>
  <c r="B644" i="4"/>
  <c r="B636" i="4"/>
  <c r="B628" i="4"/>
  <c r="B620" i="4"/>
  <c r="B612" i="4"/>
  <c r="B604" i="4"/>
  <c r="B596" i="4"/>
  <c r="B588" i="4"/>
  <c r="B580" i="4"/>
  <c r="B572" i="4"/>
  <c r="B564" i="4"/>
  <c r="B556" i="4"/>
  <c r="B548" i="4"/>
  <c r="B540" i="4"/>
  <c r="B532" i="4"/>
  <c r="B524" i="4"/>
  <c r="B516" i="4"/>
  <c r="B508" i="4"/>
  <c r="B500" i="4"/>
  <c r="B492" i="4"/>
  <c r="B484" i="4"/>
  <c r="B476" i="4"/>
  <c r="B468" i="4"/>
  <c r="B460" i="4"/>
  <c r="B1387" i="4"/>
  <c r="B1323" i="4"/>
  <c r="B1195" i="4"/>
  <c r="B1179" i="4"/>
  <c r="B1163" i="4"/>
  <c r="B1131" i="4"/>
  <c r="B1115" i="4"/>
  <c r="B1027" i="4"/>
  <c r="B1019" i="4"/>
  <c r="B995" i="4"/>
  <c r="B987" i="4"/>
  <c r="B979" i="4"/>
  <c r="B971" i="4"/>
  <c r="B963" i="4"/>
  <c r="B947" i="4"/>
  <c r="B931" i="4"/>
  <c r="B923" i="4"/>
  <c r="B915" i="4"/>
  <c r="B907" i="4"/>
  <c r="B899" i="4"/>
  <c r="B891" i="4"/>
  <c r="B867" i="4"/>
  <c r="B859" i="4"/>
  <c r="B851" i="4"/>
  <c r="B843" i="4"/>
  <c r="B835" i="4"/>
  <c r="B827" i="4"/>
  <c r="B819" i="4"/>
  <c r="B811" i="4"/>
  <c r="B803" i="4"/>
  <c r="B795" i="4"/>
  <c r="B787" i="4"/>
  <c r="B779" i="4"/>
  <c r="B771" i="4"/>
  <c r="B755" i="4"/>
  <c r="B747" i="4"/>
  <c r="B739" i="4"/>
  <c r="B731" i="4"/>
  <c r="B715" i="4"/>
  <c r="B707" i="4"/>
  <c r="B699" i="4"/>
  <c r="B691" i="4"/>
  <c r="B683" i="4"/>
  <c r="B667" i="4"/>
  <c r="B659" i="4"/>
  <c r="B651" i="4"/>
  <c r="B635" i="4"/>
  <c r="B627" i="4"/>
  <c r="B619" i="4"/>
  <c r="B611" i="4"/>
  <c r="B603" i="4"/>
  <c r="B595" i="4"/>
  <c r="B587" i="4"/>
  <c r="B579" i="4"/>
  <c r="B571" i="4"/>
  <c r="B563" i="4"/>
  <c r="B555" i="4"/>
  <c r="B547" i="4"/>
  <c r="B539" i="4"/>
  <c r="B531" i="4"/>
  <c r="B523" i="4"/>
  <c r="B515" i="4"/>
  <c r="B499" i="4"/>
  <c r="B491" i="4"/>
  <c r="B483" i="4"/>
  <c r="B475" i="4"/>
  <c r="B467" i="4"/>
  <c r="B459" i="4"/>
  <c r="B451" i="4"/>
  <c r="B443" i="4"/>
  <c r="B435" i="4"/>
  <c r="B419" i="4"/>
  <c r="B403" i="4"/>
  <c r="B395" i="4"/>
  <c r="B387" i="4"/>
  <c r="B379" i="4"/>
  <c r="B371" i="4"/>
  <c r="B363" i="4"/>
  <c r="B355" i="4"/>
  <c r="B347" i="4"/>
  <c r="B339" i="4"/>
  <c r="B331" i="4"/>
  <c r="B323" i="4"/>
  <c r="B315" i="4"/>
  <c r="B307" i="4"/>
  <c r="B1442" i="4"/>
  <c r="B1426" i="4"/>
  <c r="B1410" i="4"/>
  <c r="B1386" i="4"/>
  <c r="B1378" i="4"/>
  <c r="B1362" i="4"/>
  <c r="B1346" i="4"/>
  <c r="B1322" i="4"/>
  <c r="B1314" i="4"/>
  <c r="B1298" i="4"/>
  <c r="B1282" i="4"/>
  <c r="B1258" i="4"/>
  <c r="B1250" i="4"/>
  <c r="B1234" i="4"/>
  <c r="B1218" i="4"/>
  <c r="B1194" i="4"/>
  <c r="B1186" i="4"/>
  <c r="B1170" i="4"/>
  <c r="B1154" i="4"/>
  <c r="B1114" i="4"/>
  <c r="B1106" i="4"/>
  <c r="B1098" i="4"/>
  <c r="B1090" i="4"/>
  <c r="B1082" i="4"/>
  <c r="B1074" i="4"/>
  <c r="B1050" i="4"/>
  <c r="B1042" i="4"/>
  <c r="B1034" i="4"/>
  <c r="B1026" i="4"/>
  <c r="B1018" i="4"/>
  <c r="B1002" i="4"/>
  <c r="B986" i="4"/>
  <c r="B978" i="4"/>
  <c r="B970" i="4"/>
  <c r="B962" i="4"/>
  <c r="B954" i="4"/>
  <c r="B946" i="4"/>
  <c r="B922" i="4"/>
  <c r="B914" i="4"/>
  <c r="B906" i="4"/>
  <c r="B898" i="4"/>
  <c r="B890" i="4"/>
  <c r="B874" i="4"/>
  <c r="B858" i="4"/>
  <c r="B850" i="4"/>
  <c r="B834" i="4"/>
  <c r="B826" i="4"/>
  <c r="B810" i="4"/>
  <c r="B802" i="4"/>
  <c r="B794" i="4"/>
  <c r="B786" i="4"/>
  <c r="B778" i="4"/>
  <c r="B770" i="4"/>
  <c r="B762" i="4"/>
  <c r="B754" i="4"/>
  <c r="B746" i="4"/>
  <c r="B738" i="4"/>
  <c r="B730" i="4"/>
  <c r="B722" i="4"/>
  <c r="B714" i="4"/>
  <c r="B706" i="4"/>
  <c r="B698" i="4"/>
  <c r="B690" i="4"/>
  <c r="B682" i="4"/>
  <c r="B674" i="4"/>
  <c r="B666" i="4"/>
  <c r="B658" i="4"/>
  <c r="B650" i="4"/>
  <c r="B642" i="4"/>
  <c r="B634" i="4"/>
  <c r="B626" i="4"/>
  <c r="B618" i="4"/>
  <c r="B602" i="4"/>
  <c r="B586" i="4"/>
  <c r="B570" i="4"/>
  <c r="B562" i="4"/>
  <c r="B554" i="4"/>
  <c r="B546" i="4"/>
  <c r="B538" i="4"/>
  <c r="B530" i="4"/>
  <c r="B522" i="4"/>
  <c r="B514" i="4"/>
  <c r="B506" i="4"/>
  <c r="B498" i="4"/>
  <c r="B490" i="4"/>
  <c r="B482" i="4"/>
  <c r="B466" i="4"/>
  <c r="B458" i="4"/>
  <c r="B450" i="4"/>
  <c r="B434" i="4"/>
  <c r="B426" i="4"/>
  <c r="B418" i="4"/>
  <c r="B410" i="4"/>
  <c r="B402" i="4"/>
  <c r="B386" i="4"/>
  <c r="B378" i="4"/>
  <c r="B370" i="4"/>
  <c r="B362" i="4"/>
  <c r="B354" i="4"/>
  <c r="B346" i="4"/>
  <c r="B338" i="4"/>
  <c r="B330" i="4"/>
  <c r="B322" i="4"/>
  <c r="B314" i="4"/>
  <c r="C93" i="4"/>
  <c r="B334" i="4"/>
  <c r="B326" i="4"/>
  <c r="B302" i="4"/>
  <c r="B286" i="4"/>
  <c r="B270" i="4"/>
  <c r="B262" i="4"/>
  <c r="B254" i="4"/>
  <c r="B246" i="4"/>
  <c r="B238" i="4"/>
  <c r="B230" i="4"/>
  <c r="B222" i="4"/>
  <c r="B214" i="4"/>
  <c r="B198" i="4"/>
  <c r="B182" i="4"/>
  <c r="B134" i="4"/>
  <c r="C134" i="4"/>
  <c r="B126" i="4"/>
  <c r="B118" i="4"/>
  <c r="B110" i="4"/>
  <c r="B102" i="4"/>
  <c r="B94" i="4"/>
  <c r="C94" i="4"/>
  <c r="B86" i="4"/>
  <c r="B78" i="4"/>
  <c r="B70" i="4"/>
  <c r="B62" i="4"/>
  <c r="B54" i="4"/>
  <c r="B46" i="4"/>
  <c r="B14" i="4"/>
  <c r="B6" i="4"/>
  <c r="B452" i="4"/>
  <c r="B444" i="4"/>
  <c r="B436" i="4"/>
  <c r="B428" i="4"/>
  <c r="B420" i="4"/>
  <c r="B412" i="4"/>
  <c r="B404" i="4"/>
  <c r="B396" i="4"/>
  <c r="B388" i="4"/>
  <c r="B380" i="4"/>
  <c r="B372" i="4"/>
  <c r="B364" i="4"/>
  <c r="B356" i="4"/>
  <c r="B348" i="4"/>
  <c r="B340" i="4"/>
  <c r="B332" i="4"/>
  <c r="B324" i="4"/>
  <c r="B316" i="4"/>
  <c r="B308" i="4"/>
  <c r="B300" i="4"/>
  <c r="B292" i="4"/>
  <c r="B284" i="4"/>
  <c r="B276" i="4"/>
  <c r="B268" i="4"/>
  <c r="B260" i="4"/>
  <c r="B252" i="4"/>
  <c r="B244" i="4"/>
  <c r="B236" i="4"/>
  <c r="B228" i="4"/>
  <c r="B220" i="4"/>
  <c r="B212" i="4"/>
  <c r="B204" i="4"/>
  <c r="B196" i="4"/>
  <c r="B188" i="4"/>
  <c r="B180" i="4"/>
  <c r="B172" i="4"/>
  <c r="B164" i="4"/>
  <c r="B156" i="4"/>
  <c r="B148" i="4"/>
  <c r="B140" i="4"/>
  <c r="C140" i="4"/>
  <c r="B132" i="4"/>
  <c r="B124" i="4"/>
  <c r="B116" i="4"/>
  <c r="B108" i="4"/>
  <c r="B100" i="4"/>
  <c r="B92" i="4"/>
  <c r="C92" i="4"/>
  <c r="B84" i="4"/>
  <c r="B76" i="4"/>
  <c r="B68" i="4"/>
  <c r="B60" i="4"/>
  <c r="B52" i="4"/>
  <c r="B44" i="4"/>
  <c r="B36" i="4"/>
  <c r="B28" i="4"/>
  <c r="B12" i="4"/>
  <c r="B4" i="4"/>
  <c r="B299" i="4"/>
  <c r="B251" i="4"/>
  <c r="B243" i="4"/>
  <c r="B235" i="4"/>
  <c r="B219" i="4"/>
  <c r="B211" i="4"/>
  <c r="B203" i="4"/>
  <c r="B195" i="4"/>
  <c r="B187" i="4"/>
  <c r="B179" i="4"/>
  <c r="B171" i="4"/>
  <c r="B163" i="4"/>
  <c r="B147" i="4"/>
  <c r="C147" i="4"/>
  <c r="B131" i="4"/>
  <c r="B115" i="4"/>
  <c r="B107" i="4"/>
  <c r="C107" i="4"/>
  <c r="B99" i="4"/>
  <c r="B83" i="4"/>
  <c r="B75" i="4"/>
  <c r="B67" i="4"/>
  <c r="B51" i="4"/>
  <c r="B43" i="4"/>
  <c r="B35" i="4"/>
  <c r="B27" i="4"/>
  <c r="B11" i="4"/>
  <c r="B3" i="4"/>
  <c r="C122" i="4"/>
  <c r="B298" i="4"/>
  <c r="B282" i="4"/>
  <c r="B274" i="4"/>
  <c r="B266" i="4"/>
  <c r="B250" i="4"/>
  <c r="B242" i="4"/>
  <c r="B234" i="4"/>
  <c r="B218" i="4"/>
  <c r="B202" i="4"/>
  <c r="B186" i="4"/>
  <c r="B178" i="4"/>
  <c r="B170" i="4"/>
  <c r="B162" i="4"/>
  <c r="B154" i="4"/>
  <c r="B146" i="4"/>
  <c r="B138" i="4"/>
  <c r="B130" i="4"/>
  <c r="B114" i="4"/>
  <c r="B106" i="4"/>
  <c r="B98" i="4"/>
  <c r="B50" i="4"/>
  <c r="B34" i="4"/>
  <c r="B26" i="4"/>
  <c r="B10" i="4"/>
  <c r="A3" i="4"/>
  <c r="A4" i="4"/>
  <c r="A13" i="4"/>
  <c r="A15" i="4"/>
  <c r="A16" i="4"/>
  <c r="A17" i="4"/>
  <c r="A18" i="4"/>
  <c r="A19" i="4"/>
  <c r="A20" i="4"/>
  <c r="A21" i="4"/>
  <c r="A23" i="4"/>
  <c r="A24" i="4"/>
  <c r="A27" i="4"/>
  <c r="A30" i="4"/>
  <c r="A31" i="4"/>
  <c r="A32" i="4"/>
  <c r="A36" i="4"/>
  <c r="A37" i="4"/>
  <c r="A44" i="4"/>
  <c r="A53" i="4"/>
  <c r="A56" i="4"/>
  <c r="A60" i="4"/>
  <c r="A71" i="4"/>
  <c r="A76" i="4"/>
  <c r="A87" i="4"/>
  <c r="A88" i="4"/>
  <c r="A89" i="4"/>
  <c r="A93" i="4"/>
  <c r="A95" i="4"/>
  <c r="A106" i="4"/>
  <c r="A107" i="4"/>
  <c r="A108" i="4"/>
  <c r="A110" i="4"/>
  <c r="A123" i="4"/>
  <c r="A124" i="4"/>
  <c r="A131" i="4"/>
  <c r="A135" i="4"/>
  <c r="A138" i="4"/>
  <c r="A143" i="4"/>
  <c r="A145" i="4"/>
  <c r="A146" i="4"/>
  <c r="A149" i="4"/>
  <c r="A150" i="4"/>
  <c r="A152" i="4"/>
  <c r="A155" i="4"/>
  <c r="A170" i="4"/>
  <c r="A182" i="4"/>
  <c r="A184" i="4"/>
  <c r="A185" i="4"/>
  <c r="A187" i="4"/>
  <c r="A188" i="4"/>
  <c r="A190" i="4"/>
  <c r="A191" i="4"/>
  <c r="A192" i="4"/>
  <c r="A193" i="4"/>
  <c r="A194" i="4"/>
  <c r="A198" i="4"/>
  <c r="A199" i="4"/>
  <c r="A200" i="4"/>
  <c r="A201" i="4"/>
  <c r="A202" i="4"/>
  <c r="A203" i="4"/>
  <c r="A211" i="4"/>
  <c r="A213" i="4"/>
  <c r="A215" i="4"/>
  <c r="A216" i="4"/>
  <c r="A217" i="4"/>
  <c r="A218" i="4"/>
  <c r="A219" i="4"/>
  <c r="A220" i="4"/>
  <c r="A221" i="4"/>
  <c r="A222" i="4"/>
  <c r="A229" i="4"/>
  <c r="A231" i="4"/>
  <c r="A236" i="4"/>
  <c r="A239" i="4"/>
  <c r="A511" i="4"/>
  <c r="A1008" i="4"/>
  <c r="A1009" i="4"/>
  <c r="A1016" i="4"/>
  <c r="A1023" i="4"/>
  <c r="A2" i="4"/>
  <c r="B3" i="2" l="1"/>
  <c r="B4" i="2"/>
  <c r="B5" i="2"/>
  <c r="A5" i="4" s="1"/>
  <c r="B6" i="2"/>
  <c r="A6" i="4" s="1"/>
  <c r="B7" i="2"/>
  <c r="A7" i="4" s="1"/>
  <c r="B8" i="2"/>
  <c r="A8" i="4" s="1"/>
  <c r="B9" i="2"/>
  <c r="A9" i="4" s="1"/>
  <c r="B10" i="2"/>
  <c r="A10" i="4" s="1"/>
  <c r="B11" i="2"/>
  <c r="A11" i="4" s="1"/>
  <c r="B12" i="2"/>
  <c r="A12" i="4" s="1"/>
  <c r="B13" i="2"/>
  <c r="B14" i="2"/>
  <c r="A14" i="4" s="1"/>
  <c r="B15" i="2"/>
  <c r="B16" i="2"/>
  <c r="B17" i="2"/>
  <c r="B18" i="2"/>
  <c r="B19" i="2"/>
  <c r="B20" i="2"/>
  <c r="B21" i="2"/>
  <c r="B22" i="2"/>
  <c r="A22" i="4" s="1"/>
  <c r="B23" i="2"/>
  <c r="B24" i="2"/>
  <c r="B25" i="2"/>
  <c r="A25" i="4" s="1"/>
  <c r="B26" i="2"/>
  <c r="A26" i="4" s="1"/>
  <c r="B27" i="2"/>
  <c r="B28" i="2"/>
  <c r="A28" i="4" s="1"/>
  <c r="B29" i="2"/>
  <c r="A29" i="4" s="1"/>
  <c r="B30" i="2"/>
  <c r="B31" i="2"/>
  <c r="B32" i="2"/>
  <c r="B33" i="2"/>
  <c r="A33" i="4" s="1"/>
  <c r="B34" i="2"/>
  <c r="A34" i="4" s="1"/>
  <c r="B35" i="2"/>
  <c r="A35" i="4" s="1"/>
  <c r="B36" i="2"/>
  <c r="B37" i="2"/>
  <c r="B38" i="2"/>
  <c r="A38" i="4" s="1"/>
  <c r="B39" i="2"/>
  <c r="A39" i="4" s="1"/>
  <c r="B40" i="2"/>
  <c r="A40" i="4" s="1"/>
  <c r="B41" i="2"/>
  <c r="A41" i="4" s="1"/>
  <c r="B42" i="2"/>
  <c r="A42" i="4" s="1"/>
  <c r="B43" i="2"/>
  <c r="A43" i="4" s="1"/>
  <c r="B44" i="2"/>
  <c r="B45" i="2"/>
  <c r="A45" i="4" s="1"/>
  <c r="B46" i="2"/>
  <c r="A46" i="4" s="1"/>
  <c r="B47" i="2"/>
  <c r="A47" i="4" s="1"/>
  <c r="B48" i="2"/>
  <c r="A48" i="4" s="1"/>
  <c r="B49" i="2"/>
  <c r="A49" i="4" s="1"/>
  <c r="B50" i="2"/>
  <c r="A50" i="4" s="1"/>
  <c r="B51" i="2"/>
  <c r="A51" i="4" s="1"/>
  <c r="B52" i="2"/>
  <c r="A52" i="4" s="1"/>
  <c r="B53" i="2"/>
  <c r="B54" i="2"/>
  <c r="A54" i="4" s="1"/>
  <c r="B55" i="2"/>
  <c r="A55" i="4" s="1"/>
  <c r="B56" i="2"/>
  <c r="B57" i="2"/>
  <c r="A57" i="4" s="1"/>
  <c r="B58" i="2"/>
  <c r="A58" i="4" s="1"/>
  <c r="B59" i="2"/>
  <c r="A59" i="4" s="1"/>
  <c r="B60" i="2"/>
  <c r="B61" i="2"/>
  <c r="A61" i="4" s="1"/>
  <c r="B62" i="2"/>
  <c r="A62" i="4" s="1"/>
  <c r="B63" i="2"/>
  <c r="A63" i="4" s="1"/>
  <c r="B64" i="2"/>
  <c r="A64" i="4" s="1"/>
  <c r="B65" i="2"/>
  <c r="A65" i="4" s="1"/>
  <c r="B66" i="2"/>
  <c r="A66" i="4" s="1"/>
  <c r="B67" i="2"/>
  <c r="A67" i="4" s="1"/>
  <c r="B68" i="2"/>
  <c r="A68" i="4" s="1"/>
  <c r="B69" i="2"/>
  <c r="A69" i="4" s="1"/>
  <c r="B70" i="2"/>
  <c r="A70" i="4" s="1"/>
  <c r="B71" i="2"/>
  <c r="B72" i="2"/>
  <c r="A72" i="4" s="1"/>
  <c r="B73" i="2"/>
  <c r="A73" i="4" s="1"/>
  <c r="B74" i="2"/>
  <c r="A74" i="4" s="1"/>
  <c r="B75" i="2"/>
  <c r="A75" i="4" s="1"/>
  <c r="B76" i="2"/>
  <c r="B77" i="2"/>
  <c r="A77" i="4" s="1"/>
  <c r="B78" i="2"/>
  <c r="A78" i="4" s="1"/>
  <c r="B79" i="2"/>
  <c r="A79" i="4" s="1"/>
  <c r="B80" i="2"/>
  <c r="A80" i="4" s="1"/>
  <c r="B81" i="2"/>
  <c r="A81" i="4" s="1"/>
  <c r="B82" i="2"/>
  <c r="A82" i="4" s="1"/>
  <c r="B83" i="2"/>
  <c r="A83" i="4" s="1"/>
  <c r="B84" i="2"/>
  <c r="A84" i="4" s="1"/>
  <c r="B85" i="2"/>
  <c r="A85" i="4" s="1"/>
  <c r="B86" i="2"/>
  <c r="A86" i="4" s="1"/>
  <c r="B87" i="2"/>
  <c r="B88" i="2"/>
  <c r="B89" i="2"/>
  <c r="B90" i="2"/>
  <c r="A90" i="4" s="1"/>
  <c r="B91" i="2"/>
  <c r="A91" i="4" s="1"/>
  <c r="B92" i="2"/>
  <c r="A92" i="4" s="1"/>
  <c r="B93" i="2"/>
  <c r="B94" i="2"/>
  <c r="A94" i="4" s="1"/>
  <c r="B95" i="2"/>
  <c r="B96" i="2"/>
  <c r="A96" i="4" s="1"/>
  <c r="B97" i="2"/>
  <c r="A97" i="4" s="1"/>
  <c r="B98" i="2"/>
  <c r="A98" i="4" s="1"/>
  <c r="B99" i="2"/>
  <c r="A99" i="4" s="1"/>
  <c r="B100" i="2"/>
  <c r="A100" i="4" s="1"/>
  <c r="B101" i="2"/>
  <c r="A101" i="4" s="1"/>
  <c r="B102" i="2"/>
  <c r="A102" i="4" s="1"/>
  <c r="B103" i="2"/>
  <c r="A103" i="4" s="1"/>
  <c r="B104" i="2"/>
  <c r="A104" i="4" s="1"/>
  <c r="B105" i="2"/>
  <c r="A105" i="4" s="1"/>
  <c r="B106" i="2"/>
  <c r="B107" i="2"/>
  <c r="B108" i="2"/>
  <c r="B109" i="2"/>
  <c r="A109" i="4" s="1"/>
  <c r="B110" i="2"/>
  <c r="B111" i="2"/>
  <c r="A111" i="4" s="1"/>
  <c r="B112" i="2"/>
  <c r="A112" i="4" s="1"/>
  <c r="B113" i="2"/>
  <c r="A113" i="4" s="1"/>
  <c r="B114" i="2"/>
  <c r="A114" i="4" s="1"/>
  <c r="B115" i="2"/>
  <c r="A115" i="4" s="1"/>
  <c r="B116" i="2"/>
  <c r="A116" i="4" s="1"/>
  <c r="B117" i="2"/>
  <c r="A117" i="4" s="1"/>
  <c r="B118" i="2"/>
  <c r="A118" i="4" s="1"/>
  <c r="B119" i="2"/>
  <c r="A119" i="4" s="1"/>
  <c r="B120" i="2"/>
  <c r="A120" i="4" s="1"/>
  <c r="B121" i="2"/>
  <c r="A121" i="4" s="1"/>
  <c r="B122" i="2"/>
  <c r="A122" i="4" s="1"/>
  <c r="B123" i="2"/>
  <c r="B124" i="2"/>
  <c r="B125" i="2"/>
  <c r="A125" i="4" s="1"/>
  <c r="B126" i="2"/>
  <c r="A126" i="4" s="1"/>
  <c r="B127" i="2"/>
  <c r="A127" i="4" s="1"/>
  <c r="B128" i="2"/>
  <c r="A128" i="4" s="1"/>
  <c r="B129" i="2"/>
  <c r="A129" i="4" s="1"/>
  <c r="B130" i="2"/>
  <c r="A130" i="4" s="1"/>
  <c r="B131" i="2"/>
  <c r="B132" i="2"/>
  <c r="A132" i="4" s="1"/>
  <c r="B133" i="2"/>
  <c r="A133" i="4" s="1"/>
  <c r="B134" i="2"/>
  <c r="A134" i="4" s="1"/>
  <c r="B135" i="2"/>
  <c r="B136" i="2"/>
  <c r="A136" i="4" s="1"/>
  <c r="B137" i="2"/>
  <c r="A137" i="4" s="1"/>
  <c r="B138" i="2"/>
  <c r="B139" i="2"/>
  <c r="A139" i="4" s="1"/>
  <c r="B140" i="2"/>
  <c r="A140" i="4" s="1"/>
  <c r="B141" i="2"/>
  <c r="A141" i="4" s="1"/>
  <c r="B142" i="2"/>
  <c r="A142" i="4" s="1"/>
  <c r="B143" i="2"/>
  <c r="B144" i="2"/>
  <c r="A144" i="4" s="1"/>
  <c r="B145" i="2"/>
  <c r="B146" i="2"/>
  <c r="B147" i="2"/>
  <c r="A147" i="4" s="1"/>
  <c r="B148" i="2"/>
  <c r="A148" i="4" s="1"/>
  <c r="B149" i="2"/>
  <c r="B150" i="2"/>
  <c r="B151" i="2"/>
  <c r="A151" i="4" s="1"/>
  <c r="B152" i="2"/>
  <c r="B153" i="2"/>
  <c r="A153" i="4" s="1"/>
  <c r="B154" i="2"/>
  <c r="A154" i="4" s="1"/>
  <c r="B155" i="2"/>
  <c r="B156" i="2"/>
  <c r="A156" i="4" s="1"/>
  <c r="B157" i="2"/>
  <c r="A157" i="4" s="1"/>
  <c r="B158" i="2"/>
  <c r="A158" i="4" s="1"/>
  <c r="B159" i="2"/>
  <c r="A159" i="4" s="1"/>
  <c r="B160" i="2"/>
  <c r="A160" i="4" s="1"/>
  <c r="B161" i="2"/>
  <c r="A161" i="4" s="1"/>
  <c r="B162" i="2"/>
  <c r="A162" i="4" s="1"/>
  <c r="B163" i="2"/>
  <c r="A163" i="4" s="1"/>
  <c r="B164" i="2"/>
  <c r="A164" i="4" s="1"/>
  <c r="B165" i="2"/>
  <c r="A165" i="4" s="1"/>
  <c r="B166" i="2"/>
  <c r="A166" i="4" s="1"/>
  <c r="B167" i="2"/>
  <c r="A167" i="4" s="1"/>
  <c r="B168" i="2"/>
  <c r="A168" i="4" s="1"/>
  <c r="B169" i="2"/>
  <c r="A169" i="4" s="1"/>
  <c r="B170" i="2"/>
  <c r="B171" i="2"/>
  <c r="A171" i="4" s="1"/>
  <c r="B172" i="2"/>
  <c r="A172" i="4" s="1"/>
  <c r="B173" i="2"/>
  <c r="A173" i="4" s="1"/>
  <c r="B174" i="2"/>
  <c r="A174" i="4" s="1"/>
  <c r="B175" i="2"/>
  <c r="A175" i="4" s="1"/>
  <c r="B176" i="2"/>
  <c r="A176" i="4" s="1"/>
  <c r="B177" i="2"/>
  <c r="A177" i="4" s="1"/>
  <c r="B178" i="2"/>
  <c r="A178" i="4" s="1"/>
  <c r="B179" i="2"/>
  <c r="A179" i="4" s="1"/>
  <c r="B180" i="2"/>
  <c r="A180" i="4" s="1"/>
  <c r="B181" i="2"/>
  <c r="A181" i="4" s="1"/>
  <c r="B182" i="2"/>
  <c r="B183" i="2"/>
  <c r="A183" i="4" s="1"/>
  <c r="B184" i="2"/>
  <c r="B185" i="2"/>
  <c r="B186" i="2"/>
  <c r="A186" i="4" s="1"/>
  <c r="B187" i="2"/>
  <c r="B188" i="2"/>
  <c r="B189" i="2"/>
  <c r="A189" i="4" s="1"/>
  <c r="B190" i="2"/>
  <c r="B191" i="2"/>
  <c r="B192" i="2"/>
  <c r="B193" i="2"/>
  <c r="B194" i="2"/>
  <c r="B195" i="2"/>
  <c r="A195" i="4" s="1"/>
  <c r="B196" i="2"/>
  <c r="A196" i="4" s="1"/>
  <c r="B197" i="2"/>
  <c r="A197" i="4" s="1"/>
  <c r="B198" i="2"/>
  <c r="B199" i="2"/>
  <c r="B200" i="2"/>
  <c r="B201" i="2"/>
  <c r="B202" i="2"/>
  <c r="B203" i="2"/>
  <c r="B204" i="2"/>
  <c r="A204" i="4" s="1"/>
  <c r="B205" i="2"/>
  <c r="A205" i="4" s="1"/>
  <c r="B206" i="2"/>
  <c r="A206" i="4" s="1"/>
  <c r="B207" i="2"/>
  <c r="A207" i="4" s="1"/>
  <c r="B208" i="2"/>
  <c r="A208" i="4" s="1"/>
  <c r="B209" i="2"/>
  <c r="A209" i="4" s="1"/>
  <c r="B210" i="2"/>
  <c r="A210" i="4" s="1"/>
  <c r="B211" i="2"/>
  <c r="B212" i="2"/>
  <c r="A212" i="4" s="1"/>
  <c r="B213" i="2"/>
  <c r="B214" i="2"/>
  <c r="A214" i="4" s="1"/>
  <c r="B215" i="2"/>
  <c r="B216" i="2"/>
  <c r="B217" i="2"/>
  <c r="B218" i="2"/>
  <c r="B219" i="2"/>
  <c r="B220" i="2"/>
  <c r="B221" i="2"/>
  <c r="B222" i="2"/>
  <c r="B223" i="2"/>
  <c r="A223" i="4" s="1"/>
  <c r="B224" i="2"/>
  <c r="A224" i="4" s="1"/>
  <c r="B225" i="2"/>
  <c r="A225" i="4" s="1"/>
  <c r="B226" i="2"/>
  <c r="A226" i="4" s="1"/>
  <c r="B227" i="2"/>
  <c r="A227" i="4" s="1"/>
  <c r="B228" i="2"/>
  <c r="A228" i="4" s="1"/>
  <c r="B229" i="2"/>
  <c r="B230" i="2"/>
  <c r="A230" i="4" s="1"/>
  <c r="B231" i="2"/>
  <c r="B232" i="2"/>
  <c r="A232" i="4" s="1"/>
  <c r="B233" i="2"/>
  <c r="A233" i="4" s="1"/>
  <c r="B234" i="2"/>
  <c r="A234" i="4" s="1"/>
  <c r="B235" i="2"/>
  <c r="A235" i="4" s="1"/>
  <c r="B236" i="2"/>
  <c r="B237" i="2"/>
  <c r="A237" i="4" s="1"/>
  <c r="B238" i="2"/>
  <c r="A238" i="4" s="1"/>
  <c r="B239" i="2"/>
  <c r="B240" i="2"/>
  <c r="A240" i="4" s="1"/>
  <c r="B241" i="2"/>
  <c r="A241" i="4" s="1"/>
  <c r="B242" i="2"/>
  <c r="A242" i="4" s="1"/>
  <c r="B243" i="2"/>
  <c r="A243" i="4" s="1"/>
  <c r="B244" i="2"/>
  <c r="A244" i="4" s="1"/>
  <c r="B245" i="2"/>
  <c r="A245" i="4" s="1"/>
  <c r="B246" i="2"/>
  <c r="A246" i="4" s="1"/>
  <c r="B247" i="2"/>
  <c r="A247" i="4" s="1"/>
  <c r="B248" i="2"/>
  <c r="A248" i="4" s="1"/>
  <c r="B249" i="2"/>
  <c r="A249" i="4" s="1"/>
  <c r="B250" i="2"/>
  <c r="A250" i="4" s="1"/>
  <c r="B251" i="2"/>
  <c r="A251" i="4" s="1"/>
  <c r="B252" i="2"/>
  <c r="A252" i="4" s="1"/>
  <c r="B253" i="2"/>
  <c r="A253" i="4" s="1"/>
  <c r="B254" i="2"/>
  <c r="A254" i="4" s="1"/>
  <c r="B255" i="2"/>
  <c r="A255" i="4" s="1"/>
  <c r="B256" i="2"/>
  <c r="A256" i="4" s="1"/>
  <c r="B257" i="2"/>
  <c r="A257" i="4" s="1"/>
  <c r="B258" i="2"/>
  <c r="A258" i="4" s="1"/>
  <c r="B259" i="2"/>
  <c r="A259" i="4" s="1"/>
  <c r="B260" i="2"/>
  <c r="A260" i="4" s="1"/>
  <c r="B261" i="2"/>
  <c r="A261" i="4" s="1"/>
  <c r="B262" i="2"/>
  <c r="A262" i="4" s="1"/>
  <c r="B263" i="2"/>
  <c r="A263" i="4" s="1"/>
  <c r="B264" i="2"/>
  <c r="A264" i="4" s="1"/>
  <c r="B265" i="2"/>
  <c r="A265" i="4" s="1"/>
  <c r="B266" i="2"/>
  <c r="A266" i="4" s="1"/>
  <c r="B267" i="2"/>
  <c r="A267" i="4" s="1"/>
  <c r="B268" i="2"/>
  <c r="A268" i="4" s="1"/>
  <c r="B269" i="2"/>
  <c r="A269" i="4" s="1"/>
  <c r="B270" i="2"/>
  <c r="A270" i="4" s="1"/>
  <c r="B271" i="2"/>
  <c r="A271" i="4" s="1"/>
  <c r="B272" i="2"/>
  <c r="A272" i="4" s="1"/>
  <c r="B273" i="2"/>
  <c r="A273" i="4" s="1"/>
  <c r="B274" i="2"/>
  <c r="A274" i="4" s="1"/>
  <c r="B275" i="2"/>
  <c r="A275" i="4" s="1"/>
  <c r="B276" i="2"/>
  <c r="A276" i="4" s="1"/>
  <c r="B277" i="2"/>
  <c r="A277" i="4" s="1"/>
  <c r="B278" i="2"/>
  <c r="A278" i="4" s="1"/>
  <c r="B279" i="2"/>
  <c r="A279" i="4" s="1"/>
  <c r="B280" i="2"/>
  <c r="A280" i="4" s="1"/>
  <c r="B281" i="2"/>
  <c r="A281" i="4" s="1"/>
  <c r="B282" i="2"/>
  <c r="A282" i="4" s="1"/>
  <c r="B283" i="2"/>
  <c r="A283" i="4" s="1"/>
  <c r="B284" i="2"/>
  <c r="A284" i="4" s="1"/>
  <c r="B285" i="2"/>
  <c r="A285" i="4" s="1"/>
  <c r="B286" i="2"/>
  <c r="A286" i="4" s="1"/>
  <c r="B287" i="2"/>
  <c r="A287" i="4" s="1"/>
  <c r="B288" i="2"/>
  <c r="A288" i="4" s="1"/>
  <c r="B289" i="2"/>
  <c r="A289" i="4" s="1"/>
  <c r="B290" i="2"/>
  <c r="A290" i="4" s="1"/>
  <c r="B291" i="2"/>
  <c r="A291" i="4" s="1"/>
  <c r="B292" i="2"/>
  <c r="A292" i="4" s="1"/>
  <c r="B293" i="2"/>
  <c r="A293" i="4" s="1"/>
  <c r="B294" i="2"/>
  <c r="A294" i="4" s="1"/>
  <c r="B295" i="2"/>
  <c r="A295" i="4" s="1"/>
  <c r="B296" i="2"/>
  <c r="A296" i="4" s="1"/>
  <c r="B297" i="2"/>
  <c r="A297" i="4" s="1"/>
  <c r="B298" i="2"/>
  <c r="A298" i="4" s="1"/>
  <c r="B299" i="2"/>
  <c r="A299" i="4" s="1"/>
  <c r="B300" i="2"/>
  <c r="A300" i="4" s="1"/>
  <c r="B301" i="2"/>
  <c r="A301" i="4" s="1"/>
  <c r="B302" i="2"/>
  <c r="A302" i="4" s="1"/>
  <c r="B303" i="2"/>
  <c r="A303" i="4" s="1"/>
  <c r="B304" i="2"/>
  <c r="A304" i="4" s="1"/>
  <c r="B305" i="2"/>
  <c r="A305" i="4" s="1"/>
  <c r="B306" i="2"/>
  <c r="A306" i="4" s="1"/>
  <c r="B307" i="2"/>
  <c r="A307" i="4" s="1"/>
  <c r="B308" i="2"/>
  <c r="A308" i="4" s="1"/>
  <c r="B309" i="2"/>
  <c r="A309" i="4" s="1"/>
  <c r="B310" i="2"/>
  <c r="A310" i="4" s="1"/>
  <c r="B311" i="2"/>
  <c r="A311" i="4" s="1"/>
  <c r="B312" i="2"/>
  <c r="A312" i="4" s="1"/>
  <c r="B313" i="2"/>
  <c r="A313" i="4" s="1"/>
  <c r="B314" i="2"/>
  <c r="A314" i="4" s="1"/>
  <c r="B315" i="2"/>
  <c r="A315" i="4" s="1"/>
  <c r="B316" i="2"/>
  <c r="A316" i="4" s="1"/>
  <c r="B317" i="2"/>
  <c r="A317" i="4" s="1"/>
  <c r="B318" i="2"/>
  <c r="A318" i="4" s="1"/>
  <c r="B319" i="2"/>
  <c r="A319" i="4" s="1"/>
  <c r="B320" i="2"/>
  <c r="A320" i="4" s="1"/>
  <c r="B321" i="2"/>
  <c r="A321" i="4" s="1"/>
  <c r="B322" i="2"/>
  <c r="A322" i="4" s="1"/>
  <c r="B323" i="2"/>
  <c r="A323" i="4" s="1"/>
  <c r="B324" i="2"/>
  <c r="A324" i="4" s="1"/>
  <c r="B325" i="2"/>
  <c r="A325" i="4" s="1"/>
  <c r="B326" i="2"/>
  <c r="A326" i="4" s="1"/>
  <c r="B327" i="2"/>
  <c r="A327" i="4" s="1"/>
  <c r="B328" i="2"/>
  <c r="A328" i="4" s="1"/>
  <c r="B329" i="2"/>
  <c r="A329" i="4" s="1"/>
  <c r="B330" i="2"/>
  <c r="A330" i="4" s="1"/>
  <c r="B331" i="2"/>
  <c r="A331" i="4" s="1"/>
  <c r="B332" i="2"/>
  <c r="A332" i="4" s="1"/>
  <c r="B333" i="2"/>
  <c r="A333" i="4" s="1"/>
  <c r="B334" i="2"/>
  <c r="A334" i="4" s="1"/>
  <c r="B335" i="2"/>
  <c r="A335" i="4" s="1"/>
  <c r="B336" i="2"/>
  <c r="A336" i="4" s="1"/>
  <c r="B337" i="2"/>
  <c r="A337" i="4" s="1"/>
  <c r="B338" i="2"/>
  <c r="A338" i="4" s="1"/>
  <c r="B339" i="2"/>
  <c r="A339" i="4" s="1"/>
  <c r="B340" i="2"/>
  <c r="A340" i="4" s="1"/>
  <c r="B341" i="2"/>
  <c r="A341" i="4" s="1"/>
  <c r="B342" i="2"/>
  <c r="A342" i="4" s="1"/>
  <c r="B343" i="2"/>
  <c r="A343" i="4" s="1"/>
  <c r="B344" i="2"/>
  <c r="A344" i="4" s="1"/>
  <c r="B345" i="2"/>
  <c r="A345" i="4" s="1"/>
  <c r="B346" i="2"/>
  <c r="A346" i="4" s="1"/>
  <c r="B347" i="2"/>
  <c r="A347" i="4" s="1"/>
  <c r="B348" i="2"/>
  <c r="A348" i="4" s="1"/>
  <c r="B349" i="2"/>
  <c r="A349" i="4" s="1"/>
  <c r="B350" i="2"/>
  <c r="A350" i="4" s="1"/>
  <c r="B351" i="2"/>
  <c r="A351" i="4" s="1"/>
  <c r="B352" i="2"/>
  <c r="A352" i="4" s="1"/>
  <c r="B353" i="2"/>
  <c r="A353" i="4" s="1"/>
  <c r="B354" i="2"/>
  <c r="A354" i="4" s="1"/>
  <c r="B355" i="2"/>
  <c r="A355" i="4" s="1"/>
  <c r="B356" i="2"/>
  <c r="A356" i="4" s="1"/>
  <c r="B357" i="2"/>
  <c r="A357" i="4" s="1"/>
  <c r="B358" i="2"/>
  <c r="A358" i="4" s="1"/>
  <c r="B359" i="2"/>
  <c r="A359" i="4" s="1"/>
  <c r="B360" i="2"/>
  <c r="A360" i="4" s="1"/>
  <c r="B361" i="2"/>
  <c r="A361" i="4" s="1"/>
  <c r="B362" i="2"/>
  <c r="A362" i="4" s="1"/>
  <c r="B363" i="2"/>
  <c r="A363" i="4" s="1"/>
  <c r="B364" i="2"/>
  <c r="A364" i="4" s="1"/>
  <c r="B365" i="2"/>
  <c r="A365" i="4" s="1"/>
  <c r="B366" i="2"/>
  <c r="A366" i="4" s="1"/>
  <c r="B367" i="2"/>
  <c r="A367" i="4" s="1"/>
  <c r="B368" i="2"/>
  <c r="A368" i="4" s="1"/>
  <c r="B369" i="2"/>
  <c r="A369" i="4" s="1"/>
  <c r="B370" i="2"/>
  <c r="A370" i="4" s="1"/>
  <c r="B371" i="2"/>
  <c r="A371" i="4" s="1"/>
  <c r="B372" i="2"/>
  <c r="A372" i="4" s="1"/>
  <c r="B373" i="2"/>
  <c r="A373" i="4" s="1"/>
  <c r="B374" i="2"/>
  <c r="A374" i="4" s="1"/>
  <c r="B375" i="2"/>
  <c r="A375" i="4" s="1"/>
  <c r="B376" i="2"/>
  <c r="A376" i="4" s="1"/>
  <c r="B377" i="2"/>
  <c r="A377" i="4" s="1"/>
  <c r="B378" i="2"/>
  <c r="A378" i="4" s="1"/>
  <c r="B379" i="2"/>
  <c r="A379" i="4" s="1"/>
  <c r="B380" i="2"/>
  <c r="A380" i="4" s="1"/>
  <c r="B381" i="2"/>
  <c r="A381" i="4" s="1"/>
  <c r="B382" i="2"/>
  <c r="A382" i="4" s="1"/>
  <c r="B383" i="2"/>
  <c r="A383" i="4" s="1"/>
  <c r="B384" i="2"/>
  <c r="A384" i="4" s="1"/>
  <c r="B385" i="2"/>
  <c r="A385" i="4" s="1"/>
  <c r="B386" i="2"/>
  <c r="A386" i="4" s="1"/>
  <c r="B387" i="2"/>
  <c r="A387" i="4" s="1"/>
  <c r="B388" i="2"/>
  <c r="A388" i="4" s="1"/>
  <c r="B389" i="2"/>
  <c r="A389" i="4" s="1"/>
  <c r="B390" i="2"/>
  <c r="A390" i="4" s="1"/>
  <c r="B391" i="2"/>
  <c r="A391" i="4" s="1"/>
  <c r="B392" i="2"/>
  <c r="A392" i="4" s="1"/>
  <c r="B393" i="2"/>
  <c r="A393" i="4" s="1"/>
  <c r="B394" i="2"/>
  <c r="A394" i="4" s="1"/>
  <c r="B395" i="2"/>
  <c r="A395" i="4" s="1"/>
  <c r="B396" i="2"/>
  <c r="A396" i="4" s="1"/>
  <c r="B397" i="2"/>
  <c r="A397" i="4" s="1"/>
  <c r="B398" i="2"/>
  <c r="A398" i="4" s="1"/>
  <c r="B399" i="2"/>
  <c r="A399" i="4" s="1"/>
  <c r="B400" i="2"/>
  <c r="A400" i="4" s="1"/>
  <c r="B401" i="2"/>
  <c r="A401" i="4" s="1"/>
  <c r="B402" i="2"/>
  <c r="A402" i="4" s="1"/>
  <c r="B403" i="2"/>
  <c r="A403" i="4" s="1"/>
  <c r="B404" i="2"/>
  <c r="A404" i="4" s="1"/>
  <c r="B405" i="2"/>
  <c r="A405" i="4" s="1"/>
  <c r="B406" i="2"/>
  <c r="A406" i="4" s="1"/>
  <c r="B407" i="2"/>
  <c r="A407" i="4" s="1"/>
  <c r="B408" i="2"/>
  <c r="A408" i="4" s="1"/>
  <c r="B409" i="2"/>
  <c r="A409" i="4" s="1"/>
  <c r="B410" i="2"/>
  <c r="A410" i="4" s="1"/>
  <c r="B411" i="2"/>
  <c r="A411" i="4" s="1"/>
  <c r="B412" i="2"/>
  <c r="A412" i="4" s="1"/>
  <c r="B413" i="2"/>
  <c r="A413" i="4" s="1"/>
  <c r="B414" i="2"/>
  <c r="A414" i="4" s="1"/>
  <c r="B415" i="2"/>
  <c r="A415" i="4" s="1"/>
  <c r="B416" i="2"/>
  <c r="A416" i="4" s="1"/>
  <c r="B417" i="2"/>
  <c r="A417" i="4" s="1"/>
  <c r="B418" i="2"/>
  <c r="A418" i="4" s="1"/>
  <c r="B419" i="2"/>
  <c r="A419" i="4" s="1"/>
  <c r="B420" i="2"/>
  <c r="A420" i="4" s="1"/>
  <c r="B421" i="2"/>
  <c r="A421" i="4" s="1"/>
  <c r="B422" i="2"/>
  <c r="A422" i="4" s="1"/>
  <c r="B423" i="2"/>
  <c r="A423" i="4" s="1"/>
  <c r="B424" i="2"/>
  <c r="A424" i="4" s="1"/>
  <c r="B425" i="2"/>
  <c r="A425" i="4" s="1"/>
  <c r="B426" i="2"/>
  <c r="A426" i="4" s="1"/>
  <c r="B427" i="2"/>
  <c r="A427" i="4" s="1"/>
  <c r="B428" i="2"/>
  <c r="A428" i="4" s="1"/>
  <c r="B429" i="2"/>
  <c r="A429" i="4" s="1"/>
  <c r="B430" i="2"/>
  <c r="A430" i="4" s="1"/>
  <c r="B431" i="2"/>
  <c r="A431" i="4" s="1"/>
  <c r="B432" i="2"/>
  <c r="A432" i="4" s="1"/>
  <c r="B433" i="2"/>
  <c r="A433" i="4" s="1"/>
  <c r="B434" i="2"/>
  <c r="A434" i="4" s="1"/>
  <c r="B435" i="2"/>
  <c r="A435" i="4" s="1"/>
  <c r="B436" i="2"/>
  <c r="A436" i="4" s="1"/>
  <c r="B437" i="2"/>
  <c r="A437" i="4" s="1"/>
  <c r="B438" i="2"/>
  <c r="A438" i="4" s="1"/>
  <c r="B439" i="2"/>
  <c r="A439" i="4" s="1"/>
  <c r="B440" i="2"/>
  <c r="A440" i="4" s="1"/>
  <c r="B441" i="2"/>
  <c r="A441" i="4" s="1"/>
  <c r="B442" i="2"/>
  <c r="A442" i="4" s="1"/>
  <c r="B443" i="2"/>
  <c r="A443" i="4" s="1"/>
  <c r="B444" i="2"/>
  <c r="A444" i="4" s="1"/>
  <c r="B445" i="2"/>
  <c r="A445" i="4" s="1"/>
  <c r="B446" i="2"/>
  <c r="A446" i="4" s="1"/>
  <c r="B447" i="2"/>
  <c r="A447" i="4" s="1"/>
  <c r="B448" i="2"/>
  <c r="A448" i="4" s="1"/>
  <c r="B449" i="2"/>
  <c r="A449" i="4" s="1"/>
  <c r="B450" i="2"/>
  <c r="A450" i="4" s="1"/>
  <c r="B451" i="2"/>
  <c r="A451" i="4" s="1"/>
  <c r="B452" i="2"/>
  <c r="A452" i="4" s="1"/>
  <c r="B453" i="2"/>
  <c r="A453" i="4" s="1"/>
  <c r="B454" i="2"/>
  <c r="A454" i="4" s="1"/>
  <c r="B455" i="2"/>
  <c r="A455" i="4" s="1"/>
  <c r="B456" i="2"/>
  <c r="A456" i="4" s="1"/>
  <c r="B457" i="2"/>
  <c r="A457" i="4" s="1"/>
  <c r="B458" i="2"/>
  <c r="A458" i="4" s="1"/>
  <c r="B459" i="2"/>
  <c r="A459" i="4" s="1"/>
  <c r="B460" i="2"/>
  <c r="A460" i="4" s="1"/>
  <c r="B461" i="2"/>
  <c r="A461" i="4" s="1"/>
  <c r="B462" i="2"/>
  <c r="A462" i="4" s="1"/>
  <c r="B463" i="2"/>
  <c r="A463" i="4" s="1"/>
  <c r="B464" i="2"/>
  <c r="A464" i="4" s="1"/>
  <c r="B465" i="2"/>
  <c r="A465" i="4" s="1"/>
  <c r="B466" i="2"/>
  <c r="A466" i="4" s="1"/>
  <c r="B467" i="2"/>
  <c r="A467" i="4" s="1"/>
  <c r="B468" i="2"/>
  <c r="A468" i="4" s="1"/>
  <c r="B469" i="2"/>
  <c r="A469" i="4" s="1"/>
  <c r="B470" i="2"/>
  <c r="A470" i="4" s="1"/>
  <c r="B471" i="2"/>
  <c r="A471" i="4" s="1"/>
  <c r="B472" i="2"/>
  <c r="A472" i="4" s="1"/>
  <c r="B473" i="2"/>
  <c r="A473" i="4" s="1"/>
  <c r="B474" i="2"/>
  <c r="A474" i="4" s="1"/>
  <c r="B475" i="2"/>
  <c r="A475" i="4" s="1"/>
  <c r="B476" i="2"/>
  <c r="A476" i="4" s="1"/>
  <c r="B477" i="2"/>
  <c r="A477" i="4" s="1"/>
  <c r="B478" i="2"/>
  <c r="A478" i="4" s="1"/>
  <c r="B479" i="2"/>
  <c r="A479" i="4" s="1"/>
  <c r="B480" i="2"/>
  <c r="A480" i="4" s="1"/>
  <c r="B481" i="2"/>
  <c r="A481" i="4" s="1"/>
  <c r="B482" i="2"/>
  <c r="A482" i="4" s="1"/>
  <c r="B483" i="2"/>
  <c r="A483" i="4" s="1"/>
  <c r="B484" i="2"/>
  <c r="A484" i="4" s="1"/>
  <c r="B485" i="2"/>
  <c r="A485" i="4" s="1"/>
  <c r="B486" i="2"/>
  <c r="A486" i="4" s="1"/>
  <c r="B487" i="2"/>
  <c r="A487" i="4" s="1"/>
  <c r="B488" i="2"/>
  <c r="A488" i="4" s="1"/>
  <c r="B489" i="2"/>
  <c r="A489" i="4" s="1"/>
  <c r="B490" i="2"/>
  <c r="A490" i="4" s="1"/>
  <c r="B491" i="2"/>
  <c r="A491" i="4" s="1"/>
  <c r="B492" i="2"/>
  <c r="A492" i="4" s="1"/>
  <c r="B493" i="2"/>
  <c r="A493" i="4" s="1"/>
  <c r="B494" i="2"/>
  <c r="A494" i="4" s="1"/>
  <c r="B495" i="2"/>
  <c r="A495" i="4" s="1"/>
  <c r="B496" i="2"/>
  <c r="A496" i="4" s="1"/>
  <c r="B497" i="2"/>
  <c r="A497" i="4" s="1"/>
  <c r="B498" i="2"/>
  <c r="A498" i="4" s="1"/>
  <c r="B499" i="2"/>
  <c r="A499" i="4" s="1"/>
  <c r="B500" i="2"/>
  <c r="A500" i="4" s="1"/>
  <c r="B501" i="2"/>
  <c r="A501" i="4" s="1"/>
  <c r="B502" i="2"/>
  <c r="A502" i="4" s="1"/>
  <c r="B503" i="2"/>
  <c r="A503" i="4" s="1"/>
  <c r="B504" i="2"/>
  <c r="A504" i="4" s="1"/>
  <c r="B505" i="2"/>
  <c r="A505" i="4" s="1"/>
  <c r="B506" i="2"/>
  <c r="A506" i="4" s="1"/>
  <c r="B507" i="2"/>
  <c r="A507" i="4" s="1"/>
  <c r="B508" i="2"/>
  <c r="A508" i="4" s="1"/>
  <c r="B509" i="2"/>
  <c r="A509" i="4" s="1"/>
  <c r="B510" i="2"/>
  <c r="A510" i="4" s="1"/>
  <c r="B511" i="2"/>
  <c r="B512" i="2"/>
  <c r="A512" i="4" s="1"/>
  <c r="B513" i="2"/>
  <c r="A513" i="4" s="1"/>
  <c r="B514" i="2"/>
  <c r="A514" i="4" s="1"/>
  <c r="B515" i="2"/>
  <c r="A515" i="4" s="1"/>
  <c r="B516" i="2"/>
  <c r="A516" i="4" s="1"/>
  <c r="B517" i="2"/>
  <c r="A517" i="4" s="1"/>
  <c r="B518" i="2"/>
  <c r="A518" i="4" s="1"/>
  <c r="B519" i="2"/>
  <c r="A519" i="4" s="1"/>
  <c r="B520" i="2"/>
  <c r="A520" i="4" s="1"/>
  <c r="B521" i="2"/>
  <c r="A521" i="4" s="1"/>
  <c r="B522" i="2"/>
  <c r="A522" i="4" s="1"/>
  <c r="B523" i="2"/>
  <c r="A523" i="4" s="1"/>
  <c r="B524" i="2"/>
  <c r="A524" i="4" s="1"/>
  <c r="B525" i="2"/>
  <c r="A525" i="4" s="1"/>
  <c r="B526" i="2"/>
  <c r="A526" i="4" s="1"/>
  <c r="B527" i="2"/>
  <c r="A527" i="4" s="1"/>
  <c r="B528" i="2"/>
  <c r="A528" i="4" s="1"/>
  <c r="B529" i="2"/>
  <c r="A529" i="4" s="1"/>
  <c r="B530" i="2"/>
  <c r="A530" i="4" s="1"/>
  <c r="B531" i="2"/>
  <c r="A531" i="4" s="1"/>
  <c r="B532" i="2"/>
  <c r="A532" i="4" s="1"/>
  <c r="B533" i="2"/>
  <c r="A533" i="4" s="1"/>
  <c r="B534" i="2"/>
  <c r="A534" i="4" s="1"/>
  <c r="B535" i="2"/>
  <c r="A535" i="4" s="1"/>
  <c r="B536" i="2"/>
  <c r="A536" i="4" s="1"/>
  <c r="B537" i="2"/>
  <c r="A537" i="4" s="1"/>
  <c r="B538" i="2"/>
  <c r="A538" i="4" s="1"/>
  <c r="B539" i="2"/>
  <c r="A539" i="4" s="1"/>
  <c r="B540" i="2"/>
  <c r="A540" i="4" s="1"/>
  <c r="B541" i="2"/>
  <c r="A541" i="4" s="1"/>
  <c r="B542" i="2"/>
  <c r="A542" i="4" s="1"/>
  <c r="B543" i="2"/>
  <c r="A543" i="4" s="1"/>
  <c r="B544" i="2"/>
  <c r="A544" i="4" s="1"/>
  <c r="B545" i="2"/>
  <c r="A545" i="4" s="1"/>
  <c r="B546" i="2"/>
  <c r="A546" i="4" s="1"/>
  <c r="B547" i="2"/>
  <c r="A547" i="4" s="1"/>
  <c r="B548" i="2"/>
  <c r="A548" i="4" s="1"/>
  <c r="B549" i="2"/>
  <c r="A549" i="4" s="1"/>
  <c r="B550" i="2"/>
  <c r="A550" i="4" s="1"/>
  <c r="B551" i="2"/>
  <c r="A551" i="4" s="1"/>
  <c r="B552" i="2"/>
  <c r="A552" i="4" s="1"/>
  <c r="B553" i="2"/>
  <c r="A553" i="4" s="1"/>
  <c r="B554" i="2"/>
  <c r="A554" i="4" s="1"/>
  <c r="B555" i="2"/>
  <c r="A555" i="4" s="1"/>
  <c r="B556" i="2"/>
  <c r="A556" i="4" s="1"/>
  <c r="B557" i="2"/>
  <c r="A557" i="4" s="1"/>
  <c r="B558" i="2"/>
  <c r="A558" i="4" s="1"/>
  <c r="B559" i="2"/>
  <c r="A559" i="4" s="1"/>
  <c r="B560" i="2"/>
  <c r="A560" i="4" s="1"/>
  <c r="B561" i="2"/>
  <c r="A561" i="4" s="1"/>
  <c r="B562" i="2"/>
  <c r="A562" i="4" s="1"/>
  <c r="B563" i="2"/>
  <c r="A563" i="4" s="1"/>
  <c r="B564" i="2"/>
  <c r="A564" i="4" s="1"/>
  <c r="B565" i="2"/>
  <c r="A565" i="4" s="1"/>
  <c r="B566" i="2"/>
  <c r="A566" i="4" s="1"/>
  <c r="B567" i="2"/>
  <c r="A567" i="4" s="1"/>
  <c r="B568" i="2"/>
  <c r="A568" i="4" s="1"/>
  <c r="B569" i="2"/>
  <c r="A569" i="4" s="1"/>
  <c r="B570" i="2"/>
  <c r="A570" i="4" s="1"/>
  <c r="B571" i="2"/>
  <c r="A571" i="4" s="1"/>
  <c r="B572" i="2"/>
  <c r="A572" i="4" s="1"/>
  <c r="B573" i="2"/>
  <c r="A573" i="4" s="1"/>
  <c r="B574" i="2"/>
  <c r="A574" i="4" s="1"/>
  <c r="B575" i="2"/>
  <c r="A575" i="4" s="1"/>
  <c r="B576" i="2"/>
  <c r="A576" i="4" s="1"/>
  <c r="B577" i="2"/>
  <c r="A577" i="4" s="1"/>
  <c r="B578" i="2"/>
  <c r="A578" i="4" s="1"/>
  <c r="B579" i="2"/>
  <c r="A579" i="4" s="1"/>
  <c r="B580" i="2"/>
  <c r="A580" i="4" s="1"/>
  <c r="B581" i="2"/>
  <c r="A581" i="4" s="1"/>
  <c r="B582" i="2"/>
  <c r="A582" i="4" s="1"/>
  <c r="B583" i="2"/>
  <c r="A583" i="4" s="1"/>
  <c r="B584" i="2"/>
  <c r="A584" i="4" s="1"/>
  <c r="B585" i="2"/>
  <c r="A585" i="4" s="1"/>
  <c r="B586" i="2"/>
  <c r="A586" i="4" s="1"/>
  <c r="B587" i="2"/>
  <c r="A587" i="4" s="1"/>
  <c r="B588" i="2"/>
  <c r="A588" i="4" s="1"/>
  <c r="B589" i="2"/>
  <c r="A589" i="4" s="1"/>
  <c r="B590" i="2"/>
  <c r="A590" i="4" s="1"/>
  <c r="B591" i="2"/>
  <c r="A591" i="4" s="1"/>
  <c r="B592" i="2"/>
  <c r="A592" i="4" s="1"/>
  <c r="B593" i="2"/>
  <c r="A593" i="4" s="1"/>
  <c r="B594" i="2"/>
  <c r="A594" i="4" s="1"/>
  <c r="B595" i="2"/>
  <c r="A595" i="4" s="1"/>
  <c r="B596" i="2"/>
  <c r="A596" i="4" s="1"/>
  <c r="B597" i="2"/>
  <c r="A597" i="4" s="1"/>
  <c r="B598" i="2"/>
  <c r="A598" i="4" s="1"/>
  <c r="B599" i="2"/>
  <c r="A599" i="4" s="1"/>
  <c r="B600" i="2"/>
  <c r="A600" i="4" s="1"/>
  <c r="B601" i="2"/>
  <c r="A601" i="4" s="1"/>
  <c r="B602" i="2"/>
  <c r="A602" i="4" s="1"/>
  <c r="B603" i="2"/>
  <c r="A603" i="4" s="1"/>
  <c r="B604" i="2"/>
  <c r="A604" i="4" s="1"/>
  <c r="B605" i="2"/>
  <c r="A605" i="4" s="1"/>
  <c r="B606" i="2"/>
  <c r="A606" i="4" s="1"/>
  <c r="B607" i="2"/>
  <c r="A607" i="4" s="1"/>
  <c r="B608" i="2"/>
  <c r="A608" i="4" s="1"/>
  <c r="B609" i="2"/>
  <c r="A609" i="4" s="1"/>
  <c r="B610" i="2"/>
  <c r="A610" i="4" s="1"/>
  <c r="B611" i="2"/>
  <c r="A611" i="4" s="1"/>
  <c r="B612" i="2"/>
  <c r="A612" i="4" s="1"/>
  <c r="B613" i="2"/>
  <c r="A613" i="4" s="1"/>
  <c r="B614" i="2"/>
  <c r="A614" i="4" s="1"/>
  <c r="B615" i="2"/>
  <c r="A615" i="4" s="1"/>
  <c r="B616" i="2"/>
  <c r="A616" i="4" s="1"/>
  <c r="B617" i="2"/>
  <c r="A617" i="4" s="1"/>
  <c r="B618" i="2"/>
  <c r="A618" i="4" s="1"/>
  <c r="B619" i="2"/>
  <c r="A619" i="4" s="1"/>
  <c r="B620" i="2"/>
  <c r="A620" i="4" s="1"/>
  <c r="B621" i="2"/>
  <c r="A621" i="4" s="1"/>
  <c r="B622" i="2"/>
  <c r="A622" i="4" s="1"/>
  <c r="B623" i="2"/>
  <c r="A623" i="4" s="1"/>
  <c r="B624" i="2"/>
  <c r="A624" i="4" s="1"/>
  <c r="B625" i="2"/>
  <c r="A625" i="4" s="1"/>
  <c r="B626" i="2"/>
  <c r="A626" i="4" s="1"/>
  <c r="B627" i="2"/>
  <c r="A627" i="4" s="1"/>
  <c r="B628" i="2"/>
  <c r="A628" i="4" s="1"/>
  <c r="B629" i="2"/>
  <c r="A629" i="4" s="1"/>
  <c r="B630" i="2"/>
  <c r="A630" i="4" s="1"/>
  <c r="B631" i="2"/>
  <c r="A631" i="4" s="1"/>
  <c r="B632" i="2"/>
  <c r="A632" i="4" s="1"/>
  <c r="B633" i="2"/>
  <c r="A633" i="4" s="1"/>
  <c r="B634" i="2"/>
  <c r="A634" i="4" s="1"/>
  <c r="B635" i="2"/>
  <c r="A635" i="4" s="1"/>
  <c r="B636" i="2"/>
  <c r="A636" i="4" s="1"/>
  <c r="B637" i="2"/>
  <c r="A637" i="4" s="1"/>
  <c r="B638" i="2"/>
  <c r="A638" i="4" s="1"/>
  <c r="B639" i="2"/>
  <c r="A639" i="4" s="1"/>
  <c r="B640" i="2"/>
  <c r="A640" i="4" s="1"/>
  <c r="B641" i="2"/>
  <c r="A641" i="4" s="1"/>
  <c r="B642" i="2"/>
  <c r="A642" i="4" s="1"/>
  <c r="B643" i="2"/>
  <c r="A643" i="4" s="1"/>
  <c r="B644" i="2"/>
  <c r="A644" i="4" s="1"/>
  <c r="B645" i="2"/>
  <c r="A645" i="4" s="1"/>
  <c r="B646" i="2"/>
  <c r="A646" i="4" s="1"/>
  <c r="B647" i="2"/>
  <c r="A647" i="4" s="1"/>
  <c r="B648" i="2"/>
  <c r="A648" i="4" s="1"/>
  <c r="B649" i="2"/>
  <c r="A649" i="4" s="1"/>
  <c r="B650" i="2"/>
  <c r="A650" i="4" s="1"/>
  <c r="B651" i="2"/>
  <c r="A651" i="4" s="1"/>
  <c r="B652" i="2"/>
  <c r="A652" i="4" s="1"/>
  <c r="B653" i="2"/>
  <c r="A653" i="4" s="1"/>
  <c r="B654" i="2"/>
  <c r="A654" i="4" s="1"/>
  <c r="B655" i="2"/>
  <c r="A655" i="4" s="1"/>
  <c r="B656" i="2"/>
  <c r="A656" i="4" s="1"/>
  <c r="B657" i="2"/>
  <c r="A657" i="4" s="1"/>
  <c r="B658" i="2"/>
  <c r="A658" i="4" s="1"/>
  <c r="B659" i="2"/>
  <c r="A659" i="4" s="1"/>
  <c r="B660" i="2"/>
  <c r="A660" i="4" s="1"/>
  <c r="B661" i="2"/>
  <c r="A661" i="4" s="1"/>
  <c r="B662" i="2"/>
  <c r="A662" i="4" s="1"/>
  <c r="B663" i="2"/>
  <c r="A663" i="4" s="1"/>
  <c r="B664" i="2"/>
  <c r="A664" i="4" s="1"/>
  <c r="B665" i="2"/>
  <c r="A665" i="4" s="1"/>
  <c r="B666" i="2"/>
  <c r="A666" i="4" s="1"/>
  <c r="B667" i="2"/>
  <c r="A667" i="4" s="1"/>
  <c r="B668" i="2"/>
  <c r="A668" i="4" s="1"/>
  <c r="B669" i="2"/>
  <c r="A669" i="4" s="1"/>
  <c r="B670" i="2"/>
  <c r="A670" i="4" s="1"/>
  <c r="B671" i="2"/>
  <c r="A671" i="4" s="1"/>
  <c r="B672" i="2"/>
  <c r="A672" i="4" s="1"/>
  <c r="B673" i="2"/>
  <c r="A673" i="4" s="1"/>
  <c r="B674" i="2"/>
  <c r="A674" i="4" s="1"/>
  <c r="B675" i="2"/>
  <c r="A675" i="4" s="1"/>
  <c r="B676" i="2"/>
  <c r="A676" i="4" s="1"/>
  <c r="B677" i="2"/>
  <c r="A677" i="4" s="1"/>
  <c r="B678" i="2"/>
  <c r="A678" i="4" s="1"/>
  <c r="B679" i="2"/>
  <c r="A679" i="4" s="1"/>
  <c r="B680" i="2"/>
  <c r="A680" i="4" s="1"/>
  <c r="B681" i="2"/>
  <c r="A681" i="4" s="1"/>
  <c r="B682" i="2"/>
  <c r="A682" i="4" s="1"/>
  <c r="B683" i="2"/>
  <c r="A683" i="4" s="1"/>
  <c r="B684" i="2"/>
  <c r="A684" i="4" s="1"/>
  <c r="B685" i="2"/>
  <c r="A685" i="4" s="1"/>
  <c r="B686" i="2"/>
  <c r="A686" i="4" s="1"/>
  <c r="B687" i="2"/>
  <c r="A687" i="4" s="1"/>
  <c r="B688" i="2"/>
  <c r="A688" i="4" s="1"/>
  <c r="B689" i="2"/>
  <c r="A689" i="4" s="1"/>
  <c r="B690" i="2"/>
  <c r="A690" i="4" s="1"/>
  <c r="B691" i="2"/>
  <c r="A691" i="4" s="1"/>
  <c r="B692" i="2"/>
  <c r="A692" i="4" s="1"/>
  <c r="B693" i="2"/>
  <c r="A693" i="4" s="1"/>
  <c r="B694" i="2"/>
  <c r="A694" i="4" s="1"/>
  <c r="B695" i="2"/>
  <c r="A695" i="4" s="1"/>
  <c r="B696" i="2"/>
  <c r="A696" i="4" s="1"/>
  <c r="B697" i="2"/>
  <c r="A697" i="4" s="1"/>
  <c r="B698" i="2"/>
  <c r="A698" i="4" s="1"/>
  <c r="B699" i="2"/>
  <c r="A699" i="4" s="1"/>
  <c r="B700" i="2"/>
  <c r="A700" i="4" s="1"/>
  <c r="B701" i="2"/>
  <c r="A701" i="4" s="1"/>
  <c r="B702" i="2"/>
  <c r="A702" i="4" s="1"/>
  <c r="B703" i="2"/>
  <c r="A703" i="4" s="1"/>
  <c r="B704" i="2"/>
  <c r="A704" i="4" s="1"/>
  <c r="B705" i="2"/>
  <c r="A705" i="4" s="1"/>
  <c r="B706" i="2"/>
  <c r="A706" i="4" s="1"/>
  <c r="B707" i="2"/>
  <c r="A707" i="4" s="1"/>
  <c r="B708" i="2"/>
  <c r="A708" i="4" s="1"/>
  <c r="B709" i="2"/>
  <c r="A709" i="4" s="1"/>
  <c r="B710" i="2"/>
  <c r="A710" i="4" s="1"/>
  <c r="B711" i="2"/>
  <c r="A711" i="4" s="1"/>
  <c r="B712" i="2"/>
  <c r="A712" i="4" s="1"/>
  <c r="B713" i="2"/>
  <c r="A713" i="4" s="1"/>
  <c r="B714" i="2"/>
  <c r="A714" i="4" s="1"/>
  <c r="B715" i="2"/>
  <c r="A715" i="4" s="1"/>
  <c r="B716" i="2"/>
  <c r="A716" i="4" s="1"/>
  <c r="B717" i="2"/>
  <c r="A717" i="4" s="1"/>
  <c r="B718" i="2"/>
  <c r="A718" i="4" s="1"/>
  <c r="B719" i="2"/>
  <c r="A719" i="4" s="1"/>
  <c r="B720" i="2"/>
  <c r="A720" i="4" s="1"/>
  <c r="B721" i="2"/>
  <c r="A721" i="4" s="1"/>
  <c r="B722" i="2"/>
  <c r="A722" i="4" s="1"/>
  <c r="B723" i="2"/>
  <c r="A723" i="4" s="1"/>
  <c r="B724" i="2"/>
  <c r="A724" i="4" s="1"/>
  <c r="B725" i="2"/>
  <c r="A725" i="4" s="1"/>
  <c r="B726" i="2"/>
  <c r="A726" i="4" s="1"/>
  <c r="B727" i="2"/>
  <c r="A727" i="4" s="1"/>
  <c r="B728" i="2"/>
  <c r="A728" i="4" s="1"/>
  <c r="B729" i="2"/>
  <c r="A729" i="4" s="1"/>
  <c r="B730" i="2"/>
  <c r="A730" i="4" s="1"/>
  <c r="B731" i="2"/>
  <c r="A731" i="4" s="1"/>
  <c r="B732" i="2"/>
  <c r="A732" i="4" s="1"/>
  <c r="B733" i="2"/>
  <c r="A733" i="4" s="1"/>
  <c r="B734" i="2"/>
  <c r="A734" i="4" s="1"/>
  <c r="B735" i="2"/>
  <c r="A735" i="4" s="1"/>
  <c r="B736" i="2"/>
  <c r="A736" i="4" s="1"/>
  <c r="B737" i="2"/>
  <c r="A737" i="4" s="1"/>
  <c r="B738" i="2"/>
  <c r="A738" i="4" s="1"/>
  <c r="B739" i="2"/>
  <c r="A739" i="4" s="1"/>
  <c r="B740" i="2"/>
  <c r="A740" i="4" s="1"/>
  <c r="B741" i="2"/>
  <c r="A741" i="4" s="1"/>
  <c r="B742" i="2"/>
  <c r="A742" i="4" s="1"/>
  <c r="B743" i="2"/>
  <c r="A743" i="4" s="1"/>
  <c r="B744" i="2"/>
  <c r="A744" i="4" s="1"/>
  <c r="B745" i="2"/>
  <c r="A745" i="4" s="1"/>
  <c r="B746" i="2"/>
  <c r="A746" i="4" s="1"/>
  <c r="B747" i="2"/>
  <c r="A747" i="4" s="1"/>
  <c r="B748" i="2"/>
  <c r="A748" i="4" s="1"/>
  <c r="B749" i="2"/>
  <c r="A749" i="4" s="1"/>
  <c r="B750" i="2"/>
  <c r="A750" i="4" s="1"/>
  <c r="B751" i="2"/>
  <c r="A751" i="4" s="1"/>
  <c r="B752" i="2"/>
  <c r="A752" i="4" s="1"/>
  <c r="B753" i="2"/>
  <c r="A753" i="4" s="1"/>
  <c r="B754" i="2"/>
  <c r="A754" i="4" s="1"/>
  <c r="B755" i="2"/>
  <c r="A755" i="4" s="1"/>
  <c r="B756" i="2"/>
  <c r="A756" i="4" s="1"/>
  <c r="B757" i="2"/>
  <c r="A757" i="4" s="1"/>
  <c r="B758" i="2"/>
  <c r="A758" i="4" s="1"/>
  <c r="B759" i="2"/>
  <c r="A759" i="4" s="1"/>
  <c r="B760" i="2"/>
  <c r="A760" i="4" s="1"/>
  <c r="B761" i="2"/>
  <c r="A761" i="4" s="1"/>
  <c r="B762" i="2"/>
  <c r="A762" i="4" s="1"/>
  <c r="B763" i="2"/>
  <c r="A763" i="4" s="1"/>
  <c r="B764" i="2"/>
  <c r="A764" i="4" s="1"/>
  <c r="B765" i="2"/>
  <c r="A765" i="4" s="1"/>
  <c r="B766" i="2"/>
  <c r="A766" i="4" s="1"/>
  <c r="B767" i="2"/>
  <c r="A767" i="4" s="1"/>
  <c r="B768" i="2"/>
  <c r="A768" i="4" s="1"/>
  <c r="B769" i="2"/>
  <c r="A769" i="4" s="1"/>
  <c r="B770" i="2"/>
  <c r="A770" i="4" s="1"/>
  <c r="B771" i="2"/>
  <c r="A771" i="4" s="1"/>
  <c r="B772" i="2"/>
  <c r="A772" i="4" s="1"/>
  <c r="B773" i="2"/>
  <c r="A773" i="4" s="1"/>
  <c r="B774" i="2"/>
  <c r="A774" i="4" s="1"/>
  <c r="B775" i="2"/>
  <c r="A775" i="4" s="1"/>
  <c r="B776" i="2"/>
  <c r="A776" i="4" s="1"/>
  <c r="B777" i="2"/>
  <c r="A777" i="4" s="1"/>
  <c r="B778" i="2"/>
  <c r="A778" i="4" s="1"/>
  <c r="B779" i="2"/>
  <c r="A779" i="4" s="1"/>
  <c r="B780" i="2"/>
  <c r="A780" i="4" s="1"/>
  <c r="B781" i="2"/>
  <c r="A781" i="4" s="1"/>
  <c r="B782" i="2"/>
  <c r="A782" i="4" s="1"/>
  <c r="B783" i="2"/>
  <c r="A783" i="4" s="1"/>
  <c r="B784" i="2"/>
  <c r="A784" i="4" s="1"/>
  <c r="B785" i="2"/>
  <c r="A785" i="4" s="1"/>
  <c r="B786" i="2"/>
  <c r="A786" i="4" s="1"/>
  <c r="B787" i="2"/>
  <c r="A787" i="4" s="1"/>
  <c r="B788" i="2"/>
  <c r="A788" i="4" s="1"/>
  <c r="B789" i="2"/>
  <c r="A789" i="4" s="1"/>
  <c r="B790" i="2"/>
  <c r="A790" i="4" s="1"/>
  <c r="B791" i="2"/>
  <c r="A791" i="4" s="1"/>
  <c r="B792" i="2"/>
  <c r="A792" i="4" s="1"/>
  <c r="B793" i="2"/>
  <c r="A793" i="4" s="1"/>
  <c r="B794" i="2"/>
  <c r="A794" i="4" s="1"/>
  <c r="B795" i="2"/>
  <c r="A795" i="4" s="1"/>
  <c r="B796" i="2"/>
  <c r="A796" i="4" s="1"/>
  <c r="B797" i="2"/>
  <c r="A797" i="4" s="1"/>
  <c r="B798" i="2"/>
  <c r="A798" i="4" s="1"/>
  <c r="B799" i="2"/>
  <c r="A799" i="4" s="1"/>
  <c r="B800" i="2"/>
  <c r="A800" i="4" s="1"/>
  <c r="B801" i="2"/>
  <c r="A801" i="4" s="1"/>
  <c r="B802" i="2"/>
  <c r="A802" i="4" s="1"/>
  <c r="B803" i="2"/>
  <c r="A803" i="4" s="1"/>
  <c r="B804" i="2"/>
  <c r="A804" i="4" s="1"/>
  <c r="B805" i="2"/>
  <c r="A805" i="4" s="1"/>
  <c r="B806" i="2"/>
  <c r="A806" i="4" s="1"/>
  <c r="B807" i="2"/>
  <c r="A807" i="4" s="1"/>
  <c r="B808" i="2"/>
  <c r="A808" i="4" s="1"/>
  <c r="B809" i="2"/>
  <c r="A809" i="4" s="1"/>
  <c r="B810" i="2"/>
  <c r="A810" i="4" s="1"/>
  <c r="B811" i="2"/>
  <c r="A811" i="4" s="1"/>
  <c r="B812" i="2"/>
  <c r="A812" i="4" s="1"/>
  <c r="B813" i="2"/>
  <c r="A813" i="4" s="1"/>
  <c r="B814" i="2"/>
  <c r="A814" i="4" s="1"/>
  <c r="B815" i="2"/>
  <c r="A815" i="4" s="1"/>
  <c r="B816" i="2"/>
  <c r="A816" i="4" s="1"/>
  <c r="B817" i="2"/>
  <c r="A817" i="4" s="1"/>
  <c r="B818" i="2"/>
  <c r="A818" i="4" s="1"/>
  <c r="B819" i="2"/>
  <c r="A819" i="4" s="1"/>
  <c r="B820" i="2"/>
  <c r="A820" i="4" s="1"/>
  <c r="B821" i="2"/>
  <c r="A821" i="4" s="1"/>
  <c r="B822" i="2"/>
  <c r="A822" i="4" s="1"/>
  <c r="B823" i="2"/>
  <c r="A823" i="4" s="1"/>
  <c r="B824" i="2"/>
  <c r="A824" i="4" s="1"/>
  <c r="B825" i="2"/>
  <c r="A825" i="4" s="1"/>
  <c r="B826" i="2"/>
  <c r="A826" i="4" s="1"/>
  <c r="B827" i="2"/>
  <c r="A827" i="4" s="1"/>
  <c r="B828" i="2"/>
  <c r="A828" i="4" s="1"/>
  <c r="B829" i="2"/>
  <c r="A829" i="4" s="1"/>
  <c r="B830" i="2"/>
  <c r="A830" i="4" s="1"/>
  <c r="B831" i="2"/>
  <c r="A831" i="4" s="1"/>
  <c r="B832" i="2"/>
  <c r="A832" i="4" s="1"/>
  <c r="B833" i="2"/>
  <c r="A833" i="4" s="1"/>
  <c r="B834" i="2"/>
  <c r="A834" i="4" s="1"/>
  <c r="B835" i="2"/>
  <c r="A835" i="4" s="1"/>
  <c r="B836" i="2"/>
  <c r="A836" i="4" s="1"/>
  <c r="B837" i="2"/>
  <c r="A837" i="4" s="1"/>
  <c r="B838" i="2"/>
  <c r="A838" i="4" s="1"/>
  <c r="B839" i="2"/>
  <c r="A839" i="4" s="1"/>
  <c r="B840" i="2"/>
  <c r="A840" i="4" s="1"/>
  <c r="B841" i="2"/>
  <c r="A841" i="4" s="1"/>
  <c r="B842" i="2"/>
  <c r="A842" i="4" s="1"/>
  <c r="B843" i="2"/>
  <c r="A843" i="4" s="1"/>
  <c r="B844" i="2"/>
  <c r="A844" i="4" s="1"/>
  <c r="B845" i="2"/>
  <c r="A845" i="4" s="1"/>
  <c r="B846" i="2"/>
  <c r="A846" i="4" s="1"/>
  <c r="B847" i="2"/>
  <c r="A847" i="4" s="1"/>
  <c r="B848" i="2"/>
  <c r="A848" i="4" s="1"/>
  <c r="B849" i="2"/>
  <c r="A849" i="4" s="1"/>
  <c r="B850" i="2"/>
  <c r="A850" i="4" s="1"/>
  <c r="B851" i="2"/>
  <c r="A851" i="4" s="1"/>
  <c r="B852" i="2"/>
  <c r="A852" i="4" s="1"/>
  <c r="B853" i="2"/>
  <c r="A853" i="4" s="1"/>
  <c r="B854" i="2"/>
  <c r="A854" i="4" s="1"/>
  <c r="B855" i="2"/>
  <c r="A855" i="4" s="1"/>
  <c r="B856" i="2"/>
  <c r="A856" i="4" s="1"/>
  <c r="B857" i="2"/>
  <c r="A857" i="4" s="1"/>
  <c r="B858" i="2"/>
  <c r="A858" i="4" s="1"/>
  <c r="B859" i="2"/>
  <c r="A859" i="4" s="1"/>
  <c r="B860" i="2"/>
  <c r="A860" i="4" s="1"/>
  <c r="B861" i="2"/>
  <c r="A861" i="4" s="1"/>
  <c r="B862" i="2"/>
  <c r="A862" i="4" s="1"/>
  <c r="B863" i="2"/>
  <c r="A863" i="4" s="1"/>
  <c r="B864" i="2"/>
  <c r="A864" i="4" s="1"/>
  <c r="B865" i="2"/>
  <c r="A865" i="4" s="1"/>
  <c r="B866" i="2"/>
  <c r="A866" i="4" s="1"/>
  <c r="B867" i="2"/>
  <c r="A867" i="4" s="1"/>
  <c r="B868" i="2"/>
  <c r="A868" i="4" s="1"/>
  <c r="B869" i="2"/>
  <c r="A869" i="4" s="1"/>
  <c r="B870" i="2"/>
  <c r="A870" i="4" s="1"/>
  <c r="B871" i="2"/>
  <c r="A871" i="4" s="1"/>
  <c r="B872" i="2"/>
  <c r="A872" i="4" s="1"/>
  <c r="B873" i="2"/>
  <c r="A873" i="4" s="1"/>
  <c r="B874" i="2"/>
  <c r="A874" i="4" s="1"/>
  <c r="B875" i="2"/>
  <c r="A875" i="4" s="1"/>
  <c r="B876" i="2"/>
  <c r="A876" i="4" s="1"/>
  <c r="B877" i="2"/>
  <c r="A877" i="4" s="1"/>
  <c r="B878" i="2"/>
  <c r="A878" i="4" s="1"/>
  <c r="B879" i="2"/>
  <c r="A879" i="4" s="1"/>
  <c r="B880" i="2"/>
  <c r="A880" i="4" s="1"/>
  <c r="B881" i="2"/>
  <c r="A881" i="4" s="1"/>
  <c r="B882" i="2"/>
  <c r="A882" i="4" s="1"/>
  <c r="B883" i="2"/>
  <c r="A883" i="4" s="1"/>
  <c r="B884" i="2"/>
  <c r="A884" i="4" s="1"/>
  <c r="B885" i="2"/>
  <c r="A885" i="4" s="1"/>
  <c r="B886" i="2"/>
  <c r="A886" i="4" s="1"/>
  <c r="B887" i="2"/>
  <c r="A887" i="4" s="1"/>
  <c r="B888" i="2"/>
  <c r="A888" i="4" s="1"/>
  <c r="B889" i="2"/>
  <c r="A889" i="4" s="1"/>
  <c r="B890" i="2"/>
  <c r="A890" i="4" s="1"/>
  <c r="B891" i="2"/>
  <c r="A891" i="4" s="1"/>
  <c r="B892" i="2"/>
  <c r="A892" i="4" s="1"/>
  <c r="B893" i="2"/>
  <c r="A893" i="4" s="1"/>
  <c r="B894" i="2"/>
  <c r="A894" i="4" s="1"/>
  <c r="B895" i="2"/>
  <c r="A895" i="4" s="1"/>
  <c r="B896" i="2"/>
  <c r="A896" i="4" s="1"/>
  <c r="B897" i="2"/>
  <c r="A897" i="4" s="1"/>
  <c r="B898" i="2"/>
  <c r="A898" i="4" s="1"/>
  <c r="B899" i="2"/>
  <c r="A899" i="4" s="1"/>
  <c r="B900" i="2"/>
  <c r="A900" i="4" s="1"/>
  <c r="B901" i="2"/>
  <c r="A901" i="4" s="1"/>
  <c r="B902" i="2"/>
  <c r="A902" i="4" s="1"/>
  <c r="B903" i="2"/>
  <c r="A903" i="4" s="1"/>
  <c r="B904" i="2"/>
  <c r="A904" i="4" s="1"/>
  <c r="B905" i="2"/>
  <c r="A905" i="4" s="1"/>
  <c r="B906" i="2"/>
  <c r="A906" i="4" s="1"/>
  <c r="B907" i="2"/>
  <c r="A907" i="4" s="1"/>
  <c r="B908" i="2"/>
  <c r="A908" i="4" s="1"/>
  <c r="B909" i="2"/>
  <c r="A909" i="4" s="1"/>
  <c r="B910" i="2"/>
  <c r="A910" i="4" s="1"/>
  <c r="B911" i="2"/>
  <c r="A911" i="4" s="1"/>
  <c r="B912" i="2"/>
  <c r="A912" i="4" s="1"/>
  <c r="B913" i="2"/>
  <c r="A913" i="4" s="1"/>
  <c r="B914" i="2"/>
  <c r="A914" i="4" s="1"/>
  <c r="B915" i="2"/>
  <c r="A915" i="4" s="1"/>
  <c r="B916" i="2"/>
  <c r="A916" i="4" s="1"/>
  <c r="B917" i="2"/>
  <c r="A917" i="4" s="1"/>
  <c r="B918" i="2"/>
  <c r="A918" i="4" s="1"/>
  <c r="B919" i="2"/>
  <c r="A919" i="4" s="1"/>
  <c r="B920" i="2"/>
  <c r="A920" i="4" s="1"/>
  <c r="B921" i="2"/>
  <c r="A921" i="4" s="1"/>
  <c r="B922" i="2"/>
  <c r="A922" i="4" s="1"/>
  <c r="B923" i="2"/>
  <c r="A923" i="4" s="1"/>
  <c r="B924" i="2"/>
  <c r="A924" i="4" s="1"/>
  <c r="B925" i="2"/>
  <c r="A925" i="4" s="1"/>
  <c r="B926" i="2"/>
  <c r="A926" i="4" s="1"/>
  <c r="B927" i="2"/>
  <c r="A927" i="4" s="1"/>
  <c r="B928" i="2"/>
  <c r="A928" i="4" s="1"/>
  <c r="B929" i="2"/>
  <c r="A929" i="4" s="1"/>
  <c r="B930" i="2"/>
  <c r="A930" i="4" s="1"/>
  <c r="B931" i="2"/>
  <c r="A931" i="4" s="1"/>
  <c r="B932" i="2"/>
  <c r="A932" i="4" s="1"/>
  <c r="B933" i="2"/>
  <c r="A933" i="4" s="1"/>
  <c r="B934" i="2"/>
  <c r="A934" i="4" s="1"/>
  <c r="B935" i="2"/>
  <c r="A935" i="4" s="1"/>
  <c r="B936" i="2"/>
  <c r="A936" i="4" s="1"/>
  <c r="B937" i="2"/>
  <c r="A937" i="4" s="1"/>
  <c r="B938" i="2"/>
  <c r="A938" i="4" s="1"/>
  <c r="B939" i="2"/>
  <c r="A939" i="4" s="1"/>
  <c r="B940" i="2"/>
  <c r="A940" i="4" s="1"/>
  <c r="B941" i="2"/>
  <c r="A941" i="4" s="1"/>
  <c r="B942" i="2"/>
  <c r="A942" i="4" s="1"/>
  <c r="B943" i="2"/>
  <c r="A943" i="4" s="1"/>
  <c r="B944" i="2"/>
  <c r="A944" i="4" s="1"/>
  <c r="B945" i="2"/>
  <c r="A945" i="4" s="1"/>
  <c r="B946" i="2"/>
  <c r="A946" i="4" s="1"/>
  <c r="B947" i="2"/>
  <c r="A947" i="4" s="1"/>
  <c r="B948" i="2"/>
  <c r="A948" i="4" s="1"/>
  <c r="B949" i="2"/>
  <c r="A949" i="4" s="1"/>
  <c r="B950" i="2"/>
  <c r="A950" i="4" s="1"/>
  <c r="B951" i="2"/>
  <c r="A951" i="4" s="1"/>
  <c r="B952" i="2"/>
  <c r="A952" i="4" s="1"/>
  <c r="B953" i="2"/>
  <c r="A953" i="4" s="1"/>
  <c r="B954" i="2"/>
  <c r="A954" i="4" s="1"/>
  <c r="B955" i="2"/>
  <c r="A955" i="4" s="1"/>
  <c r="B956" i="2"/>
  <c r="A956" i="4" s="1"/>
  <c r="B957" i="2"/>
  <c r="A957" i="4" s="1"/>
  <c r="B958" i="2"/>
  <c r="A958" i="4" s="1"/>
  <c r="B959" i="2"/>
  <c r="A959" i="4" s="1"/>
  <c r="B960" i="2"/>
  <c r="A960" i="4" s="1"/>
  <c r="B961" i="2"/>
  <c r="A961" i="4" s="1"/>
  <c r="B962" i="2"/>
  <c r="A962" i="4" s="1"/>
  <c r="B963" i="2"/>
  <c r="A963" i="4" s="1"/>
  <c r="B964" i="2"/>
  <c r="A964" i="4" s="1"/>
  <c r="B965" i="2"/>
  <c r="A965" i="4" s="1"/>
  <c r="B966" i="2"/>
  <c r="A966" i="4" s="1"/>
  <c r="B967" i="2"/>
  <c r="A967" i="4" s="1"/>
  <c r="B968" i="2"/>
  <c r="A968" i="4" s="1"/>
  <c r="B969" i="2"/>
  <c r="A969" i="4" s="1"/>
  <c r="B970" i="2"/>
  <c r="A970" i="4" s="1"/>
  <c r="B971" i="2"/>
  <c r="A971" i="4" s="1"/>
  <c r="B972" i="2"/>
  <c r="A972" i="4" s="1"/>
  <c r="B973" i="2"/>
  <c r="A973" i="4" s="1"/>
  <c r="B974" i="2"/>
  <c r="A974" i="4" s="1"/>
  <c r="B975" i="2"/>
  <c r="A975" i="4" s="1"/>
  <c r="B976" i="2"/>
  <c r="A976" i="4" s="1"/>
  <c r="B977" i="2"/>
  <c r="A977" i="4" s="1"/>
  <c r="B978" i="2"/>
  <c r="A978" i="4" s="1"/>
  <c r="B979" i="2"/>
  <c r="A979" i="4" s="1"/>
  <c r="B980" i="2"/>
  <c r="A980" i="4" s="1"/>
  <c r="B981" i="2"/>
  <c r="A981" i="4" s="1"/>
  <c r="B982" i="2"/>
  <c r="A982" i="4" s="1"/>
  <c r="B983" i="2"/>
  <c r="A983" i="4" s="1"/>
  <c r="B984" i="2"/>
  <c r="A984" i="4" s="1"/>
  <c r="B985" i="2"/>
  <c r="A985" i="4" s="1"/>
  <c r="B986" i="2"/>
  <c r="A986" i="4" s="1"/>
  <c r="B987" i="2"/>
  <c r="A987" i="4" s="1"/>
  <c r="B988" i="2"/>
  <c r="A988" i="4" s="1"/>
  <c r="B989" i="2"/>
  <c r="A989" i="4" s="1"/>
  <c r="B990" i="2"/>
  <c r="A990" i="4" s="1"/>
  <c r="B991" i="2"/>
  <c r="A991" i="4" s="1"/>
  <c r="B992" i="2"/>
  <c r="A992" i="4" s="1"/>
  <c r="B993" i="2"/>
  <c r="A993" i="4" s="1"/>
  <c r="B994" i="2"/>
  <c r="A994" i="4" s="1"/>
  <c r="B995" i="2"/>
  <c r="A995" i="4" s="1"/>
  <c r="B996" i="2"/>
  <c r="A996" i="4" s="1"/>
  <c r="B997" i="2"/>
  <c r="A997" i="4" s="1"/>
  <c r="B998" i="2"/>
  <c r="A998" i="4" s="1"/>
  <c r="B999" i="2"/>
  <c r="A999" i="4" s="1"/>
  <c r="B1000" i="2"/>
  <c r="A1000" i="4" s="1"/>
  <c r="B1001" i="2"/>
  <c r="A1001" i="4" s="1"/>
  <c r="B1002" i="2"/>
  <c r="A1002" i="4" s="1"/>
  <c r="B1003" i="2"/>
  <c r="A1003" i="4" s="1"/>
  <c r="B1004" i="2"/>
  <c r="A1004" i="4" s="1"/>
  <c r="B1005" i="2"/>
  <c r="A1005" i="4" s="1"/>
  <c r="B1006" i="2"/>
  <c r="A1006" i="4" s="1"/>
  <c r="B1007" i="2"/>
  <c r="A1007" i="4" s="1"/>
  <c r="B1008" i="2"/>
  <c r="B1009" i="2"/>
  <c r="B1010" i="2"/>
  <c r="A1010" i="4" s="1"/>
  <c r="B1011" i="2"/>
  <c r="A1011" i="4" s="1"/>
  <c r="B1012" i="2"/>
  <c r="A1012" i="4" s="1"/>
  <c r="B1013" i="2"/>
  <c r="A1013" i="4" s="1"/>
  <c r="B1014" i="2"/>
  <c r="A1014" i="4" s="1"/>
  <c r="B1015" i="2"/>
  <c r="A1015" i="4" s="1"/>
  <c r="B1016" i="2"/>
  <c r="B1017" i="2"/>
  <c r="A1017" i="4" s="1"/>
  <c r="B1018" i="2"/>
  <c r="A1018" i="4" s="1"/>
  <c r="B1019" i="2"/>
  <c r="A1019" i="4" s="1"/>
  <c r="B1020" i="2"/>
  <c r="A1020" i="4" s="1"/>
  <c r="B1021" i="2"/>
  <c r="A1021" i="4" s="1"/>
  <c r="B1022" i="2"/>
  <c r="A1022" i="4" s="1"/>
  <c r="B1023" i="2"/>
  <c r="B1024" i="2"/>
  <c r="A1024" i="4" s="1"/>
  <c r="B1025" i="2"/>
  <c r="A1025" i="4" s="1"/>
  <c r="B1026" i="2"/>
  <c r="A1026" i="4" s="1"/>
  <c r="B1027" i="2"/>
  <c r="A1027" i="4" s="1"/>
  <c r="B1028" i="2"/>
  <c r="A1028" i="4" s="1"/>
  <c r="B1029" i="2"/>
  <c r="A1029" i="4" s="1"/>
  <c r="B1030" i="2"/>
  <c r="A1030" i="4" s="1"/>
  <c r="B1031" i="2"/>
  <c r="A1031" i="4" s="1"/>
  <c r="B1032" i="2"/>
  <c r="A1032" i="4" s="1"/>
  <c r="B1033" i="2"/>
  <c r="A1033" i="4" s="1"/>
  <c r="B1034" i="2"/>
  <c r="A1034" i="4" s="1"/>
  <c r="B1035" i="2"/>
  <c r="A1035" i="4" s="1"/>
  <c r="B1036" i="2"/>
  <c r="A1036" i="4" s="1"/>
  <c r="B1037" i="2"/>
  <c r="A1037" i="4" s="1"/>
  <c r="B1038" i="2"/>
  <c r="A1038" i="4" s="1"/>
  <c r="B1039" i="2"/>
  <c r="A1039" i="4" s="1"/>
  <c r="B1040" i="2"/>
  <c r="A1040" i="4" s="1"/>
  <c r="B1041" i="2"/>
  <c r="A1041" i="4" s="1"/>
  <c r="B1042" i="2"/>
  <c r="A1042" i="4" s="1"/>
  <c r="B1043" i="2"/>
  <c r="A1043" i="4" s="1"/>
  <c r="B1044" i="2"/>
  <c r="A1044" i="4" s="1"/>
  <c r="B1045" i="2"/>
  <c r="A1045" i="4" s="1"/>
  <c r="B1046" i="2"/>
  <c r="A1046" i="4" s="1"/>
  <c r="B1047" i="2"/>
  <c r="A1047" i="4" s="1"/>
  <c r="B1048" i="2"/>
  <c r="A1048" i="4" s="1"/>
  <c r="B1049" i="2"/>
  <c r="A1049" i="4" s="1"/>
  <c r="B1050" i="2"/>
  <c r="A1050" i="4" s="1"/>
  <c r="B1051" i="2"/>
  <c r="A1051" i="4" s="1"/>
  <c r="B1052" i="2"/>
  <c r="A1052" i="4" s="1"/>
  <c r="B1053" i="2"/>
  <c r="A1053" i="4" s="1"/>
  <c r="B1054" i="2"/>
  <c r="A1054" i="4" s="1"/>
  <c r="B1055" i="2"/>
  <c r="A1055" i="4" s="1"/>
  <c r="B1056" i="2"/>
  <c r="A1056" i="4" s="1"/>
  <c r="B1057" i="2"/>
  <c r="A1057" i="4" s="1"/>
  <c r="B1058" i="2"/>
  <c r="A1058" i="4" s="1"/>
  <c r="B1059" i="2"/>
  <c r="A1059" i="4" s="1"/>
  <c r="B1060" i="2"/>
  <c r="A1060" i="4" s="1"/>
  <c r="B1061" i="2"/>
  <c r="A1061" i="4" s="1"/>
  <c r="B1062" i="2"/>
  <c r="A1062" i="4" s="1"/>
  <c r="B1063" i="2"/>
  <c r="A1063" i="4" s="1"/>
  <c r="B1064" i="2"/>
  <c r="A1064" i="4" s="1"/>
  <c r="B1065" i="2"/>
  <c r="A1065" i="4" s="1"/>
  <c r="B1066" i="2"/>
  <c r="A1066" i="4" s="1"/>
  <c r="B1067" i="2"/>
  <c r="A1067" i="4" s="1"/>
  <c r="B1068" i="2"/>
  <c r="A1068" i="4" s="1"/>
  <c r="B1069" i="2"/>
  <c r="A1069" i="4" s="1"/>
  <c r="B1070" i="2"/>
  <c r="A1070" i="4" s="1"/>
  <c r="B1071" i="2"/>
  <c r="A1071" i="4" s="1"/>
  <c r="B1072" i="2"/>
  <c r="A1072" i="4" s="1"/>
  <c r="B1073" i="2"/>
  <c r="A1073" i="4" s="1"/>
  <c r="B1074" i="2"/>
  <c r="A1074" i="4" s="1"/>
  <c r="B1075" i="2"/>
  <c r="A1075" i="4" s="1"/>
  <c r="B1076" i="2"/>
  <c r="A1076" i="4" s="1"/>
  <c r="B1077" i="2"/>
  <c r="A1077" i="4" s="1"/>
  <c r="B1078" i="2"/>
  <c r="A1078" i="4" s="1"/>
  <c r="B1079" i="2"/>
  <c r="A1079" i="4" s="1"/>
  <c r="B1080" i="2"/>
  <c r="A1080" i="4" s="1"/>
  <c r="B1081" i="2"/>
  <c r="A1081" i="4" s="1"/>
  <c r="B1082" i="2"/>
  <c r="A1082" i="4" s="1"/>
  <c r="B1083" i="2"/>
  <c r="A1083" i="4" s="1"/>
  <c r="B1084" i="2"/>
  <c r="A1084" i="4" s="1"/>
  <c r="B1085" i="2"/>
  <c r="A1085" i="4" s="1"/>
  <c r="B1086" i="2"/>
  <c r="A1086" i="4" s="1"/>
  <c r="B1087" i="2"/>
  <c r="A1087" i="4" s="1"/>
  <c r="B1088" i="2"/>
  <c r="A1088" i="4" s="1"/>
  <c r="B1089" i="2"/>
  <c r="A1089" i="4" s="1"/>
  <c r="B1090" i="2"/>
  <c r="A1090" i="4" s="1"/>
  <c r="B1091" i="2"/>
  <c r="A1091" i="4" s="1"/>
  <c r="B1092" i="2"/>
  <c r="A1092" i="4" s="1"/>
  <c r="B1093" i="2"/>
  <c r="A1093" i="4" s="1"/>
  <c r="B1094" i="2"/>
  <c r="A1094" i="4" s="1"/>
  <c r="B1095" i="2"/>
  <c r="A1095" i="4" s="1"/>
  <c r="B1096" i="2"/>
  <c r="A1096" i="4" s="1"/>
  <c r="B1097" i="2"/>
  <c r="A1097" i="4" s="1"/>
  <c r="B1098" i="2"/>
  <c r="A1098" i="4" s="1"/>
  <c r="B1099" i="2"/>
  <c r="A1099" i="4" s="1"/>
  <c r="B1100" i="2"/>
  <c r="A1100" i="4" s="1"/>
  <c r="B1101" i="2"/>
  <c r="A1101" i="4" s="1"/>
  <c r="B1102" i="2"/>
  <c r="A1102" i="4" s="1"/>
  <c r="B1103" i="2"/>
  <c r="A1103" i="4" s="1"/>
  <c r="B1104" i="2"/>
  <c r="A1104" i="4" s="1"/>
  <c r="B1105" i="2"/>
  <c r="A1105" i="4" s="1"/>
  <c r="B1106" i="2"/>
  <c r="A1106" i="4" s="1"/>
  <c r="B1107" i="2"/>
  <c r="A1107" i="4" s="1"/>
  <c r="B1108" i="2"/>
  <c r="A1108" i="4" s="1"/>
  <c r="B1109" i="2"/>
  <c r="A1109" i="4" s="1"/>
  <c r="B1110" i="2"/>
  <c r="A1110" i="4" s="1"/>
  <c r="B1111" i="2"/>
  <c r="A1111" i="4" s="1"/>
  <c r="B1112" i="2"/>
  <c r="A1112" i="4" s="1"/>
  <c r="B1113" i="2"/>
  <c r="A1113" i="4" s="1"/>
  <c r="B1114" i="2"/>
  <c r="A1114" i="4" s="1"/>
  <c r="B1115" i="2"/>
  <c r="A1115" i="4" s="1"/>
  <c r="B1116" i="2"/>
  <c r="A1116" i="4" s="1"/>
  <c r="B1117" i="2"/>
  <c r="A1117" i="4" s="1"/>
  <c r="B1118" i="2"/>
  <c r="A1118" i="4" s="1"/>
  <c r="B1119" i="2"/>
  <c r="A1119" i="4" s="1"/>
  <c r="B1120" i="2"/>
  <c r="A1120" i="4" s="1"/>
  <c r="B1121" i="2"/>
  <c r="A1121" i="4" s="1"/>
  <c r="B1122" i="2"/>
  <c r="A1122" i="4" s="1"/>
  <c r="B1123" i="2"/>
  <c r="A1123" i="4" s="1"/>
  <c r="B1124" i="2"/>
  <c r="A1124" i="4" s="1"/>
  <c r="B1125" i="2"/>
  <c r="A1125" i="4" s="1"/>
  <c r="B1126" i="2"/>
  <c r="A1126" i="4" s="1"/>
  <c r="B1127" i="2"/>
  <c r="A1127" i="4" s="1"/>
  <c r="B1128" i="2"/>
  <c r="A1128" i="4" s="1"/>
  <c r="B1129" i="2"/>
  <c r="A1129" i="4" s="1"/>
  <c r="B1130" i="2"/>
  <c r="A1130" i="4" s="1"/>
  <c r="B1131" i="2"/>
  <c r="A1131" i="4" s="1"/>
  <c r="B1132" i="2"/>
  <c r="A1132" i="4" s="1"/>
  <c r="B1133" i="2"/>
  <c r="A1133" i="4" s="1"/>
  <c r="B1134" i="2"/>
  <c r="A1134" i="4" s="1"/>
  <c r="B1135" i="2"/>
  <c r="A1135" i="4" s="1"/>
  <c r="B1136" i="2"/>
  <c r="A1136" i="4" s="1"/>
  <c r="B1137" i="2"/>
  <c r="A1137" i="4" s="1"/>
  <c r="B1138" i="2"/>
  <c r="A1138" i="4" s="1"/>
  <c r="B1139" i="2"/>
  <c r="A1139" i="4" s="1"/>
  <c r="B1140" i="2"/>
  <c r="A1140" i="4" s="1"/>
  <c r="B1141" i="2"/>
  <c r="A1141" i="4" s="1"/>
  <c r="B1142" i="2"/>
  <c r="A1142" i="4" s="1"/>
  <c r="B1143" i="2"/>
  <c r="A1143" i="4" s="1"/>
  <c r="B1144" i="2"/>
  <c r="A1144" i="4" s="1"/>
  <c r="B1145" i="2"/>
  <c r="A1145" i="4" s="1"/>
  <c r="B1146" i="2"/>
  <c r="A1146" i="4" s="1"/>
  <c r="B1147" i="2"/>
  <c r="A1147" i="4" s="1"/>
  <c r="B1148" i="2"/>
  <c r="A1148" i="4" s="1"/>
  <c r="B1149" i="2"/>
  <c r="A1149" i="4" s="1"/>
  <c r="B1150" i="2"/>
  <c r="A1150" i="4" s="1"/>
  <c r="B1151" i="2"/>
  <c r="A1151" i="4" s="1"/>
  <c r="B1152" i="2"/>
  <c r="A1152" i="4" s="1"/>
  <c r="B1153" i="2"/>
  <c r="A1153" i="4" s="1"/>
  <c r="B1154" i="2"/>
  <c r="A1154" i="4" s="1"/>
  <c r="B1155" i="2"/>
  <c r="A1155" i="4" s="1"/>
  <c r="B1156" i="2"/>
  <c r="A1156" i="4" s="1"/>
  <c r="B1157" i="2"/>
  <c r="A1157" i="4" s="1"/>
  <c r="B1158" i="2"/>
  <c r="A1158" i="4" s="1"/>
  <c r="B1159" i="2"/>
  <c r="A1159" i="4" s="1"/>
  <c r="B1160" i="2"/>
  <c r="A1160" i="4" s="1"/>
  <c r="B1161" i="2"/>
  <c r="A1161" i="4" s="1"/>
  <c r="B1162" i="2"/>
  <c r="A1162" i="4" s="1"/>
  <c r="B1163" i="2"/>
  <c r="A1163" i="4" s="1"/>
  <c r="B1164" i="2"/>
  <c r="A1164" i="4" s="1"/>
  <c r="B1165" i="2"/>
  <c r="A1165" i="4" s="1"/>
  <c r="B1166" i="2"/>
  <c r="A1166" i="4" s="1"/>
  <c r="B1167" i="2"/>
  <c r="A1167" i="4" s="1"/>
  <c r="B1168" i="2"/>
  <c r="A1168" i="4" s="1"/>
  <c r="B1169" i="2"/>
  <c r="A1169" i="4" s="1"/>
  <c r="B1170" i="2"/>
  <c r="A1170" i="4" s="1"/>
  <c r="B1171" i="2"/>
  <c r="A1171" i="4" s="1"/>
  <c r="B1172" i="2"/>
  <c r="A1172" i="4" s="1"/>
  <c r="B1173" i="2"/>
  <c r="A1173" i="4" s="1"/>
  <c r="B1174" i="2"/>
  <c r="A1174" i="4" s="1"/>
  <c r="B1175" i="2"/>
  <c r="A1175" i="4" s="1"/>
  <c r="B1176" i="2"/>
  <c r="A1176" i="4" s="1"/>
  <c r="B1177" i="2"/>
  <c r="A1177" i="4" s="1"/>
  <c r="B1178" i="2"/>
  <c r="A1178" i="4" s="1"/>
  <c r="B1179" i="2"/>
  <c r="A1179" i="4" s="1"/>
  <c r="B1180" i="2"/>
  <c r="A1180" i="4" s="1"/>
  <c r="B1181" i="2"/>
  <c r="A1181" i="4" s="1"/>
  <c r="B1182" i="2"/>
  <c r="A1182" i="4" s="1"/>
  <c r="B1183" i="2"/>
  <c r="A1183" i="4" s="1"/>
  <c r="B1184" i="2"/>
  <c r="A1184" i="4" s="1"/>
  <c r="B1185" i="2"/>
  <c r="A1185" i="4" s="1"/>
  <c r="B1186" i="2"/>
  <c r="A1186" i="4" s="1"/>
  <c r="B1187" i="2"/>
  <c r="A1187" i="4" s="1"/>
  <c r="B1188" i="2"/>
  <c r="A1188" i="4" s="1"/>
  <c r="B1189" i="2"/>
  <c r="A1189" i="4" s="1"/>
  <c r="B1190" i="2"/>
  <c r="A1190" i="4" s="1"/>
  <c r="B1191" i="2"/>
  <c r="A1191" i="4" s="1"/>
  <c r="B1192" i="2"/>
  <c r="A1192" i="4" s="1"/>
  <c r="B1193" i="2"/>
  <c r="A1193" i="4" s="1"/>
  <c r="B1194" i="2"/>
  <c r="A1194" i="4" s="1"/>
  <c r="B1195" i="2"/>
  <c r="A1195" i="4" s="1"/>
  <c r="B1196" i="2"/>
  <c r="A1196" i="4" s="1"/>
  <c r="B1197" i="2"/>
  <c r="A1197" i="4" s="1"/>
  <c r="B1198" i="2"/>
  <c r="A1198" i="4" s="1"/>
  <c r="B1199" i="2"/>
  <c r="A1199" i="4" s="1"/>
  <c r="B1200" i="2"/>
  <c r="A1200" i="4" s="1"/>
  <c r="B1201" i="2"/>
  <c r="A1201" i="4" s="1"/>
  <c r="B1202" i="2"/>
  <c r="A1202" i="4" s="1"/>
  <c r="B1203" i="2"/>
  <c r="A1203" i="4" s="1"/>
  <c r="B1204" i="2"/>
  <c r="A1204" i="4" s="1"/>
  <c r="B1205" i="2"/>
  <c r="A1205" i="4" s="1"/>
  <c r="B1206" i="2"/>
  <c r="A1206" i="4" s="1"/>
  <c r="B1207" i="2"/>
  <c r="A1207" i="4" s="1"/>
  <c r="B1208" i="2"/>
  <c r="A1208" i="4" s="1"/>
  <c r="B1209" i="2"/>
  <c r="A1209" i="4" s="1"/>
  <c r="B1210" i="2"/>
  <c r="A1210" i="4" s="1"/>
  <c r="B1211" i="2"/>
  <c r="A1211" i="4" s="1"/>
  <c r="B1212" i="2"/>
  <c r="A1212" i="4" s="1"/>
  <c r="B1213" i="2"/>
  <c r="A1213" i="4" s="1"/>
  <c r="B1214" i="2"/>
  <c r="A1214" i="4" s="1"/>
  <c r="B1215" i="2"/>
  <c r="A1215" i="4" s="1"/>
  <c r="B1216" i="2"/>
  <c r="A1216" i="4" s="1"/>
  <c r="B1217" i="2"/>
  <c r="A1217" i="4" s="1"/>
  <c r="B1218" i="2"/>
  <c r="A1218" i="4" s="1"/>
  <c r="B1219" i="2"/>
  <c r="A1219" i="4" s="1"/>
  <c r="B1220" i="2"/>
  <c r="A1220" i="4" s="1"/>
  <c r="B1221" i="2"/>
  <c r="A1221" i="4" s="1"/>
  <c r="B1222" i="2"/>
  <c r="A1222" i="4" s="1"/>
  <c r="B1223" i="2"/>
  <c r="A1223" i="4" s="1"/>
  <c r="B1224" i="2"/>
  <c r="A1224" i="4" s="1"/>
  <c r="B1225" i="2"/>
  <c r="A1225" i="4" s="1"/>
  <c r="B1226" i="2"/>
  <c r="A1226" i="4" s="1"/>
  <c r="B1227" i="2"/>
  <c r="A1227" i="4" s="1"/>
  <c r="B1228" i="2"/>
  <c r="A1228" i="4" s="1"/>
  <c r="B1229" i="2"/>
  <c r="A1229" i="4" s="1"/>
  <c r="B1230" i="2"/>
  <c r="A1230" i="4" s="1"/>
  <c r="B1231" i="2"/>
  <c r="A1231" i="4" s="1"/>
  <c r="B1232" i="2"/>
  <c r="A1232" i="4" s="1"/>
  <c r="B1233" i="2"/>
  <c r="A1233" i="4" s="1"/>
  <c r="B1234" i="2"/>
  <c r="A1234" i="4" s="1"/>
  <c r="B1235" i="2"/>
  <c r="A1235" i="4" s="1"/>
  <c r="B1236" i="2"/>
  <c r="A1236" i="4" s="1"/>
  <c r="B1237" i="2"/>
  <c r="A1237" i="4" s="1"/>
  <c r="B1238" i="2"/>
  <c r="A1238" i="4" s="1"/>
  <c r="B1239" i="2"/>
  <c r="A1239" i="4" s="1"/>
  <c r="B1240" i="2"/>
  <c r="A1240" i="4" s="1"/>
  <c r="B1241" i="2"/>
  <c r="A1241" i="4" s="1"/>
  <c r="B1242" i="2"/>
  <c r="A1242" i="4" s="1"/>
  <c r="B1243" i="2"/>
  <c r="A1243" i="4" s="1"/>
  <c r="B1244" i="2"/>
  <c r="A1244" i="4" s="1"/>
  <c r="B1245" i="2"/>
  <c r="A1245" i="4" s="1"/>
  <c r="B1246" i="2"/>
  <c r="A1246" i="4" s="1"/>
  <c r="B1247" i="2"/>
  <c r="A1247" i="4" s="1"/>
  <c r="B1248" i="2"/>
  <c r="A1248" i="4" s="1"/>
  <c r="B1249" i="2"/>
  <c r="A1249" i="4" s="1"/>
  <c r="B1250" i="2"/>
  <c r="A1250" i="4" s="1"/>
  <c r="B1251" i="2"/>
  <c r="A1251" i="4" s="1"/>
  <c r="B1252" i="2"/>
  <c r="A1252" i="4" s="1"/>
  <c r="B1253" i="2"/>
  <c r="A1253" i="4" s="1"/>
  <c r="B1254" i="2"/>
  <c r="A1254" i="4" s="1"/>
  <c r="B1255" i="2"/>
  <c r="A1255" i="4" s="1"/>
  <c r="B1256" i="2"/>
  <c r="A1256" i="4" s="1"/>
  <c r="B1257" i="2"/>
  <c r="A1257" i="4" s="1"/>
  <c r="B1258" i="2"/>
  <c r="A1258" i="4" s="1"/>
  <c r="B1259" i="2"/>
  <c r="A1259" i="4" s="1"/>
  <c r="B1260" i="2"/>
  <c r="A1260" i="4" s="1"/>
  <c r="B1261" i="2"/>
  <c r="A1261" i="4" s="1"/>
  <c r="B1262" i="2"/>
  <c r="A1262" i="4" s="1"/>
  <c r="B1263" i="2"/>
  <c r="A1263" i="4" s="1"/>
  <c r="B1264" i="2"/>
  <c r="A1264" i="4" s="1"/>
  <c r="B1265" i="2"/>
  <c r="A1265" i="4" s="1"/>
  <c r="B1266" i="2"/>
  <c r="A1266" i="4" s="1"/>
  <c r="B1267" i="2"/>
  <c r="A1267" i="4" s="1"/>
  <c r="B1268" i="2"/>
  <c r="A1268" i="4" s="1"/>
  <c r="B1269" i="2"/>
  <c r="A1269" i="4" s="1"/>
  <c r="B1270" i="2"/>
  <c r="A1270" i="4" s="1"/>
  <c r="B1271" i="2"/>
  <c r="A1271" i="4" s="1"/>
  <c r="B1272" i="2"/>
  <c r="A1272" i="4" s="1"/>
  <c r="B1273" i="2"/>
  <c r="A1273" i="4" s="1"/>
  <c r="B1274" i="2"/>
  <c r="A1274" i="4" s="1"/>
  <c r="B1275" i="2"/>
  <c r="A1275" i="4" s="1"/>
  <c r="B1276" i="2"/>
  <c r="A1276" i="4" s="1"/>
  <c r="B1277" i="2"/>
  <c r="A1277" i="4" s="1"/>
  <c r="B1278" i="2"/>
  <c r="A1278" i="4" s="1"/>
  <c r="B1279" i="2"/>
  <c r="A1279" i="4" s="1"/>
  <c r="B1280" i="2"/>
  <c r="A1280" i="4" s="1"/>
  <c r="B1281" i="2"/>
  <c r="A1281" i="4" s="1"/>
  <c r="B1282" i="2"/>
  <c r="A1282" i="4" s="1"/>
  <c r="B1283" i="2"/>
  <c r="A1283" i="4" s="1"/>
  <c r="B1284" i="2"/>
  <c r="A1284" i="4" s="1"/>
  <c r="B1285" i="2"/>
  <c r="A1285" i="4" s="1"/>
  <c r="B1286" i="2"/>
  <c r="A1286" i="4" s="1"/>
  <c r="B1287" i="2"/>
  <c r="A1287" i="4" s="1"/>
  <c r="B1288" i="2"/>
  <c r="A1288" i="4" s="1"/>
  <c r="B1289" i="2"/>
  <c r="A1289" i="4" s="1"/>
  <c r="B1290" i="2"/>
  <c r="A1290" i="4" s="1"/>
  <c r="B1291" i="2"/>
  <c r="A1291" i="4" s="1"/>
  <c r="B1292" i="2"/>
  <c r="A1292" i="4" s="1"/>
  <c r="B1293" i="2"/>
  <c r="A1293" i="4" s="1"/>
  <c r="B1294" i="2"/>
  <c r="A1294" i="4" s="1"/>
  <c r="B1295" i="2"/>
  <c r="A1295" i="4" s="1"/>
  <c r="B1296" i="2"/>
  <c r="A1296" i="4" s="1"/>
  <c r="B1297" i="2"/>
  <c r="A1297" i="4" s="1"/>
  <c r="B1298" i="2"/>
  <c r="A1298" i="4" s="1"/>
  <c r="B1299" i="2"/>
  <c r="A1299" i="4" s="1"/>
  <c r="B1300" i="2"/>
  <c r="A1300" i="4" s="1"/>
  <c r="B1301" i="2"/>
  <c r="A1301" i="4" s="1"/>
  <c r="B1302" i="2"/>
  <c r="A1302" i="4" s="1"/>
  <c r="B1303" i="2"/>
  <c r="A1303" i="4" s="1"/>
  <c r="B1304" i="2"/>
  <c r="A1304" i="4" s="1"/>
  <c r="B1305" i="2"/>
  <c r="A1305" i="4" s="1"/>
  <c r="B1306" i="2"/>
  <c r="A1306" i="4" s="1"/>
  <c r="B1307" i="2"/>
  <c r="A1307" i="4" s="1"/>
  <c r="B1308" i="2"/>
  <c r="A1308" i="4" s="1"/>
  <c r="B1309" i="2"/>
  <c r="A1309" i="4" s="1"/>
  <c r="B1310" i="2"/>
  <c r="A1310" i="4" s="1"/>
  <c r="B1311" i="2"/>
  <c r="A1311" i="4" s="1"/>
  <c r="B1312" i="2"/>
  <c r="A1312" i="4" s="1"/>
  <c r="B1313" i="2"/>
  <c r="A1313" i="4" s="1"/>
  <c r="B1314" i="2"/>
  <c r="A1314" i="4" s="1"/>
  <c r="B1315" i="2"/>
  <c r="A1315" i="4" s="1"/>
  <c r="B1316" i="2"/>
  <c r="A1316" i="4" s="1"/>
  <c r="B1317" i="2"/>
  <c r="A1317" i="4" s="1"/>
  <c r="B1318" i="2"/>
  <c r="A1318" i="4" s="1"/>
  <c r="B1319" i="2"/>
  <c r="A1319" i="4" s="1"/>
  <c r="B1320" i="2"/>
  <c r="A1320" i="4" s="1"/>
  <c r="B1321" i="2"/>
  <c r="A1321" i="4" s="1"/>
  <c r="B1322" i="2"/>
  <c r="A1322" i="4" s="1"/>
  <c r="B1323" i="2"/>
  <c r="A1323" i="4" s="1"/>
  <c r="B1324" i="2"/>
  <c r="A1324" i="4" s="1"/>
  <c r="B1325" i="2"/>
  <c r="A1325" i="4" s="1"/>
  <c r="B1326" i="2"/>
  <c r="A1326" i="4" s="1"/>
  <c r="B1327" i="2"/>
  <c r="A1327" i="4" s="1"/>
  <c r="B1328" i="2"/>
  <c r="A1328" i="4" s="1"/>
  <c r="B1329" i="2"/>
  <c r="A1329" i="4" s="1"/>
  <c r="B1330" i="2"/>
  <c r="A1330" i="4" s="1"/>
  <c r="B1331" i="2"/>
  <c r="A1331" i="4" s="1"/>
  <c r="B1332" i="2"/>
  <c r="A1332" i="4" s="1"/>
  <c r="B1333" i="2"/>
  <c r="A1333" i="4" s="1"/>
  <c r="B1334" i="2"/>
  <c r="A1334" i="4" s="1"/>
  <c r="B1335" i="2"/>
  <c r="A1335" i="4" s="1"/>
  <c r="B1336" i="2"/>
  <c r="A1336" i="4" s="1"/>
  <c r="B1337" i="2"/>
  <c r="A1337" i="4" s="1"/>
  <c r="B1338" i="2"/>
  <c r="A1338" i="4" s="1"/>
  <c r="B1339" i="2"/>
  <c r="A1339" i="4" s="1"/>
  <c r="B1340" i="2"/>
  <c r="A1340" i="4" s="1"/>
  <c r="B1341" i="2"/>
  <c r="A1341" i="4" s="1"/>
  <c r="B1342" i="2"/>
  <c r="A1342" i="4" s="1"/>
  <c r="B1343" i="2"/>
  <c r="A1343" i="4" s="1"/>
  <c r="B1344" i="2"/>
  <c r="A1344" i="4" s="1"/>
  <c r="B1345" i="2"/>
  <c r="A1345" i="4" s="1"/>
  <c r="B1346" i="2"/>
  <c r="A1346" i="4" s="1"/>
  <c r="B1347" i="2"/>
  <c r="A1347" i="4" s="1"/>
  <c r="B1348" i="2"/>
  <c r="A1348" i="4" s="1"/>
  <c r="B1349" i="2"/>
  <c r="A1349" i="4" s="1"/>
  <c r="B1350" i="2"/>
  <c r="A1350" i="4" s="1"/>
  <c r="B1351" i="2"/>
  <c r="A1351" i="4" s="1"/>
  <c r="B1352" i="2"/>
  <c r="A1352" i="4" s="1"/>
  <c r="B1353" i="2"/>
  <c r="A1353" i="4" s="1"/>
  <c r="B1354" i="2"/>
  <c r="A1354" i="4" s="1"/>
  <c r="B1355" i="2"/>
  <c r="A1355" i="4" s="1"/>
  <c r="B1356" i="2"/>
  <c r="A1356" i="4" s="1"/>
  <c r="B1357" i="2"/>
  <c r="A1357" i="4" s="1"/>
  <c r="B1358" i="2"/>
  <c r="A1358" i="4" s="1"/>
  <c r="B1359" i="2"/>
  <c r="A1359" i="4" s="1"/>
  <c r="B1360" i="2"/>
  <c r="A1360" i="4" s="1"/>
  <c r="B1361" i="2"/>
  <c r="A1361" i="4" s="1"/>
  <c r="B1362" i="2"/>
  <c r="A1362" i="4" s="1"/>
  <c r="B1363" i="2"/>
  <c r="A1363" i="4" s="1"/>
  <c r="B1364" i="2"/>
  <c r="A1364" i="4" s="1"/>
  <c r="B1365" i="2"/>
  <c r="A1365" i="4" s="1"/>
  <c r="B1366" i="2"/>
  <c r="A1366" i="4" s="1"/>
  <c r="B1367" i="2"/>
  <c r="A1367" i="4" s="1"/>
  <c r="B1368" i="2"/>
  <c r="A1368" i="4" s="1"/>
  <c r="B1369" i="2"/>
  <c r="A1369" i="4" s="1"/>
  <c r="B1370" i="2"/>
  <c r="A1370" i="4" s="1"/>
  <c r="B1371" i="2"/>
  <c r="A1371" i="4" s="1"/>
  <c r="B1372" i="2"/>
  <c r="A1372" i="4" s="1"/>
  <c r="B1373" i="2"/>
  <c r="A1373" i="4" s="1"/>
  <c r="B1374" i="2"/>
  <c r="A1374" i="4" s="1"/>
  <c r="B1375" i="2"/>
  <c r="A1375" i="4" s="1"/>
  <c r="B1376" i="2"/>
  <c r="A1376" i="4" s="1"/>
  <c r="B1377" i="2"/>
  <c r="A1377" i="4" s="1"/>
  <c r="B1378" i="2"/>
  <c r="A1378" i="4" s="1"/>
  <c r="B1379" i="2"/>
  <c r="A1379" i="4" s="1"/>
  <c r="B1380" i="2"/>
  <c r="A1380" i="4" s="1"/>
  <c r="B1381" i="2"/>
  <c r="A1381" i="4" s="1"/>
  <c r="B1382" i="2"/>
  <c r="A1382" i="4" s="1"/>
  <c r="B1383" i="2"/>
  <c r="A1383" i="4" s="1"/>
  <c r="B1384" i="2"/>
  <c r="A1384" i="4" s="1"/>
  <c r="B1385" i="2"/>
  <c r="A1385" i="4" s="1"/>
  <c r="B1386" i="2"/>
  <c r="A1386" i="4" s="1"/>
  <c r="B1387" i="2"/>
  <c r="A1387" i="4" s="1"/>
  <c r="B1388" i="2"/>
  <c r="A1388" i="4" s="1"/>
  <c r="B1389" i="2"/>
  <c r="A1389" i="4" s="1"/>
  <c r="B1390" i="2"/>
  <c r="A1390" i="4" s="1"/>
  <c r="B1391" i="2"/>
  <c r="A1391" i="4" s="1"/>
  <c r="B1392" i="2"/>
  <c r="A1392" i="4" s="1"/>
  <c r="B1393" i="2"/>
  <c r="A1393" i="4" s="1"/>
  <c r="B1394" i="2"/>
  <c r="A1394" i="4" s="1"/>
  <c r="B1395" i="2"/>
  <c r="A1395" i="4" s="1"/>
  <c r="B1396" i="2"/>
  <c r="A1396" i="4" s="1"/>
  <c r="B1397" i="2"/>
  <c r="A1397" i="4" s="1"/>
  <c r="B1398" i="2"/>
  <c r="A1398" i="4" s="1"/>
  <c r="B1399" i="2"/>
  <c r="A1399" i="4" s="1"/>
  <c r="B1400" i="2"/>
  <c r="A1400" i="4" s="1"/>
  <c r="B1401" i="2"/>
  <c r="A1401" i="4" s="1"/>
  <c r="B1402" i="2"/>
  <c r="A1402" i="4" s="1"/>
  <c r="B1403" i="2"/>
  <c r="A1403" i="4" s="1"/>
  <c r="B1404" i="2"/>
  <c r="A1404" i="4" s="1"/>
  <c r="B1405" i="2"/>
  <c r="A1405" i="4" s="1"/>
  <c r="B1406" i="2"/>
  <c r="A1406" i="4" s="1"/>
  <c r="B1407" i="2"/>
  <c r="A1407" i="4" s="1"/>
  <c r="B1408" i="2"/>
  <c r="A1408" i="4" s="1"/>
  <c r="B1409" i="2"/>
  <c r="A1409" i="4" s="1"/>
  <c r="B1410" i="2"/>
  <c r="A1410" i="4" s="1"/>
  <c r="B1411" i="2"/>
  <c r="A1411" i="4" s="1"/>
  <c r="B1412" i="2"/>
  <c r="A1412" i="4" s="1"/>
  <c r="B1413" i="2"/>
  <c r="A1413" i="4" s="1"/>
  <c r="B1414" i="2"/>
  <c r="A1414" i="4" s="1"/>
  <c r="B1415" i="2"/>
  <c r="A1415" i="4" s="1"/>
  <c r="B1416" i="2"/>
  <c r="A1416" i="4" s="1"/>
  <c r="B1417" i="2"/>
  <c r="A1417" i="4" s="1"/>
  <c r="B1418" i="2"/>
  <c r="A1418" i="4" s="1"/>
  <c r="B1419" i="2"/>
  <c r="A1419" i="4" s="1"/>
  <c r="B1420" i="2"/>
  <c r="A1420" i="4" s="1"/>
  <c r="B1421" i="2"/>
  <c r="A1421" i="4" s="1"/>
  <c r="B1422" i="2"/>
  <c r="A1422" i="4" s="1"/>
  <c r="B1423" i="2"/>
  <c r="A1423" i="4" s="1"/>
  <c r="B1424" i="2"/>
  <c r="A1424" i="4" s="1"/>
  <c r="B1425" i="2"/>
  <c r="A1425" i="4" s="1"/>
  <c r="B1426" i="2"/>
  <c r="A1426" i="4" s="1"/>
  <c r="B1427" i="2"/>
  <c r="A1427" i="4" s="1"/>
  <c r="B1428" i="2"/>
  <c r="A1428" i="4" s="1"/>
  <c r="B1429" i="2"/>
  <c r="A1429" i="4" s="1"/>
  <c r="B1430" i="2"/>
  <c r="A1430" i="4" s="1"/>
  <c r="B1431" i="2"/>
  <c r="A1431" i="4" s="1"/>
  <c r="B1432" i="2"/>
  <c r="A1432" i="4" s="1"/>
  <c r="B1433" i="2"/>
  <c r="A1433" i="4" s="1"/>
  <c r="B1434" i="2"/>
  <c r="A1434" i="4" s="1"/>
  <c r="B1435" i="2"/>
  <c r="A1435" i="4" s="1"/>
  <c r="B1436" i="2"/>
  <c r="A1436" i="4" s="1"/>
  <c r="B1437" i="2"/>
  <c r="A1437" i="4" s="1"/>
  <c r="B1438" i="2"/>
  <c r="A1438" i="4" s="1"/>
  <c r="B1439" i="2"/>
  <c r="A1439" i="4" s="1"/>
  <c r="B1440" i="2"/>
  <c r="A1440" i="4" s="1"/>
  <c r="B1441" i="2"/>
  <c r="A1441" i="4" s="1"/>
  <c r="B1442" i="2"/>
  <c r="A1442" i="4" s="1"/>
  <c r="B1443" i="2"/>
  <c r="A1443" i="4" s="1"/>
  <c r="B1444" i="2"/>
  <c r="A1444" i="4" s="1"/>
  <c r="B1445" i="2"/>
  <c r="A1445" i="4" s="1"/>
  <c r="B1446" i="2"/>
  <c r="A1446" i="4" s="1"/>
  <c r="B1447" i="2"/>
  <c r="A1447" i="4" s="1"/>
  <c r="B1448" i="2"/>
  <c r="A1448" i="4" s="1"/>
  <c r="B1449" i="2"/>
  <c r="A1449" i="4" s="1"/>
  <c r="B1450" i="2"/>
  <c r="A1450" i="4" s="1"/>
  <c r="B2" i="2"/>
  <c r="C139" i="4" l="1"/>
  <c r="C735" i="4"/>
  <c r="C1269" i="4"/>
  <c r="C1446" i="4"/>
  <c r="C1447" i="4"/>
  <c r="C541" i="4"/>
  <c r="C542" i="4"/>
  <c r="C1449" i="4"/>
  <c r="C1166" i="4"/>
  <c r="C918" i="4"/>
  <c r="C1342" i="4"/>
  <c r="C973" i="4"/>
  <c r="C1030" i="4"/>
  <c r="C1046" i="4"/>
  <c r="C59" i="4"/>
  <c r="C733" i="4"/>
  <c r="C259" i="4"/>
  <c r="C956" i="4"/>
  <c r="C1422" i="4"/>
  <c r="C342" i="4"/>
  <c r="C343" i="4"/>
  <c r="C1448" i="4"/>
  <c r="C1165" i="4"/>
  <c r="C77" i="4"/>
  <c r="C1450" i="4"/>
  <c r="C17" i="4"/>
  <c r="C1006" i="4"/>
  <c r="C1102" i="4"/>
  <c r="C1190" i="4"/>
  <c r="C1421" i="4"/>
  <c r="C341" i="4"/>
  <c r="C1150" i="4"/>
  <c r="C1294" i="4"/>
  <c r="C194" i="4"/>
  <c r="C610" i="4"/>
  <c r="C1355" i="4"/>
  <c r="C1361" i="4"/>
  <c r="C1025" i="4"/>
  <c r="C721" i="4"/>
  <c r="C393" i="4"/>
  <c r="C193" i="4"/>
  <c r="C1424" i="4"/>
  <c r="C1144" i="4"/>
  <c r="C728" i="4"/>
  <c r="C488" i="4"/>
  <c r="C248" i="4"/>
  <c r="C32" i="4"/>
  <c r="C1317" i="4"/>
  <c r="C955" i="4"/>
  <c r="C1288" i="4"/>
  <c r="C1058" i="4"/>
  <c r="C662" i="4"/>
  <c r="C1435" i="4"/>
  <c r="C1307" i="4"/>
  <c r="C1187" i="4"/>
  <c r="C1075" i="4"/>
  <c r="C1321" i="4"/>
  <c r="C1225" i="4"/>
  <c r="C1073" i="4"/>
  <c r="C929" i="4"/>
  <c r="C761" i="4"/>
  <c r="C601" i="4"/>
  <c r="C457" i="4"/>
  <c r="C289" i="4"/>
  <c r="C121" i="4"/>
  <c r="C9" i="4"/>
  <c r="C1200" i="4"/>
  <c r="C1032" i="4"/>
  <c r="C928" i="4"/>
  <c r="C784" i="4"/>
  <c r="C712" i="4"/>
  <c r="C616" i="4"/>
  <c r="C504" i="4"/>
  <c r="C368" i="4"/>
  <c r="C224" i="4"/>
  <c r="C40" i="4"/>
  <c r="C1007" i="4"/>
  <c r="C200" i="4"/>
  <c r="C842" i="4"/>
  <c r="C1066" i="4"/>
  <c r="C1320" i="4"/>
  <c r="C210" i="4"/>
  <c r="C1028" i="4"/>
  <c r="C1226" i="4"/>
  <c r="C42" i="4"/>
  <c r="C411" i="4"/>
  <c r="C208" i="4"/>
  <c r="C1255" i="4"/>
  <c r="C1039" i="4"/>
  <c r="C871" i="4"/>
  <c r="C519" i="4"/>
  <c r="C215" i="4"/>
  <c r="C1419" i="4"/>
  <c r="C1283" i="4"/>
  <c r="C1203" i="4"/>
  <c r="C1337" i="4"/>
  <c r="C1161" i="4"/>
  <c r="C1009" i="4"/>
  <c r="C801" i="4"/>
  <c r="C689" i="4"/>
  <c r="C609" i="4"/>
  <c r="C489" i="4"/>
  <c r="C345" i="4"/>
  <c r="C233" i="4"/>
  <c r="C113" i="4"/>
  <c r="C1400" i="4"/>
  <c r="C1112" i="4"/>
  <c r="C968" i="4"/>
  <c r="C848" i="4"/>
  <c r="C720" i="4"/>
  <c r="C600" i="4"/>
  <c r="C448" i="4"/>
  <c r="C336" i="4"/>
  <c r="C232" i="4"/>
  <c r="C96" i="4"/>
  <c r="C1407" i="4"/>
  <c r="C1271" i="4"/>
  <c r="C1151" i="4"/>
  <c r="C1055" i="4"/>
  <c r="C935" i="4"/>
  <c r="C831" i="4"/>
  <c r="C687" i="4"/>
  <c r="C567" i="4"/>
  <c r="C455" i="4"/>
  <c r="C359" i="4"/>
  <c r="C207" i="4"/>
  <c r="C71" i="4"/>
  <c r="C23" i="4"/>
  <c r="C1265" i="4"/>
  <c r="C841" i="4"/>
  <c r="C1438" i="4"/>
  <c r="C1374" i="4"/>
  <c r="C1310" i="4"/>
  <c r="C1246" i="4"/>
  <c r="C1182" i="4"/>
  <c r="C1134" i="4"/>
  <c r="C1086" i="4"/>
  <c r="C1054" i="4"/>
  <c r="C990" i="4"/>
  <c r="C942" i="4"/>
  <c r="C894" i="4"/>
  <c r="C862" i="4"/>
  <c r="C830" i="4"/>
  <c r="C782" i="4"/>
  <c r="C750" i="4"/>
  <c r="C718" i="4"/>
  <c r="C670" i="4"/>
  <c r="C630" i="4"/>
  <c r="C598" i="4"/>
  <c r="C558" i="4"/>
  <c r="C518" i="4"/>
  <c r="C470" i="4"/>
  <c r="C430" i="4"/>
  <c r="C390" i="4"/>
  <c r="C350" i="4"/>
  <c r="C1262" i="4"/>
  <c r="C985" i="4"/>
  <c r="C594" i="4"/>
  <c r="C793" i="4"/>
  <c r="C1367" i="4"/>
  <c r="C1247" i="4"/>
  <c r="C511" i="4"/>
  <c r="C1021" i="4"/>
  <c r="C574" i="4"/>
  <c r="C957" i="4"/>
  <c r="C1253" i="4"/>
  <c r="C74" i="4"/>
  <c r="C884" i="4"/>
  <c r="C1138" i="4"/>
  <c r="C1394" i="4"/>
  <c r="C294" i="4"/>
  <c r="C1267" i="4"/>
  <c r="C1257" i="4"/>
  <c r="C961" i="4"/>
  <c r="C697" i="4"/>
  <c r="C321" i="4"/>
  <c r="C129" i="4"/>
  <c r="C1376" i="4"/>
  <c r="C1000" i="4"/>
  <c r="C696" i="4"/>
  <c r="C384" i="4"/>
  <c r="C192" i="4"/>
  <c r="C1241" i="4"/>
  <c r="C1240" i="4"/>
  <c r="C675" i="4"/>
  <c r="C1441" i="4"/>
  <c r="C1237" i="4"/>
  <c r="C948" i="4"/>
  <c r="C529" i="4"/>
  <c r="C1411" i="4"/>
  <c r="C1299" i="4"/>
  <c r="C1139" i="4"/>
  <c r="C1035" i="4"/>
  <c r="C1289" i="4"/>
  <c r="C1145" i="4"/>
  <c r="C1001" i="4"/>
  <c r="C897" i="4"/>
  <c r="C745" i="4"/>
  <c r="C537" i="4"/>
  <c r="C425" i="4"/>
  <c r="C225" i="4"/>
  <c r="C81" i="4"/>
  <c r="C737" i="4"/>
  <c r="C1128" i="4"/>
  <c r="C1024" i="4"/>
  <c r="C904" i="4"/>
  <c r="C768" i="4"/>
  <c r="C680" i="4"/>
  <c r="C592" i="4"/>
  <c r="C472" i="4"/>
  <c r="C344" i="4"/>
  <c r="C112" i="4"/>
  <c r="C8" i="4"/>
  <c r="C15" i="4"/>
  <c r="C1290" i="4"/>
  <c r="C544" i="4"/>
  <c r="C478" i="4"/>
  <c r="C310" i="4"/>
  <c r="C1293" i="4"/>
  <c r="C1379" i="4"/>
  <c r="C825" i="4"/>
  <c r="C481" i="4"/>
  <c r="C1312" i="4"/>
  <c r="C888" i="4"/>
  <c r="C128" i="4"/>
  <c r="C1071" i="4"/>
  <c r="C143" i="4"/>
  <c r="C1227" i="4"/>
  <c r="C1169" i="4"/>
  <c r="C673" i="4"/>
  <c r="C401" i="4"/>
  <c r="C145" i="4"/>
  <c r="C952" i="4"/>
  <c r="C648" i="4"/>
  <c r="C360" i="4"/>
  <c r="C1216" i="4"/>
  <c r="C1183" i="4"/>
  <c r="C975" i="4"/>
  <c r="C535" i="4"/>
  <c r="C287" i="4"/>
  <c r="C31" i="4"/>
  <c r="C1189" i="4"/>
  <c r="C1398" i="4"/>
  <c r="C1174" i="4"/>
  <c r="C1070" i="4"/>
  <c r="C950" i="4"/>
  <c r="C822" i="4"/>
  <c r="C734" i="4"/>
  <c r="C638" i="4"/>
  <c r="C502" i="4"/>
  <c r="C414" i="4"/>
  <c r="C1210" i="4"/>
  <c r="C780" i="4"/>
  <c r="C1272" i="4"/>
  <c r="C880" i="4"/>
  <c r="C744" i="4"/>
  <c r="C408" i="4"/>
  <c r="C272" i="4"/>
  <c r="C1335" i="4"/>
  <c r="C1281" i="4"/>
  <c r="C1049" i="4"/>
  <c r="C708" i="4"/>
  <c r="C111" i="4"/>
  <c r="C1347" i="4"/>
  <c r="C1235" i="4"/>
  <c r="C1043" i="4"/>
  <c r="C1193" i="4"/>
  <c r="C905" i="4"/>
  <c r="C809" i="4"/>
  <c r="C625" i="4"/>
  <c r="C521" i="4"/>
  <c r="C433" i="4"/>
  <c r="C305" i="4"/>
  <c r="C169" i="4"/>
  <c r="C33" i="4"/>
  <c r="C1360" i="4"/>
  <c r="C1168" i="4"/>
  <c r="C944" i="4"/>
  <c r="C752" i="4"/>
  <c r="C584" i="4"/>
  <c r="C464" i="4"/>
  <c r="C376" i="4"/>
  <c r="C240" i="4"/>
  <c r="C104" i="4"/>
  <c r="C1280" i="4"/>
  <c r="C1048" i="4"/>
  <c r="C705" i="4"/>
  <c r="C109" i="4"/>
  <c r="C1176" i="4"/>
  <c r="C641" i="4"/>
  <c r="C1426" i="4"/>
  <c r="C1362" i="4"/>
  <c r="C1298" i="4"/>
  <c r="C1234" i="4"/>
  <c r="C1170" i="4"/>
  <c r="C1098" i="4"/>
  <c r="C1050" i="4"/>
  <c r="C1018" i="4"/>
  <c r="C20" i="4"/>
  <c r="C1192" i="4"/>
  <c r="C374" i="4"/>
  <c r="C1354" i="4"/>
  <c r="C206" i="4"/>
  <c r="C1214" i="4"/>
  <c r="C1327" i="4"/>
  <c r="C487" i="4"/>
  <c r="C1339" i="4"/>
  <c r="C1059" i="4"/>
  <c r="C785" i="4"/>
  <c r="C553" i="4"/>
  <c r="C265" i="4"/>
  <c r="C1096" i="4"/>
  <c r="C776" i="4"/>
  <c r="C480" i="4"/>
  <c r="C792" i="4"/>
  <c r="C1343" i="4"/>
  <c r="C1111" i="4"/>
  <c r="C647" i="4"/>
  <c r="C423" i="4"/>
  <c r="C95" i="4"/>
  <c r="C1136" i="4"/>
  <c r="C2" i="4"/>
  <c r="C1238" i="4"/>
  <c r="C1118" i="4"/>
  <c r="C998" i="4"/>
  <c r="C854" i="4"/>
  <c r="C766" i="4"/>
  <c r="C686" i="4"/>
  <c r="C550" i="4"/>
  <c r="C454" i="4"/>
  <c r="C358" i="4"/>
  <c r="C1185" i="4"/>
  <c r="C723" i="4"/>
  <c r="C1371" i="4"/>
  <c r="C1259" i="4"/>
  <c r="C1273" i="4"/>
  <c r="C1081" i="4"/>
  <c r="C665" i="4"/>
  <c r="C465" i="4"/>
  <c r="C57" i="4"/>
  <c r="C1369" i="4"/>
  <c r="C1215" i="4"/>
  <c r="C1095" i="4"/>
  <c r="C943" i="4"/>
  <c r="C815" i="4"/>
  <c r="C743" i="4"/>
  <c r="C655" i="4"/>
  <c r="C543" i="4"/>
  <c r="C415" i="4"/>
  <c r="C327" i="4"/>
  <c r="C223" i="4"/>
  <c r="C1413" i="4"/>
  <c r="C1325" i="4"/>
  <c r="C1245" i="4"/>
  <c r="C1141" i="4"/>
  <c r="C1077" i="4"/>
  <c r="C981" i="4"/>
  <c r="C917" i="4"/>
  <c r="C869" i="4"/>
  <c r="C837" i="4"/>
  <c r="C805" i="4"/>
  <c r="C773" i="4"/>
  <c r="C725" i="4"/>
  <c r="C693" i="4"/>
  <c r="C653" i="4"/>
  <c r="C597" i="4"/>
  <c r="C565" i="4"/>
  <c r="C525" i="4"/>
  <c r="C493" i="4"/>
  <c r="C445" i="4"/>
  <c r="C413" i="4"/>
  <c r="C381" i="4"/>
  <c r="C349" i="4"/>
  <c r="C309" i="4"/>
  <c r="C277" i="4"/>
  <c r="C237" i="4"/>
  <c r="C205" i="4"/>
  <c r="C173" i="4"/>
  <c r="C101" i="4"/>
  <c r="C45" i="4"/>
  <c r="C5" i="4"/>
  <c r="C1256" i="4"/>
  <c r="C1012" i="4"/>
  <c r="C645" i="4"/>
  <c r="C1345" i="4"/>
  <c r="C1439" i="4"/>
  <c r="C1351" i="4"/>
  <c r="C1263" i="4"/>
  <c r="C1191" i="4"/>
  <c r="C1047" i="4"/>
  <c r="C895" i="4"/>
  <c r="C711" i="4"/>
  <c r="C615" i="4"/>
  <c r="C447" i="4"/>
  <c r="C279" i="4"/>
  <c r="C151" i="4"/>
  <c r="C1405" i="4"/>
  <c r="C1181" i="4"/>
  <c r="C1069" i="4"/>
  <c r="C1005" i="4"/>
  <c r="C1444" i="4"/>
  <c r="C1412" i="4"/>
  <c r="C1380" i="4"/>
  <c r="C1348" i="4"/>
  <c r="C1316" i="4"/>
  <c r="C1284" i="4"/>
  <c r="C1252" i="4"/>
  <c r="C1220" i="4"/>
  <c r="C1188" i="4"/>
  <c r="C1156" i="4"/>
  <c r="C1124" i="4"/>
  <c r="C1092" i="4"/>
  <c r="C1044" i="4"/>
  <c r="C996" i="4"/>
  <c r="C964" i="4"/>
  <c r="C916" i="4"/>
  <c r="C868" i="4"/>
  <c r="C828" i="4"/>
  <c r="C796" i="4"/>
  <c r="C756" i="4"/>
  <c r="C724" i="4"/>
  <c r="C684" i="4"/>
  <c r="C652" i="4"/>
  <c r="C620" i="4"/>
  <c r="C588" i="4"/>
  <c r="C556" i="4"/>
  <c r="C524" i="4"/>
  <c r="C492" i="4"/>
  <c r="C460" i="4"/>
  <c r="C1254" i="4"/>
  <c r="C1011" i="4"/>
  <c r="C643" i="4"/>
  <c r="C39" i="4"/>
  <c r="C1179" i="4"/>
  <c r="C1027" i="4"/>
  <c r="C979" i="4"/>
  <c r="C931" i="4"/>
  <c r="C899" i="4"/>
  <c r="C851" i="4"/>
  <c r="C819" i="4"/>
  <c r="C787" i="4"/>
  <c r="C747" i="4"/>
  <c r="C707" i="4"/>
  <c r="C667" i="4"/>
  <c r="C627" i="4"/>
  <c r="C595" i="4"/>
  <c r="C563" i="4"/>
  <c r="C531" i="4"/>
  <c r="C19" i="4"/>
  <c r="C406" i="4"/>
  <c r="C275" i="4"/>
  <c r="C1266" i="4"/>
  <c r="C1397" i="4"/>
  <c r="C1104" i="4"/>
  <c r="C1105" i="4"/>
  <c r="C753" i="4"/>
  <c r="C65" i="4"/>
  <c r="C1296" i="4"/>
  <c r="C312" i="4"/>
  <c r="C64" i="4"/>
  <c r="C823" i="4"/>
  <c r="C79" i="4"/>
  <c r="C1219" i="4"/>
  <c r="C977" i="4"/>
  <c r="C649" i="4"/>
  <c r="C369" i="4"/>
  <c r="C1232" i="4"/>
  <c r="C896" i="4"/>
  <c r="C624" i="4"/>
  <c r="C184" i="4"/>
  <c r="C409" i="4"/>
  <c r="C1159" i="4"/>
  <c r="C807" i="4"/>
  <c r="C503" i="4"/>
  <c r="C231" i="4"/>
  <c r="C1101" i="4"/>
  <c r="C1302" i="4"/>
  <c r="C1158" i="4"/>
  <c r="C1062" i="4"/>
  <c r="C886" i="4"/>
  <c r="C814" i="4"/>
  <c r="C726" i="4"/>
  <c r="C590" i="4"/>
  <c r="C494" i="4"/>
  <c r="C398" i="4"/>
  <c r="C1160" i="4"/>
  <c r="C461" i="4"/>
  <c r="C984" i="4"/>
  <c r="C800" i="4"/>
  <c r="C560" i="4"/>
  <c r="C400" i="4"/>
  <c r="C1344" i="4"/>
  <c r="C1311" i="4"/>
  <c r="C1434" i="4"/>
  <c r="C1230" i="4"/>
  <c r="C976" i="4"/>
  <c r="C578" i="4"/>
  <c r="C1443" i="4"/>
  <c r="C1331" i="4"/>
  <c r="C1211" i="4"/>
  <c r="C1425" i="4"/>
  <c r="C1041" i="4"/>
  <c r="C881" i="4"/>
  <c r="C713" i="4"/>
  <c r="C593" i="4"/>
  <c r="C497" i="4"/>
  <c r="C417" i="4"/>
  <c r="C257" i="4"/>
  <c r="C137" i="4"/>
  <c r="C921" i="4"/>
  <c r="C1328" i="4"/>
  <c r="C1088" i="4"/>
  <c r="C872" i="4"/>
  <c r="C664" i="4"/>
  <c r="C552" i="4"/>
  <c r="C456" i="4"/>
  <c r="C352" i="4"/>
  <c r="C216" i="4"/>
  <c r="C88" i="4"/>
  <c r="C1433" i="4"/>
  <c r="C1229" i="4"/>
  <c r="C974" i="4"/>
  <c r="C576" i="4"/>
  <c r="C1083" i="4"/>
  <c r="C440" i="4"/>
  <c r="C1410" i="4"/>
  <c r="C1346" i="4"/>
  <c r="C1282" i="4"/>
  <c r="C1218" i="4"/>
  <c r="C1154" i="4"/>
  <c r="C1090" i="4"/>
  <c r="C1042" i="4"/>
  <c r="C1002" i="4"/>
  <c r="C16" i="4"/>
  <c r="C1278" i="4"/>
  <c r="C1318" i="4"/>
  <c r="C306" i="4"/>
  <c r="C1097" i="4"/>
  <c r="C577" i="4"/>
  <c r="C264" i="4"/>
  <c r="C55" i="4"/>
  <c r="C1091" i="4"/>
  <c r="C769" i="4"/>
  <c r="C449" i="4"/>
  <c r="C296" i="4"/>
  <c r="C152" i="4"/>
  <c r="C1375" i="4"/>
  <c r="C63" i="4"/>
  <c r="C1418" i="4"/>
  <c r="C934" i="4"/>
  <c r="C878" i="4"/>
  <c r="C838" i="4"/>
  <c r="C774" i="4"/>
  <c r="C1390" i="4"/>
  <c r="C832" i="4"/>
  <c r="C1363" i="4"/>
  <c r="C505" i="4"/>
  <c r="C656" i="4"/>
  <c r="C1103" i="4"/>
  <c r="C719" i="4"/>
  <c r="C463" i="4"/>
  <c r="C247" i="4"/>
  <c r="C1221" i="4"/>
  <c r="C1053" i="4"/>
  <c r="C877" i="4"/>
  <c r="C757" i="4"/>
  <c r="C669" i="4"/>
  <c r="C573" i="4"/>
  <c r="C437" i="4"/>
  <c r="C365" i="4"/>
  <c r="C285" i="4"/>
  <c r="C165" i="4"/>
  <c r="C29" i="4"/>
  <c r="C1306" i="4"/>
  <c r="C866" i="4"/>
  <c r="C1291" i="4"/>
  <c r="C1099" i="4"/>
  <c r="C849" i="4"/>
  <c r="C657" i="4"/>
  <c r="C353" i="4"/>
  <c r="C209" i="4"/>
  <c r="C1137" i="4"/>
  <c r="C1287" i="4"/>
  <c r="C847" i="4"/>
  <c r="C551" i="4"/>
  <c r="C167" i="4"/>
  <c r="C1045" i="4"/>
  <c r="C1428" i="4"/>
  <c r="C1356" i="4"/>
  <c r="C1244" i="4"/>
  <c r="C1172" i="4"/>
  <c r="C1100" i="4"/>
  <c r="C940" i="4"/>
  <c r="C852" i="4"/>
  <c r="C764" i="4"/>
  <c r="C644" i="4"/>
  <c r="C572" i="4"/>
  <c r="C500" i="4"/>
  <c r="C1152" i="4"/>
  <c r="C510" i="4"/>
  <c r="C1323" i="4"/>
  <c r="C987" i="4"/>
  <c r="C843" i="4"/>
  <c r="C771" i="4"/>
  <c r="C683" i="4"/>
  <c r="C555" i="4"/>
  <c r="C1432" i="4"/>
  <c r="C763" i="4"/>
  <c r="C1322" i="4"/>
  <c r="C1250" i="4"/>
  <c r="C1082" i="4"/>
  <c r="C1026" i="4"/>
  <c r="C970" i="4"/>
  <c r="C922" i="4"/>
  <c r="C890" i="4"/>
  <c r="C834" i="4"/>
  <c r="C794" i="4"/>
  <c r="C762" i="4"/>
  <c r="C730" i="4"/>
  <c r="C698" i="4"/>
  <c r="C666" i="4"/>
  <c r="C634" i="4"/>
  <c r="C586" i="4"/>
  <c r="C546" i="4"/>
  <c r="C514" i="4"/>
  <c r="C482" i="4"/>
  <c r="C434" i="4"/>
  <c r="C402" i="4"/>
  <c r="C362" i="4"/>
  <c r="C330" i="4"/>
  <c r="C1352" i="4"/>
  <c r="C1146" i="4"/>
  <c r="C857" i="4"/>
  <c r="C361" i="4"/>
  <c r="C291" i="4"/>
  <c r="C90" i="4"/>
  <c r="C266" i="4"/>
  <c r="C218" i="4"/>
  <c r="C170" i="4"/>
  <c r="C138" i="4"/>
  <c r="C98" i="4"/>
  <c r="C10" i="4"/>
  <c r="C431" i="4"/>
  <c r="C1389" i="4"/>
  <c r="C1213" i="4"/>
  <c r="C829" i="4"/>
  <c r="C517" i="4"/>
  <c r="C357" i="4"/>
  <c r="C229" i="4"/>
  <c r="C125" i="4"/>
  <c r="C1178" i="4"/>
  <c r="C1427" i="4"/>
  <c r="C1017" i="4"/>
  <c r="C473" i="4"/>
  <c r="C883" i="4"/>
  <c r="C839" i="4"/>
  <c r="C1037" i="4"/>
  <c r="C1420" i="4"/>
  <c r="C1236" i="4"/>
  <c r="C932" i="4"/>
  <c r="C836" i="4"/>
  <c r="C636" i="4"/>
  <c r="C1382" i="4"/>
  <c r="C375" i="4"/>
  <c r="C923" i="4"/>
  <c r="C755" i="4"/>
  <c r="C547" i="4"/>
  <c r="C507" i="4"/>
  <c r="C1314" i="4"/>
  <c r="C1074" i="4"/>
  <c r="C914" i="4"/>
  <c r="C826" i="4"/>
  <c r="C754" i="4"/>
  <c r="C690" i="4"/>
  <c r="C626" i="4"/>
  <c r="C538" i="4"/>
  <c r="C466" i="4"/>
  <c r="C386" i="4"/>
  <c r="C322" i="4"/>
  <c r="C1076" i="4"/>
  <c r="C226" i="4"/>
  <c r="C250" i="4"/>
  <c r="C162" i="4"/>
  <c r="C50" i="4"/>
  <c r="C1162" i="4"/>
  <c r="C1051" i="4"/>
  <c r="C1023" i="4"/>
  <c r="C263" i="4"/>
  <c r="C185" i="4"/>
  <c r="C1184" i="4"/>
  <c r="C1303" i="4"/>
  <c r="C863" i="4"/>
  <c r="C1430" i="4"/>
  <c r="C1270" i="4"/>
  <c r="C710" i="4"/>
  <c r="C1014" i="4"/>
  <c r="C790" i="4"/>
  <c r="C1242" i="4"/>
  <c r="C994" i="4"/>
  <c r="C1147" i="4"/>
  <c r="C632" i="4"/>
  <c r="C1391" i="4"/>
  <c r="C303" i="4"/>
  <c r="C1243" i="4"/>
  <c r="C97" i="4"/>
  <c r="C1208" i="4"/>
  <c r="C1016" i="4"/>
  <c r="C824" i="4"/>
  <c r="C999" i="4"/>
  <c r="C879" i="4"/>
  <c r="C727" i="4"/>
  <c r="C1393" i="4"/>
  <c r="C1366" i="4"/>
  <c r="C1286" i="4"/>
  <c r="C1206" i="4"/>
  <c r="C1126" i="4"/>
  <c r="C654" i="4"/>
  <c r="C614" i="4"/>
  <c r="C566" i="4"/>
  <c r="C1365" i="4"/>
  <c r="C394" i="4"/>
  <c r="C1123" i="4"/>
  <c r="C1401" i="4"/>
  <c r="C953" i="4"/>
  <c r="C960" i="4"/>
  <c r="C760" i="4"/>
  <c r="C1399" i="4"/>
  <c r="C1231" i="4"/>
  <c r="C799" i="4"/>
  <c r="C599" i="4"/>
  <c r="C335" i="4"/>
  <c r="C1309" i="4"/>
  <c r="C1117" i="4"/>
  <c r="C925" i="4"/>
  <c r="C797" i="4"/>
  <c r="C709" i="4"/>
  <c r="C605" i="4"/>
  <c r="C485" i="4"/>
  <c r="C397" i="4"/>
  <c r="C317" i="4"/>
  <c r="C1205" i="4"/>
  <c r="C818" i="4"/>
  <c r="C1440" i="4"/>
  <c r="C1248" i="4"/>
  <c r="C640" i="4"/>
  <c r="C496" i="4"/>
  <c r="C168" i="4"/>
  <c r="C920" i="4"/>
  <c r="C1359" i="4"/>
  <c r="C959" i="4"/>
  <c r="C663" i="4"/>
  <c r="C367" i="4"/>
  <c r="C1149" i="4"/>
  <c r="C965" i="4"/>
  <c r="C1388" i="4"/>
  <c r="C1276" i="4"/>
  <c r="C1204" i="4"/>
  <c r="C1132" i="4"/>
  <c r="C988" i="4"/>
  <c r="C892" i="4"/>
  <c r="C804" i="4"/>
  <c r="C676" i="4"/>
  <c r="C604" i="4"/>
  <c r="C532" i="4"/>
  <c r="C1408" i="4"/>
  <c r="C1121" i="4"/>
  <c r="C442" i="4"/>
  <c r="C1115" i="4"/>
  <c r="C891" i="4"/>
  <c r="C803" i="4"/>
  <c r="C715" i="4"/>
  <c r="C587" i="4"/>
  <c r="C515" i="4"/>
  <c r="C475" i="4"/>
  <c r="C443" i="4"/>
  <c r="C395" i="4"/>
  <c r="C363" i="4"/>
  <c r="C331" i="4"/>
  <c r="C1329" i="4"/>
  <c r="C704" i="4"/>
  <c r="C1326" i="4"/>
  <c r="C1113" i="4"/>
  <c r="C806" i="4"/>
  <c r="C160" i="4"/>
  <c r="C302" i="4"/>
  <c r="C254" i="4"/>
  <c r="C222" i="4"/>
  <c r="C102" i="4"/>
  <c r="C70" i="4"/>
  <c r="C14" i="4"/>
  <c r="C452" i="4"/>
  <c r="C420" i="4"/>
  <c r="C388" i="4"/>
  <c r="C356" i="4"/>
  <c r="C324" i="4"/>
  <c r="C292" i="4"/>
  <c r="C260" i="4"/>
  <c r="C228" i="4"/>
  <c r="C196" i="4"/>
  <c r="C164" i="4"/>
  <c r="C132" i="4"/>
  <c r="C100" i="4"/>
  <c r="C68" i="4"/>
  <c r="C36" i="4"/>
  <c r="C258" i="4"/>
  <c r="C299" i="4"/>
  <c r="C219" i="4"/>
  <c r="C187" i="4"/>
  <c r="C99" i="4"/>
  <c r="C51" i="4"/>
  <c r="C11" i="4"/>
  <c r="C318" i="4"/>
  <c r="C695" i="4"/>
  <c r="C997" i="4"/>
  <c r="C749" i="4"/>
  <c r="C661" i="4"/>
  <c r="C429" i="4"/>
  <c r="C157" i="4"/>
  <c r="C13" i="4"/>
  <c r="C767" i="4"/>
  <c r="C1251" i="4"/>
  <c r="C833" i="4"/>
  <c r="C337" i="4"/>
  <c r="C1135" i="4"/>
  <c r="C527" i="4"/>
  <c r="C1341" i="4"/>
  <c r="C1308" i="4"/>
  <c r="C1164" i="4"/>
  <c r="C1036" i="4"/>
  <c r="C716" i="4"/>
  <c r="C564" i="4"/>
  <c r="C1084" i="4"/>
  <c r="C1195" i="4"/>
  <c r="C835" i="4"/>
  <c r="C619" i="4"/>
  <c r="C1304" i="4"/>
  <c r="C1386" i="4"/>
  <c r="C1114" i="4"/>
  <c r="C962" i="4"/>
  <c r="C874" i="4"/>
  <c r="C786" i="4"/>
  <c r="C722" i="4"/>
  <c r="C658" i="4"/>
  <c r="C570" i="4"/>
  <c r="C506" i="4"/>
  <c r="C426" i="4"/>
  <c r="C354" i="4"/>
  <c r="C1301" i="4"/>
  <c r="C751" i="4"/>
  <c r="C298" i="4"/>
  <c r="C202" i="4"/>
  <c r="C130" i="4"/>
  <c r="C283" i="4"/>
  <c r="C21" i="4"/>
  <c r="C477" i="4"/>
  <c r="C174" i="4"/>
  <c r="C520" i="4"/>
  <c r="C679" i="4"/>
  <c r="C1395" i="4"/>
  <c r="C73" i="4"/>
  <c r="C1127" i="4"/>
  <c r="C991" i="4"/>
  <c r="C1065" i="4"/>
  <c r="C1350" i="4"/>
  <c r="C758" i="4"/>
  <c r="C53" i="4"/>
  <c r="C142" i="4"/>
  <c r="C677" i="4"/>
  <c r="C844" i="4"/>
  <c r="C1089" i="4"/>
  <c r="C913" i="4"/>
  <c r="C729" i="4"/>
  <c r="C585" i="4"/>
  <c r="C432" i="4"/>
  <c r="C280" i="4"/>
  <c r="C120" i="4"/>
  <c r="C391" i="4"/>
  <c r="C183" i="4"/>
  <c r="C47" i="4"/>
  <c r="C1368" i="4"/>
  <c r="C982" i="4"/>
  <c r="C926" i="4"/>
  <c r="C870" i="4"/>
  <c r="C438" i="4"/>
  <c r="C382" i="4"/>
  <c r="C1338" i="4"/>
  <c r="C328" i="4"/>
  <c r="C1129" i="4"/>
  <c r="C41" i="4"/>
  <c r="C1080" i="4"/>
  <c r="C80" i="4"/>
  <c r="C903" i="4"/>
  <c r="C1381" i="4"/>
  <c r="C1010" i="4"/>
  <c r="C25" i="4"/>
  <c r="C936" i="4"/>
  <c r="C1431" i="4"/>
  <c r="C1315" i="4"/>
  <c r="C513" i="4"/>
  <c r="C1119" i="4"/>
  <c r="C911" i="4"/>
  <c r="C135" i="4"/>
  <c r="C7" i="4"/>
  <c r="C1334" i="4"/>
  <c r="C1222" i="4"/>
  <c r="C910" i="4"/>
  <c r="C846" i="4"/>
  <c r="C646" i="4"/>
  <c r="C534" i="4"/>
  <c r="C1416" i="4"/>
  <c r="C1417" i="4"/>
  <c r="C161" i="4"/>
  <c r="C295" i="4"/>
  <c r="C159" i="4"/>
  <c r="C1349" i="4"/>
  <c r="C701" i="4"/>
  <c r="C637" i="4"/>
  <c r="C581" i="4"/>
  <c r="C533" i="4"/>
  <c r="C117" i="4"/>
  <c r="C1358" i="4"/>
  <c r="C377" i="4"/>
  <c r="C569" i="4"/>
  <c r="C608" i="4"/>
  <c r="C119" i="4"/>
  <c r="C1285" i="4"/>
  <c r="C1093" i="4"/>
  <c r="C989" i="4"/>
  <c r="C1116" i="4"/>
  <c r="C1060" i="4"/>
  <c r="C1004" i="4"/>
  <c r="C596" i="4"/>
  <c r="C548" i="4"/>
  <c r="C508" i="4"/>
  <c r="C468" i="4"/>
  <c r="C901" i="4"/>
  <c r="C971" i="4"/>
  <c r="C915" i="4"/>
  <c r="C859" i="4"/>
  <c r="C811" i="4"/>
  <c r="C435" i="4"/>
  <c r="C347" i="4"/>
  <c r="C105" i="4"/>
  <c r="C986" i="4"/>
  <c r="C946" i="4"/>
  <c r="C810" i="4"/>
  <c r="C770" i="4"/>
  <c r="C682" i="4"/>
  <c r="C642" i="4"/>
  <c r="C530" i="4"/>
  <c r="C490" i="4"/>
  <c r="C378" i="4"/>
  <c r="C338" i="4"/>
  <c r="C1274" i="4"/>
  <c r="C930" i="4"/>
  <c r="C24" i="4"/>
  <c r="C238" i="4"/>
  <c r="C78" i="4"/>
  <c r="C412" i="4"/>
  <c r="C340" i="4"/>
  <c r="C268" i="4"/>
  <c r="C156" i="4"/>
  <c r="C84" i="4"/>
  <c r="C4" i="4"/>
  <c r="C251" i="4"/>
  <c r="C171" i="4"/>
  <c r="C115" i="4"/>
  <c r="C27" i="4"/>
  <c r="C242" i="4"/>
  <c r="C178" i="4"/>
  <c r="C34" i="4"/>
  <c r="C278" i="4"/>
  <c r="C882" i="4"/>
  <c r="C281" i="4"/>
  <c r="C297" i="4"/>
  <c r="C512" i="4"/>
  <c r="C1445" i="4"/>
  <c r="C1313" i="4"/>
  <c r="C1336" i="4"/>
  <c r="C1175" i="4"/>
  <c r="C1015" i="4"/>
  <c r="C855" i="4"/>
  <c r="C1109" i="4"/>
  <c r="C941" i="4"/>
  <c r="C885" i="4"/>
  <c r="C845" i="4"/>
  <c r="C421" i="4"/>
  <c r="C325" i="4"/>
  <c r="C1333" i="4"/>
  <c r="C311" i="4"/>
  <c r="C840" i="4"/>
  <c r="C424" i="4"/>
  <c r="C288" i="4"/>
  <c r="C1239" i="4"/>
  <c r="C1087" i="4"/>
  <c r="C919" i="4"/>
  <c r="C703" i="4"/>
  <c r="C1372" i="4"/>
  <c r="C1332" i="4"/>
  <c r="C1292" i="4"/>
  <c r="C876" i="4"/>
  <c r="C820" i="4"/>
  <c r="C772" i="4"/>
  <c r="C732" i="4"/>
  <c r="C865" i="4"/>
  <c r="C699" i="4"/>
  <c r="C651" i="4"/>
  <c r="C603" i="4"/>
  <c r="C467" i="4"/>
  <c r="C379" i="4"/>
  <c r="C307" i="4"/>
  <c r="C1249" i="4"/>
  <c r="C893" i="4"/>
  <c r="C270" i="4"/>
  <c r="C182" i="4"/>
  <c r="C110" i="4"/>
  <c r="C444" i="4"/>
  <c r="C372" i="4"/>
  <c r="C300" i="4"/>
  <c r="C188" i="4"/>
  <c r="C116" i="4"/>
  <c r="C44" i="4"/>
  <c r="C158" i="4"/>
  <c r="C203" i="4"/>
  <c r="C67" i="4"/>
  <c r="C802" i="4"/>
  <c r="C674" i="4"/>
  <c r="C522" i="4"/>
  <c r="C370" i="4"/>
  <c r="C1224" i="4"/>
  <c r="C334" i="4"/>
  <c r="C230" i="4"/>
  <c r="C404" i="4"/>
  <c r="C332" i="4"/>
  <c r="C220" i="4"/>
  <c r="C148" i="4"/>
  <c r="C123" i="4"/>
  <c r="C163" i="4"/>
  <c r="C282" i="4"/>
  <c r="C114" i="4"/>
  <c r="C1370" i="4"/>
  <c r="C249" i="4"/>
  <c r="C1057" i="4"/>
  <c r="C1217" i="4"/>
  <c r="C623" i="4"/>
  <c r="C1110" i="4"/>
  <c r="C702" i="4"/>
  <c r="C1094" i="4"/>
  <c r="C56" i="4"/>
  <c r="C983" i="4"/>
  <c r="C1157" i="4"/>
  <c r="C789" i="4"/>
  <c r="C221" i="4"/>
  <c r="C1122" i="4"/>
  <c r="C945" i="4"/>
  <c r="C1056" i="4"/>
  <c r="C416" i="4"/>
  <c r="C1319" i="4"/>
  <c r="C949" i="4"/>
  <c r="C1364" i="4"/>
  <c r="C812" i="4"/>
  <c r="C668" i="4"/>
  <c r="C1330" i="4"/>
  <c r="C795" i="4"/>
  <c r="C144" i="4"/>
  <c r="C613" i="4"/>
  <c r="C889" i="4"/>
  <c r="C856" i="4"/>
  <c r="C688" i="4"/>
  <c r="C1199" i="4"/>
  <c r="C471" i="4"/>
  <c r="C319" i="4"/>
  <c r="C992" i="4"/>
  <c r="C1414" i="4"/>
  <c r="C958" i="4"/>
  <c r="C526" i="4"/>
  <c r="C462" i="4"/>
  <c r="C1130" i="4"/>
  <c r="C633" i="4"/>
  <c r="C385" i="4"/>
  <c r="C153" i="4"/>
  <c r="C575" i="4"/>
  <c r="C383" i="4"/>
  <c r="C271" i="4"/>
  <c r="C103" i="4"/>
  <c r="C741" i="4"/>
  <c r="C621" i="4"/>
  <c r="C469" i="4"/>
  <c r="C373" i="4"/>
  <c r="C189" i="4"/>
  <c r="C37" i="4"/>
  <c r="C1153" i="4"/>
  <c r="C245" i="4"/>
  <c r="C545" i="4"/>
  <c r="C1392" i="4"/>
  <c r="C48" i="4"/>
  <c r="C255" i="4"/>
  <c r="C87" i="4"/>
  <c r="C1197" i="4"/>
  <c r="C1196" i="4"/>
  <c r="C1148" i="4"/>
  <c r="C1108" i="4"/>
  <c r="C1052" i="4"/>
  <c r="C628" i="4"/>
  <c r="C540" i="4"/>
  <c r="C1357" i="4"/>
  <c r="C817" i="4"/>
  <c r="C1019" i="4"/>
  <c r="C963" i="4"/>
  <c r="C907" i="4"/>
  <c r="C499" i="4"/>
  <c r="C419" i="4"/>
  <c r="C339" i="4"/>
  <c r="C1201" i="4"/>
  <c r="C1442" i="4"/>
  <c r="C978" i="4"/>
  <c r="C858" i="4"/>
  <c r="C714" i="4"/>
  <c r="C562" i="4"/>
  <c r="C418" i="4"/>
  <c r="C694" i="4"/>
  <c r="C6" i="4"/>
  <c r="C76" i="4"/>
  <c r="C243" i="4"/>
  <c r="C234" i="4"/>
  <c r="C26" i="4"/>
  <c r="C474" i="4"/>
  <c r="C559" i="4"/>
  <c r="C617" i="4"/>
  <c r="C1423" i="4"/>
  <c r="C607" i="4"/>
  <c r="C1038" i="4"/>
  <c r="C582" i="4"/>
  <c r="C873" i="4"/>
  <c r="C1143" i="4"/>
  <c r="C933" i="4"/>
  <c r="C685" i="4"/>
  <c r="C269" i="4"/>
  <c r="C85" i="4"/>
  <c r="C176" i="4"/>
  <c r="C681" i="4"/>
  <c r="C808" i="4"/>
  <c r="C1223" i="4"/>
  <c r="C1063" i="4"/>
  <c r="C1404" i="4"/>
  <c r="C1324" i="4"/>
  <c r="C924" i="4"/>
  <c r="C580" i="4"/>
  <c r="C765" i="4"/>
  <c r="C18" i="4"/>
  <c r="C392" i="4"/>
  <c r="C1078" i="4"/>
  <c r="C622" i="4"/>
  <c r="C486" i="4"/>
  <c r="C912" i="4"/>
  <c r="C1107" i="4"/>
  <c r="C1279" i="4"/>
  <c r="C861" i="4"/>
  <c r="C501" i="4"/>
  <c r="C61" i="4"/>
  <c r="C1085" i="4"/>
  <c r="C89" i="4"/>
  <c r="C1415" i="4"/>
  <c r="C631" i="4"/>
  <c r="C407" i="4"/>
  <c r="C1396" i="4"/>
  <c r="C1340" i="4"/>
  <c r="C1140" i="4"/>
  <c r="C1068" i="4"/>
  <c r="C692" i="4"/>
  <c r="C476" i="4"/>
  <c r="C175" i="4"/>
  <c r="C731" i="4"/>
  <c r="C611" i="4"/>
  <c r="C403" i="4"/>
  <c r="C315" i="4"/>
  <c r="C1106" i="4"/>
  <c r="C1034" i="4"/>
  <c r="C898" i="4"/>
  <c r="C602" i="4"/>
  <c r="C1402" i="4"/>
  <c r="C561" i="4"/>
  <c r="C66" i="4"/>
  <c r="C284" i="4"/>
  <c r="C244" i="4"/>
  <c r="C204" i="4"/>
  <c r="C195" i="4"/>
  <c r="C154" i="4"/>
  <c r="C201" i="4"/>
  <c r="C967" i="4"/>
  <c r="C1209" i="4"/>
  <c r="C1067" i="4"/>
  <c r="C1064" i="4"/>
  <c r="C439" i="4"/>
  <c r="C1142" i="4"/>
  <c r="C875" i="4"/>
  <c r="C1233" i="4"/>
  <c r="C969" i="4"/>
  <c r="C1031" i="4"/>
  <c r="C351" i="4"/>
  <c r="C191" i="4"/>
  <c r="C813" i="4"/>
  <c r="C549" i="4"/>
  <c r="C213" i="4"/>
  <c r="C939" i="4"/>
  <c r="C1264" i="4"/>
  <c r="C860" i="4"/>
  <c r="C740" i="4"/>
  <c r="C516" i="4"/>
  <c r="C1131" i="4"/>
  <c r="C779" i="4"/>
  <c r="C659" i="4"/>
  <c r="C459" i="4"/>
  <c r="C355" i="4"/>
  <c r="C1194" i="4"/>
  <c r="C954" i="4"/>
  <c r="C706" i="4"/>
  <c r="C650" i="4"/>
  <c r="C410" i="4"/>
  <c r="C495" i="4"/>
  <c r="C286" i="4"/>
  <c r="C12" i="4"/>
  <c r="C1029" i="4"/>
  <c r="C1167" i="4"/>
  <c r="C1155" i="4"/>
  <c r="C568" i="4"/>
  <c r="C591" i="4"/>
  <c r="C273" i="4"/>
  <c r="C127" i="4"/>
  <c r="C1275" i="4"/>
  <c r="C536" i="4"/>
  <c r="C304" i="4"/>
  <c r="C993" i="4"/>
  <c r="C1061" i="4"/>
  <c r="C853" i="4"/>
  <c r="C589" i="4"/>
  <c r="C261" i="4"/>
  <c r="C902" i="4"/>
  <c r="C49" i="4"/>
  <c r="C136" i="4"/>
  <c r="C1383" i="4"/>
  <c r="C399" i="4"/>
  <c r="C1436" i="4"/>
  <c r="C1228" i="4"/>
  <c r="C1180" i="4"/>
  <c r="C788" i="4"/>
  <c r="C1387" i="4"/>
  <c r="C827" i="4"/>
  <c r="C1120" i="4"/>
  <c r="C746" i="4"/>
  <c r="C458" i="4"/>
  <c r="C1198" i="4"/>
  <c r="C427" i="4"/>
  <c r="C364" i="4"/>
  <c r="C316" i="4"/>
  <c r="C276" i="4"/>
  <c r="C236" i="4"/>
  <c r="C235" i="4"/>
  <c r="C146" i="4"/>
  <c r="C1125" i="4"/>
  <c r="C293" i="4"/>
  <c r="C1133" i="4"/>
  <c r="C1260" i="4"/>
  <c r="C1177" i="4"/>
  <c r="C579" i="4"/>
  <c r="C778" i="4"/>
  <c r="C498" i="4"/>
  <c r="C436" i="4"/>
  <c r="C43" i="4"/>
  <c r="C150" i="4"/>
  <c r="C329" i="4"/>
  <c r="C759" i="4"/>
  <c r="C509" i="4"/>
  <c r="C1409" i="4"/>
  <c r="C1020" i="4"/>
  <c r="C938" i="4"/>
  <c r="C323" i="4"/>
  <c r="C618" i="4"/>
  <c r="C326" i="4"/>
  <c r="C252" i="4"/>
  <c r="C124" i="4"/>
  <c r="C155" i="4"/>
  <c r="C1297" i="4"/>
  <c r="C777" i="4"/>
  <c r="C821" i="4"/>
  <c r="C181" i="4"/>
  <c r="C1171" i="4"/>
  <c r="C199" i="4"/>
  <c r="C748" i="4"/>
  <c r="C629" i="4"/>
  <c r="C246" i="4"/>
  <c r="C428" i="4"/>
  <c r="C83" i="4"/>
  <c r="C106" i="4"/>
  <c r="C108" i="4"/>
  <c r="C75" i="4"/>
  <c r="C900" i="4"/>
  <c r="C927" i="4"/>
  <c r="C736" i="4"/>
  <c r="C72" i="4"/>
  <c r="C742" i="4"/>
  <c r="C606" i="4"/>
  <c r="C671" i="4"/>
  <c r="C479" i="4"/>
  <c r="C909" i="4"/>
  <c r="C301" i="4"/>
  <c r="C446" i="4"/>
  <c r="C441" i="4"/>
  <c r="C217" i="4"/>
  <c r="C528" i="4"/>
  <c r="C791" i="4"/>
  <c r="C583" i="4"/>
  <c r="C1013" i="4"/>
  <c r="C1268" i="4"/>
  <c r="C980" i="4"/>
  <c r="C1305" i="4"/>
  <c r="C491" i="4"/>
  <c r="C451" i="4"/>
  <c r="C387" i="4"/>
  <c r="C937" i="4"/>
  <c r="C1186" i="4"/>
  <c r="C1173" i="4"/>
  <c r="C126" i="4"/>
  <c r="C86" i="4"/>
  <c r="C46" i="4"/>
  <c r="C52" i="4"/>
  <c r="C91" i="4"/>
  <c r="C179" i="4"/>
  <c r="C3" i="4"/>
  <c r="C274" i="4"/>
  <c r="C186" i="4"/>
  <c r="C180" i="4"/>
  <c r="C58" i="4"/>
  <c r="C290" i="4"/>
  <c r="C1406" i="4"/>
  <c r="C717" i="4"/>
  <c r="C1207" i="4"/>
  <c r="C1437" i="4"/>
  <c r="C1212" i="4"/>
  <c r="C691" i="4"/>
  <c r="C816" i="4"/>
  <c r="C554" i="4"/>
  <c r="C1003" i="4"/>
  <c r="C348" i="4"/>
  <c r="C211" i="4"/>
  <c r="C38" i="4"/>
  <c r="C1022" i="4"/>
  <c r="C639" i="4"/>
  <c r="C781" i="4"/>
  <c r="C1353" i="4"/>
  <c r="C484" i="4"/>
  <c r="C995" i="4"/>
  <c r="C371" i="4"/>
  <c r="C906" i="4"/>
  <c r="C966" i="4"/>
  <c r="C267" i="4"/>
  <c r="C172" i="4"/>
  <c r="C82" i="4"/>
  <c r="C1373" i="4"/>
  <c r="C557" i="4"/>
  <c r="C1384" i="4"/>
  <c r="C1295" i="4"/>
  <c r="C241" i="4"/>
  <c r="C523" i="4"/>
  <c r="C1429" i="4"/>
  <c r="C62" i="4"/>
  <c r="C28" i="4"/>
  <c r="C35" i="4"/>
  <c r="C346" i="4"/>
  <c r="C30" i="4"/>
  <c r="C60" i="4"/>
  <c r="C678" i="4"/>
  <c r="C1079" i="4"/>
  <c r="C177" i="4"/>
  <c r="C783" i="4"/>
  <c r="C798" i="4"/>
  <c r="C313" i="4"/>
  <c r="C1072" i="4"/>
  <c r="C672" i="4"/>
  <c r="C775" i="4"/>
  <c r="C1277" i="4"/>
  <c r="C405" i="4"/>
  <c r="C253" i="4"/>
  <c r="C1385" i="4"/>
  <c r="C320" i="4"/>
  <c r="C908" i="4"/>
  <c r="C612" i="4"/>
  <c r="C1202" i="4"/>
  <c r="C947" i="4"/>
  <c r="C867" i="4"/>
  <c r="C635" i="4"/>
  <c r="C539" i="4"/>
  <c r="C864" i="4"/>
  <c r="C1378" i="4"/>
  <c r="C1258" i="4"/>
  <c r="C738" i="4"/>
  <c r="C450" i="4"/>
  <c r="C1040" i="4"/>
  <c r="C262" i="4"/>
  <c r="C214" i="4"/>
  <c r="C396" i="4"/>
  <c r="C308" i="4"/>
  <c r="C366" i="4"/>
  <c r="C453" i="4"/>
  <c r="C951" i="4"/>
  <c r="C972" i="4"/>
  <c r="C660" i="4"/>
  <c r="C483" i="4"/>
  <c r="C850" i="4"/>
  <c r="C118" i="4"/>
  <c r="C22" i="4"/>
  <c r="C190" i="4"/>
  <c r="C256" i="4"/>
  <c r="C1261" i="4"/>
  <c r="C333" i="4"/>
  <c r="C1300" i="4"/>
  <c r="C700" i="4"/>
  <c r="C739" i="4"/>
  <c r="C239" i="4"/>
  <c r="C314" i="4"/>
  <c r="C198" i="4"/>
  <c r="C212" i="4"/>
  <c r="C1033" i="4"/>
  <c r="C422" i="4"/>
  <c r="C887" i="4"/>
  <c r="C389" i="4"/>
  <c r="C1403" i="4"/>
  <c r="C1008" i="4"/>
  <c r="C1163" i="4"/>
  <c r="C571" i="4"/>
  <c r="C166" i="4"/>
  <c r="C380" i="4"/>
  <c r="C1377" i="4"/>
  <c r="C54" i="4"/>
  <c r="C131" i="4"/>
</calcChain>
</file>

<file path=xl/sharedStrings.xml><?xml version="1.0" encoding="utf-8"?>
<sst xmlns="http://schemas.openxmlformats.org/spreadsheetml/2006/main" count="20420" uniqueCount="10086">
  <si>
    <t>Default Category</t>
  </si>
  <si>
    <t>Default Category/New Arrivals</t>
  </si>
  <si>
    <t>Default Category/New Arrivals/Ready to Assemble Wall Case</t>
  </si>
  <si>
    <t>Default Category/New Arrivals/Pipeline Garment Racks</t>
  </si>
  <si>
    <t>Default Category/New Arrivals/Pipeline Wood Top</t>
  </si>
  <si>
    <t>Default Category/New Arrivals/Pipeline Counter Displays</t>
  </si>
  <si>
    <t>Default Category/New Arrivals/Pipeline Brackets and Outriggers</t>
  </si>
  <si>
    <t>Default Category/New Arrivals/Ready to Assemble Combo Showcase</t>
  </si>
  <si>
    <t>Default Category/New Arrivals/Pipe &amp; Panel Fixtures</t>
  </si>
  <si>
    <t>Default Category/New Arrivals/Pipe Hangers with Shelves</t>
  </si>
  <si>
    <t>Default Category/Category 1</t>
  </si>
  <si>
    <t>Default Category/Category 1/Slatwall</t>
  </si>
  <si>
    <t>Default Category/Category 1/Slatwall/3D Textured Slatwall</t>
  </si>
  <si>
    <t>Default Category/Category 1/Gridwall, Slatgrid</t>
  </si>
  <si>
    <t>Default Category/Category 1/Gridwall, Slatgrid/Gridwall &amp; Slatgrid Panels</t>
  </si>
  <si>
    <t>Default Category/Category 1/Slotted Wall Standards &amp; Accessories</t>
  </si>
  <si>
    <t>Default Category/Category 1/Slotted Wall Standards &amp; Accessories/Aristocrat Extra HD Brackets</t>
  </si>
  <si>
    <t>Default Category/Category 1/Merchandising Bars, Hangrod, Crossbars</t>
  </si>
  <si>
    <t>Default Category/Category 1/Merchandising Bars, Hangrod, Crossbars/Hangrod</t>
  </si>
  <si>
    <t>Default Category/Category 1/PegBoard Hooks &amp; Baskets</t>
  </si>
  <si>
    <t>Default Category/Category 1/PegBoard Hooks &amp; Baskets/Galvanized Ball Tip PegHooks</t>
  </si>
  <si>
    <t>Default Category/Category 1/Wallmount Brackets</t>
  </si>
  <si>
    <t>Default Category/Category 1/Wallmount Brackets/Contemporary Design Wallmount Fixtures</t>
  </si>
  <si>
    <t>Default Category/Category 1/CalHOOK</t>
  </si>
  <si>
    <t>Default Category/Category 1/CalHOOK/BookHANGERS &amp; Sample Rings</t>
  </si>
  <si>
    <t>Default Category/Advertising Aids</t>
  </si>
  <si>
    <t>Default Category/Advertising Aids/Pennants</t>
  </si>
  <si>
    <t>Default Category/Advertising Aids/Pennants/Multi Colored Penants</t>
  </si>
  <si>
    <t>Default Category/Advertising Aids/Pennants/Red; White &amp; Blue Pennants</t>
  </si>
  <si>
    <t>Default Category/Advertising Aids/Pennants/Blue and White Penants</t>
  </si>
  <si>
    <t>Default Category/Advertising Aids/Pennants/Red and Yellow Pennants</t>
  </si>
  <si>
    <t>Default Category/Advertising Aids/Ready Flow Pen Sets</t>
  </si>
  <si>
    <t>Default Category/Advertising Aids/Ready Flow Pen Sets/Trio Pen Set &amp; Cannister w 32oz Ink</t>
  </si>
  <si>
    <t>Default Category/Advertising Aids/Ready Flow Pen Sets/Partner Pen Set w 8oz Ink</t>
  </si>
  <si>
    <t>Default Category/Advertising Aids/Ready Flow Pen Sets/32oz Special Performance Ink</t>
  </si>
  <si>
    <t>Default Category/Advertising Aids/Ready Flow Pen Sets/Refill Pens; Felt; and Cans</t>
  </si>
  <si>
    <t>Default Category/Advertising Aids/Sidewalk Signs</t>
  </si>
  <si>
    <t>Default Category/Advertising Aids/Sidewalk Signs/QLA Quick Load Rolling A Frame Sidewalk Signs</t>
  </si>
  <si>
    <t>Default Category/Advertising Aids/Sidewalk Signs/Swinger Sidewalk &amp; Roadside Signs</t>
  </si>
  <si>
    <t>Default Category/Advertising Aids/Sidewalk Signs/Springer Sidewalk Signs</t>
  </si>
  <si>
    <t>Default Category/Advertising Aids/Sidewalk Signs/Tip 'N Roll Sidewalk Signs</t>
  </si>
  <si>
    <t>Default Category/Advertising Aids/Sign Cards</t>
  </si>
  <si>
    <t>Default Category/Advertising Aids/Sign Cards/Open Closed Sign</t>
  </si>
  <si>
    <t>Default Category/Advertising Aids/Sign Cards/Sign Cards with Printed Message</t>
  </si>
  <si>
    <t>Default Category/Advertising Aids/Sign Cards/Sign Cards; Laser Print Ready</t>
  </si>
  <si>
    <t>Default Category/Advertising Aids/Sign Cards/Seasonal Sign Cards; Laser Print Ready</t>
  </si>
  <si>
    <t>Default Category/Advertising Aids/Sign Cards/Burst Blank Fluorescent Sign Cards</t>
  </si>
  <si>
    <t>Default Category/Advertising Aids/Sign Cards/Rectangle Blank Fluorescent Sign Cards</t>
  </si>
  <si>
    <t>Default Category/Advertising Aids/Sign Card Frames and Vinyl Envelopes</t>
  </si>
  <si>
    <t>Default Category/Advertising Aids/Sign Card Frames and Vinyl Envelopes/Vinyl Envelope &amp; Sign Holders</t>
  </si>
  <si>
    <t>Default Category/Advertising Aids/Sign Card Frames and Vinyl Envelopes/Vinyl Envelope &amp; Sign Holders/Vinyl Sign Envelopes</t>
  </si>
  <si>
    <t>Default Category/Advertising Aids/Sign Card Frames and Vinyl Envelopes/Acrylic Sign Card Frames</t>
  </si>
  <si>
    <t>Default Category/Advertising Aids/Sign Card Frames and Vinyl Envelopes/Acrylic Sign Card Frames/Acrylic Sign Holders for Wallmount Extra Large</t>
  </si>
  <si>
    <t>Default Category/Advertising Aids/Sign Card Frames and Vinyl Envelopes/Acrylic Sign Card Frames/Acrylic Sign Holders for Countertop Economy Slant Back</t>
  </si>
  <si>
    <t>Default Category/Advertising Aids/Sign Card Frames and Vinyl Envelopes/Acrylic Sign Card Frames/Acrylic Sign Holders with Chrome Channel</t>
  </si>
  <si>
    <t>Default Category/Advertising Aids/Sign Card Frames and Vinyl Envelopes/Acrylic Sign Card Frames/Acrylic Sign Holders Special with Holes to Attach to Shelves; etc</t>
  </si>
  <si>
    <t>Default Category/Advertising Aids/Sign Card Frames and Vinyl Envelopes/Acrylic Sign Card Frames/Acrylic Specialty Sign Holders</t>
  </si>
  <si>
    <t>Default Category/Advertising Aids/Sign Card Frames and Vinyl Envelopes/Acrylic Sign Card Frames/Acrylic Sign Holder with Literature Pocket</t>
  </si>
  <si>
    <t>Default Category/Advertising Aids/Sign Card Frames and Vinyl Envelopes/Acrylic Sign Card Frames/Acrylic Slant Back Countertop Sign Holders</t>
  </si>
  <si>
    <t>Default Category/Advertising Aids/Sign Card Frames and Vinyl Envelopes/Acrylic Sign Card Frames/Acrylic Two Sided; Top Loading Sign Holders</t>
  </si>
  <si>
    <t>Default Category/Advertising Aids/Sign Card Frames and Vinyl Envelopes/Acrylic Sign Card Frames/Acrylic Two Sided; Bottom Loading Sign Holders</t>
  </si>
  <si>
    <t>Default Category/Advertising Aids/Sign Card Frames and Vinyl Envelopes/Acrylic Sign Card Frames/Economy Acrylic Two Sided; Bottom Loading Sign Holders</t>
  </si>
  <si>
    <t>Default Category/Advertising Aids/Sign Card Frames and Vinyl Envelopes/Chrome Sign Card Frames</t>
  </si>
  <si>
    <t>Default Category/Advertising Aids/Sign Card Frames and Vinyl Envelopes/Chrome Sign Card Frames/Card Frame Components</t>
  </si>
  <si>
    <t>Default Category/Advertising Aids/Sign Card Frames and Vinyl Envelopes/Chrome Sign Card Frames/Counter Top Metal Card Frames</t>
  </si>
  <si>
    <t>Default Category/Advertising Aids/Sign Card Frames and Vinyl Envelopes/Chrome Sign Card Frames/Floor Standing Sign Frame</t>
  </si>
  <si>
    <t>Default Category/Advertising Aids/Sign Card Frames and Vinyl Envelopes/Miscellaneous Sign Holders</t>
  </si>
  <si>
    <t>Default Category/Advertising Aids/Sign Card Frames and Vinyl Envelopes/Miscellaneous Sign Holders/Sign Holder with Clamp</t>
  </si>
  <si>
    <t>Default Category/Advertising Aids/Sign Card Frames and Vinyl Envelopes/Miscellaneous Sign Holders/Sign and or Menu Card Holder</t>
  </si>
  <si>
    <t>Default Category/Advertising Aids/Banners &amp; Posters</t>
  </si>
  <si>
    <t>Default Category/Advertising Aids/Banners &amp; Posters/Seasonal Posters</t>
  </si>
  <si>
    <t>Default Category/Advertising Aids/Banners &amp; Posters/Miracle Sticks</t>
  </si>
  <si>
    <t>Default Category/Advertising Aids/Banners &amp; Posters/Posters and Pennants</t>
  </si>
  <si>
    <t>Default Category/Advertising Aids/Banners &amp; Posters/Ceiling Danglers</t>
  </si>
  <si>
    <t>Default Category/Advertising Aids/Contest Boxes</t>
  </si>
  <si>
    <t>Default Category/Advertising Aids/Contest Boxes/Million Dollar Bill</t>
  </si>
  <si>
    <t>Default Category/Advertising Aids/Contest Boxes/Corrugated Contest Box</t>
  </si>
  <si>
    <t>Default Category/Advertising Aids/Fluorescent Labels</t>
  </si>
  <si>
    <t>Default Category/Advertising Aids/Fluorescent Labels/Fluorescent Specialty Labels</t>
  </si>
  <si>
    <t>Default Category/Advertising Aids/Fluorescent Labels/Fluorescent Rectangle Labels</t>
  </si>
  <si>
    <t>Default Category/Advertising Aids/Fluorescent Labels/Fluorescent Circle Labels</t>
  </si>
  <si>
    <t>Default Category/Advertising Aids/Fluorescent Labels/Fluorescent Starburst Labels</t>
  </si>
  <si>
    <t>Default Category/Advertising Aids/Fluorescent Labels/Made In USA Label</t>
  </si>
  <si>
    <t>Default Category/Advertising Aids/Gift Cards</t>
  </si>
  <si>
    <t>Default Category/Advertising Aids/Gift Cards/Acrylic Gift Card Holder Display</t>
  </si>
  <si>
    <t>Default Category/Advertising Aids/Gift Cards/Gift Card Holders</t>
  </si>
  <si>
    <t>Default Category/Advertising Aids/Gift Cards/Gift Card Journal Entry Binder</t>
  </si>
  <si>
    <t>Default Category/Missing Category</t>
  </si>
  <si>
    <t>Default Category/Missing Category/Natural Kraft Paper Shopping Bags</t>
  </si>
  <si>
    <t>Default Category/Missing Category/Clear Polypropylene Basket Bags</t>
  </si>
  <si>
    <t>Default Category/Missing Category/Round Weighted Base</t>
  </si>
  <si>
    <t>Default Category/Missing Category/WAYMISH</t>
  </si>
  <si>
    <t>Default Category/Missing Category/Customer Satisfaction is Worthless Customer Loyalty is Priceless</t>
  </si>
  <si>
    <t>Default Category/Missing Category/Simple Truths of Service</t>
  </si>
  <si>
    <t>Default Category/Missing Category/Inside The Magic Kingdom</t>
  </si>
  <si>
    <t>Default Category/Missing Category/Out-Nordstrom Nordstrom</t>
  </si>
  <si>
    <t>Default Category/Missing Category/Very Fine Cut Shred</t>
  </si>
  <si>
    <t>Default Category/Missing Category/Mens Suit and Shirt Forms</t>
  </si>
  <si>
    <t>Default Category/Missing Category/Base for Apollo and Athena Forms</t>
  </si>
  <si>
    <t>Default Category/Missing Category/Upright for Apollo and Athena Forms</t>
  </si>
  <si>
    <t>Default Category/Missing Category/Impulse Sealers</t>
  </si>
  <si>
    <t>Default Category/Missing Category/Hooks and Clips</t>
  </si>
  <si>
    <t>Default Category/General Store Supplies</t>
  </si>
  <si>
    <t>Default Category/General Store Supplies/Printer Labels</t>
  </si>
  <si>
    <t>Default Category/General Store Supplies/Printer Labels/Thermal Transfer Labels and Ribbon</t>
  </si>
  <si>
    <t>Default Category/General Store Supplies/Printer Labels/Direct Thermal Labels</t>
  </si>
  <si>
    <t>Default Category/General Store Supplies/Printer Labels/Paper Laser Labels</t>
  </si>
  <si>
    <t>Default Category/General Store Supplies/Shipping Envelopes</t>
  </si>
  <si>
    <t>Default Category/General Store Supplies/Shipping Envelopes/Jiffy Mailing Envelopes</t>
  </si>
  <si>
    <t>Default Category/General Store Supplies/Shipping Envelopes/Eco-Shipper (Peel &amp; Seal) Mailers</t>
  </si>
  <si>
    <t>Default Category/General Store Supplies/Shipping Envelopes/Dura Bag (Peel &amp; Seal) Mailers 80# basis weight</t>
  </si>
  <si>
    <t>Default Category/General Store Supplies/Shipping Supplies</t>
  </si>
  <si>
    <t>Default Category/General Store Supplies/Shipping Supplies/Single Face Corrugated Rolls "B" Flute</t>
  </si>
  <si>
    <t>Default Category/General Store Supplies/Shipping Supplies/Kraft Paper Rolls</t>
  </si>
  <si>
    <t>Default Category/General Store Supplies/Shipping Supplies/Bubble Wrap Packing Rolls</t>
  </si>
  <si>
    <t>Default Category/General Store Supplies/Shipping Supplies/Packaging Peanuts; Green</t>
  </si>
  <si>
    <t>Default Category/General Store Supplies/Shipping Supplies/Polystyrene Edge Protectors</t>
  </si>
  <si>
    <t>Default Category/General Store Supplies/Shipping Supplies/Corrugated Corner Protection Pads</t>
  </si>
  <si>
    <t>Default Category/General Store Supplies/Shipping Supplies/Flat Corrugated White Pads</t>
  </si>
  <si>
    <t>Default Category/General Store Supplies/Shipping Supplies/Five Panel Tube Folders</t>
  </si>
  <si>
    <t>Default Category/General Store Supplies/Shipping Supplies/Triangle Mailing Tubes</t>
  </si>
  <si>
    <t>Default Category/General Store Supplies/Shipping Supplies/Flat Corrugated Brown Pads</t>
  </si>
  <si>
    <t>Default Category/General Store Supplies/Shipping Supplies/Packing List Enclosure Envelopes</t>
  </si>
  <si>
    <t>Default Category/General Store Supplies/Shopping Baskets</t>
  </si>
  <si>
    <t>Default Category/General Store Supplies/Shopping Baskets/Shopping Baskets</t>
  </si>
  <si>
    <t>Default Category/General Store Supplies/Shopping Baskets/Hand Carry Wire Mesh Shopping Baskets</t>
  </si>
  <si>
    <t>Default Category/General Store Supplies/Sizers; Markers &amp; Size Labels</t>
  </si>
  <si>
    <t>Default Category/General Store Supplies/Sizers; Markers &amp; Size Labels/Mini Size Markers for Hangers</t>
  </si>
  <si>
    <t>Default Category/General Store Supplies/Sizers; Markers &amp; Size Labels/Regular Size Markers for Hangers</t>
  </si>
  <si>
    <t>Default Category/General Store Supplies/Sizers; Markers &amp; Size Labels/1 2" Clear Circle Size Labels with Black Print</t>
  </si>
  <si>
    <t>Default Category/General Store Supplies/Sizers; Markers &amp; Size Labels/Storage Box for Size Markers</t>
  </si>
  <si>
    <t>Default Category/General Store Supplies/Sizers; Markers &amp; Size Labels/Size Dividers Round White with Black Numbers</t>
  </si>
  <si>
    <t>Default Category/General Store Supplies/Sizers; Markers &amp; Size Labels/Size Dividers Oblong White with Black Numbers</t>
  </si>
  <si>
    <t>Default Category/General Store Supplies/Sizers; Markers &amp; Size Labels/1 1 4" x 5" Clear Rectangle Size Labels</t>
  </si>
  <si>
    <t>Default Category/General Store Supplies/Sizers; Markers &amp; Size Labels/Rectangle Size Label Dispenser Box</t>
  </si>
  <si>
    <t>Default Category/General Store Supplies/Steamers</t>
  </si>
  <si>
    <t>Default Category/General Store Supplies/Steamers/J 2 Standard Duty Steamer</t>
  </si>
  <si>
    <t>Default Category/General Store Supplies/Steamers/J 4000 Heavy Duty Commercial Steamer</t>
  </si>
  <si>
    <t>Default Category/General Store Supplies/Steamers/Jiffy Steamer Liquid Cleaner</t>
  </si>
  <si>
    <t>Default Category/General Store Supplies/Steamers/G 4 Standard Duty Steamer</t>
  </si>
  <si>
    <t>Default Category/General Store Supplies/Steamers/Steamer Replacement Parts</t>
  </si>
  <si>
    <t>Default Category/General Store Supplies/Steamers/Hat Steamer Model J-4000H</t>
  </si>
  <si>
    <t>Default Category/General Store Supplies/Steamers/Hat Steamer Model J1</t>
  </si>
  <si>
    <t>Default Category/General Store Supplies/Stretch Wrap</t>
  </si>
  <si>
    <t>Default Category/General Store Supplies/Stretch Wrap/Stretch Wrap Hand Dispenser</t>
  </si>
  <si>
    <t>Default Category/General Store Supplies/Stretch Wrap/Stretch Wrap Clear Film</t>
  </si>
  <si>
    <t>Default Category/General Store Supplies/Tape</t>
  </si>
  <si>
    <t>Default Category/General Store Supplies/Tape/3M Carton Sealing Tape</t>
  </si>
  <si>
    <t>Default Category/General Store Supplies/Tape/Hand Held Tape Dispensers</t>
  </si>
  <si>
    <t>Default Category/General Store Supplies/Tape/White Tape Carry Handles</t>
  </si>
  <si>
    <t>Default Category/General Store Supplies/Tape/Repair Tape Pocket Pads</t>
  </si>
  <si>
    <t>Default Category/General Store Supplies/Tape/Double Coated Tape Pads</t>
  </si>
  <si>
    <t>Default Category/General Store Supplies/Turn-O-Matic Systems</t>
  </si>
  <si>
    <t>Default Category/General Store Supplies/Turn-O-Matic Systems/Turn O Matic Systems</t>
  </si>
  <si>
    <t>Default Category/General Store Supplies/Turn-O-Matic Systems/Turn O Matic Tickets</t>
  </si>
  <si>
    <t>Default Category/General Store Supplies/Apparel Accessories Apparel Store Supplies</t>
  </si>
  <si>
    <t>Default Category/General Store Supplies/Apparel Accessories Apparel Store Supplies/Display It Hooks</t>
  </si>
  <si>
    <t>Default Category/General Store Supplies/Apparel Accessories Apparel Store Supplies/Safety Pins</t>
  </si>
  <si>
    <t>Default Category/General Store Supplies/Apparel Accessories Apparel Store Supplies/Cosmetic Stain Remover</t>
  </si>
  <si>
    <t>Default Category/General Store Supplies/Apparel Accessories Apparel Store Supplies/Lint Pickup Roller</t>
  </si>
  <si>
    <t>Default Category/General Store Supplies/Apparel Accessories Apparel Store Supplies/Try-Ons</t>
  </si>
  <si>
    <t>Default Category/General Store Supplies/Apparel Accessories Apparel Store Supplies/Neck Tie Holders</t>
  </si>
  <si>
    <t>Default Category/General Store Supplies/Apparel Accessories Apparel Store Supplies/Lift Off Gum and Adhesive Remover</t>
  </si>
  <si>
    <t>Default Category/General Store Supplies/Apparel Accessories Apparel Store Supplies/Silicone Lubricant 5oz</t>
  </si>
  <si>
    <t>Default Category/General Store Supplies/Apparel Accessories Apparel Store Supplies/Plastic Label Scrapers</t>
  </si>
  <si>
    <t>Default Category/General Store Supplies/Apparel Accessories Apparel Store Supplies/Metal Label Scrapers</t>
  </si>
  <si>
    <t>Default Category/General Store Supplies/Apparel Accessories Apparel Store Supplies/Steel Bank Pins</t>
  </si>
  <si>
    <t>Default Category/General Store Supplies/Box Cutters</t>
  </si>
  <si>
    <t>Default Category/General Store Supplies/Box Cutters/Box Cutters</t>
  </si>
  <si>
    <t>Default Category/General Store Supplies/Box Cutters/Box Cutter Blades</t>
  </si>
  <si>
    <t>Default Category/General Store Supplies/Carts</t>
  </si>
  <si>
    <t>Default Category/General Store Supplies/Carts/EZ Move Hand Truck</t>
  </si>
  <si>
    <t>Default Category/General Store Supplies/Carts/Inventory Return Cart</t>
  </si>
  <si>
    <t>Default Category/General Store Supplies/Carts/Two Level Gravity Fed Truck</t>
  </si>
  <si>
    <t>Default Category/General Store Supplies/Carts/Utility Cart</t>
  </si>
  <si>
    <t>Default Category/General Store Supplies/Carts/Stack n Stock Hand Truck</t>
  </si>
  <si>
    <t>Default Category/General Store Supplies/Carts/Sloping Shelf Mobile Cart</t>
  </si>
  <si>
    <t>Default Category/General Store Supplies/Carts/Mobile Storage Drawer Caddy</t>
  </si>
  <si>
    <t>Default Category/General Store Supplies/Cash Register Paper</t>
  </si>
  <si>
    <t>Default Category/General Store Supplies/Cash Register Paper/Cash Register Paper</t>
  </si>
  <si>
    <t>Default Category/General Store Supplies/Cash Register Paper/Adding Machine Paper</t>
  </si>
  <si>
    <t>Default Category/General Store Supplies/Giftwrap; Ribbon; Tissue Racks</t>
  </si>
  <si>
    <t>Default Category/General Store Supplies/Giftwrap; Ribbon; Tissue Racks/Multi Roll Paper &amp; GiftWrap Cutters</t>
  </si>
  <si>
    <t>Default Category/General Store Supplies/Giftwrap; Ribbon; Tissue Racks/Serrated Edge Single Paper Cutter</t>
  </si>
  <si>
    <t>Default Category/General Store Supplies/Giftwrap; Ribbon; Tissue Racks/Single Roll Paper Cutters</t>
  </si>
  <si>
    <t>Default Category/General Store Supplies/Giftwrap; Ribbon; Tissue Racks/Tissue Display Racks</t>
  </si>
  <si>
    <t>Default Category/General Store Supplies/Giftwrap; Ribbon; Tissue Racks/Ribbon Dispenser for Flat Ribbon</t>
  </si>
  <si>
    <t>Default Category/General Store Supplies/Giftwrap; Ribbon; Tissue Racks/Ribbon Dispenser for Curling Ribbon</t>
  </si>
  <si>
    <t>Default Category/General Store Supplies/Impulse Sealers &amp; Shrink Wrap</t>
  </si>
  <si>
    <t>Default Category/General Store Supplies/Impulse Sealers &amp; Shrink Wrap/Shrink Wrap Film and Bags</t>
  </si>
  <si>
    <t>Default Category/General Store Supplies/Impulse Sealers &amp; Shrink Wrap/Impulse Sealer Replacement Kit</t>
  </si>
  <si>
    <t>Default Category/General Store Supplies/Impulse Sealers &amp; Shrink Wrap/Shrink Wrap Systems</t>
  </si>
  <si>
    <t>Default Category/General Store Supplies/Impulse Sealers &amp; Shrink Wrap/Shrink Wrap Heat Gun</t>
  </si>
  <si>
    <t>Default Category/General Store Supplies/Impulse Sealers &amp; Shrink Wrap/6" Hand Crimper and or Sealer</t>
  </si>
  <si>
    <t>Default Category/General Store Supplies/Impulse Sealers &amp; Shrink Wrap/Shrink Wrap Replacement Kit</t>
  </si>
  <si>
    <t>Default Category/General Store Supplies/Lights</t>
  </si>
  <si>
    <t>Default Category/General Store Supplies/Lights/Showcase Light Kits and Locks</t>
  </si>
  <si>
    <t>Default Category/General Store Supplies/Lights/Flexible LED Light Strip</t>
  </si>
  <si>
    <t>Default Category/General Store Supplies/Merchandising Aids</t>
  </si>
  <si>
    <t>Default Category/General Store Supplies/Merchandising Aids/Merchandise Strips</t>
  </si>
  <si>
    <t>Default Category/General Store Supplies/Merchandising Aids/Front Runners</t>
  </si>
  <si>
    <t>Default Category/General Store Supplies/Merchandising Aids/Adhesive Hang Tags</t>
  </si>
  <si>
    <t>Default Category/General Store Supplies/Merchandising Aids/Adhesive Label Release</t>
  </si>
  <si>
    <t>Default Category/General Store Supplies/Merchandising Aids/Price Channel Molding</t>
  </si>
  <si>
    <t>Default Category/General Store Supplies/Merchandising Aids/Junior Flip Up Ostrich Feather Duster Retractable</t>
  </si>
  <si>
    <t>Default Category/General Store Supplies/Merchandising Aids/Label &amp; Sign Holders</t>
  </si>
  <si>
    <t>Default Category/General Store Supplies/Merchandising Aids/Chain Kits</t>
  </si>
  <si>
    <t>Default Category/General Store Supplies/Merchandising Aids/SKU Divider Strips</t>
  </si>
  <si>
    <t>Default Category/General Store Supplies/Merchandising Aids/Ceiling Clip Installation Poles</t>
  </si>
  <si>
    <t>Default Category/General Store Supplies/Merchandising Aids/Clear Bumper Buttons</t>
  </si>
  <si>
    <t>Default Category/Slatwall; Gridwall; Wall Display</t>
  </si>
  <si>
    <t>Default Category/Slatwall; Gridwall; Wall Display/Gridwall; Slatgrid</t>
  </si>
  <si>
    <t>Default Category/Slatwall; Gridwall; Wall Display/Gridwall; Slatgrid/Acrylic for Gridwall</t>
  </si>
  <si>
    <t>Default Category/Slatwall; Gridwall; Wall Display/Gridwall; Slatgrid/Acrylic for Gridwall/Gridwall Acrylic Sign Holders</t>
  </si>
  <si>
    <t>Default Category/Slatwall; Gridwall; Wall Display/Gridwall; Slatgrid/Acrylic for Gridwall/Gridwall Acrylic Hosiery Bin</t>
  </si>
  <si>
    <t>Default Category/Slatwall; Gridwall; Wall Display/Gridwall; Slatgrid/Acrylic for Gridwall/Acrylic Compact Disc Display for Slatwall; Gridwall; Pegboard; or Wallmount</t>
  </si>
  <si>
    <t>Default Category/Slatwall; Gridwall; Wall Display/Gridwall; Slatgrid/Acrylic for Gridwall/Acrylic Brochure Holders for Slatwall; Gridwall or Wallmount for 1;2;3 Pocket</t>
  </si>
  <si>
    <t>Default Category/Slatwall; Gridwall; Wall Display/Gridwall; Slatgrid/Acrylic for Gridwall/Acrylic Shelves for Slatwall; Gridwall or Pegboard; Deluxe 1 4"</t>
  </si>
  <si>
    <t>Default Category/Slatwall; Gridwall; Wall Display/Gridwall; Slatgrid/Acrylic for Gridwall/Acrylic Display Trays for Slatwall or Gridwall</t>
  </si>
  <si>
    <t>Default Category/Slatwall; Gridwall; Wall Display/Gridwall; Slatgrid/Acrylic for Gridwall/Acrylic J Rack Divider; Molded</t>
  </si>
  <si>
    <t>Default Category/Slatwall; Gridwall; Wall Display/Gridwall; Slatgrid/Acrylic for Gridwall/Gridwall Acrylic Sloping Bins</t>
  </si>
  <si>
    <t>Default Category/Slatwall; Gridwall; Wall Display/Gridwall; Slatgrid/Gridwall &amp; Slatgrid Panels</t>
  </si>
  <si>
    <t>Default Category/Slatwall; Gridwall; Wall Display/Gridwall; Slatgrid/Gridwall &amp; Slatgrid Panels/Slatgrid Panels</t>
  </si>
  <si>
    <t>Default Category/Slatwall; Gridwall; Wall Display/Gridwall; Slatgrid/Gridwall &amp; Slatgrid Panels/Gridwall Panels</t>
  </si>
  <si>
    <t>Default Category/Slatwall; Gridwall; Wall Display/Gridwall; Slatgrid/Gridwall Connectors</t>
  </si>
  <si>
    <t>Default Category/Slatwall; Gridwall; Wall Display/Gridwall; Slatgrid/Gridwall Connectors/Joining Clips</t>
  </si>
  <si>
    <t>Default Category/Slatwall; Gridwall; Wall Display/Gridwall; Slatgrid/Gridwall Connectors/Wall to Grid Bracket</t>
  </si>
  <si>
    <t>Default Category/Slatwall; Gridwall; Wall Display/Gridwall; Slatgrid/Gridwall Connectors/Universal Standard to Grid Bracket</t>
  </si>
  <si>
    <t>Default Category/Slatwall; Gridwall; Wall Display/Gridwall; Slatgrid/Gridwall Connectors/Slatwall to Grid Bracket</t>
  </si>
  <si>
    <t>Default Category/Slatwall; Gridwall; Wall Display/Gridwall; Slatgrid/Gridwall Connectors/Cable Ties</t>
  </si>
  <si>
    <t>Default Category/Slatwall; Gridwall; Wall Display/Gridwall; Slatgrid/Gridwall Display Bases</t>
  </si>
  <si>
    <t>Default Category/Slatwall; Gridwall; Wall Display/Gridwall; Slatgrid/Gridwall Display Bases/Gridwall Gondola Base</t>
  </si>
  <si>
    <t>Default Category/Slatwall; Gridwall; Wall Display/Gridwall; Slatgrid/Gridwall Display Bases/Star Base</t>
  </si>
  <si>
    <t>Default Category/Slatwall; Gridwall; Wall Display/Gridwall; Slatgrid/Gridwall Display Bases/Gridwall Display Legs</t>
  </si>
  <si>
    <t>Default Category/Slatwall; Gridwall; Wall Display/Gridwall; Slatgrid/Gridwall Display Bases/Triangle Base</t>
  </si>
  <si>
    <t>Default Category/Slatwall; Gridwall; Wall Display/Gridwall; Slatgrid/Gridwall Metal Attachments</t>
  </si>
  <si>
    <t>Default Category/Slatwall; Gridwall; Wall Display/Gridwall; Slatgrid/Gridwall Metal Attachments/Gridwall Flat Wire Shelf</t>
  </si>
  <si>
    <t>Default Category/Slatwall; Gridwall; Wall Display/Gridwall; Slatgrid/Gridwall Metal Attachments/Shelf Rest with Rubber Buttons for Glass Shelves</t>
  </si>
  <si>
    <t>Default Category/Slatwall; Gridwall; Wall Display/Gridwall; Slatgrid/Gridwall Metal Attachments/Gridwall Heavy Duty Hook 1 4" Diameter 90o tip</t>
  </si>
  <si>
    <t>Default Category/Slatwall; Gridwall; Wall Display/Gridwall; Slatgrid/Gridwall Metal Attachments/Gridwall Heavy Duty Hook 1 4" Diameter 45o tip</t>
  </si>
  <si>
    <t>Default Category/Slatwall; Gridwall; Wall Display/Gridwall; Slatgrid/Gridwall Metal Attachments/Gridwall Hook  Regular Duty</t>
  </si>
  <si>
    <t>Default Category/Slatwall; Gridwall; Wall Display/Gridwall; Slatgrid/Gridwall Metal Attachments/Gridwall Straight Faceout</t>
  </si>
  <si>
    <t>Default Category/Slatwall; Gridwall; Wall Display/Gridwall; Slatgrid/Gridwall Metal Attachments/Gridwall Waterfall with Ball Stops</t>
  </si>
  <si>
    <t>Default Category/Slatwall; Gridwall; Wall Display/Gridwall; Slatgrid/Gridwall Metal Attachments/Gridwall Waterfall with Hooks</t>
  </si>
  <si>
    <t>Default Category/Slatwall; Gridwall; Wall Display/Gridwall; Slatgrid/Gridwall Metal Attachments/Gridwall U Shaped Hangrod Bracket</t>
  </si>
  <si>
    <t>Default Category/Slatwall; Gridwall; Wall Display/Gridwall; Slatgrid/Gridwall Metal Attachments/Gridwall Hangrod Quarter Circle Bracket</t>
  </si>
  <si>
    <t>Default Category/Slatwall; Gridwall; Wall Display/Gridwall; Slatgrid/Gridwall Metal Attachments/Gridwall Bracket for Hangrod Straight</t>
  </si>
  <si>
    <t>Default Category/Slatwall; Gridwall; Wall Display/Gridwall; Slatgrid/Gridwall Metal Attachments/Gridwall Picture Hanger</t>
  </si>
  <si>
    <t>Default Category/Slatwall; Gridwall; Wall Display/Gridwall; Slatgrid/Gridwall Metal Attachments/Slant Shelf with Lip</t>
  </si>
  <si>
    <t>Default Category/Slatwall; Gridwall; Wall Display/Gridwall; Slatgrid/Gridwall Metal Attachments/Multi Wire Baskets for Slatwall; Gridwall; Pegboard</t>
  </si>
  <si>
    <t>Default Category/Slatwall; Gridwall; Wall Display/Gridwall; Slatgrid/Gridwall Metal Attachments/Triangle Shelf</t>
  </si>
  <si>
    <t>Default Category/Slatwall; Gridwall; Wall Display/Gridwall; Slatgrid/Gridwall Metal Attachments/Flat Shelf with Lip</t>
  </si>
  <si>
    <t>Default Category/Slatwall; Gridwall; Wall Display/Gridwall; Slatgrid/Gridwall Metal Attachments/Gridwall Wire Easel</t>
  </si>
  <si>
    <t>Default Category/Slatwall; Gridwall; Wall Display/Gridwall; Slatgrid/Gridwall Metal Attachments/Gridwall Standard Brackets</t>
  </si>
  <si>
    <t>Default Category/Slatwall; Gridwall; Wall Display/Gridwall; Slatgrid/Gridwall Metal Attachments/Gridwall Bracket for Merchandising Bar</t>
  </si>
  <si>
    <t>Default Category/Slatwall; Gridwall; Wall Display/Gridwall; Slatgrid/Gridwall Metal Attachments/Gridwall Bracket for Hangrod</t>
  </si>
  <si>
    <t>Default Category/Slatwall; Gridwall; Wall Display/Gridwall; Slatgrid/Gridwall Metal Attachments/Black Gridwall Hooks</t>
  </si>
  <si>
    <t>Default Category/Slatwall; Gridwall; Wall Display/Wallmount Brackets</t>
  </si>
  <si>
    <t>Default Category/Slatwall; Gridwall; Wall Display/Wallmount Brackets/Chrome Wallmount Hooks</t>
  </si>
  <si>
    <t>Default Category/Slatwall; Gridwall; Wall Display/Wallmount Brackets/Contemporary Design Wallmount Fixtures</t>
  </si>
  <si>
    <t>Default Category/Slatwall; Gridwall; Wall Display/Slotted Wall Standards &amp; Accessories</t>
  </si>
  <si>
    <t>Default Category/Slatwall; Gridwall; Wall Display/Slotted Wall Standards &amp; Accessories/Quantum Extra HD Brackets</t>
  </si>
  <si>
    <t>Default Category/Slatwall; Gridwall; Wall Display/Slotted Wall Standards &amp; Accessories/Quantum Extra HD Brackets/Quantum Standard Brackets</t>
  </si>
  <si>
    <t>Default Category/Slatwall; Gridwall; Wall Display/Slotted Wall Standards &amp; Accessories/Quantum Extra HD Brackets/Quantum Standard Brackets with Pin</t>
  </si>
  <si>
    <t>Default Category/Slatwall; Gridwall; Wall Display/Slotted Wall Standards &amp; Accessories/Quantum Extra HD Brackets/Quantum Heavy Duty Brackets</t>
  </si>
  <si>
    <t>Default Category/Slatwall; Gridwall; Wall Display/Slotted Wall Standards &amp; Accessories/Quantum Extra HD Brackets/Quantum Adjustable Brackets</t>
  </si>
  <si>
    <t>Default Category/Slatwall; Gridwall; Wall Display/Slotted Wall Standards &amp; Accessories/Quantum Extra HD Brackets/Quantum Flange Brackets; Chrome</t>
  </si>
  <si>
    <t>Default Category/Slatwall; Gridwall; Wall Display/Slotted Wall Standards &amp; Accessories/Quantum Extra HD Brackets/Quantum Straight Faceouts</t>
  </si>
  <si>
    <t>Default Category/Slatwall; Gridwall; Wall Display/Slotted Wall Standards &amp; Accessories/Quantum Extra HD Brackets/Quantum Waterfall with Ball Stops</t>
  </si>
  <si>
    <t>Default Category/Slatwall; Gridwall; Wall Display/Slotted Wall Standards &amp; Accessories/Quantum Extra HD Brackets/Quantum Bracket for Merchandising Bar</t>
  </si>
  <si>
    <t>Default Category/Slatwall; Gridwall; Wall Display/Slotted Wall Standards &amp; Accessories/Quantum Extra HD Brackets/Quantum Heavy Duty Brackets with Lock Nut</t>
  </si>
  <si>
    <t>Default Category/Slatwall; Gridwall; Wall Display/Slotted Wall Standards &amp; Accessories/Quantum Extra HD Brackets/Quantum Waterfall with Hooks</t>
  </si>
  <si>
    <t>Default Category/Slatwall; Gridwall; Wall Display/Slotted Wall Standards &amp; Accessories/Quantum Extra HD Brackets/Quantum Bracket Adjustable Facia 30" to 40"</t>
  </si>
  <si>
    <t>Default Category/Slatwall; Gridwall; Wall Display/Slotted Wall Standards &amp; Accessories/Quantum Extra HD Brackets/Quantum Flange Brackets; Zinc</t>
  </si>
  <si>
    <t>Default Category/Slatwall; Gridwall; Wall Display/Slotted Wall Standards &amp; Accessories/Quantum Extra HD Wall Standards</t>
  </si>
  <si>
    <t>Default Category/Slatwall; Gridwall; Wall Display/Slotted Wall Standards &amp; Accessories/Quantum Extra HD Wall Standards/Quantum Single Slotted Standards</t>
  </si>
  <si>
    <t>Default Category/Slatwall; Gridwall; Wall Display/Slotted Wall Standards &amp; Accessories/Quantum Extra HD Wall Standards/Quantum "T" Concealed Standards</t>
  </si>
  <si>
    <t>Default Category/Slatwall; Gridwall; Wall Display/Slotted Wall Standards &amp; Accessories/Universal HD Brackets</t>
  </si>
  <si>
    <t>Default Category/Slatwall; Gridwall; Wall Display/Slotted Wall Standards &amp; Accessories/Universal HD Brackets/Universal Brackets</t>
  </si>
  <si>
    <t>Default Category/Slatwall; Gridwall; Wall Display/Slotted Wall Standards &amp; Accessories/Universal HD Brackets/Universal Flange Brackets</t>
  </si>
  <si>
    <t>Default Category/Slatwall; Gridwall; Wall Display/Slotted Wall Standards &amp; Accessories/Universal HD Brackets/Universal Adjustable Flange Brackets</t>
  </si>
  <si>
    <t>Default Category/Slatwall; Gridwall; Wall Display/Slotted Wall Standards &amp; Accessories/Universal HD Brackets/Universal Straight Faceout with Metal Lock Nut</t>
  </si>
  <si>
    <t>Default Category/Slatwall; Gridwall; Wall Display/Slotted Wall Standards &amp; Accessories/Universal HD Brackets/Waterfall Ball with Metal Lock Nut</t>
  </si>
  <si>
    <t>Default Category/Slatwall; Gridwall; Wall Display/Slotted Wall Standards &amp; Accessories/Universal HD Brackets/Waterfall Hook with Metal Lock Nut</t>
  </si>
  <si>
    <t>Default Category/Slatwall; Gridwall; Wall Display/Slotted Wall Standards &amp; Accessories/Universal HD Brackets/Universal Brackets for Merchandise Bar with Lock Nuts</t>
  </si>
  <si>
    <t>Default Category/Slatwall; Gridwall; Wall Display/Slotted Wall Standards &amp; Accessories/Universal HD Brackets/Universal Hangrod End Mount Bracket</t>
  </si>
  <si>
    <t>Default Category/Slatwall; Gridwall; Wall Display/Slotted Wall Standards &amp; Accessories/Universal HD Brackets/Universal Hangrod Brackets with Spring Clamp</t>
  </si>
  <si>
    <t>Default Category/Slatwall; Gridwall; Wall Display/Slotted Wall Standards &amp; Accessories/Universal HD Brackets/Universal Brackets with Plastic Thumb Lock</t>
  </si>
  <si>
    <t>Default Category/Slatwall; Gridwall; Wall Display/Slotted Wall Standards &amp; Accessories/Universal HD Brackets/Universal Brackets w Upturn at Standard</t>
  </si>
  <si>
    <t>Default Category/Slatwall; Gridwall; Wall Display/Slotted Wall Standards &amp; Accessories/Universal HD Brackets/Universal Adjustable Brackets</t>
  </si>
  <si>
    <t>Default Category/Slatwall; Gridwall; Wall Display/Slotted Wall Standards &amp; Accessories/Universal HD Brackets/Universal Heavy Duty Bracket</t>
  </si>
  <si>
    <t>Default Category/Slatwall; Gridwall; Wall Display/Slotted Wall Standards &amp; Accessories/Universal HD Brackets/Replacement Rubber Buttons</t>
  </si>
  <si>
    <t>Default Category/Slatwall; Gridwall; Wall Display/Slotted Wall Standards &amp; Accessories/Universal HD Wall Standards</t>
  </si>
  <si>
    <t>Default Category/Slatwall; Gridwall; Wall Display/Slotted Wall Standards &amp; Accessories/Universal HD Wall Standards/Universal Single Slotted Standards</t>
  </si>
  <si>
    <t>Default Category/Slatwall; Gridwall; Wall Display/Slotted Wall Standards &amp; Accessories/Universal HD Wall Standards/Showcase Mounting Brackets for Universal Standards</t>
  </si>
  <si>
    <t>Default Category/Slatwall; Gridwall; Wall Display/Slotted Wall Standards &amp; Accessories/Universal HD Wall Standards/Universal "T" Concealed Standard</t>
  </si>
  <si>
    <t>Default Category/Slatwall; Gridwall; Wall Display/Slotted Wall Standards &amp; Accessories/Universal HD Wall Standards/Universal Double Slotted Standards</t>
  </si>
  <si>
    <t>Default Category/Slatwall; Gridwall; Wall Display/Slotted Wall Standards &amp; Accessories/Universal HD Wall Standards/Universal Slimline Single Slotted Standards</t>
  </si>
  <si>
    <t>Default Category/Slatwall; Gridwall; Wall Display/Slotted Wall Standards &amp; Accessories/Aristocrat Extra HD Brackets</t>
  </si>
  <si>
    <t>Default Category/Slatwall; Gridwall; Wall Display/Slotted Wall Standards &amp; Accessories/Aristocrat Extra HD Brackets/Aristocrat Heavy Duty Bracket</t>
  </si>
  <si>
    <t>Default Category/Slatwall; Gridwall; Wall Display/Slotted Wall Standards &amp; Accessories/Aristocrat Extra HD Brackets/Aristocrat Bracket with Upturn Standard</t>
  </si>
  <si>
    <t>Default Category/Slatwall; Gridwall; Wall Display/Slotted Wall Standards &amp; Accessories/Aristocrat Extra HD Brackets/Aristocrat Standard Bracket</t>
  </si>
  <si>
    <t>Default Category/Slatwall; Gridwall; Wall Display/Slotted Wall Standards &amp; Accessories/Aristocrat Extra HD Brackets/Shelf Rest with Rubber Buttons</t>
  </si>
  <si>
    <t>Default Category/Slatwall; Gridwall; Wall Display/Slotted Wall Standards &amp; Accessories/Aristocrat Extra HD Brackets/Adjustable Bracket</t>
  </si>
  <si>
    <t>Default Category/Slatwall; Gridwall; Wall Display/Slotted Wall Standards &amp; Accessories/Aristocrat Extra HD Brackets/Aristocrat Facia Bracket</t>
  </si>
  <si>
    <t>Default Category/Slatwall; Gridwall; Wall Display/Slotted Wall Standards &amp; Accessories/Aristocrat Extra HD Brackets/Aristocrat Straight Faceout</t>
  </si>
  <si>
    <t>Default Category/Slatwall; Gridwall; Wall Display/Slotted Wall Standards &amp; Accessories/Aristocrat Extra HD Brackets/Aristocrat Waterfall</t>
  </si>
  <si>
    <t>Default Category/Slatwall; Gridwall; Wall Display/Slotted Wall Standards &amp; Accessories/Aristocrat Extra HD Brackets/Aristocrat Heavy Duty Brackets Upturn at Standard</t>
  </si>
  <si>
    <t>Default Category/Slatwall; Gridwall; Wall Display/Slotted Wall Standards &amp; Accessories/Aristocrat Extra HD Brackets/Aristocrat Merchandising Bar Brackets</t>
  </si>
  <si>
    <t>Default Category/Slatwall; Gridwall; Wall Display/Slotted Wall Standards &amp; Accessories/Aristocrat Extra HD Standards</t>
  </si>
  <si>
    <t>Default Category/Slatwall; Gridwall; Wall Display/Slotted Wall Standards &amp; Accessories/Aristocrat Extra HD Standards/Mounting Screws for Mounting Standards</t>
  </si>
  <si>
    <t>Default Category/Slatwall; Gridwall; Wall Display/Slotted Wall Standards &amp; Accessories/Aristocrat Extra HD Standards/Aristocrat Extra Heavy T-Concealed Standard</t>
  </si>
  <si>
    <t>Default Category/Slatwall; Gridwall; Wall Display/Slotted Wall Standards &amp; Accessories/Aristocrat Extra HD Standards/Aristocrat Extra Heavy Duty Standards</t>
  </si>
  <si>
    <t>Default Category/Slatwall; Gridwall; Wall Display/Slotted Wall Standards &amp; Accessories/Aristocrat Extra HD Standards/Aristocrat Extra Heavy Duty Concealed Standards</t>
  </si>
  <si>
    <t>Default Category/Slatwall; Gridwall; Wall Display/PegBoard Hooks &amp; Baskets</t>
  </si>
  <si>
    <t>Default Category/Slatwall; Gridwall; Wall Display/PegBoard Hooks &amp; Baskets/Scanner Hooks</t>
  </si>
  <si>
    <t>Default Category/Slatwall; Gridwall; Wall Display/PegBoard Hooks &amp; Baskets/Scanner Hooks/1 and 2 Piece Scanner Hooks</t>
  </si>
  <si>
    <t>Default Category/Slatwall; Gridwall; Wall Display/PegBoard Hooks &amp; Baskets/Scanner Hooks/Scanner Hook Label Holders</t>
  </si>
  <si>
    <t>Default Category/Slatwall; Gridwall; Wall Display/PegBoard Hooks &amp; Baskets/Baskets; Brackets;Double Hooks</t>
  </si>
  <si>
    <t>Default Category/Slatwall; Gridwall; Wall Display/PegBoard Hooks &amp; Baskets/Baskets; Brackets;Double Hooks/Hooks for Pegboard</t>
  </si>
  <si>
    <t>Default Category/Slatwall; Gridwall; Wall Display/PegBoard Hooks &amp; Baskets/Baskets; Brackets;Double Hooks/Molded Inventory Control Clip</t>
  </si>
  <si>
    <t>Default Category/Slatwall; Gridwall; Wall Display/PegBoard Hooks &amp; Baskets/Baskets; Brackets;Double Hooks/Loop Hooks Standard Duty</t>
  </si>
  <si>
    <t>Default Category/Slatwall; Gridwall; Wall Display/PegBoard Hooks &amp; Baskets/Baskets; Brackets;Double Hooks/Multi Wire Basket; White</t>
  </si>
  <si>
    <t>Default Category/Slatwall; Gridwall; Wall Display/PegBoard Hooks &amp; Baskets/Baskets; Brackets;Double Hooks/Pegboard Waterfall Bracket</t>
  </si>
  <si>
    <t>Default Category/Slatwall; Gridwall; Wall Display/PegBoard Hooks &amp; Baskets/Baskets; Brackets;Double Hooks/Knife Edge Brackets</t>
  </si>
  <si>
    <t>Default Category/Slatwall; Gridwall; Wall Display/PegBoard Hooks &amp; Baskets/Galvanized Ball Tip PegHooks</t>
  </si>
  <si>
    <t>Default Category/Slatwall; Gridwall; Wall Display/PegBoard Hooks &amp; Baskets/Galvanized Ball Tip PegHooks/Galvanized Ball Tip Standard Duty Peg Hook</t>
  </si>
  <si>
    <t>Default Category/Slatwall; Gridwall; Wall Display/PegBoard Hooks &amp; Baskets/Galvanized Ball Tip PegHooks/Galvanized Ball Tip Medium Duty Peg Hook</t>
  </si>
  <si>
    <t>Default Category/Slatwall; Gridwall; Wall Display/PegBoard Hooks &amp; Baskets/Galvanized Ball Tip PegHooks/Galvanized Ball Tip Heavy Duty Peg Hook</t>
  </si>
  <si>
    <t>Default Category/Slatwall; Gridwall; Wall Display/CalHOOK</t>
  </si>
  <si>
    <t>Default Category/Slatwall; Gridwall; Wall Display/CalHOOK/BookHANGERS &amp; Sample Rings</t>
  </si>
  <si>
    <t>Default Category/Slatwall; Gridwall; Wall Display/CalHOOK/BookHANGERS &amp; Sample Rings/Sample Display Rings</t>
  </si>
  <si>
    <t>Default Category/Slatwall; Gridwall; Wall Display/CalHOOK/BookHANGERS &amp; Sample Rings/Book Hangers</t>
  </si>
  <si>
    <t>Default Category/Slatwall; Gridwall; Wall Display/CalHOOK/CalHANGERS</t>
  </si>
  <si>
    <t>Default Category/Slatwall; Gridwall; Wall Display/CalHOOK/CalHANGERS/Molded Plastic Clip on Hangers</t>
  </si>
  <si>
    <t>Default Category/Slatwall; Gridwall; Wall Display/CalHOOK/CalHANGERS/CalClips</t>
  </si>
  <si>
    <t>Default Category/Slatwall; Gridwall; Wall Display/CalHOOK/CalHOOK Brackets</t>
  </si>
  <si>
    <t>Default Category/Slatwall; Gridwall; Wall Display/CalHOOK/CalHOOK Brackets/CalHook Brackets</t>
  </si>
  <si>
    <t>Default Category/Slatwall; Gridwall; Wall Display/CalHOOK/CalTRACK &amp; SlatTRACK</t>
  </si>
  <si>
    <t>Default Category/Slatwall; Gridwall; Wall Display/CalHOOK/CalTRACK &amp; SlatTRACK/Caltrack</t>
  </si>
  <si>
    <t>Default Category/Slatwall; Gridwall; Wall Display/CalHOOK/CalTRACK &amp; SlatTRACK/SlatTRACK</t>
  </si>
  <si>
    <t>Default Category/Slatwall; Gridwall; Wall Display/Slatwall</t>
  </si>
  <si>
    <t>Default Category/Slatwall; Gridwall; Wall Display/Slatwall/Acrylic for Slatwall</t>
  </si>
  <si>
    <t>Default Category/Slatwall; Gridwall; Wall Display/Slatwall/Acrylic for Slatwall/Acrylic Literature Holder for Wallmount Double Pocket</t>
  </si>
  <si>
    <t>Default Category/Slatwall; Gridwall; Wall Display/Slatwall/Acrylic for Slatwall/Acrylic Apparel Hangers for Slatwall or Slatgrid</t>
  </si>
  <si>
    <t>Default Category/Slatwall; Gridwall; Wall Display/Slatwall/Acrylic for Slatwall/Acrylic Literature Holder for Counter; Slatwall; Gridwall Economy</t>
  </si>
  <si>
    <t>Default Category/Slatwall; Gridwall; Wall Display/Slatwall/Acrylic for Slatwall/Acrylic Book Displayer for Slatwall</t>
  </si>
  <si>
    <t>Default Category/Slatwall; Gridwall; Wall Display/Slatwall/Acrylic for Slatwall/Acrylic Easel with 50o Tilt for Slatwall</t>
  </si>
  <si>
    <t>Default Category/Slatwall; Gridwall; Wall Display/Slatwall/Acrylic for Slatwall/Acrylic Single Watch Display for Slatwall or Slatgrid</t>
  </si>
  <si>
    <t>Default Category/Slatwall; Gridwall; Wall Display/Slatwall/Acrylic for Slatwall/Acrylic Eyeglass Holder for Slatwall or Slatgrid</t>
  </si>
  <si>
    <t>Default Category/Slatwall; Gridwall; Wall Display/Slatwall/Acrylic for Slatwall/Economy 1 8" Acrylic Shelves for Slatwall or Slatgrid</t>
  </si>
  <si>
    <t>Default Category/Slatwall; Gridwall; Wall Display/Slatwall/Acrylic for Slatwall/Acrylic Flat Braced Shelves for Slatwall; Slatgrid</t>
  </si>
  <si>
    <t>Default Category/Slatwall; Gridwall; Wall Display/Slatwall/Acrylic for Slatwall/Acrylic Shelves for Slatwall 3 16" thick</t>
  </si>
  <si>
    <t>Default Category/Slatwall; Gridwall; Wall Display/Slatwall/Acrylic for Slatwall/Acrylic Slatwall Maxi Length Shelves</t>
  </si>
  <si>
    <t>Default Category/Slatwall; Gridwall; Wall Display/Slatwall/Acrylic for Slatwall/Acrylic Shelves for Slatwall; Slatgrid with sides</t>
  </si>
  <si>
    <t>Default Category/Slatwall; Gridwall; Wall Display/Slatwall/Acrylic for Slatwall/Molded Slatwall Acrylic Shelves</t>
  </si>
  <si>
    <t>Default Category/Slatwall; Gridwall; Wall Display/Slatwall/Acrylic for Slatwall/Acrylic Slatwall Flat Braced Shelves with Front Lip</t>
  </si>
  <si>
    <t>Default Category/Slatwall; Gridwall; Wall Display/Slatwall/Acrylic for Slatwall/Acrylic Display Holders for Packaged Items for Slatwall Open Sided</t>
  </si>
  <si>
    <t>Default Category/Slatwall; Gridwall; Wall Display/Slatwall/Acrylic for Slatwall/Acrylic Shelves for Slatwall with Lip; Slanted; or Braced Slanted</t>
  </si>
  <si>
    <t>Default Category/Slatwall; Gridwall; Wall Display/Slatwall/Acrylic for Slatwall/Acrylic J Rack 20o Tilt Back for Slatwall or Gridwall</t>
  </si>
  <si>
    <t>Default Category/Slatwall; Gridwall; Wall Display/Slatwall/Acrylic for Slatwall/Acrylic J Racks Large for Slatwall</t>
  </si>
  <si>
    <t>Default Category/Slatwall; Gridwall; Wall Display/Slatwall/Acrylic for Slatwall/Acrylic Hook for Slatwall or Slatgrid</t>
  </si>
  <si>
    <t>Default Category/Slatwall; Gridwall; Wall Display/Slatwall/Acrylic for Slatwall/Acrylic Faceout Hook for Slatwall or Slatgrid</t>
  </si>
  <si>
    <t>Default Category/Slatwall; Gridwall; Wall Display/Slatwall/Acrylic for Slatwall/Acrylic Molded Hooks for Slatwall</t>
  </si>
  <si>
    <t>Default Category/Slatwall; Gridwall; Wall Display/Slatwall/Acrylic for Slatwall/Acrylic Small Bar for Slatwall</t>
  </si>
  <si>
    <t>Default Category/Slatwall; Gridwall; Wall Display/Slatwall/Acrylic for Slatwall/Acrylic Polycarbonate Brackets for Slatwall or Slatgrid</t>
  </si>
  <si>
    <t>Default Category/Slatwall; Gridwall; Wall Display/Slatwall/Acrylic for Slatwall/Acrylic J Rack Economy with 10o Tilt for Slatwall</t>
  </si>
  <si>
    <t>Default Category/Slatwall; Gridwall; Wall Display/Slatwall/Acrylic for Slatwall/Acrylic Tray for Packaged Items for Slatwall or Slatgrid</t>
  </si>
  <si>
    <t>Default Category/Slatwall; Gridwall; Wall Display/Slatwall/Acrylic for Slatwall/Acrylic Molded Economy Shelves for Slatwall</t>
  </si>
  <si>
    <t>Default Category/Slatwall; Gridwall; Wall Display/Slatwall/Acrylic for Slatwall/Acrylic 45o Slanted Shelf for Slatwall or Slatgrid</t>
  </si>
  <si>
    <t>Default Category/Slatwall; Gridwall; Wall Display/Slatwall/Acrylic for Slatwall/Acrylic J Racks Shelves for Slatwall</t>
  </si>
  <si>
    <t>Default Category/Slatwall; Gridwall; Wall Display/Slatwall/Acrylic for Slatwall/Acrylic J Racks for Slatwall Economy</t>
  </si>
  <si>
    <t>Default Category/Slatwall; Gridwall; Wall Display/Slatwall/Acrylic for Slatwall/Acrylic Business Card Holders for Slatwall or Slatgrid</t>
  </si>
  <si>
    <t>Default Category/Slatwall; Gridwall; Wall Display/Slatwall/Acrylic for Slatwall/Acrylic Shelves for Slatwall Deluxe Slanted 1" Lip</t>
  </si>
  <si>
    <t>Default Category/Slatwall; Gridwall; Wall Display/Slatwall/Acrylic for Slatwall/Acrylic Mirrors for Slatwall</t>
  </si>
  <si>
    <t>Default Category/Slatwall; Gridwall; Wall Display/Slatwall/Acrylic for Slatwall/Slatwall or Slatgrid Acrylic Sign Holders</t>
  </si>
  <si>
    <t>Default Category/Slatwall; Gridwall; Wall Display/Slatwall/Slatbox Displays</t>
  </si>
  <si>
    <t>Default Category/Slatwall; Gridwall; Wall Display/Slatwall/Slatbox Displays/Storbox Standard Display</t>
  </si>
  <si>
    <t>Default Category/Slatwall; Gridwall; Wall Display/Slatwall/Slatbox Displays/Storbox Wide Display</t>
  </si>
  <si>
    <t>Default Category/Slatwall; Gridwall; Wall Display/Slatwall/Slatbox Displays/Storbox Cube Display</t>
  </si>
  <si>
    <t>Default Category/Slatwall; Gridwall; Wall Display/Slatwall/Slatbox Displays/Storbox Large Display</t>
  </si>
  <si>
    <t>Default Category/Slatwall; Gridwall; Wall Display/Slatwall/Slatbox Displays/Shelfbox Long 200 Display</t>
  </si>
  <si>
    <t>Default Category/Slatwall; Gridwall; Wall Display/Slatwall/Slatbox Displays/Shelfbox Long 300 Display</t>
  </si>
  <si>
    <t>Default Category/Slatwall; Gridwall; Wall Display/Slatwall/Slatbox Displays/ShelfBox Long 400 Display</t>
  </si>
  <si>
    <t>Default Category/Slatwall; Gridwall; Wall Display/Slatwall/Slatbox Displays/Slatbox Dividers</t>
  </si>
  <si>
    <t>Default Category/Slatwall; Gridwall; Wall Display/Slatwall/Slatbox Displays/Slatbox Adaptors</t>
  </si>
  <si>
    <t>Default Category/Slatwall; Gridwall; Wall Display/Slatwall/Slatbox Displays/Slatbox CrateboxTM</t>
  </si>
  <si>
    <t>Default Category/Slatwall; Gridwall; Wall Display/Slatwall/Slatbox Displays/Slatbox Popbox</t>
  </si>
  <si>
    <t>Default Category/Slatwall; Gridwall; Wall Display/Slatwall/Slatwall Free Standing Displays</t>
  </si>
  <si>
    <t>Default Category/Slatwall; Gridwall; Wall Display/Slatwall/Slatwall Free Standing Displays/Slatwall Spinning Display</t>
  </si>
  <si>
    <t>Default Category/Slatwall; Gridwall; Wall Display/Slatwall/Traditional Slatwall Panels &amp; Inserts</t>
  </si>
  <si>
    <t>Default Category/Slatwall; Gridwall; Wall Display/Slatwall/Traditional Slatwall Panels &amp; Inserts/3D Textured Slatwall Panels</t>
  </si>
  <si>
    <t>Default Category/Slatwall; Gridwall; Wall Display/Slatwall/Traditional Slatwall Panels &amp; Inserts/Slatwall Panels</t>
  </si>
  <si>
    <t>Default Category/Slatwall; Gridwall; Wall Display/Slatwall/Traditional Slatwall Panels &amp; Inserts/Slatwall Panel Inserts</t>
  </si>
  <si>
    <t>Default Category/Slatwall; Gridwall; Wall Display/Slatwall/Slatwall Accessories</t>
  </si>
  <si>
    <t>Default Category/Slatwall; Gridwall; Wall Display/Slatwall/Slatwall Accessories/Standard Brackets for Slatwall or Slatgrid</t>
  </si>
  <si>
    <t>Default Category/Slatwall; Gridwall; Wall Display/Slatwall/Slatwall Accessories/Picture Hanger for Slatwall or Slatgrid</t>
  </si>
  <si>
    <t>Default Category/Slatwall; Gridwall; Wall Display/Slatwall/Slatwall Accessories/Utility Hook for Slatwall or Slatgrid</t>
  </si>
  <si>
    <t>Default Category/Slatwall; Gridwall; Wall Display/Slatwall/Slatwall Accessories/Straight Faceout Bracket for Slatwall or Slatgrid</t>
  </si>
  <si>
    <t>Default Category/Slatwall; Gridwall; Wall Display/Slatwall/Slatwall Accessories/Slatwall or Slatgrid Waterfall Brackets</t>
  </si>
  <si>
    <t>Default Category/Slatwall; Gridwall; Wall Display/Slatwall/Slatwall Accessories/Waterfall Bracket with Hooks for Slatwall or Slatgrid</t>
  </si>
  <si>
    <t>Default Category/Slatwall; Gridwall; Wall Display/Slatwall/Slatwall Accessories/Hangrod Bracket with Spring Clamp for Slatwall</t>
  </si>
  <si>
    <t>Default Category/Slatwall; Gridwall; Wall Display/Slatwall/Slatwall Accessories/Mechandising Bar Brackets for Slatwall or Slatgrid</t>
  </si>
  <si>
    <t>Default Category/Slatwall; Gridwall; Wall Display/Slatwall/Slatwall Accessories/Heavy Duty Hooks with 90 degree Tip for Slatwall or Slatgrid</t>
  </si>
  <si>
    <t>Default Category/Slatwall; Gridwall; Wall Display/Slatwall/Slatwall Accessories/Hooks with 45 Degree Tip for Slatwall or Slatgrid</t>
  </si>
  <si>
    <t>Default Category/Slatwall; Gridwall; Wall Display/Slatwall/Slatwall Accessories/Adjustable Literature Holder for Slatwall or Slatgrid</t>
  </si>
  <si>
    <t>Default Category/Slatwall; Gridwall; Wall Display/Slatwall/Slatwall Accessories/Heavy Duty Brackets for Slatwall or Slatgrid</t>
  </si>
  <si>
    <t>Default Category/Slatwall; Gridwall; Wall Display/Slatwall/Slatwall Accessories/1 Piece Scanning Hooks for Slatwall or Slatgrid</t>
  </si>
  <si>
    <t>Default Category/Slatwall; Gridwall; Wall Display/Slatwall/Slatwall Accessories/Hat Displayer for Slatwall</t>
  </si>
  <si>
    <t>Default Category/Slatwall; Gridwall; Wall Display/Slatwall/Slatwall Accessories/Designer Faceouts and Waterfalls</t>
  </si>
  <si>
    <t>Default Category/Slatwall; Gridwall; Wall Display/Slatwall/3D Textured Slatwall</t>
  </si>
  <si>
    <t>Default Category/Slatwall; Gridwall; Wall Display/Slatwall/3D Textured Slatwall/Heavy Metal Textured Slatwall</t>
  </si>
  <si>
    <t>Default Category/Slatwall; Gridwall; Wall Display/Slatwall/3D Textured Slatwall/Bricks Textured Slatwall</t>
  </si>
  <si>
    <t>Default Category/Slatwall; Gridwall; Wall Display/Slatwall/3D Textured Slatwall/Blocks Textured Slatwall</t>
  </si>
  <si>
    <t>Default Category/Slatwall; Gridwall; Wall Display/Slatwall/3D Textured Slatwall/Barnwood Textured Slatwall</t>
  </si>
  <si>
    <t>Default Category/Slatwall; Gridwall; Wall Display/Slatwall/3D Textured Slatwall/Linear Wave Textured Slatwall</t>
  </si>
  <si>
    <t>Default Category/Slatwall; Gridwall; Wall Display/Slatwall/3D Textured Slatwall/Subway Tile Textured Slatwall</t>
  </si>
  <si>
    <t>Default Category/Slatwall; Gridwall; Wall Display/Slatwall/3D Textured Slatwall/Cement Textured Slatwall</t>
  </si>
  <si>
    <t>Default Category/Slatwall; Gridwall; Wall Display/Slatwall/3D Textured Slatwall/Slate Textured Slatwall</t>
  </si>
  <si>
    <t>Default Category/Slatwall; Gridwall; Wall Display/Slatwall/3D Textured Slatwall/Wood Textured Slatwall</t>
  </si>
  <si>
    <t>Default Category/Slatwall; Gridwall; Wall Display/Slatwall/3D Textured Slatwall/Tire Tread Textured Slatwall</t>
  </si>
  <si>
    <t>Default Category/Slatwall; Gridwall; Wall Display/Slatwall/3D Textured Slatwall/Roadway Textured Slatwall</t>
  </si>
  <si>
    <t>Default Category/Slatwall; Gridwall; Wall Display/Slatwall/3D Textured Slatwall/Weathered Wood Textured Slatwall</t>
  </si>
  <si>
    <t>Default Category/Slatwall; Gridwall; Wall Display/Slatwall/3D Textured Slatwall/Diamond Plate Textured Slatwall</t>
  </si>
  <si>
    <t>Default Category/Slatwall; Gridwall; Wall Display/Slatwall/3D Textured Slatwall/Corrugated Metal Textured Slatwall</t>
  </si>
  <si>
    <t>Default Category/Slatwall; Gridwall; Wall Display/Slatwall/3D Textured Slatwall/Weave Textured Slatwall</t>
  </si>
  <si>
    <t>Default Category/Slatwall; Gridwall; Wall Display/Slatwall/3D Textured Slatwall/Old Paint Textured Slatwall</t>
  </si>
  <si>
    <t>Default Category/Slatwall; Gridwall; Wall Display/Merchandising Bars; Hangrod; Crossbars</t>
  </si>
  <si>
    <t>Default Category/Slatwall; Gridwall; Wall Display/Merchandising Bars; Hangrod; Crossbars/Cross Bars</t>
  </si>
  <si>
    <t>Default Category/Slatwall; Gridwall; Wall Display/Merchandising Bars; Hangrod; Crossbars/Cross Bars/Crossbars</t>
  </si>
  <si>
    <t>Default Category/Slatwall; Gridwall; Wall Display/Merchandising Bars; Hangrod; Crossbars/Cross Bars/Crossbar Accessories</t>
  </si>
  <si>
    <t>Default Category/Slatwall; Gridwall; Wall Display/Merchandising Bars; Hangrod; Crossbars/Hangrod</t>
  </si>
  <si>
    <t>Default Category/Slatwall; Gridwall; Wall Display/Merchandising Bars; Hangrod; Crossbars/Hangrod/Hangrod Accessories</t>
  </si>
  <si>
    <t>Default Category/Slatwall; Gridwall; Wall Display/Merchandising Bars; Hangrod; Crossbars/Hangrod/Hangrod</t>
  </si>
  <si>
    <t>Default Category/Slatwall; Gridwall; Wall Display/Merchandising Bars; Hangrod; Crossbars/Merchandising Bars</t>
  </si>
  <si>
    <t>Default Category/Slatwall; Gridwall; Wall Display/Merchandising Bars; Hangrod; Crossbars/Merchandising Bars/1 2" x 1 1 2" Rectangle Merchandise Bars</t>
  </si>
  <si>
    <t>Default Category/Slatwall; Gridwall; Wall Display/Merchandising Bars; Hangrod; Crossbars/Merchandising Bars/Merchandise Bar Accessories</t>
  </si>
  <si>
    <t>Default Category/Pricing &amp; Tagging</t>
  </si>
  <si>
    <t>Default Category/Pricing &amp; Tagging/Security Loops</t>
  </si>
  <si>
    <t>Default Category/Pricing &amp; Tagging/Security Loops/Secur A Tach</t>
  </si>
  <si>
    <t>Default Category/Pricing &amp; Tagging/Security Loops/TG Tacher Security Loops</t>
  </si>
  <si>
    <t>Default Category/Pricing &amp; Tagging/Security Loops/StringTach</t>
  </si>
  <si>
    <t>Default Category/Pricing &amp; Tagging/Security Loops/Secur A Tie Adjustable</t>
  </si>
  <si>
    <t>Default Category/Pricing &amp; Tagging/Tach It Taggers</t>
  </si>
  <si>
    <t>Default Category/Pricing &amp; Tagging/Tach It Taggers/Replacement Needles</t>
  </si>
  <si>
    <t>Default Category/Pricing &amp; Tagging/Tach It Taggers/TACH IT Taggers</t>
  </si>
  <si>
    <t>Default Category/Pricing &amp; Tagging/Tach It Taggers/Tach IT Fasteners</t>
  </si>
  <si>
    <t>Default Category/Pricing &amp; Tagging/Tags</t>
  </si>
  <si>
    <t>Default Category/Pricing &amp; Tagging/Tags/Manila Blank Tags</t>
  </si>
  <si>
    <t>Default Category/Pricing &amp; Tagging/Tags/Blank White Scallop Top Tags</t>
  </si>
  <si>
    <t>Default Category/Pricing &amp; Tagging/Tags/Apparel Tags Colored with Perforation</t>
  </si>
  <si>
    <t>Default Category/Pricing &amp; Tagging/Tags/Manila Service Tags</t>
  </si>
  <si>
    <t>Default Category/Pricing &amp; Tagging/Tags/Sale Price Tags</t>
  </si>
  <si>
    <t>Default Category/Pricing &amp; Tagging/Tags/Sold &amp; Hold Tags</t>
  </si>
  <si>
    <t>Default Category/Pricing &amp; Tagging/Tags/White Rectangle Apparel Tags</t>
  </si>
  <si>
    <t>Default Category/Pricing &amp; Tagging/TG Tacher Taggers</t>
  </si>
  <si>
    <t>Default Category/Pricing &amp; Tagging/TG Tacher Taggers/TG Tacher Standard and Fine Fasteners</t>
  </si>
  <si>
    <t>Default Category/Pricing &amp; Tagging/TG Tacher Taggers/TG Tacher Taggers</t>
  </si>
  <si>
    <t>Default Category/Pricing &amp; Tagging/TG Tacher Taggers/Standard Tagger Package</t>
  </si>
  <si>
    <t>Default Category/Pricing &amp; Tagging/Avery Dennison Labelers &amp; Labels</t>
  </si>
  <si>
    <t>Default Category/Pricing &amp; Tagging/Avery Dennison Labelers &amp; Labels/PB 210 Labeler</t>
  </si>
  <si>
    <t>Default Category/Pricing &amp; Tagging/Avery Dennison Labelers &amp; Labels/PB 1 Labels</t>
  </si>
  <si>
    <t>Default Category/Pricing &amp; Tagging/Avery Dennison Labelers &amp; Labels/PB216 Labels</t>
  </si>
  <si>
    <t>Default Category/Pricing &amp; Tagging/Avery Dennison Labelers &amp; Labels/PB210 Labels</t>
  </si>
  <si>
    <t>Default Category/Pricing &amp; Tagging/Avery Dennison Labelers &amp; Labels/PB Inkers</t>
  </si>
  <si>
    <t>Default Category/Pricing &amp; Tagging/Avery Dennison Labelers &amp; Labels/PB 1 Line Labelers</t>
  </si>
  <si>
    <t>Default Category/Pricing &amp; Tagging/Avery Dennison Labelers &amp; Labels/PB 216 Labelers</t>
  </si>
  <si>
    <t>Default Category/Pricing &amp; Tagging/Avery Dennison Labelers &amp; Labels/PB 210 or 216 Inkers</t>
  </si>
  <si>
    <t>Default Category/Pricing &amp; Tagging/Avery Dennison Labelers &amp; Labels/Replacement Inker Assembly</t>
  </si>
  <si>
    <t>Default Category/Pricing &amp; Tagging/Avery Dennison Taggers</t>
  </si>
  <si>
    <t>Default Category/Pricing &amp; Tagging/Avery Dennison Taggers/Needles for Taggers</t>
  </si>
  <si>
    <t>Default Category/Pricing &amp; Tagging/Avery Dennison Taggers/Avery Dennison Taggers</t>
  </si>
  <si>
    <t>Default Category/Pricing &amp; Tagging/Avery Dennison Taggers/Fasteners for Avery Dennison Taggers</t>
  </si>
  <si>
    <t>Default Category/Pricing &amp; Tagging/Monarch Labelers &amp; Labels</t>
  </si>
  <si>
    <t>Default Category/Pricing &amp; Tagging/Monarch Labelers &amp; Labels/2 Line Monarch Labelers</t>
  </si>
  <si>
    <t>Default Category/Pricing &amp; Tagging/Monarch Labelers &amp; Labels/2 Line Monarch Labelers/Monarch 1115 Labels</t>
  </si>
  <si>
    <t>Default Category/Pricing &amp; Tagging/Monarch Labelers &amp; Labels/2 Line Monarch Labelers/Monarch 1135 Labels</t>
  </si>
  <si>
    <t>Default Category/Pricing &amp; Tagging/Monarch Labelers &amp; Labels/2 Line Monarch Labelers/Monarch 1136 Labels</t>
  </si>
  <si>
    <t>Default Category/Pricing &amp; Tagging/Monarch Labelers &amp; Labels/2 Line Monarch Labelers/Monarch 1115 Pricing Gun</t>
  </si>
  <si>
    <t>Default Category/Pricing &amp; Tagging/Monarch Labelers &amp; Labels/2 Line Monarch Labelers/Monarch 1135 Price Gun</t>
  </si>
  <si>
    <t>Default Category/Pricing &amp; Tagging/Monarch Labelers &amp; Labels/2 Line Monarch Labelers/Monarch 1136 Price Gun</t>
  </si>
  <si>
    <t>Default Category/Pricing &amp; Tagging/Monarch Labelers &amp; Labels/2 Line Monarch Labelers/1115 Inker</t>
  </si>
  <si>
    <t>Default Category/Pricing &amp; Tagging/Monarch Labelers &amp; Labels/3 Line &amp; Promo Monarch Labelers</t>
  </si>
  <si>
    <t>Default Category/Pricing &amp; Tagging/Monarch Labelers &amp; Labels/3 Line &amp; Promo Monarch Labelers/Monarch 1150 Series Promotional Labels</t>
  </si>
  <si>
    <t>Default Category/Pricing &amp; Tagging/Monarch Labelers &amp; Labels/3 Line &amp; Promo Monarch Labelers/Monarch 1151</t>
  </si>
  <si>
    <t>Default Category/Pricing &amp; Tagging/Monarch Labelers &amp; Labels/3 Line &amp; Promo Monarch Labelers/Monarch 1152</t>
  </si>
  <si>
    <t>Default Category/Pricing &amp; Tagging/Monarch Labelers &amp; Labels/3 Line &amp; Promo Monarch Labelers/1150 Series Inker</t>
  </si>
  <si>
    <t>Default Category/Pricing &amp; Tagging/Monarch Labelers &amp; Labels/3 Line &amp; Promo Monarch Labelers/Monarch 1153 Labeler</t>
  </si>
  <si>
    <t>Default Category/Pricing &amp; Tagging/Monarch Labelers &amp; Labels/3 Line &amp; Promo Monarch Labelers/Monarch 1153 Labels</t>
  </si>
  <si>
    <t>Default Category/Pricing &amp; Tagging/Monarch Labelers &amp; Labels/1 Line Monarch Labelers</t>
  </si>
  <si>
    <t>Default Category/Pricing &amp; Tagging/Monarch Labelers &amp; Labels/1 Line Monarch Labelers/Monarch 1110 Inkers</t>
  </si>
  <si>
    <t>Default Category/Pricing &amp; Tagging/Monarch Labelers &amp; Labels/1 Line Monarch Labelers/Monarch 1130 Price Gun</t>
  </si>
  <si>
    <t>Default Category/Pricing &amp; Tagging/Monarch Labelers &amp; Labels/1 Line Monarch Labelers/Monarch 1130 Series Inker</t>
  </si>
  <si>
    <t>Default Category/Pricing &amp; Tagging/Monarch Labelers &amp; Labels/1 Line Monarch Labelers/Monarch 1131 Price Gun</t>
  </si>
  <si>
    <t>Default Category/Pricing &amp; Tagging/Monarch Labelers &amp; Labels/1 Line Monarch Labelers/Monarch 1110 Pricing Gun</t>
  </si>
  <si>
    <t>Default Category/Pricing &amp; Tagging/Monarch Labelers &amp; Labels/1 Line Monarch Labelers/Monarch 1110 Labels</t>
  </si>
  <si>
    <t>Default Category/Pricing &amp; Tagging/Monarch Labelers &amp; Labels/1 Line Monarch Labelers/Monarch 1130 Labels</t>
  </si>
  <si>
    <t>Default Category/Pricing &amp; Tagging/Monarch Labelers &amp; Labels/1 Line Monarch Labelers/Monarch 1131 Labels</t>
  </si>
  <si>
    <t>Default Category/Pricing &amp; Tagging/Garvey Labelers &amp; Labels</t>
  </si>
  <si>
    <t>Default Category/Pricing &amp; Tagging/Garvey Labelers &amp; Labels/Garvey 1 Line Price Guns</t>
  </si>
  <si>
    <t>Default Category/Pricing &amp; Tagging/Garvey Labelers &amp; Labels/Garvey 1 Line Price Guns/Garvey 22; 1 Line Labelers</t>
  </si>
  <si>
    <t>Default Category/Pricing &amp; Tagging/Garvey Labelers &amp; Labels/Garvey 1 Line Price Guns/Garvey Ink Roller for the Garvey 25</t>
  </si>
  <si>
    <t>Default Category/Pricing &amp; Tagging/Garvey Labelers &amp; Labels/Garvey 1 Line Price Guns/Garvey 22; 1 Line Labels</t>
  </si>
  <si>
    <t>Default Category/Pricing &amp; Tagging/Garvey Labelers &amp; Labels/Garvey 1 Line Price Guns/Garvey 22 Starter Kit</t>
  </si>
  <si>
    <t>Default Category/Pricing &amp; Tagging/Garvey Labelers &amp; Labels/Garvey 1 Line Price Guns/Garvey 25; 1 Line Labels</t>
  </si>
  <si>
    <t>Default Category/Pricing &amp; Tagging/Garvey Labelers &amp; Labels/Garvey 1 Line Price Guns/Garvey 18; 1 Line Labels</t>
  </si>
  <si>
    <t>Default Category/Pricing &amp; Tagging/Garvey Labelers &amp; Labels/Garvey 1 Line Price Guns/Garvey 25; 1 Line Promotional Price Gun</t>
  </si>
  <si>
    <t>Default Category/Pricing &amp; Tagging/Garvey Labelers &amp; Labels/Garvey 1 Line Price Guns/Garvey 25 Labels</t>
  </si>
  <si>
    <t>Default Category/Pricing &amp; Tagging/Garvey Labelers &amp; Labels/Garvey 2 Line Price Guns</t>
  </si>
  <si>
    <t>Default Category/Pricing &amp; Tagging/Garvey Labelers &amp; Labels/Garvey 2 Line Price Guns/Garvey 22; 2 Line Labelers</t>
  </si>
  <si>
    <t>Default Category/Pricing &amp; Tagging/Garvey Labelers &amp; Labels/Garvey 2 Line Price Guns/Garvey 22; 2 Line Labels</t>
  </si>
  <si>
    <t>Default Category/Pricing &amp; Tagging/Garvey Labelers &amp; Labels/Garvey 2 Line Price Guns/Starter Kit</t>
  </si>
  <si>
    <t>Default Category/Pricing &amp; Tagging/Meto Labelers &amp; Labels</t>
  </si>
  <si>
    <t>Default Category/Pricing &amp; Tagging/Meto Labelers &amp; Labels/Primark 1 &amp; 2 Line Price Guns</t>
  </si>
  <si>
    <t>Default Category/Pricing &amp; Tagging/Meto Labelers &amp; Labels/Primark 1 &amp; 2 Line Price Guns/Primark P 14 1 Line Price Gun</t>
  </si>
  <si>
    <t>Default Category/Pricing &amp; Tagging/Meto Labelers &amp; Labels/Primark 1 &amp; 2 Line Price Guns/Primark P 14 Labels</t>
  </si>
  <si>
    <t>Default Category/Pricing &amp; Tagging/Meto Labelers &amp; Labels/Primark 1 &amp; 2 Line Price Guns/Primark P 14 Ink Roller</t>
  </si>
  <si>
    <t>Default Category/Pricing &amp; Tagging/Meto Labelers &amp; Labels/Primark 1 &amp; 2 Line Price Guns/Primark P 16 Labels</t>
  </si>
  <si>
    <t>Default Category/Pricing &amp; Tagging/Meto Labelers &amp; Labels/Primark 1 &amp; 2 Line Price Guns/Primark P 16 2 Line Price Gun</t>
  </si>
  <si>
    <t>Default Category/Pricing &amp; Tagging/Meto Labelers &amp; Labels/Primark 1 &amp; 2 Line Price Guns/Primark P 16 Ink Roller</t>
  </si>
  <si>
    <t>Default Category/Pricing &amp; Tagging/Meto Labelers &amp; Labels/Meto 1 &amp; 2 Line Price Guns</t>
  </si>
  <si>
    <t>Default Category/Pricing &amp; Tagging/Meto Labelers &amp; Labels/Meto 1 &amp; 2 Line Price Guns/Meto 1600 1 Line Price Gun</t>
  </si>
  <si>
    <t>Default Category/Pricing &amp; Tagging/Meto Labelers &amp; Labels/Meto 1 &amp; 2 Line Price Guns/Meto 1600 Series Labels</t>
  </si>
  <si>
    <t>Default Category/Pricing &amp; Tagging/Meto Labelers &amp; Labels/Meto 1 &amp; 2 Line Price Guns/Meto Ink Rollers</t>
  </si>
  <si>
    <t>Default Category/Pricing &amp; Tagging/Meto Labelers &amp; Labels/Meto 1 &amp; 2 Line Price Guns/Meto Labeler Holster</t>
  </si>
  <si>
    <t>Default Category/Pricing &amp; Tagging/Meto Labelers &amp; Labels/Meto 1 &amp; 2 Line Price Guns/Meto 2200 Series Labels</t>
  </si>
  <si>
    <t>Default Category/Pricing &amp; Tagging/Meto Labelers &amp; Labels/Meto 1 &amp; 2 Line Price Guns/Meto 2600 Series Labels</t>
  </si>
  <si>
    <t>Default Category/Pricing &amp; Tagging/Meto Labelers &amp; Labels/Meto 1 &amp; 2 Line Price Guns/Meto 2200 2 Series Labels</t>
  </si>
  <si>
    <t>Default Category/Pricing &amp; Tagging/Meto Labelers &amp; Labels/Meto 1 &amp; 2 Line Price Guns/Meto 2200 1 Line Price Gun</t>
  </si>
  <si>
    <t>Default Category/Pricing &amp; Tagging/Meto Labelers &amp; Labels/Meto 1 &amp; 2 Line Price Guns/Meto 2600 1 Line Price Gun</t>
  </si>
  <si>
    <t>Default Category/Pricing &amp; Tagging/Meto Labelers &amp; Labels/Meto 1 &amp; 2 Line Price Guns/Meto 2200 2 2 Line Price Gun</t>
  </si>
  <si>
    <t>Default Category/Closeouts</t>
  </si>
  <si>
    <t>Default Category/Closeouts/Closeout Acrylic; Glass; Jewelry Displays</t>
  </si>
  <si>
    <t>Default Category/Closeouts/Closeout Acrylic; Glass; Jewelry Displays/Jewelry Tray Liner Flocked White; 32 compartment</t>
  </si>
  <si>
    <t>Default Category/Closeouts/Closeout Acrylic; Glass; Jewelry Displays/Tempered 9 x 16 Glass Shelf</t>
  </si>
  <si>
    <t>Default Category/Closeouts/Closeout Acrylic; Glass; Jewelry Displays/Jewelry Pouch Leatherette White</t>
  </si>
  <si>
    <t>Default Category/Closeouts/Closeout Acrylic; Glass; Jewelry Displays/Jewelry Tray Liner Plastic; 15 comp</t>
  </si>
  <si>
    <t>Default Category/Closeouts/Closeout Acrylic; Glass; Jewelry Displays/3 8" Tempered Dime Radius Corners</t>
  </si>
  <si>
    <t>Default Category/Closeouts/Closeout Acrylic; Glass; Jewelry Displays/3 Way Glass Connector; Black Matte</t>
  </si>
  <si>
    <t>Default Category/Closeouts/Closeout Acrylic; Glass; Jewelry Displays/3 16" Glass Tempered; 12x16 Pencil Polished Edges</t>
  </si>
  <si>
    <t>Default Category/Closeouts/Closeout Acrylic; Glass; Jewelry Displays/Acrylic Sign Holders</t>
  </si>
  <si>
    <t>Default Category/Closeouts/Closeout Apparel Accessories</t>
  </si>
  <si>
    <t>Default Category/Closeouts/Closeout Apparel Accessories/Sizer Round White and or Black</t>
  </si>
  <si>
    <t>Default Category/Closeouts/Closeout Apparel Accessories/Sizer Oblong White and or Gray</t>
  </si>
  <si>
    <t>Default Category/Closeouts/Closeout Apparel Accessories/Velveteen Draw String Pouches</t>
  </si>
  <si>
    <t>Default Category/Closeouts/Closeout Brackets; Hooks; Standards</t>
  </si>
  <si>
    <t>Default Category/Closeouts/Closeout Brackets; Hooks; Standards/Gridwall Standard Brackets</t>
  </si>
  <si>
    <t>Default Category/Closeouts/Closeout Brackets; Hooks; Standards/Gridwall Heavy Duty Hook 1 4" Diameter 90o tip; 1" Chrome</t>
  </si>
  <si>
    <t>Default Category/Closeouts/Closeout Brackets; Hooks; Standards/Crossbars</t>
  </si>
  <si>
    <t>Default Category/Closeouts/Closeout Brackets; Hooks; Standards/Cross Bar Waterfall</t>
  </si>
  <si>
    <t>Default Category/Closeouts/Closeout Brackets; Hooks; Standards/Merchandise Bar Round Faceout</t>
  </si>
  <si>
    <t>Default Category/Closeouts/Closeout Brackets; Hooks; Standards/Hangrod 1 5 16" x 6'</t>
  </si>
  <si>
    <t>Default Category/Closeouts/Closeout Brackets; Hooks; Standards/Peghook Heavy 8" x .212 dia. Ball End Tip</t>
  </si>
  <si>
    <t>Default Category/Closeouts/Closeout Brackets; Hooks; Standards/Quantum Bracket 14" Adjustable Knife Edge</t>
  </si>
  <si>
    <t>Default Category/Closeouts/Closeout Brackets; Hooks; Standards/Aristocrat Bracket Knife Edge 14"</t>
  </si>
  <si>
    <t>Default Category/Closeouts/Closeout Brackets; Hooks; Standards/Cross Bar Safety Hook</t>
  </si>
  <si>
    <t>Default Category/Closeouts/Closeout Brackets; Hooks; Standards/Hangrod Wall Mount Brackets fits 1" or 1 1 16" U</t>
  </si>
  <si>
    <t>Default Category/Closeouts/Closeout Brackets; Hooks; Standards/Pegboard 17 1 2" 6 Ball Waterfall Chrome</t>
  </si>
  <si>
    <t>Default Category/Closeouts/Closeout Brackets; Hooks; Standards/Merchandise Bar Waterfall-Ball</t>
  </si>
  <si>
    <t>Default Category/Closeouts/Closeout Brackets; Hooks; Standards/Quantum 18" Left Bracket Flange</t>
  </si>
  <si>
    <t>Default Category/Closeouts/Closeout Brackets; Hooks; Standards/Aristocrat 14" Merchandise Bar Bracket</t>
  </si>
  <si>
    <t>Default Category/Closeouts/Closeout Brackets; Hooks; Standards/Hangrod Snap on Brackets</t>
  </si>
  <si>
    <t>Default Category/Closeouts/Closeout Brackets; Hooks; Standards/Gridwall Hook 12" x 3 16" White 45* Degree Tip</t>
  </si>
  <si>
    <t>Default Category/Closeouts/Closeout Brackets; Hooks; Standards/Mini Grid White 12 WAY Connector</t>
  </si>
  <si>
    <t>Default Category/Closeouts/Closeout Brackets; Hooks; Standards/Heavy Duty Hook 1 4" Diameter 90o tip; 12"</t>
  </si>
  <si>
    <t>Default Category/Closeouts/Closeout Brackets; Hooks; Standards/9" Gridwall Heavy Duty Hook</t>
  </si>
  <si>
    <t>Default Category/Closeouts/Closeout Display Cases and Racks</t>
  </si>
  <si>
    <t>Default Category/Closeouts/Closeout Display Cases and Racks/Showcase Queen Anne Jewelry</t>
  </si>
  <si>
    <t>Default Category/Closeouts/Closeout Display Cases and Racks/Floor Standing Sign Frame</t>
  </si>
  <si>
    <t>Default Category/Closeouts/Closeout Display Cases and Racks/Round Glass Cube Display Base</t>
  </si>
  <si>
    <t>Default Category/Closeouts/Closeout Display Cases and Racks/Square Glass Cube Display Base</t>
  </si>
  <si>
    <t>Default Category/Closeouts/Closeout Display Cases and Racks/5 sided Display Cube</t>
  </si>
  <si>
    <t>Default Category/Closeouts/Closeout Display Cases and Racks/E'tagere Pine 6'</t>
  </si>
  <si>
    <t>Default Category/Closeouts/Closeout Display Cases and Racks/4' Jewelry Sit Down Case; New World Style</t>
  </si>
  <si>
    <t>Default Category/Closeouts/Closeout Display Cases and Racks/4' Jewelry Top Vision Case; New World Style</t>
  </si>
  <si>
    <t>Default Category/Closeouts/Closeout Display Cases and Racks/Hexagon Countertop Case</t>
  </si>
  <si>
    <t>Default Category/Closeouts/Closeout Display Cases and Racks/Custom Countertop Case; Cedar Humidor</t>
  </si>
  <si>
    <t>Default Category/Closeouts/Closeout Display Cases and Racks/Pine Wall Case</t>
  </si>
  <si>
    <t>Default Category/Closeouts/Closeout Display Cases and Racks/Hickory Custom Wall Display</t>
  </si>
  <si>
    <t>Default Category/Closeouts/Closeout Display Cases and Racks/Showcase 2' Collectors</t>
  </si>
  <si>
    <t>Default Category/Closeouts/Closeout Display Cases and Racks/18" Straight Arm Garment Rack</t>
  </si>
  <si>
    <t>Default Category/Closeouts/Closeout Display Cases and Racks/22" Straight Arm Garment Rack</t>
  </si>
  <si>
    <t>Default Category/Closeouts/Closeout Display Cases and Racks/2-16" Straight &amp; 2-18" Slant Arms w 8 Ball Stops</t>
  </si>
  <si>
    <t>Default Category/Closeouts/Closeout Display Cases and Racks/White Wrap Counter 48"x20"x38"</t>
  </si>
  <si>
    <t>Default Category/Closeouts/Closeout Display Cases and Racks/White Wrap Counter 70"x20"x38"</t>
  </si>
  <si>
    <t>Default Category/Closeouts/Closeout Display Cases and Racks/16" Slant Arm Garment Rack with 8 Ball Stops</t>
  </si>
  <si>
    <t>Default Category/Closeouts/Closeout Packaging</t>
  </si>
  <si>
    <t>Default Category/Closeouts/Closeout Packaging/Curling Ribbon</t>
  </si>
  <si>
    <t>Default Category/Closeouts/Closeout Packaging/Glitter Ribbon</t>
  </si>
  <si>
    <t>Default Category/Closeouts/Closeout Packaging/Splendorette Ribbon</t>
  </si>
  <si>
    <t>Default Category/Closeouts/Closeout Packaging/Red Cello Bags</t>
  </si>
  <si>
    <t>Default Category/Closeouts/Closeout Packaging/Metallic Tone Ribbon</t>
  </si>
  <si>
    <t>Default Category/Closeouts/Closeout Packaging/Shreds</t>
  </si>
  <si>
    <t>Default Category/Closeouts/Closeout Packaging/Clearphane 40" X 100 Pink</t>
  </si>
  <si>
    <t>Default Category/Closeouts/Closeout Packaging/Elasti Loops</t>
  </si>
  <si>
    <t>Default Category/Closeouts/Closeout Packaging/Simply Sheer Ribbon</t>
  </si>
  <si>
    <t>Default Category/Closeouts/Closeout Packaging/Ribbon Slitter Double Sided</t>
  </si>
  <si>
    <t>Default Category/Closeouts/Closeout Packaging/Cord Metallic Tinsel 100 yds Silver</t>
  </si>
  <si>
    <t>Default Category/Closeouts/Closeout Price Marking</t>
  </si>
  <si>
    <t>Default Category/Closeouts/Closeout Price Marking/TG Tagger Needles Fine</t>
  </si>
  <si>
    <t>Default Category/Closeouts/Closeout Price Marking/1115 Labels</t>
  </si>
  <si>
    <t>Default Category/Closeouts/Closeout Price Marking/Labels 2200 2 FL Red 1.125M per RL</t>
  </si>
  <si>
    <t>Default Category/Closeouts/Closeout Price Marking/P 26 Labels; White 1.125M per RL</t>
  </si>
  <si>
    <t>Default Category/Closeouts/Closeout Price Marking/Holster for Meto 1600; 2200; 2600</t>
  </si>
  <si>
    <t>Default Category/Closeouts/Closeout Price Marking/Labels 1170; 1155 White Split 1M per RL</t>
  </si>
  <si>
    <t>Default Category/Closeouts/Closeout Price Marking/Labels 1175; 1153 White Rem. 1M per RL</t>
  </si>
  <si>
    <t>Default Category/Closeouts/Closeout Price Marking/Monarch Labelers for Resale</t>
  </si>
  <si>
    <t>Default Category/Closeouts/Closeout Price Marking/Tach It Reinforced Needles (3)</t>
  </si>
  <si>
    <t>Default Category/Closeouts/Closeout Price Marking/Meto Inker L14; L24; L12</t>
  </si>
  <si>
    <t>Default Category/Closeouts/Closeout Price Marking/Standard Fasteners 1 1 2 Inch Loop</t>
  </si>
  <si>
    <t>Default Category/Closeouts/Closeout Price Marking/Monarch 1110 White Labels</t>
  </si>
  <si>
    <t>Default Category/Closeouts/Closeout Price Marking/Rainbow Fluorescent Sign Cards</t>
  </si>
  <si>
    <t>Default Category/Closeouts/Closeout Price Marking/Avery Dennison 1160 Labels</t>
  </si>
  <si>
    <t>Default Category/Closeouts/Closeout Price Marking/Loop Fasteners</t>
  </si>
  <si>
    <t>Default Category/Closeouts/Closeout Price Marking/Standard Pink Fasteners</t>
  </si>
  <si>
    <t>Default Category/Closeouts/Miscellaneous Closeout</t>
  </si>
  <si>
    <t>Default Category/Closeouts/Miscellaneous Closeout/Adhesive Label Release</t>
  </si>
  <si>
    <t>Default Category/Closeouts/Miscellaneous Closeout/Inside The Magic Kingdom</t>
  </si>
  <si>
    <t>Default Category/Closeouts/Miscellaneous Closeout/Shopping Baskets</t>
  </si>
  <si>
    <t>Default Category/Closeouts/Miscellaneous Closeout/Acrylic Tape</t>
  </si>
  <si>
    <t>Default Category/Closeouts/Miscellaneous Closeout/Lift Off # 2; 22oz. Pump Spray</t>
  </si>
  <si>
    <t>Default Category/Closeouts/Miscellaneous Closeout/Lift Off # 2 Gallon Refill</t>
  </si>
  <si>
    <t>Default Category/Closeouts/Miscellaneous Closeout/Artline Tempera Markers</t>
  </si>
  <si>
    <t>Default Category/Closeouts/Miscellaneous Closeout/Artline Aquafast Markers</t>
  </si>
  <si>
    <t>Default Category/Closeouts/Miscellaneous Closeout/Artline Whiteboard Markers</t>
  </si>
  <si>
    <t>Default Category/Closeouts/Miscellaneous Closeout/Card Frame Miter with Base 11x14</t>
  </si>
  <si>
    <t>Default Category/Closeouts/Miscellaneous Closeout/Economy SlantbackSign Holder</t>
  </si>
  <si>
    <t>Default Category/Closeouts/Miscellaneous Closeout/Economy Tent Style Sign Holder</t>
  </si>
  <si>
    <t>Default Category/Closeouts/Miscellaneous Closeout/Counter Top Frame</t>
  </si>
  <si>
    <t>Default Category/Closeouts/Miscellaneous Closeout/Price Channel Numbers</t>
  </si>
  <si>
    <t>Default Category/Closeouts/Miscellaneous Closeout/Corrugated Contest Boxes</t>
  </si>
  <si>
    <t>Default Category/Closeouts/Miscellaneous Closeout/Inventory Tag 2 Part; Carbonless</t>
  </si>
  <si>
    <t>Default Category/Closeouts/Miscellaneous Closeout/Wire Fixture Sign Holder Clear PVC Plastic</t>
  </si>
  <si>
    <t>Default Category/Closeouts/Miscellaneous Closeout/Deluxe Clip</t>
  </si>
  <si>
    <t>Default Category/Closeouts/Miscellaneous Closeout/Standard Clip</t>
  </si>
  <si>
    <t>Default Category/Closeouts/Miscellaneous Closeout/Pig Tail Card Holder Closeout</t>
  </si>
  <si>
    <t>Default Category/Closeouts/Miscellaneous Closeout/Sign Cards</t>
  </si>
  <si>
    <t>Default Category/Shopping Bags</t>
  </si>
  <si>
    <t>Default Category/Shopping Bags/Animal Print Packaging</t>
  </si>
  <si>
    <t>Default Category/Shopping Bags/Animal Print Packaging/Ribbon in Animal Prints</t>
  </si>
  <si>
    <t>Default Category/Shopping Bags/Animal Print Packaging/Ribbon in Animal Prints/Splendorette Printed Curling Ribbon</t>
  </si>
  <si>
    <t>Default Category/Shopping Bags/Animal Print Packaging/Tissue in Animal Prints</t>
  </si>
  <si>
    <t>Default Category/Shopping Bags/Animal Print Packaging/Tissue in Animal Prints/Wildlife Printed Tissue Paper Assortment Pack</t>
  </si>
  <si>
    <t>Default Category/Shopping Bags/Animal Print Packaging/Bags in Animal Prints</t>
  </si>
  <si>
    <t>Default Category/Shopping Bags/Animal Print Packaging/Bags in Animal Prints/Zebra &amp; Leopard Paper Shopping Bags</t>
  </si>
  <si>
    <t>Default Category/Shopping Bags/Animal Print Packaging/Bags in Animal Prints/Frosted Animal Print Shoppers with Tri Fold Handles</t>
  </si>
  <si>
    <t>Default Category/Shopping Bags/Animal Print Packaging/Boxes in Animal Prints</t>
  </si>
  <si>
    <t>Default Category/Shopping Bags/Animal Print Packaging/Boxes in Animal Prints/Zebra Gable Boxes</t>
  </si>
  <si>
    <t>Default Category/Shopping Bags/Animal Print Packaging/Boxes in Animal Prints/Gift Card Folders &amp; Holders</t>
  </si>
  <si>
    <t>Default Category/Shopping Bags/Animal Print Packaging/Giftwrap in Animal Prints</t>
  </si>
  <si>
    <t>Default Category/Shopping Bags/Animal Print Packaging/Giftwrap in Animal Prints/Giftwrap in Animal Print Patterns</t>
  </si>
  <si>
    <t>Default Category/Shopping Bags/Christmas &amp; Holiday Packaging</t>
  </si>
  <si>
    <t>Default Category/Shopping Bags/Christmas &amp; Holiday Packaging/Western Themed Christmas Bags</t>
  </si>
  <si>
    <t>Default Category/Shopping Bags/Christmas &amp; Holiday Packaging/Western Themed Christmas Bags/Western Christmas Bags</t>
  </si>
  <si>
    <t>Default Category/Shopping Bags/Christmas &amp; Holiday Packaging/Christmas Giftwrap</t>
  </si>
  <si>
    <t>Default Category/Shopping Bags/Christmas &amp; Holiday Packaging/Christmas Giftwrap/Vantage Christmas Giftwrap</t>
  </si>
  <si>
    <t>Default Category/Shopping Bags/Christmas &amp; Holiday Packaging/Christmas Giftwrap/JR Holiday and Christmas</t>
  </si>
  <si>
    <t>Default Category/Shopping Bags/Christmas &amp; Holiday Packaging/Decorative Holiday Packaging</t>
  </si>
  <si>
    <t>Default Category/Shopping Bags/Christmas &amp; Holiday Packaging/Decorative Holiday Packaging/Presents Please Collection</t>
  </si>
  <si>
    <t>Default Category/Shopping Bags/Christmas &amp; Holiday Packaging/Decorative Holiday Packaging/Sophie Holiday Greeting &amp; Ornaments</t>
  </si>
  <si>
    <t>Default Category/Shopping Bags/Christmas &amp; Holiday Packaging/Decorative Holiday Packaging/Retro Gift Collection</t>
  </si>
  <si>
    <t>Default Category/Shopping Bags/Christmas &amp; Holiday Packaging/Decorative Holiday Packaging/Poinsettia Collection</t>
  </si>
  <si>
    <t>Default Category/Shopping Bags/Christmas &amp; Holiday Packaging/Decorative Holiday Packaging/Nicolas Collection</t>
  </si>
  <si>
    <t>Default Category/Shopping Bags/Christmas &amp; Holiday Packaging/Decorative Holiday Packaging/Shimmering Snowflake Collection</t>
  </si>
  <si>
    <t>Default Category/Shopping Bags/Christmas &amp; Holiday Packaging/Decorative Holiday Packaging/Winter City Collection</t>
  </si>
  <si>
    <t>Default Category/Shopping Bags/Christmas &amp; Holiday Packaging/Holiday Boxes</t>
  </si>
  <si>
    <t>Default Category/Shopping Bags/Christmas &amp; Holiday Packaging/Holiday Boxes/Holly Berry Frost Gift Boxes</t>
  </si>
  <si>
    <t>Default Category/Shopping Bags/Christmas &amp; Holiday Packaging/Holiday Boxes/Merry Dots</t>
  </si>
  <si>
    <t>Default Category/Shopping Bags/Christmas &amp; Holiday Packaging/Holiday Boxes/Stardust</t>
  </si>
  <si>
    <t>Default Category/Shopping Bags/Christmas &amp; Holiday Packaging/Holiday Boxes/Reindeer Dance</t>
  </si>
  <si>
    <t>Default Category/Shopping Bags/Christmas &amp; Holiday Packaging/Holiday Boxes/Riveting Ribbons</t>
  </si>
  <si>
    <t>Default Category/Shopping Bags/Christmas &amp; Holiday Packaging/Holiday Patterned Tissue Paper</t>
  </si>
  <si>
    <t>Default Category/Shopping Bags/Christmas &amp; Holiday Packaging/Holiday Patterned Tissue Paper/Printed Tissue Paper Assortment Packs</t>
  </si>
  <si>
    <t>Default Category/Shopping Bags/Christmas &amp; Holiday Packaging/Holiday Patterned Tissue Paper/Holiday &amp; Christmas Printed Tissue Paper</t>
  </si>
  <si>
    <t>Default Category/Shopping Bags/Christmas &amp; Holiday Packaging/Holiday Patterns Plastic Bags</t>
  </si>
  <si>
    <t>Default Category/Shopping Bags/Christmas &amp; Holiday Packaging/Holiday Patterns Plastic Bags/Holiday AmeriTotes Hi-Density in Solid Colors</t>
  </si>
  <si>
    <t>Default Category/Shopping Bags/Christmas &amp; Holiday Packaging/Holiday Patterns Plastic Bags/Gloss Christmas Plastic Merchandise Bags</t>
  </si>
  <si>
    <t>Default Category/Shopping Bags/Christmas &amp; Holiday Packaging/Holiday Patterns Plastic Bags/Printed Plastic Holiday Bags</t>
  </si>
  <si>
    <t>Default Category/Shopping Bags/Plastic Bags</t>
  </si>
  <si>
    <t>Default Category/Shopping Bags/Plastic Bags/Polypropylene Bags</t>
  </si>
  <si>
    <t>Default Category/Shopping Bags/Plastic Bags/Polypropylene Bags/Clear Gusseted Polypropylene Bags</t>
  </si>
  <si>
    <t>Default Category/Shopping Bags/Plastic Bags/Polypropylene Bags/Clear Flat Polypropylene Bags with Lip n Tape Closure</t>
  </si>
  <si>
    <t>Default Category/Shopping Bags/Plastic Bags/Polypropylene Bags/Metallic Twist Ties</t>
  </si>
  <si>
    <t>Default Category/Shopping Bags/Plastic Bags/Polypropylene Bags/Clear Flat Polypropylene Bags</t>
  </si>
  <si>
    <t>Default Category/Shopping Bags/Plastic Bags/Polypropylene Bags/Printed Polypropylene Bags</t>
  </si>
  <si>
    <t>Default Category/Shopping Bags/Plastic Bags/Polypropylene Bags/Heavy Duty Clear Polypropylene Bags</t>
  </si>
  <si>
    <t>Default Category/Shopping Bags/Plastic Bags/Clear Poly Bags</t>
  </si>
  <si>
    <t>Default Category/Shopping Bags/Plastic Bags/Clear Poly Bags/Clear Gusseted 1.5 Mil Poly Bags</t>
  </si>
  <si>
    <t>Default Category/Shopping Bags/Plastic Bags/Clear Poly Bags/Clear Zipper Reclosable Poly Bags</t>
  </si>
  <si>
    <t>Default Category/Shopping Bags/Plastic Bags/Clear Poly Bags/Clear Poly Door Knob Bags</t>
  </si>
  <si>
    <t>Default Category/Shopping Bags/Plastic Bags/Clear Poly Bags/Clear Flat 1.5 Mil Poly Bags</t>
  </si>
  <si>
    <t>Default Category/Shopping Bags/Plastic Bags/Clear Poly Bags/Clear Zipper 2 Mil Reclosable Poly Bags with Hanger Hole</t>
  </si>
  <si>
    <t>Default Category/Shopping Bags/Plastic Bags/Clear Poly Bags/Clear Zipper 2 Mil Reclosable Poly Bags with Writing Block</t>
  </si>
  <si>
    <t>Default Category/Shopping Bags/Plastic Bags/Frosted Plastic Bags</t>
  </si>
  <si>
    <t>Default Category/Shopping Bags/Plastic Bags/Frosted Plastic Bags/Frosted Shoppers with Soft Flexi Loop Handles</t>
  </si>
  <si>
    <t>Default Category/Shopping Bags/Plastic Bags/Frosted Plastic Bags/Super Wave Frosted Bags</t>
  </si>
  <si>
    <t>Default Category/Shopping Bags/Plastic Bags/Frosted Plastic Bags/Frosted Trapezoid Shaped Bags</t>
  </si>
  <si>
    <t>Default Category/Shopping Bags/Plastic Bags/Frosted Plastic Bags/Pattern Frosted Shoppers with Tri Fold Handles</t>
  </si>
  <si>
    <t>Default Category/Shopping Bags/Plastic Bags/Frosted Plastic Bags/Frosted Merchandise Bags</t>
  </si>
  <si>
    <t>Default Category/Shopping Bags/Plastic Bags/Frosted Plastic Bags/Precious Metal Shoppers with Tri Fold Handles</t>
  </si>
  <si>
    <t>Default Category/Shopping Bags/Plastic Bags/High Density Plastic Bags</t>
  </si>
  <si>
    <t>Default Category/Shopping Bags/Plastic Bags/High Density Plastic Bags/High Density Plastic Merchandise Bags</t>
  </si>
  <si>
    <t>Default Category/Shopping Bags/Plastic Bags/High Density Plastic Bags/Plastic Bag Accessories</t>
  </si>
  <si>
    <t>Default Category/Shopping Bags/Plastic Bags/High Density Plastic Bags/Hi Density Plastic Bags with T Shirt Handle</t>
  </si>
  <si>
    <t>Default Category/Shopping Bags/Plastic Bags/High Density Plastic Bags/AmeriTote High Density Plastic Shopping Bags</t>
  </si>
  <si>
    <t>Default Category/Shopping Bags/Plastic Bags/Low Density Plastic Bags</t>
  </si>
  <si>
    <t>Default Category/Shopping Bags/Plastic Bags/Low Density Plastic Bags/Super Gloss Plastic Merchandise Bags</t>
  </si>
  <si>
    <t>Default Category/Shopping Bags/Plastic Bags/Low Density Plastic Bags/Heavy Duty Reusable T Shirt Bags</t>
  </si>
  <si>
    <t>Default Category/Shopping Bags/Food &amp; Wine Bags</t>
  </si>
  <si>
    <t>Default Category/Shopping Bags/Food &amp; Wine Bags/A La Carte Bags &amp; Boxes</t>
  </si>
  <si>
    <t>Default Category/Shopping Bags/Food &amp; Wine Bags/A La Carte Bags &amp; Boxes/Forest Green Collection Bags &amp; Boxes</t>
  </si>
  <si>
    <t>Default Category/Shopping Bags/Food &amp; Wine Bags/A La Carte Bags &amp; Boxes/Really Red Collection Bags and Boxes</t>
  </si>
  <si>
    <t>Default Category/Shopping Bags/Food &amp; Wine Bags/A La Carte Bags &amp; Boxes/White Kraft Food Packaging Bags and Boxes</t>
  </si>
  <si>
    <t>Default Category/Shopping Bags/Food &amp; Wine Bags/A La Carte Bags &amp; Boxes/Grape Collection Shopping Bags and Boxes</t>
  </si>
  <si>
    <t>Default Category/Shopping Bags/Food &amp; Wine Bags/A La Carte Bags &amp; Boxes/Fruit Bowl Wine Packaging Bags and Boxes</t>
  </si>
  <si>
    <t>Default Category/Shopping Bags/Food &amp; Wine Bags/A La Carte Bags &amp; Boxes/Natural Kraft Wine Bags and Boxes</t>
  </si>
  <si>
    <t>Default Category/Shopping Bags/Food &amp; Wine Bags/A La Carte Bags &amp; Boxes/Reusable Non Woven Wine Totes</t>
  </si>
  <si>
    <t>Default Category/Shopping Bags/Food &amp; Wine Bags/A La Carte Bags &amp; Boxes/Green Gardens Collection Bags and Boxes</t>
  </si>
  <si>
    <t>Default Category/Shopping Bags/Food &amp; Wine Bags/A La Carte Bags &amp; Boxes/Market Fresh Collection Bags and Boxes</t>
  </si>
  <si>
    <t>Default Category/Shopping Bags/Food &amp; Wine Bags/A La Carte Bags &amp; Boxes/Geo Trio Collection Bags and Boxes</t>
  </si>
  <si>
    <t>Default Category/Shopping Bags/Food &amp; Wine Bags/A La Carte Bags &amp; Boxes/Newsprint Collection Bags and Boxes</t>
  </si>
  <si>
    <t>Default Category/Shopping Bags/Food &amp; Wine Bags/A La Carte Bags &amp; Boxes/Noir Collection Bags and Boxes</t>
  </si>
  <si>
    <t>Default Category/Shopping Bags/Food &amp; Wine Bags/A La Carte Bags &amp; Boxes/Leaves &amp; Berries on Kraft</t>
  </si>
  <si>
    <t>Default Category/Shopping Bags/Eco Friendly Plastic Bags</t>
  </si>
  <si>
    <t>Default Category/Shopping Bags/Eco Friendly Plastic Bags/Gloss Heavy Duty Merchandise Bags</t>
  </si>
  <si>
    <t>Default Category/Shopping Bags/Eco Friendly Plastic Bags/Patch Handle Plastic Merchandise Bags</t>
  </si>
  <si>
    <t>Default Category/Shopping Bags/Eco Friendly Plastic Bags/Frosted SOS Gift Bags</t>
  </si>
  <si>
    <t>Default Category/Shopping Bags/Eco Friendly Plastic Bags/Frosted Shoppers with Tri Folded Loop Handles</t>
  </si>
  <si>
    <t>Default Category/Shopping Bags/Eco Friendly Recycled Paper Bags</t>
  </si>
  <si>
    <t>Default Category/Shopping Bags/Eco Friendly Recycled Paper Bags/Recycled Natural Kraft Paper Shopping Bags</t>
  </si>
  <si>
    <t>Default Category/Shopping Bags/Eco Friendly Recycled Paper Bags/Recycled White Kraft Paper Shopping Bags</t>
  </si>
  <si>
    <t>Default Category/Shopping Bags/Eco Friendly Reusable Bags</t>
  </si>
  <si>
    <t>Default Category/Shopping Bags/Eco Friendly Reusable Bags/Personalized Silk Screened Non Woven Reusable Shopping Bags</t>
  </si>
  <si>
    <t>Default Category/Shopping Bags/Eco Friendly Reusable Bags/Sparkling Clear Bags</t>
  </si>
  <si>
    <t>Default Category/Shopping Bags/Eco Friendly Reusable Bags/Personalized Color Magic Non Woven Reusable Shopping Bags</t>
  </si>
  <si>
    <t>Default Category/Shopping Bags/Paper Bags</t>
  </si>
  <si>
    <t>Default Category/Shopping Bags/Paper Bags/Paper Merchandise Bags</t>
  </si>
  <si>
    <t>Default Category/Shopping Bags/Paper Bags/Paper Merchandise Bags/White or Natural Kraft Paper Merchandise Bags</t>
  </si>
  <si>
    <t>Default Category/Shopping Bags/Paper Bags/Paper Merchandise Bags/SOS Paper Bags</t>
  </si>
  <si>
    <t>Default Category/Shopping Bags/Paper Bags/Paper Merchandise Bags/Colored Paper Merchandise Bags</t>
  </si>
  <si>
    <t>Default Category/Shopping Bags/Paper Bags/Paper Merchandise Bags/Natural Kraft Paper Liquor Bags</t>
  </si>
  <si>
    <t>Default Category/Shopping Bags/Paper Bags/Paper Merchandise Bags/Unprinted Paper Glassine Lined Bags</t>
  </si>
  <si>
    <t>Default Category/Shopping Bags/Paper Bags/Paper Shopping Bags</t>
  </si>
  <si>
    <t>Default Category/Shopping Bags/Paper Bags/Paper Shopping Bags/Metallic Colors on Brown Kraft Shopping Bags</t>
  </si>
  <si>
    <t>Default Category/Shopping Bags/Paper Bags/Paper Shopping Bags/Solid Colored Paper Shopping Bags on Brown Kraft</t>
  </si>
  <si>
    <t>Default Category/Shopping Bags/Paper Bags/Paper Shopping Bags/Shadow Stripe Colored Shopping Bags on Brown Kraft</t>
  </si>
  <si>
    <t>Default Category/Shopping Bags/Paper Bags/Paper Shopping Bags/Gloss Paper Shoppers</t>
  </si>
  <si>
    <t>Default Category/Shopping Bags/Paper Bags/Paper Shopping Bags/Western Patterned Paper Shopping Bags</t>
  </si>
  <si>
    <t>Default Category/Shopping Bags/Paper Bags/Paper Shopping Bags/White Kraft Paper Shopping Bags</t>
  </si>
  <si>
    <t>Default Category/Shopping Bags/Paper Bags/Paper Shopping Bags/Ice Collection Paper Shoppers</t>
  </si>
  <si>
    <t>Default Category/Shopping Bags/Paper Bags/Paper Shopping Bags/Economy Kraft Shopping Bags</t>
  </si>
  <si>
    <t>Default Category/Shopping Bags/Paper Bags/European Tote Style Bags</t>
  </si>
  <si>
    <t>Default Category/Shopping Bags/Paper Bags/European Tote Style Bags/Gloss Laminated EuroTotes</t>
  </si>
  <si>
    <t>Default Category/Shopping Bags/Paper Bags/European Tote Style Bags/Tinted Paper EuroTotes</t>
  </si>
  <si>
    <t>Default Category/Shopping Bags/Paper Bags/European Tote Style Bags/Matte Laminated EuroTotes</t>
  </si>
  <si>
    <t>Default Category/Shopping Bags/Paper Bags/European Tote Style Bags/Natural and White Kraft Paper Eurototes</t>
  </si>
  <si>
    <t>Default Category/Shopping Bags/Paper Bags/European Tote Style Bags/Purse Totes</t>
  </si>
  <si>
    <t>Default Category/Shopping Bags/Garment Rolls &amp; Bags</t>
  </si>
  <si>
    <t>Default Category/Shopping Bags/Garment Rolls &amp; Bags/Lo Density Plastic Garment Rolls</t>
  </si>
  <si>
    <t>Default Category/Shopping Bags/Garment Rolls &amp; Bags/Salesmans Garment Bag in Navy Blue</t>
  </si>
  <si>
    <t>Default Category/Loss Prevention</t>
  </si>
  <si>
    <t>Default Category/Loss Prevention/Security Locks; Announcers; Detectors; Mirrors</t>
  </si>
  <si>
    <t>Default Category/Loss Prevention/Security Locks; Announcers; Detectors; Mirrors/Entry Alert Motion Sensor Door Chime</t>
  </si>
  <si>
    <t>Default Category/Loss Prevention/Security Locks; Announcers; Detectors; Mirrors/Wireless Entrance Motion Detector</t>
  </si>
  <si>
    <t>Default Category/Loss Prevention/Security Locks; Announcers; Detectors; Mirrors/Wired Entrance Motion Detector</t>
  </si>
  <si>
    <t>Default Category/Loss Prevention/Security Locks; Announcers; Detectors; Mirrors/Self Contained Entrance Door Announcer</t>
  </si>
  <si>
    <t>Default Category/Loss Prevention/Security Locks; Announcers; Detectors; Mirrors/Anti Shoplifting Convex Glass Mirrors</t>
  </si>
  <si>
    <t>Default Category/Loss Prevention/Security Locks; Announcers; Detectors; Mirrors/Security Peg Hook Locks</t>
  </si>
  <si>
    <t>Default Category/Loss Prevention/EAS (Electronic Article Surveillance)</t>
  </si>
  <si>
    <t>Default Category/Loss Prevention/EAS (Electronic Article Surveillance)/EAS Labels</t>
  </si>
  <si>
    <t>Default Category/Loss Prevention/EAS (Electronic Article Surveillance)/EAS Hard Tags</t>
  </si>
  <si>
    <t>Default Category/Gift Wrapping &amp; Packaging</t>
  </si>
  <si>
    <t>Default Category/Gift Wrapping &amp; Packaging/Organza &amp; Velvet Bags</t>
  </si>
  <si>
    <t>Default Category/Gift Wrapping &amp; Packaging/Organza &amp; Velvet Bags/Flat Organza Bags</t>
  </si>
  <si>
    <t>Default Category/Gift Wrapping &amp; Packaging/Organza &amp; Velvet Bags/Velvet Bags</t>
  </si>
  <si>
    <t>Default Category/Gift Wrapping &amp; Packaging/Organza &amp; Velvet Bags/Gusseted Organza Bags</t>
  </si>
  <si>
    <t>Default Category/Gift Wrapping &amp; Packaging/Boxes</t>
  </si>
  <si>
    <t>Default Category/Gift Wrapping &amp; Packaging/Boxes/Tin Boxes</t>
  </si>
  <si>
    <t>Default Category/Gift Wrapping &amp; Packaging/Boxes/Tin Boxes/CD &amp; DVD Tins</t>
  </si>
  <si>
    <t>Default Category/Gift Wrapping &amp; Packaging/Boxes/Tin Boxes/Solid Tins with PET Window</t>
  </si>
  <si>
    <t>Default Category/Gift Wrapping &amp; Packaging/Boxes/Apparel Boxes</t>
  </si>
  <si>
    <t>Default Category/Gift Wrapping &amp; Packaging/Boxes/Apparel Boxes/White 2 Piece Pop Up Apparel Boxes</t>
  </si>
  <si>
    <t>Default Category/Gift Wrapping &amp; Packaging/Boxes/Apparel Boxes/Kraft 2 Piece Pop Up Apparel Boxes</t>
  </si>
  <si>
    <t>Default Category/Gift Wrapping &amp; Packaging/Boxes/Decorative Corrugated Boxes</t>
  </si>
  <si>
    <t>Default Category/Gift Wrapping &amp; Packaging/Boxes/Decorative Corrugated Boxes/Red Satin Gift Boxes</t>
  </si>
  <si>
    <t>Default Category/Gift Wrapping &amp; Packaging/Boxes/Decorative Corrugated Boxes/Christmas &amp; Holiday Gift Boxes</t>
  </si>
  <si>
    <t>Default Category/Gift Wrapping &amp; Packaging/Boxes/Decorative Corrugated Boxes/Red &amp; Hunter Green Bows Gift Boxes</t>
  </si>
  <si>
    <t>Default Category/Gift Wrapping &amp; Packaging/Boxes/Decorative Corrugated Boxes/Burnished Gold</t>
  </si>
  <si>
    <t>Default Category/Gift Wrapping &amp; Packaging/Boxes/Decorative Corrugated Boxes/Spruce Green Brushstroke Gift Boxes</t>
  </si>
  <si>
    <t>Default Category/Gift Wrapping &amp; Packaging/Boxes/Decorative Corrugated Boxes/Silver Plated</t>
  </si>
  <si>
    <t>Default Category/Gift Wrapping &amp; Packaging/Boxes/Decorative Corrugated Boxes/Holstein</t>
  </si>
  <si>
    <t>Default Category/Gift Wrapping &amp; Packaging/Boxes/Decorative Corrugated Boxes/Kraft</t>
  </si>
  <si>
    <t>Default Category/Gift Wrapping &amp; Packaging/Boxes/Decorative Corrugated Boxes/White Kraft</t>
  </si>
  <si>
    <t>Default Category/Gift Wrapping &amp; Packaging/Boxes/Decorative Corrugated Boxes/Hunter Green Kraft Gift Boxes</t>
  </si>
  <si>
    <t>Default Category/Gift Wrapping &amp; Packaging/Boxes/Decorative Corrugated Boxes/Black Kraft Boxes</t>
  </si>
  <si>
    <t>Default Category/Gift Wrapping &amp; Packaging/Boxes/Decorative Corrugated Boxes/Chocolate</t>
  </si>
  <si>
    <t>Default Category/Gift Wrapping &amp; Packaging/Boxes/Decorative Corrugated Boxes/White Pine</t>
  </si>
  <si>
    <t>Default Category/Gift Wrapping &amp; Packaging/Boxes/Decorative Corrugated Boxes/Damask; Black &amp; White</t>
  </si>
  <si>
    <t>Default Category/Gift Wrapping &amp; Packaging/Boxes/Decorative Corrugated Boxes/Inserts and Dividers</t>
  </si>
  <si>
    <t>Default Category/Gift Wrapping &amp; Packaging/Boxes/Decorative Corrugated Boxes/Stripes</t>
  </si>
  <si>
    <t>Default Category/Gift Wrapping &amp; Packaging/Boxes/Decorative Corrugated Boxes/Poinsettia</t>
  </si>
  <si>
    <t>Default Category/Gift Wrapping &amp; Packaging/Boxes/Decorative Corrugated Boxes/Brilliant Stripe</t>
  </si>
  <si>
    <t>Default Category/Gift Wrapping &amp; Packaging/Boxes/Decorative Corrugated Boxes/Bright Solids</t>
  </si>
  <si>
    <t>Default Category/Gift Wrapping &amp; Packaging/Boxes/Decorative Corrugated Boxes/Streaming Lights</t>
  </si>
  <si>
    <t>Default Category/Gift Wrapping &amp; Packaging/Boxes/E-Flute Decorative Boxes</t>
  </si>
  <si>
    <t>Default Category/Gift Wrapping &amp; Packaging/Boxes/E-Flute Decorative Boxes/Pillow Packs</t>
  </si>
  <si>
    <t>Default Category/Gift Wrapping &amp; Packaging/Boxes/E-Flute Decorative Boxes/Solid Bags</t>
  </si>
  <si>
    <t>Default Category/Gift Wrapping &amp; Packaging/Boxes/E-Flute Decorative Boxes/Heart Window Bag</t>
  </si>
  <si>
    <t>Default Category/Gift Wrapping &amp; Packaging/Boxes/E-Flute Decorative Boxes/Bunny Window Bag</t>
  </si>
  <si>
    <t>Default Category/Gift Wrapping &amp; Packaging/Boxes/E-Flute Decorative Boxes/Diamond Window Bag</t>
  </si>
  <si>
    <t>Default Category/Gift Wrapping &amp; Packaging/Boxes/E-Flute Decorative Boxes/Star Window Bag</t>
  </si>
  <si>
    <t>Default Category/Gift Wrapping &amp; Packaging/Boxes/E-Flute Decorative Boxes/Tree Window Bag</t>
  </si>
  <si>
    <t>Default Category/Gift Wrapping &amp; Packaging/Boxes/Gable Boxes</t>
  </si>
  <si>
    <t>Default Category/Gift Wrapping &amp; Packaging/Boxes/Gable Boxes/Gable Boxes with Stock Prints</t>
  </si>
  <si>
    <t>Default Category/Gift Wrapping &amp; Packaging/Boxes/Gift Boxes</t>
  </si>
  <si>
    <t>Default Category/Gift Wrapping &amp; Packaging/Boxes/Gift Boxes/Pillow Packs</t>
  </si>
  <si>
    <t>Default Category/Gift Wrapping &amp; Packaging/Boxes/Gift Boxes/Tinted Kraft Tuckit Gift Boxes</t>
  </si>
  <si>
    <t>Default Category/Gift Wrapping &amp; Packaging/Boxes/Gift Boxes/View Top Stationery Boxes</t>
  </si>
  <si>
    <t>Default Category/Gift Wrapping &amp; Packaging/Boxes/Gift Boxes/Two Piece Hat Boxes</t>
  </si>
  <si>
    <t>Default Category/Gift Wrapping &amp; Packaging/Boxes/Gift Boxes/Gift Box Assortments</t>
  </si>
  <si>
    <t>Default Category/Gift Wrapping &amp; Packaging/Boxes/Gift Boxes/White Folding Gift Boxes</t>
  </si>
  <si>
    <t>Default Category/Gift Wrapping &amp; Packaging/Boxes/Gift Boxes/Kraft Folding Gift Boxes</t>
  </si>
  <si>
    <t>Default Category/Gift Wrapping &amp; Packaging/Boxes/Gift Card Boxes and Purse Totes</t>
  </si>
  <si>
    <t>Default Category/Gift Wrapping &amp; Packaging/Boxes/Gift Card Boxes and Purse Totes/Pop Up Gift Card Boxes</t>
  </si>
  <si>
    <t>Default Category/Gift Wrapping &amp; Packaging/Boxes/Hi Wall 2 Piece Boxes &amp; Lids</t>
  </si>
  <si>
    <t>Default Category/Gift Wrapping &amp; Packaging/Boxes/Hi Wall 2 Piece Boxes &amp; Lids/Hi Wall 2 Piece White Boxes &amp; Lids</t>
  </si>
  <si>
    <t>Default Category/Gift Wrapping &amp; Packaging/Boxes/Hi Wall 2 Piece Boxes &amp; Lids/Hi Wall 2 Piece Gold Boxes &amp; Lids</t>
  </si>
  <si>
    <t>Default Category/Gift Wrapping &amp; Packaging/Boxes/Hi Wall 2 Piece Boxes &amp; Lids/Hi Wall 2 Piece Black Swirl Boxes &amp; Lids</t>
  </si>
  <si>
    <t>Default Category/Gift Wrapping &amp; Packaging/Boxes/Hi Wall 2 Piece Boxes &amp; Lids/Hi Wall 2 Piece Red Boxes &amp; Lids</t>
  </si>
  <si>
    <t>Default Category/Gift Wrapping &amp; Packaging/Boxes/Italian Boxes</t>
  </si>
  <si>
    <t>Default Category/Gift Wrapping &amp; Packaging/Boxes/Italian Boxes/Matte Gold Linen Collection</t>
  </si>
  <si>
    <t>Default Category/Gift Wrapping &amp; Packaging/Boxes/Italian Boxes/White Gloss Collection</t>
  </si>
  <si>
    <t>Default Category/Gift Wrapping &amp; Packaging/Boxes/Italian Boxes/Chocolate Linen Collection</t>
  </si>
  <si>
    <t>Default Category/Gift Wrapping &amp; Packaging/Boxes/Jewelry Boxes</t>
  </si>
  <si>
    <t>Default Category/Gift Wrapping &amp; Packaging/Boxes/Jewelry Boxes/White Swirl Jewelry Boxes</t>
  </si>
  <si>
    <t>Default Category/Gift Wrapping &amp; Packaging/Boxes/Jewelry Boxes/Natural Kraft Jewelry Boxes</t>
  </si>
  <si>
    <t>Default Category/Gift Wrapping &amp; Packaging/Boxes/Jewelry Boxes/Silver and Gold Foil Jewelry Boxes</t>
  </si>
  <si>
    <t>Default Category/Gift Wrapping &amp; Packaging/Boxes/Jewelry Boxes/White View Top Jewelry Boxes</t>
  </si>
  <si>
    <t>Default Category/Gift Wrapping &amp; Packaging/Boxes/Jewelry Boxes/Colored Kraft Jewelry Boxes</t>
  </si>
  <si>
    <t>Default Category/Gift Wrapping &amp; Packaging/Boxes/Jewelry Boxes/Chocolate Embossed Jewelry Boxes</t>
  </si>
  <si>
    <t>Default Category/Gift Wrapping &amp; Packaging/Boxes/Jewelry Boxes/Black Embossed Jewelry Boxes</t>
  </si>
  <si>
    <t>Default Category/Gift Wrapping &amp; Packaging/Boxes/Jewelry Boxes/Jewelry Box Assortments</t>
  </si>
  <si>
    <t>Default Category/Gift Wrapping &amp; Packaging/Boxes/Jewelry Boxes/Leopard Patterned Jewelry Boxes</t>
  </si>
  <si>
    <t>Default Category/Gift Wrapping &amp; Packaging/Boxes/Jewelry Boxes/Zebra Patterned Jewelry Boxes</t>
  </si>
  <si>
    <t>Default Category/Gift Wrapping &amp; Packaging/Boxes/Jewelry Boxes/Economy Natural Kraft Jewelry Boxes</t>
  </si>
  <si>
    <t>Default Category/Gift Wrapping &amp; Packaging/Boxes/Jewelry Boxes with Hinged Lids</t>
  </si>
  <si>
    <t>Default Category/Gift Wrapping &amp; Packaging/Boxes/Jewelry Boxes with Hinged Lids/White Faux Leather Hinged Jewelry Boxes</t>
  </si>
  <si>
    <t>Default Category/Gift Wrapping &amp; Packaging/Boxes/Jewelry Boxes with Hinged Lids/Black Velvet with Gold Trim Hinged Jewelry Boxes</t>
  </si>
  <si>
    <t>Default Category/Gift Wrapping &amp; Packaging/Boxes/Jewelry Boxes with Hinged Lids/Rosewood Veneer Hinged Jewelry Boxes</t>
  </si>
  <si>
    <t>Default Category/Gift Wrapping &amp; Packaging/Gift Wrap</t>
  </si>
  <si>
    <t>Default Category/Gift Wrapping &amp; Packaging/Gift Wrap/Shamrock</t>
  </si>
  <si>
    <t>Default Category/Gift Wrapping &amp; Packaging/Gift Wrap/Shamrock/Baby and Juvenile Giftwrap</t>
  </si>
  <si>
    <t>Default Category/Gift Wrapping &amp; Packaging/Gift Wrap/Shamrock/Celebrate Giftwrap</t>
  </si>
  <si>
    <t>Default Category/Gift Wrapping &amp; Packaging/Gift Wrap/Shamrock/Christmas and Holiday Giftwrap 5</t>
  </si>
  <si>
    <t>Default Category/Gift Wrapping &amp; Packaging/Gift Wrap/Shamrock/Christmas and Holiday Giftwrap 6</t>
  </si>
  <si>
    <t>Default Category/Gift Wrapping &amp; Packaging/Gift Wrap/Shamrock/Feminine and Floral Giftwrap</t>
  </si>
  <si>
    <t>Default Category/Gift Wrapping &amp; Packaging/Gift Wrap/Shamrock/Special Finishes; Solids; Foils; &amp; Specialty Krafts Giftwrap</t>
  </si>
  <si>
    <t>Default Category/Gift Wrapping &amp; Packaging/Gift Wrap/Shamrock/Wedding and Valentine Giftwrap</t>
  </si>
  <si>
    <t>Default Category/Gift Wrapping &amp; Packaging/Gift Wrap/Shamrock/Masculine Giftwrap</t>
  </si>
  <si>
    <t>Default Category/Gift Wrapping &amp; Packaging/Gift Wrap/Sullivan GiftWrap</t>
  </si>
  <si>
    <t>Default Category/Gift Wrapping &amp; Packaging/Gift Wrap/Sullivan GiftWrap/Ethnic; Animal Prints; &amp; Classics Giftwrap</t>
  </si>
  <si>
    <t>Default Category/Gift Wrapping &amp; Packaging/Gift Wrap/Sullivan GiftWrap/Florentine's; Floral's; Fruit's &amp; Tapestries Giftwrap 1</t>
  </si>
  <si>
    <t>Default Category/Gift Wrapping &amp; Packaging/Gift Wrap/Sullivan GiftWrap/Florentine's; Floral's; Fruit's &amp; Tapestries Gift Wrap 2</t>
  </si>
  <si>
    <t>Default Category/Gift Wrapping &amp; Packaging/Gift Wrap/Sullivan GiftWrap/Wedding &amp; Shower</t>
  </si>
  <si>
    <t>Default Category/Gift Wrapping &amp; Packaging/Gift Wrap/Sullivan GiftWrap/Valentines Day Giftwrap</t>
  </si>
  <si>
    <t>Default Category/Gift Wrapping &amp; Packaging/Gift Wrap/Sullivan GiftWrap/Foils; Metallics and Pearlescents Giftwrap</t>
  </si>
  <si>
    <t>Default Category/Gift Wrapping &amp; Packaging/Gift Wrap/Sullivan GiftWrap/Birthday; Celebration &amp; Party Giftwrap</t>
  </si>
  <si>
    <t>Default Category/Gift Wrapping &amp; Packaging/Gift Wrap/Sullivan GiftWrap/Baby &amp; Juvenile Giftwrap</t>
  </si>
  <si>
    <t>Default Category/Gift Wrapping &amp; Packaging/Gift Wrap/Sullivan GiftWrap/Geometrics Giftwrap</t>
  </si>
  <si>
    <t>Default Category/Gift Wrapping &amp; Packaging/Gift Wrap/Sullivan GiftWrap/Dots; Stripes &amp; Miscellaneous Gift Wrap</t>
  </si>
  <si>
    <t>Default Category/Gift Wrapping &amp; Packaging/Gift Wrap/Sullivan GiftWrap/Pastimes; Sports; Sailing; Marbles; &amp; Masculine Giftwrap</t>
  </si>
  <si>
    <t>Default Category/Gift Wrapping &amp; Packaging/Gift Wrap/Sullivan GiftWrap/Solid Colored Giftwrap</t>
  </si>
  <si>
    <t>Default Category/Gift Wrapping &amp; Packaging/Gift Wrap/Sullivan GiftWrap/Special Occasions Giftwrap</t>
  </si>
  <si>
    <t>Default Category/Gift Wrapping &amp; Packaging/Gift Wrap/VantagePOINT GiftWrap</t>
  </si>
  <si>
    <t>Default Category/Gift Wrapping &amp; Packaging/Gift Wrap/VantagePOINT GiftWrap/Recycled Paper Everyday Patterns Giftwrap</t>
  </si>
  <si>
    <t>Default Category/Gift Wrapping &amp; Packaging/Gift Wrap/Western Themed GiftWrap</t>
  </si>
  <si>
    <t>Default Category/Gift Wrapping &amp; Packaging/Gift Wrap/Western Themed GiftWrap/Everyday Western &amp; English Gift Wrap</t>
  </si>
  <si>
    <t>Default Category/Gift Wrapping &amp; Packaging/Gift Wrap/Western Themed GiftWrap/Christmas Western Giftwrap</t>
  </si>
  <si>
    <t>Default Category/Gift Wrapping &amp; Packaging/Gift Wrap/BARGAIN In Stock Giftwrap</t>
  </si>
  <si>
    <t>Default Category/Gift Wrapping &amp; Packaging/Gift Wrap/BARGAIN In Stock Giftwrap/Everyday Patterns 100' Rolls</t>
  </si>
  <si>
    <t>Default Category/Gift Wrapping &amp; Packaging/Gift Wrap/BARGAIN In Stock Giftwrap/Everyday Patterns II 100' rolls</t>
  </si>
  <si>
    <t>Default Category/Gift Wrapping &amp; Packaging/Gift Wrap/BARGAIN In Stock Giftwrap/Christmas &amp; Holiday Patterns 100' Rolls</t>
  </si>
  <si>
    <t>Default Category/Gift Wrapping &amp; Packaging/Gift Wrap/BARGAIN In Stock Giftwrap/Everyday Giftwrap 24" x 50' Rolls</t>
  </si>
  <si>
    <t>Default Category/Gift Wrapping &amp; Packaging/Gift Wrap/BARGAIN In Stock Giftwrap/Christmas Giftwrap 24" x 50' Rolls</t>
  </si>
  <si>
    <t>Default Category/Gift Wrapping &amp; Packaging/Gift Wrap/Holiday Giftwrap</t>
  </si>
  <si>
    <t>Default Category/Gift Wrapping &amp; Packaging/Gift Wrap/Holiday Giftwrap/Christmas and Holiday Giftwrap 2</t>
  </si>
  <si>
    <t>Default Category/Gift Wrapping &amp; Packaging/Gift Wrap/Holiday Giftwrap/Christmas and Holiday Giftwrap 1</t>
  </si>
  <si>
    <t>Default Category/Gift Wrapping &amp; Packaging/Gift Wrap/JR GiftWrap</t>
  </si>
  <si>
    <t>Default Category/Gift Wrapping &amp; Packaging/Gift Wrap/JR GiftWrap/Baby Giftwrap</t>
  </si>
  <si>
    <t>Default Category/Gift Wrapping &amp; Packaging/Gift Wrap/JR GiftWrap/Birthday &amp; Celebration Giftwrap</t>
  </si>
  <si>
    <t>Default Category/Gift Wrapping &amp; Packaging/Gift Wrap/JR GiftWrap/Floral Giftwrap</t>
  </si>
  <si>
    <t>Default Category/Gift Wrapping &amp; Packaging/Gift Wrap/JR GiftWrap/Masculine Giftwrap</t>
  </si>
  <si>
    <t>Default Category/Gift Wrapping &amp; Packaging/Gift Wrap/JR GiftWrap/Wedding; Bridal and Anniversary Giftwrap</t>
  </si>
  <si>
    <t>Default Category/Gift Wrapping &amp; Packaging/Gift Wrap/JR GiftWrap/Double Sided &amp; Kraft Giftwrap</t>
  </si>
  <si>
    <t>Default Category/Gift Wrapping &amp; Packaging/Gift Wrap/JR GiftWrap/Matte Solid Giftwrap</t>
  </si>
  <si>
    <t>Default Category/Gift Wrapping &amp; Packaging/Gift Wrap/JR GiftWrap/Graphic Giftwrap</t>
  </si>
  <si>
    <t>Default Category/Gift Wrapping &amp; Packaging/Gift Wrap/JR GiftWrap/Juvenile Giftwrap</t>
  </si>
  <si>
    <t>Default Category/Gift Wrapping &amp; Packaging/Gift Wrap/JR GiftWrap/Valentine Giftwrap</t>
  </si>
  <si>
    <t>Default Category/Gift Wrapping &amp; Packaging/Gift Wrap/Kraft Paper GiftWrap</t>
  </si>
  <si>
    <t>Default Category/Gift Wrapping &amp; Packaging/Gift Wrap/Kraft Paper GiftWrap/A La Carte Gift Wraps</t>
  </si>
  <si>
    <t>Default Category/Gift Wrapping &amp; Packaging/Bows &amp; Ribbon</t>
  </si>
  <si>
    <t>Default Category/Gift Wrapping &amp; Packaging/Bows &amp; Ribbon/Perfect Bows &amp; Ribbon</t>
  </si>
  <si>
    <t>Default Category/Gift Wrapping &amp; Packaging/Bows &amp; Ribbon/Perfect Bows &amp; Ribbon/Perfect Bows</t>
  </si>
  <si>
    <t>Default Category/Gift Wrapping &amp; Packaging/Bows &amp; Ribbon/Perfect Bows &amp; Ribbon/Flora Satin Ribbon</t>
  </si>
  <si>
    <t>Default Category/Gift Wrapping &amp; Packaging/Bows &amp; Ribbon/Star; Prenotched Bows; Ribbon</t>
  </si>
  <si>
    <t>Default Category/Gift Wrapping &amp; Packaging/Bows &amp; Ribbon/Star; Prenotched Bows; Ribbon/Star Bows</t>
  </si>
  <si>
    <t>Default Category/Gift Wrapping &amp; Packaging/Bows &amp; Ribbon/Star; Prenotched Bows; Ribbon/Pull Out Pre-Notch Bows</t>
  </si>
  <si>
    <t>Default Category/Gift Wrapping &amp; Packaging/Bows &amp; Ribbon/Star; Prenotched Bows; Ribbon/Splendorette Ribbon</t>
  </si>
  <si>
    <t>Default Category/Gift Wrapping &amp; Packaging/Bows &amp; Ribbon/Stretch Loops &amp; Cord</t>
  </si>
  <si>
    <t>Default Category/Gift Wrapping &amp; Packaging/Bows &amp; Ribbon/Stretch Loops &amp; Cord/Stretch Loops</t>
  </si>
  <si>
    <t>Default Category/Gift Wrapping &amp; Packaging/Bows &amp; Ribbon/Stretch Loops &amp; Cord/Tinsel Cord</t>
  </si>
  <si>
    <t>Default Category/Gift Wrapping &amp; Packaging/Bows &amp; Ribbon/Stretch Loops &amp; Cord/Cleopatra Cord</t>
  </si>
  <si>
    <t>Default Category/Gift Wrapping &amp; Packaging/Bows &amp; Ribbon/Tulle</t>
  </si>
  <si>
    <t>Default Category/Gift Wrapping &amp; Packaging/Bows &amp; Ribbon/Tulle/Tulle Rolls</t>
  </si>
  <si>
    <t>Default Category/Gift Wrapping &amp; Packaging/Bows &amp; Ribbon/Wraphia; Raffia; Excelsior</t>
  </si>
  <si>
    <t>Default Category/Gift Wrapping &amp; Packaging/Bows &amp; Ribbon/Wraphia; Raffia; Excelsior/Raffia</t>
  </si>
  <si>
    <t>Default Category/Gift Wrapping &amp; Packaging/Bows &amp; Ribbon/Wraphia; Raffia; Excelsior/Wraphia in Matte Colors</t>
  </si>
  <si>
    <t>Default Category/Gift Wrapping &amp; Packaging/Bows &amp; Ribbon/Wraphia; Raffia; Excelsior/Wraphia in Pearlized Colors</t>
  </si>
  <si>
    <t>Default Category/Gift Wrapping &amp; Packaging/Bows &amp; Ribbon/Curling Ribbon</t>
  </si>
  <si>
    <t>Default Category/Gift Wrapping &amp; Packaging/Bows &amp; Ribbon/Curling Ribbon/Curling Ribbon</t>
  </si>
  <si>
    <t>Default Category/Gift Wrapping &amp; Packaging/Bows &amp; Ribbon/Curling Ribbon/Crimped Metallic Tone Curling Ribbon</t>
  </si>
  <si>
    <t>Default Category/Gift Wrapping &amp; Packaging/Bows &amp; Ribbon/Curling Ribbon/Printed Curling Ribbon</t>
  </si>
  <si>
    <t>Default Category/Gift Wrapping &amp; Packaging/Bows &amp; Ribbon/Fabric Ribbon</t>
  </si>
  <si>
    <t>Default Category/Gift Wrapping &amp; Packaging/Bows &amp; Ribbon/Fabric Ribbon/Simply Sheer Asiana Fabric Ribbon</t>
  </si>
  <si>
    <t>Default Category/Gift Wrapping &amp; Packaging/Bows &amp; Ribbon/Fabric Ribbon/Dyna Satin Acetate Ribbon</t>
  </si>
  <si>
    <t>Default Category/Gift Wrapping &amp; Packaging/Bows &amp; Ribbon/Fabric Ribbon/Grosgrain Ribbon</t>
  </si>
  <si>
    <t>Default Category/Gift Wrapping &amp; Packaging/Bows &amp; Ribbon/Fabric Ribbon/Single Faced Satin Ribbon</t>
  </si>
  <si>
    <t>Default Category/Gift Wrapping &amp; Packaging/Bows &amp; Ribbon/Fabric Ribbon/Wired Encore Ribbon</t>
  </si>
  <si>
    <t>Default Category/Gift Wrapping &amp; Packaging/Bows &amp; Ribbon/Fabric Ribbon/Jungle Print Polyester Ribbon</t>
  </si>
  <si>
    <t>Default Category/Gift Wrapping &amp; Packaging/Bows &amp; Ribbon/Fabric Ribbon/Double Faced Satin Ribbon</t>
  </si>
  <si>
    <t>Default Category/Gift Wrapping &amp; Packaging/Bows &amp; Ribbon/Metallic Bows &amp; Ribbon</t>
  </si>
  <si>
    <t>Default Category/Gift Wrapping &amp; Packaging/Bows &amp; Ribbon/Metallic Bows &amp; Ribbon/Glitter Star Bows</t>
  </si>
  <si>
    <t>Default Category/Gift Wrapping &amp; Packaging/Bows &amp; Ribbon/Metallic Bows &amp; Ribbon/Glitter Ribbon</t>
  </si>
  <si>
    <t>Default Category/Gift Wrapping &amp; Packaging/Bows &amp; Ribbon/Metallic Bows &amp; Ribbon/Glitter Perfect Bows</t>
  </si>
  <si>
    <t>Default Category/Gift Wrapping &amp; Packaging/Bows &amp; Ribbon/Metallic Bows &amp; Ribbon/Herringbone Tinsel Ribbon</t>
  </si>
  <si>
    <t>Default Category/Gift Wrapping &amp; Packaging/Bows &amp; Ribbon/Natural Curling Ribbon</t>
  </si>
  <si>
    <t>Default Category/Gift Wrapping &amp; Packaging/Bows &amp; Ribbon/Natural Curling Ribbon/Ribbon Slitters</t>
  </si>
  <si>
    <t>Default Category/Gift Wrapping &amp; Packaging/Bows &amp; Ribbon/Natural Curling Ribbon/Solid Natural Curling Ribbon</t>
  </si>
  <si>
    <t>Default Category/Gift Wrapping &amp; Packaging/Bows &amp; Ribbon/Natural Curling Ribbon/Hot Dots Natural Curling Ribbon</t>
  </si>
  <si>
    <t>Default Category/Gift Wrapping &amp; Packaging/Bows &amp; Ribbon/Natural Curling Ribbon/Chambray Natural Curling Ribbon</t>
  </si>
  <si>
    <t>Default Category/Gift Wrapping &amp; Packaging/Bows &amp; Ribbon/Natural Curling Ribbon/Metallic Crimped Natural Curling Ribbon</t>
  </si>
  <si>
    <t>Default Category/Gift Wrapping &amp; Packaging/Bows &amp; Ribbon/Natural Curling Ribbon/Stripe Natural Curling Ribbon</t>
  </si>
  <si>
    <t>Default Category/Gift Wrapping &amp; Packaging/Bows &amp; Ribbon/Natural Curling Ribbon/Animal Prints Natural Curling Ribbon</t>
  </si>
  <si>
    <t>Default Category/Gift Wrapping &amp; Packaging/Tissue Paper; Shreds &amp; Polypropylene Rolls</t>
  </si>
  <si>
    <t>Default Category/Gift Wrapping &amp; Packaging/Tissue Paper; Shreds &amp; Polypropylene Rolls/Polypropylene Rolls &amp; Bags</t>
  </si>
  <si>
    <t>Default Category/Gift Wrapping &amp; Packaging/Tissue Paper; Shreds &amp; Polypropylene Rolls/Polypropylene Rolls &amp; Bags/Clear &amp; Colored Clearphane Film Rolls</t>
  </si>
  <si>
    <t>Default Category/Gift Wrapping &amp; Packaging/Tissue Paper; Shreds &amp; Polypropylene Rolls/Shreds</t>
  </si>
  <si>
    <t>Default Category/Gift Wrapping &amp; Packaging/Tissue Paper; Shreds &amp; Polypropylene Rolls/Shreds/Natural Wood Excelsior Shred</t>
  </si>
  <si>
    <t>Default Category/Gift Wrapping &amp; Packaging/Tissue Paper; Shreds &amp; Polypropylene Rolls/Shreds/Crinkle Cut Shred</t>
  </si>
  <si>
    <t>Default Category/Gift Wrapping &amp; Packaging/Tissue Paper; Shreds &amp; Polypropylene Rolls/Tissue Paper</t>
  </si>
  <si>
    <t>Default Category/Gift Wrapping &amp; Packaging/Tissue Paper; Shreds &amp; Polypropylene Rolls/Tissue Paper/White and Recycled Kraft Tissue Paper</t>
  </si>
  <si>
    <t>Default Category/Gift Wrapping &amp; Packaging/Tissue Paper; Shreds &amp; Polypropylene Rolls/Tissue Paper/Solid Color Tissue Paper Assortment Packs</t>
  </si>
  <si>
    <t>Default Category/Gift Wrapping &amp; Packaging/Tissue Paper; Shreds &amp; Polypropylene Rolls/Tissue Paper/Precious Metal Patterns Printed Tissue Paper</t>
  </si>
  <si>
    <t>Default Category/Gift Wrapping &amp; Packaging/Tissue Paper; Shreds &amp; Polypropylene Rolls/Tissue Paper/Shamrock Printed Tissue Paper</t>
  </si>
  <si>
    <t>Default Category/Gift Wrapping &amp; Packaging/Tissue Paper; Shreds &amp; Polypropylene Rolls/Tissue Paper/Western Printed Tissue Paper</t>
  </si>
  <si>
    <t>Default Category/Gift Wrapping &amp; Packaging/Tissue Paper; Shreds &amp; Polypropylene Rolls/Tissue Paper/Botanical Printed Tissue Paper</t>
  </si>
  <si>
    <t>Default Category/Gift Wrapping &amp; Packaging/Tissue Paper; Shreds &amp; Polypropylene Rolls/Tissue Paper/All Occasion Printed Tissue Paper</t>
  </si>
  <si>
    <t>Default Category/Gift Wrapping &amp; Packaging/Tissue Paper; Shreds &amp; Polypropylene Rolls/Tissue Paper/Pearlesence Tissue Paper</t>
  </si>
  <si>
    <t>Default Category/Gift Wrapping &amp; Packaging/Tissue Paper; Shreds &amp; Polypropylene Rolls/Tissue Paper/Gemstones Patterned Tissue Paper</t>
  </si>
  <si>
    <t>Default Category/Gift Wrapping &amp; Packaging/Tissue Paper; Shreds &amp; Polypropylene Rolls/Tissue Paper/Reflections Tissue Paper</t>
  </si>
  <si>
    <t>Default Category/Gift Wrapping &amp; Packaging/Tissue Paper; Shreds &amp; Polypropylene Rolls/Tissue Paper/Animal Printed Tissue Paper</t>
  </si>
  <si>
    <t>Default Category/Gift Wrapping &amp; Packaging/Tissue Paper; Shreds &amp; Polypropylene Rolls/Tissue Paper/Solid Color Tissue Paper</t>
  </si>
  <si>
    <t>Default Category/Gift Wrapping &amp; Packaging/Gift Enclosure Cards</t>
  </si>
  <si>
    <t>Default Category/Gift Wrapping &amp; Packaging/Gift Enclosure Cards/Everyday Designs for Gift Enclosure Cards</t>
  </si>
  <si>
    <t>Default Category/Gift Wrapping &amp; Packaging/Gift Enclosure Cards/Envelopes for Gift Enclosure Cards</t>
  </si>
  <si>
    <t>Default Category/Gift Wrapping &amp; Packaging/Gift Enclosure Cards/Christmas and Holiday Gift Enclosure Cards</t>
  </si>
  <si>
    <t>Default Category/Gift Wrapping &amp; Packaging/Food Packaging</t>
  </si>
  <si>
    <t>Default Category/Gift Wrapping &amp; Packaging/Food Packaging/Polyproylene Bags &amp; Rolls</t>
  </si>
  <si>
    <t>Default Category/Gift Wrapping &amp; Packaging/Food Packaging/Polyproylene Bags &amp; Rolls/Printed Polypropylene Rolls</t>
  </si>
  <si>
    <t>Default Category/Gift Wrapping &amp; Packaging/Food Packaging/Decorative Corrugated Boxes</t>
  </si>
  <si>
    <t>Default Category/Gift Wrapping &amp; Packaging/Food Packaging/Decorative Corrugated Boxes/Rainforest; Cranberry</t>
  </si>
  <si>
    <t>Default Category/Gift Wrapping &amp; Packaging/Food Packaging/Decorative Corrugated Boxes/Arctic Frost Gift Boxes</t>
  </si>
  <si>
    <t>Default Category/Gift Wrapping &amp; Packaging/Food Packaging/Decorative Corrugated Boxes/Evergreen</t>
  </si>
  <si>
    <t>Default Category/Gift Wrapping &amp; Packaging/Food Packaging/Decorative Corrugated Boxes/Festive Holiday</t>
  </si>
  <si>
    <t>Default Category/Gift Wrapping &amp; Packaging/Food Packaging/Decorative Corrugated Boxes/Cheerful Chevron</t>
  </si>
  <si>
    <t>Default Category/Gift Wrapping &amp; Packaging/Food Packaging/Decorative Corrugated Boxes/Folding Candy Boxes</t>
  </si>
  <si>
    <t>Default Category/Gift Wrapping &amp; Packaging/Food Packaging/Food Grade Tissue</t>
  </si>
  <si>
    <t>Default Category/Gift Wrapping &amp; Packaging/Food Packaging/Food Grade Tissue/Hi Performance Dry Wax Food Service Tissue Paper</t>
  </si>
  <si>
    <t>Default Category/Gift Wrapping &amp; Packaging/Food Packaging/Food Grade Tissue/Menu Tissue Paper</t>
  </si>
  <si>
    <t>Default Category/Gift Wrapping &amp; Packaging/Food Packaging/Food Grade Tissue/Ultra Performance 20# Grease Resistant Tissue Paper</t>
  </si>
  <si>
    <t>Default Category/Gift Wrapping &amp; Packaging/Food Packaging/Food Service Boxes</t>
  </si>
  <si>
    <t>Default Category/Gift Wrapping &amp; Packaging/Food Packaging/Food Service Boxes/Bakery Boxes; Lock Corner; 1 Piece White</t>
  </si>
  <si>
    <t>Default Category/Gift Wrapping &amp; Packaging/Food Packaging/Food Service Boxes/Bakery Boxes 2 Piece Lock Corner</t>
  </si>
  <si>
    <t>Default Category/Gift Wrapping &amp; Packaging/Food Packaging/Food Service Boxes/Donut Carry Out Boxes</t>
  </si>
  <si>
    <t>Default Category/Gift Wrapping &amp; Packaging/Food Packaging/Food Service Boxes/Cake Pads Rectangle</t>
  </si>
  <si>
    <t>Default Category/Gift Wrapping &amp; Packaging/Food Packaging/Food Service Boxes/Window Cup Cake Boxes</t>
  </si>
  <si>
    <t>Default Category/Gift Wrapping &amp; Packaging/Food Packaging/Food Service Boxes/Cupcake Inserts</t>
  </si>
  <si>
    <t>Default Category/Gift Wrapping &amp; Packaging/Food Packaging/Food Service Boxes/Pizza Take Out Boxes</t>
  </si>
  <si>
    <t>Default Category/Gift Wrapping &amp; Packaging/Food Packaging/Food Service Boxes/Take and Bake Pizza Trays</t>
  </si>
  <si>
    <t>Default Category/Gift Wrapping &amp; Packaging/Food Packaging/Food Service Boxes/White and Brown Kraft Gable Boxes</t>
  </si>
  <si>
    <t>Default Category/Gift Wrapping &amp; Packaging/Food Packaging/Food Service Boxes/Drink Take Out Carriers</t>
  </si>
  <si>
    <t>Default Category/Gift Wrapping &amp; Packaging/Food Packaging/Food Service Boxes/Snack Pak Open Trays</t>
  </si>
  <si>
    <t>Default Category/Gift Wrapping &amp; Packaging/Food Packaging/Food Service Boxes/Deli Boxes</t>
  </si>
  <si>
    <t>Default Category/Gift Wrapping &amp; Packaging/Food Packaging/Food Service Boxes/Meat Boxes</t>
  </si>
  <si>
    <t>Default Category/Gift Wrapping &amp; Packaging/Food Packaging/Food Service Boxes/Window Bakery Boxes</t>
  </si>
  <si>
    <t>Default Category/Gift Wrapping &amp; Packaging/Food Packaging/Food Service Boxes/Baker's Choice Window Bakery Boxes</t>
  </si>
  <si>
    <t>Default Category/Gift Wrapping &amp; Packaging/Food Packaging/Food Service Boxes/Printed Kraft Boxes with Windows</t>
  </si>
  <si>
    <t>Default Category/Gift Wrapping &amp; Packaging/Food Packaging/A La Carte Bags &amp; Boxes</t>
  </si>
  <si>
    <t>Default Category/Gift Wrapping &amp; Packaging/Food Packaging/A La Carte Bags &amp; Boxes/Beaujolais Collection Bags and Boxes</t>
  </si>
  <si>
    <t>Default Category/Gift Wrapping &amp; Packaging/Labels &amp; Stickers</t>
  </si>
  <si>
    <t>Default Category/Gift Wrapping &amp; Packaging/Labels &amp; Stickers/Special Occasion Gift Labels</t>
  </si>
  <si>
    <t>Default Category/Store Display Cases; Racks &amp; Showcases</t>
  </si>
  <si>
    <t>Default Category/Store Display Cases; Racks &amp; Showcases/Wire &amp; Acylic Easels</t>
  </si>
  <si>
    <t>Default Category/Store Display Cases; Racks &amp; Showcases/Wire &amp; Acylic Easels/Acrylic Dinnerware Plate Holder</t>
  </si>
  <si>
    <t>Default Category/Store Display Cases; Racks &amp; Showcases/Wire &amp; Acylic Easels/Wire Vinyl Coated Easels</t>
  </si>
  <si>
    <t>Default Category/Store Display Cases; Racks &amp; Showcases/Wire &amp; Acylic Easels/Acrylic Countertop 1" Opening Easels</t>
  </si>
  <si>
    <t>Default Category/Store Display Cases; Racks &amp; Showcases/Wire &amp; Acylic Easels/Acrylic Cellphone and GPS Easels</t>
  </si>
  <si>
    <t>Default Category/Store Display Cases; Racks &amp; Showcases/Wire &amp; Acylic Easels/Twisted Wire Easels</t>
  </si>
  <si>
    <t>Default Category/Store Display Cases; Racks &amp; Showcases/Wire &amp; Acylic Easels/Wooden Hinged Easels</t>
  </si>
  <si>
    <t>Default Category/Store Display Cases; Racks &amp; Showcases/Wire &amp; Acylic Easels/Adjustable Easel for Slatwall or Slatgrid</t>
  </si>
  <si>
    <t>Default Category/Store Display Cases; Racks &amp; Showcases/Mannequins</t>
  </si>
  <si>
    <t>Default Category/Store Display Cases; Racks &amp; Showcases/Mannequins/Rudy &amp; Judy Mannequins</t>
  </si>
  <si>
    <t>Default Category/Store Display Cases; Racks &amp; Showcases/Mannequins/Rudy &amp; Judy Mannequins/Rudy</t>
  </si>
  <si>
    <t>Default Category/Store Display Cases; Racks &amp; Showcases/Mannequins/Rudy &amp; Judy Mannequins/Headless Rudy and Judy</t>
  </si>
  <si>
    <t>Default Category/Store Display Cases; Racks &amp; Showcases/Mannequins/Suit; Dress Forms</t>
  </si>
  <si>
    <t>Default Category/Store Display Cases; Racks &amp; Showcases/Mannequins/Suit; Dress Forms/Womens Dress &amp; Blouse Form with Metal Base</t>
  </si>
  <si>
    <t>Default Category/Store Display Cases; Racks &amp; Showcases/Mannequins/Suit; Dress Forms/Mens Suit &amp; Shirt Form with Metal Base</t>
  </si>
  <si>
    <t>Default Category/Store Display Cases; Racks &amp; Showcases/Mannequins/Unbreakable Forms</t>
  </si>
  <si>
    <t>Default Category/Store Display Cases; Racks &amp; Showcases/Mannequins/Unbreakable Forms/Female Hanging Torso Form with No Arms</t>
  </si>
  <si>
    <t>Default Category/Store Display Cases; Racks &amp; Showcases/Mannequins/Unbreakable Forms/Female Torso Form with Arms</t>
  </si>
  <si>
    <t>Default Category/Store Display Cases; Racks &amp; Showcases/Mannequins/Unbreakable Forms/Female Torso Form with No Arms</t>
  </si>
  <si>
    <t>Default Category/Store Display Cases; Racks &amp; Showcases/Mannequins/Unbreakable Forms/Male Hanging Torso Form with No Arms</t>
  </si>
  <si>
    <t>Default Category/Store Display Cases; Racks &amp; Showcases/Mannequins/Unbreakable Forms/Male Torso Form with Arms</t>
  </si>
  <si>
    <t>Default Category/Store Display Cases; Racks &amp; Showcases/Mannequins/Unbreakable Forms/Male Torso Form with No Arms</t>
  </si>
  <si>
    <t>Default Category/Store Display Cases; Racks &amp; Showcases/Mannequins/Unbreakable Forms/Female with Oval Head</t>
  </si>
  <si>
    <t>Default Category/Store Display Cases; Racks &amp; Showcases/Mannequins/Unbreakable Forms/Female Headless with Straight Legs &amp; Arms</t>
  </si>
  <si>
    <t>Default Category/Store Display Cases; Racks &amp; Showcases/Mannequins/Unbreakable Forms/Male Headless with Straight Legs and Arms</t>
  </si>
  <si>
    <t>Default Category/Store Display Cases; Racks &amp; Showcases/Mannequins/Unbreakable Forms/Female Leg Form</t>
  </si>
  <si>
    <t>Default Category/Store Display Cases; Racks &amp; Showcases/Mannequins/Unbreakable Forms/Male Leg Form</t>
  </si>
  <si>
    <t>Default Category/Store Display Cases; Racks &amp; Showcases/Mannequins/Unbreakable Forms/Female Hip Form</t>
  </si>
  <si>
    <t>Default Category/Store Display Cases; Racks &amp; Showcases/Mannequins/Unbreakable Forms/Male Hip Form</t>
  </si>
  <si>
    <t>Default Category/Store Display Cases; Racks &amp; Showcases/Mannequins/Adult &amp; Child Jersey Forms</t>
  </si>
  <si>
    <t>Default Category/Store Display Cases; Racks &amp; Showcases/Mannequins/Adult &amp; Child Jersey Forms/Child Jersey Form</t>
  </si>
  <si>
    <t>Default Category/Store Display Cases; Racks &amp; Showcases/Mannequins/Adult &amp; Child Jersey Forms/Mens Jersey Jacket Form</t>
  </si>
  <si>
    <t>Default Category/Store Display Cases; Racks &amp; Showcases/Mannequins/Adult &amp; Child Jersey Forms/Mens Jersey Shirt Form</t>
  </si>
  <si>
    <t>Default Category/Store Display Cases; Racks &amp; Showcases/Mannequins/Adult &amp; Child Jersey Forms/Womens Dress Form</t>
  </si>
  <si>
    <t>Default Category/Store Display Cases; Racks &amp; Showcases/Mannequins/Adult &amp; Child Jersey Forms/Womens Jersey Blouse Forms</t>
  </si>
  <si>
    <t>Default Category/Store Display Cases; Racks &amp; Showcases/Mannequins/Apollo &amp; Athena Forms</t>
  </si>
  <si>
    <t>Default Category/Store Display Cases; Racks &amp; Showcases/Mannequins/Apollo &amp; Athena Forms/Athena Miss Size Full Torso Form</t>
  </si>
  <si>
    <t>Default Category/Store Display Cases; Racks &amp; Showcases/Mannequins/Apollo &amp; Athena Forms/Athena Ladies Blouse Form</t>
  </si>
  <si>
    <t>Default Category/Store Display Cases; Racks &amp; Showcases/Mannequins/Apollo &amp; Athena Forms/Apollo Torso Form w Matching Painted Wooden Snap-on Base</t>
  </si>
  <si>
    <t>Default Category/Store Display Cases; Racks &amp; Showcases/Mannequins/Apollo &amp; Athena Forms/Apollo Muscular Shirt Form</t>
  </si>
  <si>
    <t>Default Category/Store Display Cases; Racks &amp; Showcases/Mannequins/Apollo &amp; Athena Forms/Adjustable Sweater and Jacket Form</t>
  </si>
  <si>
    <t>Default Category/Store Display Cases; Racks &amp; Showcases/Mannequins/Apollo &amp; Athena Forms/Apollo Torso Form with Wood Pin Base</t>
  </si>
  <si>
    <t>Default Category/Store Display Cases; Racks &amp; Showcases/Mannequins/Costumers</t>
  </si>
  <si>
    <t>Default Category/Store Display Cases; Racks &amp; Showcases/Mannequins/Costumers/Goose Neck Blouse Display</t>
  </si>
  <si>
    <t>Default Category/Store Display Cases; Racks &amp; Showcases/Mannequins/Costumers/Child Flex Form Plush Black</t>
  </si>
  <si>
    <t>Default Category/Store Display Cases; Racks &amp; Showcases/Mannequins/Costumers/Adult Flex Form Plush Black</t>
  </si>
  <si>
    <t>Default Category/Store Display Cases; Racks &amp; Showcases/Mannequins/Costumers/Adj Notched Costumer</t>
  </si>
  <si>
    <t>Default Category/Store Display Cases; Racks &amp; Showcases/Mannequins/Costumers/Countertop with Shoulder Bar Black</t>
  </si>
  <si>
    <t>Default Category/Store Display Cases; Racks &amp; Showcases/Mannequins/Costumers/Floor Stand with Shoulder Bar Black</t>
  </si>
  <si>
    <t>Default Category/Store Display Cases; Racks &amp; Showcases/Mannequins/Costumers/Child Floor Stand</t>
  </si>
  <si>
    <t>Default Category/Store Display Cases; Racks &amp; Showcases/Mannequins/Costumers/Men's Floor Stand</t>
  </si>
  <si>
    <t>Default Category/Store Display Cases; Racks &amp; Showcases/Mannequins/Costumers/Men's Countertop</t>
  </si>
  <si>
    <t>Default Category/Store Display Cases; Racks &amp; Showcases/Mannequins/Crystalline Series Mannequins</t>
  </si>
  <si>
    <t>Default Category/Store Display Cases; Racks &amp; Showcases/Mannequins/Crystalline Series Mannequins/White Translucent Female</t>
  </si>
  <si>
    <t>Default Category/Store Display Cases; Racks &amp; Showcases/Mannequins/Crystalline Series Mannequins/White Translucent Male</t>
  </si>
  <si>
    <t>Default Category/Store Display Cases; Racks &amp; Showcases/Mannequins/Head Forms</t>
  </si>
  <si>
    <t>Default Category/Store Display Cases; Racks &amp; Showcases/Mannequins/Head Forms/Ladies Abstact Fiberglass Head</t>
  </si>
  <si>
    <t>Default Category/Store Display Cases; Racks &amp; Showcases/Mannequins/Head Forms/Styrofoam Heads</t>
  </si>
  <si>
    <t>Default Category/Store Display Cases; Racks &amp; Showcases/Mannequins/Hosiery &amp; Sock Displays</t>
  </si>
  <si>
    <t>Default Category/Store Display Cases; Racks &amp; Showcases/Mannequins/Hosiery &amp; Sock Displays/Female Leg</t>
  </si>
  <si>
    <t>Default Category/Store Display Cases; Racks &amp; Showcases/Mannequins/Hosiery &amp; Sock Displays/Athletic Men's Sock Display</t>
  </si>
  <si>
    <t>Default Category/Store Display Cases; Racks &amp; Showcases/Mannequins/Kidz Klub Mannequins</t>
  </si>
  <si>
    <t>Default Category/Store Display Cases; Racks &amp; Showcases/Mannequins/Kidz Klub Mannequins/Kidz Klub 4-yr old Unisex - White</t>
  </si>
  <si>
    <t>Default Category/Store Display Cases; Racks &amp; Showcases/Mannequins/Kidz Klub Mannequins/Kidz Klub 6-yr old Unisex - White</t>
  </si>
  <si>
    <t>Default Category/Store Display Cases; Racks &amp; Showcases/Mannequins/Kidz Klub Mannequins/Kidz Klub 6-yr old Seated Unisex - White</t>
  </si>
  <si>
    <t>Default Category/Store Display Cases; Racks &amp; Showcases/Mannequins/Kidz Klub Mannequins/Kidz Klub 8-yr old Unisex - White</t>
  </si>
  <si>
    <t>Default Category/Store Display Cases; Racks &amp; Showcases/Mannequins/Kidz Klub Mannequins/Kidz Klub 10-yr old Unisex - White</t>
  </si>
  <si>
    <t>Default Category/Store Display Cases; Racks &amp; Showcases/Mannequins/Kidz Klub Mannequins/Kidz Klub 12-yr old Unisex - White</t>
  </si>
  <si>
    <t>Default Category/Store Display Cases; Racks &amp; Showcases/Mannequins/Molded Forms</t>
  </si>
  <si>
    <t>Default Category/Store Display Cases; Racks &amp; Showcases/Mannequins/Molded Forms/Soft Silhouette Forms</t>
  </si>
  <si>
    <t>Default Category/Store Display Cases; Racks &amp; Showcases/Mannequins/Molded Forms/Junior Size Molded Forms</t>
  </si>
  <si>
    <t>Default Category/Store Display Cases; Racks &amp; Showcases/Mannequins/Molded Forms/Junior Swimwear Molded Forms</t>
  </si>
  <si>
    <t>Default Category/Store Display Cases; Racks &amp; Showcases/Mannequins/Molded Forms/Misses Molded Forms</t>
  </si>
  <si>
    <t>Default Category/Store Display Cases; Racks &amp; Showcases/Mannequins/Molded Forms/Male Full Torso Molded Forms</t>
  </si>
  <si>
    <t>Default Category/Store Display Cases; Racks &amp; Showcases/Mannequins/Molded Forms/Ladies Full Round 5 8" Flange Black</t>
  </si>
  <si>
    <t>Default Category/Store Display Cases; Racks &amp; Showcases/Mannequins/Molded Forms/Men's Full Round 5 8" Flange Black</t>
  </si>
  <si>
    <t>Default Category/Store Display Cases; Racks &amp; Showcases/Mannequins/Molded Forms/Female Full Round Butt Form</t>
  </si>
  <si>
    <t>Default Category/Store Display Cases; Racks &amp; Showcases/Mannequins/Molded Forms/Full Round Active Wear Cameo</t>
  </si>
  <si>
    <t>Default Category/Store Display Cases; Racks &amp; Showcases/Mannequins/Molded Forms/Male Full Round Butt Form</t>
  </si>
  <si>
    <t>Default Category/Store Display Cases; Racks &amp; Showcases/Mannequins/Molded Forms/Contemporary Design Metal Dress Forms</t>
  </si>
  <si>
    <t>Default Category/Store Display Cases; Racks &amp; Showcases/Mannequins/Molded Forms/Ladies' Torso</t>
  </si>
  <si>
    <t>Default Category/Store Display Cases; Racks &amp; Showcases/Mannequins/Molded Forms/Mens' Torso</t>
  </si>
  <si>
    <t>Default Category/Store Display Cases; Racks &amp; Showcases/Jewelry Displays</t>
  </si>
  <si>
    <t>Default Category/Store Display Cases; Racks &amp; Showcases/Jewelry Displays/Ring &amp; Earring Displays</t>
  </si>
  <si>
    <t>Default Category/Store Display Cases; Racks &amp; Showcases/Jewelry Displays/Ring &amp; Earring Displays/Pendant Earring Angled Display</t>
  </si>
  <si>
    <t>Default Category/Store Display Cases; Racks &amp; Showcases/Jewelry Displays/Ring &amp; Earring Displays/Single Pendant Earring Angled Display</t>
  </si>
  <si>
    <t>Default Category/Store Display Cases; Racks &amp; Showcases/Jewelry Displays/Ring &amp; Earring Displays/Clip On Earring Slant Display</t>
  </si>
  <si>
    <t>Default Category/Store Display Cases; Racks &amp; Showcases/Jewelry Displays/Ring &amp; Earring Displays/Earring Winged Display Stand</t>
  </si>
  <si>
    <t>Default Category/Store Display Cases; Racks &amp; Showcases/Jewelry Displays/Ring &amp; Earring Displays/Earring T-Bar Display</t>
  </si>
  <si>
    <t>Default Category/Store Display Cases; Racks &amp; Showcases/Jewelry Displays/Ring &amp; Earring Displays/1 Finger Ring Display</t>
  </si>
  <si>
    <t>Default Category/Store Display Cases; Racks &amp; Showcases/Jewelry Displays/Ring &amp; Earring Displays/2 Finger Ring Display</t>
  </si>
  <si>
    <t>Default Category/Store Display Cases; Racks &amp; Showcases/Jewelry Displays/Ring &amp; Earring Displays/5 Finger Ring Displays</t>
  </si>
  <si>
    <t>Default Category/Store Display Cases; Racks &amp; Showcases/Jewelry Displays/Ring &amp; Earring Displays/18 Slot Ring Tray</t>
  </si>
  <si>
    <t>Default Category/Store Display Cases; Racks &amp; Showcases/Jewelry Displays/Birch Jewelry Displays</t>
  </si>
  <si>
    <t>Default Category/Store Display Cases; Racks &amp; Showcases/Jewelry Displays/Birch Jewelry Displays/Modular Countertop Displays</t>
  </si>
  <si>
    <t>Default Category/Store Display Cases; Racks &amp; Showcases/Jewelry Displays/Jewelry Pouches</t>
  </si>
  <si>
    <t>Default Category/Store Display Cases; Racks &amp; Showcases/Jewelry Displays/Jewelry Pouches/Velveteen Drawstring Pouches</t>
  </si>
  <si>
    <t>Default Category/Store Display Cases; Racks &amp; Showcases/Jewelry Displays/Jewelry Pouches/Leatherette Drawstring Pouches</t>
  </si>
  <si>
    <t>Default Category/Store Display Cases; Racks &amp; Showcases/Jewelry Displays/Jewelry Riser Sets</t>
  </si>
  <si>
    <t>Default Category/Store Display Cases; Racks &amp; Showcases/Jewelry Displays/Jewelry Riser Sets/Hexagon Riser Set</t>
  </si>
  <si>
    <t>Default Category/Store Display Cases; Racks &amp; Showcases/Jewelry Displays/Jewelry Supplies</t>
  </si>
  <si>
    <t>Default Category/Store Display Cases; Racks &amp; Showcases/Jewelry Displays/Jewelry Supplies/U-Pins</t>
  </si>
  <si>
    <t>Default Category/Store Display Cases; Racks &amp; Showcases/Jewelry Displays/Jewelry Supplies/Adhesive Back for Earring Cards</t>
  </si>
  <si>
    <t>Default Category/Store Display Cases; Racks &amp; Showcases/Jewelry Displays/Jewelry Supplies/White Puff Pad Plain Earring Cards</t>
  </si>
  <si>
    <t>Default Category/Store Display Cases; Racks &amp; Showcases/Jewelry Displays/Jewelry Supplies/Jewelry Tags w Silk Strings</t>
  </si>
  <si>
    <t>Default Category/Store Display Cases; Racks &amp; Showcases/Jewelry Displays/Jewelry Supplies/Dumbell Labels</t>
  </si>
  <si>
    <t>Default Category/Store Display Cases; Racks &amp; Showcases/Jewelry Displays/Jewelry Supplies/Black Hanging Earring Cards</t>
  </si>
  <si>
    <t>Default Category/Store Display Cases; Racks &amp; Showcases/Jewelry Displays/Jewelry Supplies/Showcase Signs</t>
  </si>
  <si>
    <t>Default Category/Store Display Cases; Racks &amp; Showcases/Jewelry Displays/Jewelry Supplies/Jewelry Polishing Cloth</t>
  </si>
  <si>
    <t>Default Category/Store Display Cases; Racks &amp; Showcases/Jewelry Displays/Jewelry Supplies/Necklace Bracelet Hanging Cards</t>
  </si>
  <si>
    <t>Default Category/Store Display Cases; Racks &amp; Showcases/Jewelry Displays/Jewelry Supplies/Clear OPP Bags with Recloseable Bottom Flap</t>
  </si>
  <si>
    <t>Default Category/Store Display Cases; Racks &amp; Showcases/Jewelry Displays/Jewelry Trays &amp; Inserts</t>
  </si>
  <si>
    <t>Default Category/Store Display Cases; Racks &amp; Showcases/Jewelry Displays/Jewelry Trays &amp; Inserts/Jewelry Circle Display Pads</t>
  </si>
  <si>
    <t>Default Category/Store Display Cases; Racks &amp; Showcases/Jewelry Displays/Jewelry Trays &amp; Inserts/Jewelry Rectangle Display Pads</t>
  </si>
  <si>
    <t>Default Category/Store Display Cases; Racks &amp; Showcases/Jewelry Displays/Jewelry Trays &amp; Inserts/Jewelry Display Trays</t>
  </si>
  <si>
    <t>Default Category/Store Display Cases; Racks &amp; Showcases/Jewelry Displays/Jewelry Trays &amp; Inserts/Jewelry Tray Inserts and Liners</t>
  </si>
  <si>
    <t>Default Category/Store Display Cases; Racks &amp; Showcases/Jewelry Displays/Jewelry Trays &amp; Inserts/Jewelry Tray Carrying Cases</t>
  </si>
  <si>
    <t>Default Category/Store Display Cases; Racks &amp; Showcases/Jewelry Displays/Linen Jewelry Displays</t>
  </si>
  <si>
    <t>Default Category/Store Display Cases; Racks &amp; Showcases/Jewelry Displays/Linen Jewelry Displays/Necklace Jewelry Displays</t>
  </si>
  <si>
    <t>Default Category/Store Display Cases; Racks &amp; Showcases/Jewelry Displays/Linen Jewelry Displays/T-Bar Jewelry Displays</t>
  </si>
  <si>
    <t>Default Category/Store Display Cases; Racks &amp; Showcases/Jewelry Displays/Linen Jewelry Displays/Earring Displays</t>
  </si>
  <si>
    <t>Default Category/Store Display Cases; Racks &amp; Showcases/Jewelry Displays/Necklace &amp; Bracelet Displays</t>
  </si>
  <si>
    <t>Default Category/Store Display Cases; Racks &amp; Showcases/Jewelry Displays/Necklace &amp; Bracelet Displays/Jewelry Displays for Slatwall or Slatgrid</t>
  </si>
  <si>
    <t>Default Category/Store Display Cases; Racks &amp; Showcases/Jewelry Displays/Necklace &amp; Bracelet Displays/Bracelet Oval 2 Bar T-Bar</t>
  </si>
  <si>
    <t>Default Category/Store Display Cases; Racks &amp; Showcases/Jewelry Displays/Necklace &amp; Bracelet Displays/Oval Single T-Bar for Bracelets</t>
  </si>
  <si>
    <t>Default Category/Store Display Cases; Racks &amp; Showcases/Jewelry Displays/Necklace &amp; Bracelet Displays/Slotted Bracelet Ramp</t>
  </si>
  <si>
    <t>Default Category/Store Display Cases; Racks &amp; Showcases/Jewelry Displays/Necklace &amp; Bracelet Displays/Venus Figure Jewelry Display</t>
  </si>
  <si>
    <t>Default Category/Store Display Cases; Racks &amp; Showcases/Jewelry Displays/Necklace &amp; Bracelet Displays/Round T Bar Necklace Display</t>
  </si>
  <si>
    <t>Default Category/Store Display Cases; Racks &amp; Showcases/Jewelry Displays/Necklace &amp; Bracelet Displays/Flat Multi-Necklace Display with Easel</t>
  </si>
  <si>
    <t>Default Category/Store Display Cases; Racks &amp; Showcases/Jewelry Displays/Necklace &amp; Bracelet Displays/Round 2 Level T Bar Necklace Bracelet Stand</t>
  </si>
  <si>
    <t>Default Category/Store Display Cases; Racks &amp; Showcases/Jewelry Displays/Necklace &amp; Bracelet Displays/Necklace Padded Display with Easel</t>
  </si>
  <si>
    <t>Default Category/Store Display Cases; Racks &amp; Showcases/Jewelry Displays/Necklace &amp; Bracelet Displays/Small Necklace Bust Display</t>
  </si>
  <si>
    <t>Default Category/Store Display Cases; Racks &amp; Showcases/Jewelry Displays/Necklace &amp; Bracelet Displays/Necklace Bust Display</t>
  </si>
  <si>
    <t>Default Category/Store Display Cases; Racks &amp; Showcases/Jewelry Displays/Necklace &amp; Bracelet Displays/Neck Form Necklace Display with Adjustable Stand</t>
  </si>
  <si>
    <t>Default Category/Store Display Cases; Racks &amp; Showcases/Jewelry Displays/Necklace &amp; Bracelet Displays/Vertical Single Watch Display</t>
  </si>
  <si>
    <t>Default Category/Store Display Cases; Racks &amp; Showcases/Jewelry Displays/Necklace &amp; Bracelet Displays/Bracelet Oval T-Bar 3 Bar</t>
  </si>
  <si>
    <t>Default Category/Store Display Cases; Racks &amp; Showcases/Jewelry Displays/Necklace &amp; Bracelet Displays/Tall Bust Necklace Display</t>
  </si>
  <si>
    <t>Default Category/Store Display Cases; Racks &amp; Showcases/Jewelry Displays/Necklace &amp; Bracelet Displays/Padded Necklace Stand with Easel</t>
  </si>
  <si>
    <t>Default Category/Store Display Cases; Racks &amp; Showcases/Jewelry Displays/Necklace &amp; Bracelet Displays/Tall Contoured Necklace Display Forms</t>
  </si>
  <si>
    <t>Default Category/Store Display Cases; Racks &amp; Showcases/Jewelry Displays/Necklace &amp; Bracelet Displays/Countertop Bracelet Display</t>
  </si>
  <si>
    <t>Default Category/Store Display Cases; Racks &amp; Showcases/Jewelry Displays/Necklace &amp; Bracelet Displays/1 2 Round Bracelet Display</t>
  </si>
  <si>
    <t>Default Category/Store Display Cases; Racks &amp; Showcases/Display Racks</t>
  </si>
  <si>
    <t>Default Category/Store Display Cases; Racks &amp; Showcases/Display Racks/Pearl District Displays</t>
  </si>
  <si>
    <t>Default Category/Store Display Cases; Racks &amp; Showcases/Display Racks/Pearl District Displays/Pearl District Nesting Tables</t>
  </si>
  <si>
    <t>Default Category/Store Display Cases; Racks &amp; Showcases/Display Racks/Pearl District Displays/Pearl District 2 Way and 3 Way Frames and Accessories</t>
  </si>
  <si>
    <t>Default Category/Store Display Cases; Racks &amp; Showcases/Display Racks/Pearl District Displays/Pearl District Outrigger Frames and Accessories</t>
  </si>
  <si>
    <t>Default Category/Store Display Cases; Racks &amp; Showcases/Display Racks/Racks; Spinners; Dump Bins</t>
  </si>
  <si>
    <t>Default Category/Store Display Cases; Racks &amp; Showcases/Display Racks/Racks; Spinners; Dump Bins/Collapsible Round Bin Display</t>
  </si>
  <si>
    <t>Default Category/Store Display Cases; Racks &amp; Showcases/Display Racks/Racks; Spinners; Dump Bins/3 Tier Round Bin</t>
  </si>
  <si>
    <t>Default Category/Store Display Cases; Racks &amp; Showcases/Display Racks/Racks; Spinners; Dump Bins/3 Tier Dump Bin</t>
  </si>
  <si>
    <t>Default Category/Store Display Cases; Racks &amp; Showcases/Display Racks/Racks; Spinners; Dump Bins/Impulse Table</t>
  </si>
  <si>
    <t>Default Category/Store Display Cases; Racks &amp; Showcases/Display Racks/Racks; Spinners; Dump Bins/Folding Mobile Dump Table</t>
  </si>
  <si>
    <t>Default Category/Store Display Cases; Racks &amp; Showcases/Display Racks/Racks; Spinners; Dump Bins/Square Dump Bin</t>
  </si>
  <si>
    <t>Default Category/Store Display Cases; Racks &amp; Showcases/Display Racks/Racks; Spinners; Dump Bins/Rolling Dump Cube</t>
  </si>
  <si>
    <t>Default Category/Store Display Cases; Racks &amp; Showcases/Display Racks/Racks; Spinners; Dump Bins/3 Tier Graphics Stand</t>
  </si>
  <si>
    <t>Default Category/Store Display Cases; Racks &amp; Showcases/Display Racks/Racks; Spinners; Dump Bins/3 Tier Decorative Rack</t>
  </si>
  <si>
    <t>Default Category/Store Display Cases; Racks &amp; Showcases/Display Racks/Racks; Spinners; Dump Bins/4 Tier Corner Rack</t>
  </si>
  <si>
    <t>Default Category/Store Display Cases; Racks &amp; Showcases/Display Racks/Racks; Spinners; Dump Bins/5 Tier Adjustable Merchandiser</t>
  </si>
  <si>
    <t>Default Category/Store Display Cases; Racks &amp; Showcases/Display Racks/Racks; Spinners; Dump Bins/5 Tier Adjustable Wire Shelf Rack</t>
  </si>
  <si>
    <t>Default Category/Store Display Cases; Racks &amp; Showcases/Display Racks/Racks; Spinners; Dump Bins/Low Rider Wire Bin Display</t>
  </si>
  <si>
    <t>Default Category/Store Display Cases; Racks &amp; Showcases/Display Racks/Racks; Spinners; Dump Bins/Mobile Wire Grid Risers</t>
  </si>
  <si>
    <t>Default Category/Store Display Cases; Racks &amp; Showcases/Display Racks/Racks; Spinners; Dump Bins/4 Way Bag Merchandiser</t>
  </si>
  <si>
    <t>Default Category/Store Display Cases; Racks &amp; Showcases/Display Racks/Racks; Spinners; Dump Bins/Double Wide Wood Merchandisers</t>
  </si>
  <si>
    <t>Default Category/Store Display Cases; Racks &amp; Showcases/Display Racks/Racks; Spinners; Dump Bins/Single Wide Wood Merchandisers</t>
  </si>
  <si>
    <t>Default Category/Store Display Cases; Racks &amp; Showcases/Display Racks/Racks; Spinners; Dump Bins/6 Tier Floor Spinner</t>
  </si>
  <si>
    <t>Default Category/Store Display Cases; Racks &amp; Showcases/Display Racks/Scrapbooking Racks</t>
  </si>
  <si>
    <t>Default Category/Store Display Cases; Racks &amp; Showcases/Display Racks/Scrapbooking Racks/Paper Rack Tower</t>
  </si>
  <si>
    <t>Default Category/Store Display Cases; Racks &amp; Showcases/Display Racks/Scrapbooking Racks/Paper Rack for 8 1 2 x 11 Stock</t>
  </si>
  <si>
    <t>Default Category/Store Display Cases; Racks &amp; Showcases/Display Racks/Scrapbooking Racks/Paper Rack for 12x 12 Stock</t>
  </si>
  <si>
    <t>Default Category/Store Display Cases; Racks &amp; Showcases/Display Racks/Slatwall FreeStanding Displays</t>
  </si>
  <si>
    <t>Default Category/Store Display Cases; Racks &amp; Showcases/Display Racks/Slatwall FreeStanding Displays/Slatwall Ready To Assemble Four Sided Slatwall Display</t>
  </si>
  <si>
    <t>Default Category/Store Display Cases; Racks &amp; Showcases/Display Racks/Slatwall FreeStanding Displays/Slatwall Ready To Assemble H Unit Display</t>
  </si>
  <si>
    <t>Default Category/Store Display Cases; Racks &amp; Showcases/Display Racks/Slatwall FreeStanding Displays/Slatwall Ready To Assemble 4 Sided Tower</t>
  </si>
  <si>
    <t>Default Category/Store Display Cases; Racks &amp; Showcases/Display Racks/Slatwall FreeStanding Displays/Slatwall Ready To Assemble Gondola</t>
  </si>
  <si>
    <t>Default Category/Store Display Cases; Racks &amp; Showcases/Display Racks/Slatwall FreeStanding Displays/Slatwall Spinning Countertop Display</t>
  </si>
  <si>
    <t>Default Category/Store Display Cases; Racks &amp; Showcases/Display Racks/Wire Rack Components</t>
  </si>
  <si>
    <t>Default Category/Store Display Cases; Racks &amp; Showcases/Display Racks/Wire Rack Components/Counter Rack Metal Base</t>
  </si>
  <si>
    <t>Default Category/Store Display Cases; Racks &amp; Showcases/Display Racks/Wire Rack Components/Tubular Steel Floor Base</t>
  </si>
  <si>
    <t>Default Category/Store Display Cases; Racks &amp; Showcases/Display Racks/Wire Rack Components/Poles for Wire Racks</t>
  </si>
  <si>
    <t>Default Category/Store Display Cases; Racks &amp; Showcases/Display Racks/Wire Rack Components/6 Hook Tiers</t>
  </si>
  <si>
    <t>Default Category/Store Display Cases; Racks &amp; Showcases/Display Racks/Wire Rack Components/4 Hook Tiers</t>
  </si>
  <si>
    <t>Default Category/Store Display Cases; Racks &amp; Showcases/Display Racks/Wire Rack Components/18 Hook Tier</t>
  </si>
  <si>
    <t>Default Category/Store Display Cases; Racks &amp; Showcases/Display Racks/Wire Rack Components/Plastic Base</t>
  </si>
  <si>
    <t>Default Category/Store Display Cases; Racks &amp; Showcases/Display Racks/Wire Rack Components/Video Tier</t>
  </si>
  <si>
    <t>Default Category/Store Display Cases; Racks &amp; Showcases/Display Racks/Wire Rack Components/24 Hook Tier</t>
  </si>
  <si>
    <t>Default Category/Store Display Cases; Racks &amp; Showcases/Display Racks/Pipe &amp; Panel Displays</t>
  </si>
  <si>
    <t>Default Category/Store Display Cases; Racks &amp; Showcases/Display Racks/Pipe &amp; Panel Displays/Pipe Hangers without Shelves</t>
  </si>
  <si>
    <t>Default Category/Store Display Cases; Racks &amp; Showcases/Display Racks/CD; Video &amp; Eyeware Displays</t>
  </si>
  <si>
    <t>Default Category/Store Display Cases; Racks &amp; Showcases/Display Racks/CD; Video &amp; Eyeware Displays/74 Pair Eyewear Floor Spinner</t>
  </si>
  <si>
    <t>Default Category/Store Display Cases; Racks &amp; Showcases/Display Racks/CD; Video &amp; Eyeware Displays/38 Pair Eyewear Countertop Spinner</t>
  </si>
  <si>
    <t>Default Category/Store Display Cases; Racks &amp; Showcases/Display Racks/CD; Video &amp; Eyeware Displays/CD Browser System</t>
  </si>
  <si>
    <t>Default Category/Store Display Cases; Racks &amp; Showcases/Display Racks/CD; Video &amp; Eyeware Displays/Flip View Browser Bin</t>
  </si>
  <si>
    <t>Default Category/Store Display Cases; Racks &amp; Showcases/Display Racks/CD; Video &amp; Eyeware Displays/30 Pocket DVD Floor Display</t>
  </si>
  <si>
    <t>Default Category/Store Display Cases; Racks &amp; Showcases/Display Racks/Contemporary Raw Steel Displays</t>
  </si>
  <si>
    <t>Default Category/Store Display Cases; Racks &amp; Showcases/Display Racks/Contemporary Raw Steel Displays/6 Pair Earring Display</t>
  </si>
  <si>
    <t>Default Category/Store Display Cases; Racks &amp; Showcases/Display Racks/Contemporary Raw Steel Displays/Hat Stand</t>
  </si>
  <si>
    <t>Default Category/Store Display Cases; Racks &amp; Showcases/Display Racks/Contemporary Raw Steel Displays/2 Tier Watch Display</t>
  </si>
  <si>
    <t>Default Category/Store Display Cases; Racks &amp; Showcases/Display Racks/Contemporary Raw Steel Displays/Blouse Displayer</t>
  </si>
  <si>
    <t>Default Category/Store Display Cases; Racks &amp; Showcases/Display Racks/Contemporary Raw Steel Displays/Glass Top Displays</t>
  </si>
  <si>
    <t>Default Category/Store Display Cases; Racks &amp; Showcases/Display Racks/Contemporary Raw Steel Displays/2 Sided Floor Mirror for Shoes</t>
  </si>
  <si>
    <t>Default Category/Store Display Cases; Racks &amp; Showcases/Display Racks/Contemporary Raw Steel Displays/Hanging Wall Mirror</t>
  </si>
  <si>
    <t>Default Category/Store Display Cases; Racks &amp; Showcases/Display Racks/Contemporary Raw Steel Displays/Earring Card Display</t>
  </si>
  <si>
    <t>Default Category/Store Display Cases; Racks &amp; Showcases/Display Racks/Contemporary Raw Steel Displays/24 Pair Earring Display</t>
  </si>
  <si>
    <t>Default Category/Store Display Cases; Racks &amp; Showcases/Display Racks/Contemporary Raw Steel Displays/2 Tier Jewelry Display Stand</t>
  </si>
  <si>
    <t>Default Category/Store Display Cases; Racks &amp; Showcases/Display Racks/Contemporary Raw Steel Displays/1 Tier Jewelry Display Stand</t>
  </si>
  <si>
    <t>Default Category/Store Display Cases; Racks &amp; Showcases/Display Racks/Contemporary Raw Steel Displays/Free Standing Jewelry Display Case</t>
  </si>
  <si>
    <t>Default Category/Store Display Cases; Racks &amp; Showcases/Display Racks/Contemporary Raw Steel Displays/Contemporary Design Display Racks</t>
  </si>
  <si>
    <t>Default Category/Store Display Cases; Racks &amp; Showcases/Display Racks/Contemporary Raw Steel Displays/"T" Type Earring Display</t>
  </si>
  <si>
    <t>Default Category/Store Display Cases; Racks &amp; Showcases/Display Racks/Contemporary Raw Steel Displays/12 Pair Earring Display</t>
  </si>
  <si>
    <t>Default Category/Store Display Cases; Racks &amp; Showcases/Display Racks/Contemporary Raw Steel Displays/3 Tier Jewelry Display</t>
  </si>
  <si>
    <t>Default Category/Store Display Cases; Racks &amp; Showcases/Display Racks/Contemporary Raw Steel Displays/Collapsible Easel</t>
  </si>
  <si>
    <t>Default Category/Store Display Cases; Racks &amp; Showcases/Display Racks/Contemporary Raw Steel Displays/Belt Ladder Attachments</t>
  </si>
  <si>
    <t>Default Category/Store Display Cases; Racks &amp; Showcases/Display Racks/Counter Top Racks</t>
  </si>
  <si>
    <t>Default Category/Store Display Cases; Racks &amp; Showcases/Display Racks/Counter Top Racks/2 Tier Counter Spinner Display with 12 Pegs</t>
  </si>
  <si>
    <t>Default Category/Store Display Cases; Racks &amp; Showcases/Display Racks/Counter Top Racks/White 18 Pocket Countertop Card Spinner</t>
  </si>
  <si>
    <t>Default Category/Store Display Cases; Racks &amp; Showcases/Display Racks/Counter Top Racks/White Linear Counter Display</t>
  </si>
  <si>
    <t>Default Category/Store Display Cases; Racks &amp; Showcases/Display Racks/Counter Top Racks/Black 5 Tier Merchandiser Counter Rack</t>
  </si>
  <si>
    <t>Default Category/Store Display Cases; Racks &amp; Showcases/Display Racks/Literature Racks</t>
  </si>
  <si>
    <t>Default Category/Store Display Cases; Racks &amp; Showcases/Display Racks/Literature Racks/Countertop Literature Racks</t>
  </si>
  <si>
    <t>Default Category/Store Display Cases; Racks &amp; Showcases/Display Racks/Literature Racks/24 Pocket Literature Spinner</t>
  </si>
  <si>
    <t>Default Category/Store Display Cases; Racks &amp; Showcases/Display Racks/Literature Racks/Decora Literature Stand</t>
  </si>
  <si>
    <t>Default Category/Store Display Cases; Racks &amp; Showcases/Display Racks/Literature Racks/24 Pocket Combo Spinner</t>
  </si>
  <si>
    <t>Default Category/Store Display Cases; Racks &amp; Showcases/Display Racks/Literature Racks/24 Pocket Spinner</t>
  </si>
  <si>
    <t>Default Category/Store Display Cases; Racks &amp; Showcases/Display Racks/Literature Racks/Postcard Spinner</t>
  </si>
  <si>
    <t>Default Category/Store Display Cases; Racks &amp; Showcases/Display Racks/Literature Racks/16 Pocket Calendar Spinner</t>
  </si>
  <si>
    <t>Default Category/Store Display Cases; Racks &amp; Showcases/Display Racks/Literature Racks/24 Pocket 4 7 8 Spinner</t>
  </si>
  <si>
    <t>Default Category/Store Display Cases; Racks &amp; Showcases/Display Racks/Literature Racks/48 Pocket Spinner</t>
  </si>
  <si>
    <t>Default Category/Store Display Cases; Racks &amp; Showcases/Display Racks/Literature Racks/Black 20 Pocket Magazine Merchandiser</t>
  </si>
  <si>
    <t>Default Category/Store Display Cases; Racks &amp; Showcases/Display Racks/Modular Birch Displays</t>
  </si>
  <si>
    <t>Default Category/Store Display Cases; Racks &amp; Showcases/Display Racks/Modular Birch Displays/Spinning Tower Displays</t>
  </si>
  <si>
    <t>Default Category/Store Display Cases; Racks &amp; Showcases/Display Racks/Modular Birch Displays/Display Pedestals</t>
  </si>
  <si>
    <t>Default Category/Store Display Cases; Racks &amp; Showcases/Display Racks/Modular Birch Displays/Modular Shelving Units</t>
  </si>
  <si>
    <t>Default Category/Store Display Cases; Racks &amp; Showcases/Garment &amp; Hat Racks</t>
  </si>
  <si>
    <t>Default Category/Store Display Cases; Racks &amp; Showcases/Garment &amp; Hat Racks/2 Arm Garment Racks</t>
  </si>
  <si>
    <t>Default Category/Store Display Cases; Racks &amp; Showcases/Garment &amp; Hat Racks/4 Arm Garment Racks</t>
  </si>
  <si>
    <t>Default Category/Store Display Cases; Racks &amp; Showcases/Garment &amp; Hat Racks/Rolling Racks</t>
  </si>
  <si>
    <t>Default Category/Store Display Cases; Racks &amp; Showcases/Garment &amp; Hat Racks/Round Racks and Accessories</t>
  </si>
  <si>
    <t>Default Category/Store Display Cases; Racks &amp; Showcases/Garment &amp; Hat Racks/Specialty Racks</t>
  </si>
  <si>
    <t>Default Category/Store Display Cases; Racks &amp; Showcases/Garment &amp; Hat Racks/Floor Display Hat Racks</t>
  </si>
  <si>
    <t>Default Category/Store Display Cases; Racks &amp; Showcases/Garment &amp; Hat Racks/Countertop Hat Racks</t>
  </si>
  <si>
    <t>Default Category/Store Display Cases; Racks &amp; Showcases/Garment &amp; Hat Racks/Garment Rack Replacement Arms and Casters</t>
  </si>
  <si>
    <t>Default Category/Store Display Cases; Racks &amp; Showcases/Tempered Glass Shelves &amp; Displays</t>
  </si>
  <si>
    <t>Default Category/Store Display Cases; Racks &amp; Showcases/Tempered Glass Shelves &amp; Displays/Tempered Glass</t>
  </si>
  <si>
    <t>Default Category/Store Display Cases; Racks &amp; Showcases/Tempered Glass Shelves &amp; Displays/Tempered Glass/3 16" Tempered Cube Glass</t>
  </si>
  <si>
    <t>Default Category/Store Display Cases; Racks &amp; Showcases/Tempered Glass Shelves &amp; Displays/Tempered Glass/3 16" Tempered with 2" Radius Corners</t>
  </si>
  <si>
    <t>Default Category/Store Display Cases; Racks &amp; Showcases/Tempered Glass Shelves &amp; Displays/Tempered Glass/3 16" Tempered Quarter Round</t>
  </si>
  <si>
    <t>Default Category/Store Display Cases; Racks &amp; Showcases/Tempered Glass Shelves &amp; Displays/Tempered Glass/3 8" Tempered Shelf Glass Square Corners</t>
  </si>
  <si>
    <t>Default Category/Store Display Cases; Racks &amp; Showcases/Tempered Glass Shelves &amp; Displays/Tempered Glass/3 8" Tempered Shelf Glass with Dime Radius Corners</t>
  </si>
  <si>
    <t>Default Category/Store Display Cases; Racks &amp; Showcases/Tempered Glass Shelves &amp; Displays/Tempered Glass/3 16" Tempered Shelf Glass Square Corners</t>
  </si>
  <si>
    <t>Default Category/Store Display Cases; Racks &amp; Showcases/Tempered Glass Shelves &amp; Displays/Tempered Glass/Shelf Dividers</t>
  </si>
  <si>
    <t>Default Category/Store Display Cases; Racks &amp; Showcases/Tempered Glass Shelves &amp; Displays/Tempered Glass Tower Displays</t>
  </si>
  <si>
    <t>Default Category/Store Display Cases; Racks &amp; Showcases/Tempered Glass Shelves &amp; Displays/Tempered Glass Tower Displays/Radius Tower</t>
  </si>
  <si>
    <t>Default Category/Store Display Cases; Racks &amp; Showcases/Tempered Glass Shelves &amp; Displays/Tempered Glass Tower Displays/Radius Extended Tower</t>
  </si>
  <si>
    <t>Default Category/Store Display Cases; Racks &amp; Showcases/Tempered Glass Shelves &amp; Displays/Tempered Glass Tower Displays/3 Tier Graduated Tower</t>
  </si>
  <si>
    <t>Default Category/Store Display Cases; Racks &amp; Showcases/Tempered Glass Shelves &amp; Displays/Tempered Glass Tower Displays/Quarter Round Extended Tower</t>
  </si>
  <si>
    <t>Default Category/Store Display Cases; Racks &amp; Showcases/Tempered Glass Shelves &amp; Displays/Tempered Glass Tower Displays/Quarter Round Tower</t>
  </si>
  <si>
    <t>Default Category/Store Display Cases; Racks &amp; Showcases/Tempered Glass Shelves &amp; Displays/Glass Connectors</t>
  </si>
  <si>
    <t>Default Category/Store Display Cases; Racks &amp; Showcases/Tempered Glass Shelves &amp; Displays/Glass Connectors/2 Way</t>
  </si>
  <si>
    <t>Default Category/Store Display Cases; Racks &amp; Showcases/Tempered Glass Shelves &amp; Displays/Glass Connectors/3 Way</t>
  </si>
  <si>
    <t>Default Category/Store Display Cases; Racks &amp; Showcases/Tempered Glass Shelves &amp; Displays/Glass Connectors/4 Way</t>
  </si>
  <si>
    <t>Default Category/Store Display Cases; Racks &amp; Showcases/Tempered Glass Shelves &amp; Displays/Glass Connectors/Hinge</t>
  </si>
  <si>
    <t>Default Category/Store Display Cases; Racks &amp; Showcases/Tempered Glass Shelves &amp; Displays/Glass Connectors/Hasp</t>
  </si>
  <si>
    <t>Default Category/Store Display Cases; Racks &amp; Showcases/Tempered Glass Shelves &amp; Displays/Glass Connectors/Combination Lock</t>
  </si>
  <si>
    <t>Default Category/Store Display Cases; Racks &amp; Showcases/Tempered Glass Shelves &amp; Displays/Glass Connectors/Clear Shelf Rests</t>
  </si>
  <si>
    <t>Default Category/Store Display Cases; Racks &amp; Showcases/Tempered Glass Shelves &amp; Displays/Glass Connectors/3 Way Adjustable</t>
  </si>
  <si>
    <t>Default Category/Store Display Cases; Racks &amp; Showcases/Tempered Glass Shelves &amp; Displays/Melamine Bases for Glass Displays</t>
  </si>
  <si>
    <t>Default Category/Store Display Cases; Racks &amp; Showcases/Tempered Glass Shelves &amp; Displays/Melamine Bases for Glass Displays/Oval Glass Cube Display Base</t>
  </si>
  <si>
    <t>Default Category/Store Display Cases; Racks &amp; Showcases/Hangers</t>
  </si>
  <si>
    <t>Default Category/Store Display Cases; Racks &amp; Showcases/Hangers/Hanger Clips</t>
  </si>
  <si>
    <t>Default Category/Store Display Cases; Racks &amp; Showcases/Hangers/Chrome Finish Hangers</t>
  </si>
  <si>
    <t>Default Category/Store Display Cases; Racks &amp; Showcases/Hangers/Hanger Accessories</t>
  </si>
  <si>
    <t>Default Category/Store Display Cases; Racks &amp; Showcases/Hangers/Wooden Top Hangers</t>
  </si>
  <si>
    <t>Default Category/Store Display Cases; Racks &amp; Showcases/Hangers/Wooden Contoured Suit Hangers</t>
  </si>
  <si>
    <t>Default Category/Store Display Cases; Racks &amp; Showcases/Hangers/Wooden Pant and Shirt Hangers</t>
  </si>
  <si>
    <t>Default Category/Store Display Cases; Racks &amp; Showcases/Hangers/Top Hangers with Metal Swivel Hook</t>
  </si>
  <si>
    <t>Default Category/Store Display Cases; Racks &amp; Showcases/Hangers/Pant Skirt Hangers w Metal Swivel Hook</t>
  </si>
  <si>
    <t>Default Category/Store Display Cases; Racks &amp; Showcases/Hangers/Suit Hangers</t>
  </si>
  <si>
    <t>Default Category/Store Display Cases; Racks &amp; Showcases/Hangers/Outerwear Hangers</t>
  </si>
  <si>
    <t>Default Category/Store Display Cases; Racks &amp; Showcases/Hangers/Specialty Hangers</t>
  </si>
  <si>
    <t>Default Category/Store Display Cases; Racks &amp; Showcases/Showcases</t>
  </si>
  <si>
    <t>Default Category/Store Display Cases; Racks &amp; Showcases/Showcases/Ready To Assemble Showcases</t>
  </si>
  <si>
    <t>Default Category/Store Display Cases; Racks &amp; Showcases/Showcases/Ready To Assemble Showcases/Ready To Assemble Corner Unit Display Case</t>
  </si>
  <si>
    <t>Default Category/Store Display Cases; Racks &amp; Showcases/Showcases/Ready To Assemble Showcases/Ready To Assemble Wrap Counter</t>
  </si>
  <si>
    <t>Default Category/Store Display Cases; Racks &amp; Showcases/Showcases/Ready To Assemble Showcases/Ready To Assemble Cash Register Stand</t>
  </si>
  <si>
    <t>Default Category/Store Display Cases; Racks &amp; Showcases/Showcases/Ready To Assemble Showcases/Ready To Assemble Waterfall Table</t>
  </si>
  <si>
    <t>Default Category/Store Display Cases; Racks &amp; Showcases/Showcases/Ready To Assemble Showcases/Ready To Assemble Top Vision Showcases</t>
  </si>
  <si>
    <t>Default Category/Store Display Cases; Racks &amp; Showcases/Showcases/Ready To Assemble Showcases/Ready To Assemble Full Vision Showcase</t>
  </si>
  <si>
    <t>Default Category/Store Display Cases; Racks &amp; Showcases/Showcases/Ready To Assemble Showcases/Showcase 16" Square Display</t>
  </si>
  <si>
    <t>Default Category/Store Display Cases; Racks &amp; Showcases/Showcases/Hardwood Showcases</t>
  </si>
  <si>
    <t>Default Category/Store Display Cases; Racks &amp; Showcases/Showcases/Hardwood Showcases/Sit-Down Showcase</t>
  </si>
  <si>
    <t>Default Category/Store Display Cases; Racks &amp; Showcases/Showcases/Hardwood Showcases/Extended Vision Display Case</t>
  </si>
  <si>
    <t>Default Category/Store Display Cases; Racks &amp; Showcases/Showcases/Hardwood Showcases/Full Vision Displays</t>
  </si>
  <si>
    <t>Default Category/Store Display Cases; Racks &amp; Showcases/Showcases/Hardwood Showcases/Showcase &amp; Cashwrap Combo Cases</t>
  </si>
  <si>
    <t>Default Category/Store Display Cases; Racks &amp; Showcases/Showcases/Hardwood Showcases/Half Vision Displays</t>
  </si>
  <si>
    <t>Default Category/Store Display Cases; Racks &amp; Showcases/Showcases/Hardwood Showcases/Jewelry (Top Vision) Displays</t>
  </si>
  <si>
    <t>Default Category/Store Display Cases; Racks &amp; Showcases/Showcases/Hardwood Showcases/Cashwrap</t>
  </si>
  <si>
    <t>Default Category/Store Display Cases; Racks &amp; Showcases/Showcases/Hardwood Showcases/E'Tagere Open Shelf Display w Mirror Bottom</t>
  </si>
  <si>
    <t>Default Category/Store Display Cases; Racks &amp; Showcases/Showcases/Hardwood Showcases/Special Cases</t>
  </si>
  <si>
    <t>Default Category/Store Display Cases; Racks &amp; Showcases/Showcases/Hardwood Showcases/Classic Tower Displays</t>
  </si>
  <si>
    <t>Default Category/Store Display Cases; Racks &amp; Showcases/Showcases/Hardwood Showcases/Queen Anne Tower Cases</t>
  </si>
  <si>
    <t>Default Category/Store Display Cases; Racks &amp; Showcases/Showcases/Hardwood Showcases/Classic Towers Stretched Version</t>
  </si>
  <si>
    <t>Default Category/Store Display Cases; Racks &amp; Showcases/Showcases/Hardwood Showcases/Countertop Cases</t>
  </si>
  <si>
    <t>Default Category/Store Display Cases; Racks &amp; Showcases/Showcases/Hardwood Showcases/Collector's Series Upright Displays</t>
  </si>
  <si>
    <t>Default Category/Store Display Cases; Racks &amp; Showcases/Showcases/Hardwood Showcases/Showcase Bench</t>
  </si>
  <si>
    <t>Default Category/Store Display Cases; Racks &amp; Showcases/Showcases/Hardwood Showcases/Queen Anne Jewelry Cases</t>
  </si>
  <si>
    <t>Default Category/Store Display Cases; Racks &amp; Showcases/Showcases/Hardwood Showcases/Queen Anne Wrap Counters</t>
  </si>
  <si>
    <t>Default Category/Store Display Cases; Racks &amp; Showcases/Showcases/Hardwood Showcases/Queen Anne Fullview Cases</t>
  </si>
  <si>
    <t>Default Category/Store Display Cases; Racks &amp; Showcases/Showcases/Hardwood Showcases/Museum Style Tower Displays</t>
  </si>
  <si>
    <t>Default Category/Store Display Cases; Racks &amp; Showcases/Showcases/Hardwood Showcases/Museum Style Countertop Displays</t>
  </si>
  <si>
    <t>Default Category/Store Display Cases; Racks &amp; Showcases/Showcases/High Tech Showcases</t>
  </si>
  <si>
    <t>Default Category/Store Display Cases; Racks &amp; Showcases/Showcases/High Tech Showcases/Full Sized Quarter Vision Jewelry Showcase</t>
  </si>
  <si>
    <t>Default Category/Store Display Cases; Racks &amp; Showcases/Showcases/High Tech Showcases/Full Sized Quarter Vision Curved Jewelry Corner Showcase</t>
  </si>
  <si>
    <t>Default Category/Store Display Cases; Racks &amp; Showcases/Showcases/High Tech Showcases/Full Sized Quarter Vision Corner Jewelry Showcase</t>
  </si>
  <si>
    <t>Default Category/Store Display Cases; Racks &amp; Showcases/Showcases/High Tech Showcases/Full Sized Full Vision Showcase</t>
  </si>
  <si>
    <t>Default Category/Store Display Cases; Racks &amp; Showcases/Showcases/High Tech Showcases/Cash Wrap Cabinet</t>
  </si>
  <si>
    <t>Default Category/Store Display Cases; Racks &amp; Showcases/Showcases/High Tech Showcases/Full Sized Quarter Vision Jewelry Showcase w Wood Sides</t>
  </si>
  <si>
    <t>Default Category/Store Display Cases; Racks &amp; Showcases/Showcases/High Tech Showcases/Full Sized Half Vision Showcase</t>
  </si>
  <si>
    <t>Default Category/Store Display Cases; Racks &amp; Showcases/Showcases/High Tech Showcases/Hexagon Free Standing Jewelry Display Case</t>
  </si>
  <si>
    <t>Default Category/Store Display Cases; Racks &amp; Showcases/Showcases/High Tech Showcases/Curved Wall 48" Wide Display Case with Storage</t>
  </si>
  <si>
    <t>Default Category/Store Display Cases; Racks &amp; Showcases/Showcases/High Tech Showcases/Curved Wall 45" Glass Display Case No Storage</t>
  </si>
  <si>
    <t>Default Category/Store Display Cases; Racks &amp; Showcases/Showcases/High Tech Showcases/Hexagon Stretched Tower Display Case</t>
  </si>
  <si>
    <t>Default Category/Store Display Cases; Racks &amp; Showcases/Showcases/High Tech Showcases/Hexagon Revolving Tower Display Case with Storage</t>
  </si>
  <si>
    <t>Default Category/Store Display Cases; Racks &amp; Showcases/Showcases/High Tech Showcases/Hexagon Counter Top Display Case</t>
  </si>
  <si>
    <t>Default Category/Store Display Cases; Racks &amp; Showcases/Showcases/High Tech Showcases/Compact Square Tower Display Case</t>
  </si>
  <si>
    <t>Default Category/Store Display Cases; Racks &amp; Showcases/Showcases/High Tech Showcases/Curved Wall 40" Wide Display no Storage</t>
  </si>
  <si>
    <t>Default Category/Store Display Cases; Racks &amp; Showcases/Showcases/High Tech Showcases/Full Sized Quarter Vision Jewelry Showcase with Pedastal Ends</t>
  </si>
  <si>
    <t>Default Category/Store Display Cases; Racks &amp; Showcases/Showcases/High Tech Showcases/Full Sized Quarter Vision Jewelry Case with Angled Corners</t>
  </si>
  <si>
    <t>Default Category/Store Display Cases; Racks &amp; Showcases/Showcases/High Tech Showcases/Curved Tower Display Case</t>
  </si>
  <si>
    <t>Default Category/Store Display Cases; Racks &amp; Showcases/Showcases/High Tech Showcases/Hexagon Freestanding Jewelry Display Case Top Only</t>
  </si>
  <si>
    <t>Default Category/Store Display Cases; Racks &amp; Showcases/Showcases/Laminate Metal Showcases</t>
  </si>
  <si>
    <t>Default Category/Store Display Cases; Racks &amp; Showcases/Showcases/Laminate Metal Showcases/Full Vision Showcases</t>
  </si>
  <si>
    <t>Default Category/Store Display Cases; Racks &amp; Showcases/Showcases/Laminate Metal Showcases/Corner Fill Display Cases</t>
  </si>
  <si>
    <t>Default Category/Store Display Cases; Racks &amp; Showcases/Showcases/Laminate Metal Showcases/Upright Display</t>
  </si>
  <si>
    <t>Default Category/Store Display Cases; Racks &amp; Showcases/Showcases/Laminate Metal Showcases/Ledge Counters</t>
  </si>
  <si>
    <t>Default Category/Store Display Cases; Racks &amp; Showcases/Showcases/Laminate Metal Showcases/Display Table</t>
  </si>
  <si>
    <t>Default Category/Store Display Cases; Racks &amp; Showcases/Showcases/Laminate Metal Showcases/Tall Counter Display Case</t>
  </si>
  <si>
    <t>Default Category/Store Display Cases; Racks &amp; Showcases/Showcases/Laminate Metal Showcases/Alcove Mirror</t>
  </si>
  <si>
    <t>Default Category/Store Display Cases; Racks &amp; Showcases/Showcases/Laminate Metal Showcases/Rear Access Corner Display Cases</t>
  </si>
  <si>
    <t>Default Category/Store Display Cases; Racks &amp; Showcases/Showcases/Laminate Metal Showcases/Half Vision Showcases</t>
  </si>
  <si>
    <t>Default Category/Store Display Cases; Racks &amp; Showcases/Showcases/Laminate Metal Showcases/Jewelry Display Showcases</t>
  </si>
  <si>
    <t>Default Category/Store Display Cases; Racks &amp; Showcases/Showcases/Laminate Metal Showcases/Extra Vision Showcases</t>
  </si>
  <si>
    <t>Default Category/Store Display Cases; Racks &amp; Showcases/Showcases/Laminate Metal Showcases/Slimline Towers</t>
  </si>
  <si>
    <t>Default Category/Store Display Cases; Racks &amp; Showcases/Showcases/Laminate Metal Showcases/Fineline Tower Glass Display Cases</t>
  </si>
  <si>
    <t>Default Category/Store Display Cases; Racks &amp; Showcases/Showcases/Laminate Metal Showcases/Wrap Counters</t>
  </si>
  <si>
    <t>Default Category/Store Display Cases; Racks &amp; Showcases/Showcases/Laminate Metal Showcases/Cash Register Stands</t>
  </si>
  <si>
    <t>Default Category/Store Display Cases; Racks &amp; Showcases/Acrylic Displays</t>
  </si>
  <si>
    <t>Default Category/Store Display Cases; Racks &amp; Showcases/Acrylic Displays/Acrylic E-Cig Displays</t>
  </si>
  <si>
    <t>Default Category/Store Display Cases; Racks &amp; Showcases/Acrylic Displays/Acrylic E-Cig Displays/E-Cig Acrylic Displays</t>
  </si>
  <si>
    <t>Default Category/Store Display Cases; Racks &amp; Showcases/Acrylic Displays/Acrylic Literature Displays</t>
  </si>
  <si>
    <t>Default Category/Store Display Cases; Racks &amp; Showcases/Acrylic Displays/Acrylic Literature Displays/Acrylic Brochure Holders for Countertop Deluxe</t>
  </si>
  <si>
    <t>Default Category/Store Display Cases; Racks &amp; Showcases/Acrylic Displays/Acrylic Literature Displays/Acrylic Literature Holder for Countertop Double Pocket</t>
  </si>
  <si>
    <t>Default Category/Store Display Cases; Racks &amp; Showcases/Acrylic Displays/Acrylic Literature Displays/Acrylic Literature Holder 3 Sided Revolving Display</t>
  </si>
  <si>
    <t>Default Category/Store Display Cases; Racks &amp; Showcases/Acrylic Displays/Acrylic Literature Displays/Acrylic Business Card Holders</t>
  </si>
  <si>
    <t>Default Category/Store Display Cases; Racks &amp; Showcases/Acrylic Displays/Acrylic Literature Displays/Sign Card &amp; Ticket Holders</t>
  </si>
  <si>
    <t>Default Category/Store Display Cases; Racks &amp; Showcases/Acrylic Displays/Acrylic Literature Displays/Acrylic Brochure Holder; Economy</t>
  </si>
  <si>
    <t>Default Category/Store Display Cases; Racks &amp; Showcases/Acrylic Displays/Acrylic Literature Displays/Acrylic Add A Pocket to Sign Holders</t>
  </si>
  <si>
    <t>Default Category/Store Display Cases; Racks &amp; Showcases/Acrylic Displays/Acrylic Literature Displays/Acrylic Literature Holder for Walls or Slatwall Deluxe "Hold It"</t>
  </si>
  <si>
    <t>Default Category/Store Display Cases; Racks &amp; Showcases/Acrylic Displays/Acrylic Literature Displays/Acrylic Literature Holders for Walls or Slatwall Large</t>
  </si>
  <si>
    <t>Default Category/Store Display Cases; Racks &amp; Showcases/Acrylic Displays/Acrylic Literature Displays/Wallmount Acrylic J Racks Shelves</t>
  </si>
  <si>
    <t>Default Category/Store Display Cases; Racks &amp; Showcases/Acrylic Displays/Acrylic Literature Displays/Acrylic J Racks For Gridwall</t>
  </si>
  <si>
    <t>Default Category/Store Display Cases; Racks &amp; Showcases/Acrylic Displays/Acrylic Literature Displays/Acrylic Outdoor Literature Box</t>
  </si>
  <si>
    <t>Default Category/Store Display Cases; Racks &amp; Showcases/Acrylic Displays/Acrylic Literature Displays/Acrylic Literature Holder Multi Tier</t>
  </si>
  <si>
    <t>Default Category/Store Display Cases; Racks &amp; Showcases/Acrylic Displays/Acrylic Literature Displays/Acrylic Brochure Holders for Slatwall Deluxe</t>
  </si>
  <si>
    <t>Default Category/Store Display Cases; Racks &amp; Showcases/Acrylic Displays/Acrylic Risers &amp; Cubes</t>
  </si>
  <si>
    <t>Default Category/Store Display Cases; Racks &amp; Showcases/Acrylic Displays/Acrylic Risers &amp; Cubes/Acrylic Risers with Built in Sign Holders</t>
  </si>
  <si>
    <t>Default Category/Store Display Cases; Racks &amp; Showcases/Acrylic Displays/Acrylic Risers &amp; Cubes/Mirrored Acrylic Open Cubes</t>
  </si>
  <si>
    <t>Default Category/Store Display Cases; Racks &amp; Showcases/Acrylic Displays/Acrylic Risers &amp; Cubes/1 4" Beveled Edge Acrylic Risers</t>
  </si>
  <si>
    <t>Default Category/Store Display Cases; Racks &amp; Showcases/Acrylic Displays/Acrylic Risers &amp; Cubes/1 8" Acrylic Risers Sets &amp; Individual</t>
  </si>
  <si>
    <t>Default Category/Store Display Cases; Racks &amp; Showcases/Acrylic Displays/Acrylic Risers &amp; Cubes/1 4" Acrylic Risers Sets &amp; Individual</t>
  </si>
  <si>
    <t>Default Category/Store Display Cases; Racks &amp; Showcases/Acrylic Displays/Acrylic Risers &amp; Cubes/Solid Acrylic Pedestals</t>
  </si>
  <si>
    <t>Default Category/Store Display Cases; Racks &amp; Showcases/Acrylic Displays/Acrylic Risers &amp; Cubes/Acrylic Economy Molded 3 Piece Riser Set</t>
  </si>
  <si>
    <t>Default Category/Store Display Cases; Racks &amp; Showcases/Acrylic Displays/Acrylic Risers &amp; Cubes/1 8" Acrylic Mirrored Riser Set</t>
  </si>
  <si>
    <t>Default Category/Store Display Cases; Racks &amp; Showcases/Acrylic Displays/Acrylic Risers &amp; Cubes/1 4" Acrylic Mirrored Riser with Beveled Edge</t>
  </si>
  <si>
    <t>Default Category/Store Display Cases; Racks &amp; Showcases/Acrylic Displays/Acrylic Risers &amp; Cubes/1 2" Beveled Edge Acrylic Risers</t>
  </si>
  <si>
    <t>Default Category/Store Display Cases; Racks &amp; Showcases/Acrylic Displays/Acrylic Risers &amp; Cubes/3 16" Acrylic Beveled Edge 6 Piece Riser Set</t>
  </si>
  <si>
    <t>Default Category/Store Display Cases; Racks &amp; Showcases/Acrylic Displays/Acrylic Risers &amp; Cubes/1 4" Beveled Edge Frosted Acrylic Risers</t>
  </si>
  <si>
    <t>Default Category/Store Display Cases; Racks &amp; Showcases/Acrylic Displays/Acrylic Risers &amp; Cubes/1 2" Beveled Edge Frosted Acrylic Risers</t>
  </si>
  <si>
    <t>Default Category/Store Display Cases; Racks &amp; Showcases/Acrylic Displays/Acrylic Risers &amp; Cubes/Acrylic 4 Tier Spiral Display</t>
  </si>
  <si>
    <t>Default Category/Store Display Cases; Racks &amp; Showcases/Acrylic Displays/Acrylic Risers &amp; Cubes/Acrylic Interlocking Four Way Riser</t>
  </si>
  <si>
    <t>Default Category/Store Display Cases; Racks &amp; Showcases/Acrylic Displays/Acrylic Risers &amp; Cubes/Vertical Acrylic Tower with 5 Platforms</t>
  </si>
  <si>
    <t>Default Category/Store Display Cases; Racks &amp; Showcases/Acrylic Displays/Acrylic Bins; Trays; Easels</t>
  </si>
  <si>
    <t>Default Category/Store Display Cases; Racks &amp; Showcases/Acrylic Displays/Acrylic Bins; Trays; Easels/Acrylic Mini Easel</t>
  </si>
  <si>
    <t>Default Category/Store Display Cases; Racks &amp; Showcases/Acrylic Displays/Acrylic Bins; Trays; Easels/Acrylic Shirt Easels</t>
  </si>
  <si>
    <t>Default Category/Store Display Cases; Racks &amp; Showcases/Acrylic Displays/Acrylic Bins; Trays; Easels/Easels with Acrylic Base</t>
  </si>
  <si>
    <t>Default Category/Store Display Cases; Racks &amp; Showcases/Acrylic Displays/Acrylic Bins; Trays; Easels/Acrylic Rounded Opening Easels</t>
  </si>
  <si>
    <t>Default Category/Store Display Cases; Racks &amp; Showcases/Acrylic Displays/Acrylic Bins; Trays; Easels/Acrylic Display Easels</t>
  </si>
  <si>
    <t>Default Category/Store Display Cases; Racks &amp; Showcases/Acrylic Displays/Acrylic Bins; Trays; Easels/Acrylic Molded Easels</t>
  </si>
  <si>
    <t>Default Category/Store Display Cases; Racks &amp; Showcases/Acrylic Displays/Acrylic Bins; Trays; Easels/Acrylic Open Cubes 3 16" Clear</t>
  </si>
  <si>
    <t>Default Category/Store Display Cases; Racks &amp; Showcases/Acrylic Displays/Acrylic Bins; Trays; Easels/Acrylic Dinnerware Holder</t>
  </si>
  <si>
    <t>Default Category/Store Display Cases; Racks &amp; Showcases/Acrylic Displays/Acrylic Bins; Trays; Easels/Cell Phone Acrylic Easels</t>
  </si>
  <si>
    <t>Default Category/Store Display Cases; Racks &amp; Showcases/Acrylic Displays/Acrylic Bins; Trays; Easels/3" Deep "J" Opening Acrylic Easels</t>
  </si>
  <si>
    <t>Default Category/Store Display Cases; Racks &amp; Showcases/Acrylic Displays/Acrylic Bins; Trays; Easels/Acrylic Compartment Bins for Countertop</t>
  </si>
  <si>
    <t>Default Category/Store Display Cases; Racks &amp; Showcases/Acrylic Displays/Acrylic Bins; Trays; Easels/Acrylic Display Trays for Countertop</t>
  </si>
  <si>
    <t>Default Category/Store Display Cases; Racks &amp; Showcases/Acrylic Displays/Acrylic Bins; Trays; Easels/38 Series Acrylic Easels</t>
  </si>
  <si>
    <t>Default Category/Store Display Cases; Racks &amp; Showcases/Acrylic Displays/Acrylic Bins; Trays; Easels/37 Series Acrylic Easels</t>
  </si>
  <si>
    <t>Default Category/Store Display Cases; Racks &amp; Showcases/Acrylic Displays/Jewelry; Apparel; Eyewear Displays</t>
  </si>
  <si>
    <t>Default Category/Store Display Cases; Racks &amp; Showcases/Acrylic Displays/Jewelry; Apparel; Eyewear Displays/Acrylic Apparel Ball Waterfall</t>
  </si>
  <si>
    <t>Default Category/Store Display Cases; Racks &amp; Showcases/Acrylic Displays/Jewelry; Apparel; Eyewear Displays/Acrylic Apparel Folding Boards</t>
  </si>
  <si>
    <t>Default Category/Store Display Cases; Racks &amp; Showcases/Acrylic Displays/Jewelry; Apparel; Eyewear Displays/Acrylic Apparel Hanger Strip</t>
  </si>
  <si>
    <t>Default Category/Store Display Cases; Racks &amp; Showcases/Acrylic Displays/Jewelry; Apparel; Eyewear Displays/Acrylic Apparel Slatwall T shirt Display</t>
  </si>
  <si>
    <t>Default Category/Store Display Cases; Racks &amp; Showcases/Acrylic Displays/Jewelry; Apparel; Eyewear Displays/Acrylic Apparel Bins</t>
  </si>
  <si>
    <t>Default Category/Store Display Cases; Racks &amp; Showcases/Acrylic Displays/Jewelry; Apparel; Eyewear Displays/Acrylic Apparel Belt and Tie Displays</t>
  </si>
  <si>
    <t>Default Category/Store Display Cases; Racks &amp; Showcases/Acrylic Displays/Jewelry; Apparel; Eyewear Displays/Acrylic Apparel Scarf Ring Displayer</t>
  </si>
  <si>
    <t>Default Category/Store Display Cases; Racks &amp; Showcases/Acrylic Displays/Jewelry; Apparel; Eyewear Displays/Glass Dome Display with Hardwood Base</t>
  </si>
  <si>
    <t>Default Category/Store Display Cases; Racks &amp; Showcases/Acrylic Displays/Jewelry; Apparel; Eyewear Displays/Acrylic Revolving Security Eyewear Displays</t>
  </si>
  <si>
    <t>Default Category/Store Display Cases; Racks &amp; Showcases/Acrylic Displays/Jewelry; Apparel; Eyewear Displays/Acrylic Countertop Eyewear Displays</t>
  </si>
  <si>
    <t>Default Category/Store Display Cases; Racks &amp; Showcases/Acrylic Displays/Jewelry; Apparel; Eyewear Displays/Acrylic Freestanding Eyewear Displays</t>
  </si>
  <si>
    <t>Default Category/Store Display Cases; Racks &amp; Showcases/Acrylic Displays/Jewelry; Apparel; Eyewear Displays/Acrylic Eyewear Display Rods</t>
  </si>
  <si>
    <t>Default Category/Store Display Cases; Racks &amp; Showcases/Acrylic Displays/Jewelry; Apparel; Eyewear Displays/Acrylic Revolving Eyewear Display</t>
  </si>
  <si>
    <t>Default Category/Store Display Cases; Racks &amp; Showcases/Acrylic Displays/Jewelry; Apparel; Eyewear Displays/Molded Acrylic Watch Displays</t>
  </si>
  <si>
    <t>Default Category/Store Display Cases; Racks &amp; Showcases/Acrylic Displays/Jewelry; Apparel; Eyewear Displays/Clutch Bag Acrylic Riser</t>
  </si>
  <si>
    <t>Default Category/Store Display Cases; Racks &amp; Showcases/Acrylic Displays/Jewelry; Apparel; Eyewear Displays/Acrylic Earring Card Displays</t>
  </si>
  <si>
    <t>Default Category/Store Display Cases; Racks &amp; Showcases/Acrylic Displays/Jewelry; Apparel; Eyewear Displays/Acrylic T Bar Jewelry Displays</t>
  </si>
  <si>
    <t>Default Category/Store Display Cases; Racks &amp; Showcases/Acrylic Displays/Acrylic Countertop Displays</t>
  </si>
  <si>
    <t>Default Category/Store Display Cases; Racks &amp; Showcases/Acrylic Displays/Acrylic Countertop Displays/Flat Locking Acrylic Showcases</t>
  </si>
  <si>
    <t>Default Category/Store Display Cases; Racks &amp; Showcases/Acrylic Displays/Acrylic Countertop Displays/Acrylic Locking Showcases for Slatwall</t>
  </si>
  <si>
    <t>Default Category/Store Display Cases; Racks &amp; Showcases/Acrylic Displays/Acrylic Countertop Displays/Acrylic 4 Tier Displays</t>
  </si>
  <si>
    <t>Default Category/Store Display Cases; Racks &amp; Showcases/Acrylic Displays/Acrylic Countertop Displays/Acrylic CD or DVD Shelf Display Rack</t>
  </si>
  <si>
    <t>Default Category/Store Display Cases; Racks &amp; Showcases/Acrylic Displays/Acrylic Countertop Displays/Acrylic Glass Mirror for Countertop; High Style</t>
  </si>
  <si>
    <t>Default Category/Store Display Cases; Racks &amp; Showcases/Acrylic Displays/Acrylic Countertop Displays/Acrylic Beveled Glass Counter Mirror</t>
  </si>
  <si>
    <t>Default Category/Store Display Cases; Racks &amp; Showcases/Acrylic Displays/Acrylic Countertop Displays/Slant Back Acrylic Mirror</t>
  </si>
  <si>
    <t>Default Category/Store Display Cases; Racks &amp; Showcases/Acrylic Displays/Acrylic Countertop Displays/Gridwall Acrylic Mirror</t>
  </si>
  <si>
    <t>Default Category/Store Display Cases; Racks &amp; Showcases/Acrylic Displays/Acrylic Countertop Displays/Black Adjustable Glass Counter Mirror</t>
  </si>
  <si>
    <t>Default Category/Store Display Cases; Racks &amp; Showcases/Acrylic Displays/Acrylic Countertop Displays/Acrylic Domed Countertop Glass Mirror</t>
  </si>
  <si>
    <t>Default Category/Store Display Cases; Racks &amp; Showcases/Acrylic Displays/Acrylic Countertop Displays/Acrylic Economy Shelf Display for Slatwall</t>
  </si>
  <si>
    <t>Default Category/Store Display Cases; Racks &amp; Showcases/Acrylic Displays/Acrylic Countertop Displays/Acrylic Countertop Rack</t>
  </si>
  <si>
    <t>Default Category/Store Display Cases; Racks &amp; Showcases/Acrylic Displays/Acrylic Countertop Displays/Acrylic Mini Platform Stairs</t>
  </si>
  <si>
    <t>Default Category/Store Display Cases; Racks &amp; Showcases/Acrylic Displays/Acrylic Countertop Displays/Acrylic Clear Three Step Stairs</t>
  </si>
  <si>
    <t>Default Category/Store Display Cases; Racks &amp; Showcases/Acrylic Displays/Acrylic Countertop Displays/1 4" Acrylic 3 Tier Displays</t>
  </si>
  <si>
    <t>Default Category/Store Display Cases; Racks &amp; Showcases/Acrylic Displays/Acrylic Countertop Displays/Acrylic Bin Display</t>
  </si>
  <si>
    <t>Default Category/Store Display Cases; Racks &amp; Showcases/Acrylic Displays/Acrylic Countertop Displays/Acrylic Clear Tiered Stairs</t>
  </si>
  <si>
    <t>Default Category/Store Display Cases; Racks &amp; Showcases/Acrylic Displays/Acrylic Countertop Displays/Acrylic Countertop Showcases</t>
  </si>
  <si>
    <t>Default Category/Store Display Cases; Racks &amp; Showcases/Acrylic Displays/Misc. Acrylic Products</t>
  </si>
  <si>
    <t>Default Category/Store Display Cases; Racks &amp; Showcases/Acrylic Displays/Misc. Acrylic Products/Acrylic Cleaner</t>
  </si>
  <si>
    <t>Default Category/Store Display Cases; Racks &amp; Showcases/Acrylic Displays/Misc. Acrylic Products/Acrylic Electric Turntable</t>
  </si>
  <si>
    <t>Default Category/Store Display Cases; Racks &amp; Showcases/Acrylic Displays/Misc. Acrylic Products/Acrylic Beveled Mirror</t>
  </si>
  <si>
    <t>Default Category/Store Display Cases; Racks &amp; Showcases/Acrylic Displays/Misc. Acrylic Products/Acrylic Pen Display</t>
  </si>
  <si>
    <t>Default Category/Store Display Cases; Racks &amp; Showcases/Shelves</t>
  </si>
  <si>
    <t>Default Category/Store Display Cases; Racks &amp; Showcases/Shelves/Wire Shelves</t>
  </si>
  <si>
    <t>Default Category/Store Display Cases; Racks &amp; Showcases/Shelves/Wire Shelves/Slatwall Flat Wire Shelves</t>
  </si>
  <si>
    <t>Default Category/Store Display Cases; Racks &amp; Showcases/Shelves/Wire Shelves/Gridwall Flat Wire Shelves</t>
  </si>
  <si>
    <t>Default Category/Store Display Cases; Racks &amp; Showcases/Shelves/Melamine &amp; Bullnose Shelves</t>
  </si>
  <si>
    <t>Default Category/Store Display Cases; Racks &amp; Showcases/Shelves/Melamine &amp; Bullnose Shelves/Melamine Shelving</t>
  </si>
  <si>
    <t>Default Category/Store Display Cases; Racks &amp; Showcases/Shelves/Melamine &amp; Bullnose Shelves/Bull Nose Shelving in Solid Colors</t>
  </si>
  <si>
    <t>Default Category/Store Display Cases; Racks &amp; Showcases/Shelves/Melamine &amp; Bullnose Shelves/Bull Nose Shelving - Wood Grain</t>
  </si>
  <si>
    <t>Default Category/Store Display Cases; Racks &amp; Showcases/Mini Grid</t>
  </si>
  <si>
    <t>Default Category/Store Display Cases; Racks &amp; Showcases/Mini Grid/Mini Grid</t>
  </si>
  <si>
    <t>Default Category/Store Display Cases; Racks &amp; Showcases/Mini Grid/Acrylic Shelves with Flat Squares no Attachment</t>
  </si>
  <si>
    <t>Default Category/Store Display Cases; Racks &amp; Showcases/Mini Grid/Mini Grid; 8 way Connectors</t>
  </si>
  <si>
    <t>Default Category/Store Display Cases; Racks &amp; Showcases/Mini Grid/Mini Grid; 12 way Connectors</t>
  </si>
  <si>
    <t>Default Category/Store Display Cases; Racks &amp; Showcases/Modular Display Shelving</t>
  </si>
  <si>
    <t>Default Category/Store Display Cases; Racks &amp; Showcases/Modular Display Shelving/Complete Units</t>
  </si>
  <si>
    <t>Default Category/Store Display Cases; Racks &amp; Showcases/Modular Display Shelving/Modular Display Uprights</t>
  </si>
  <si>
    <t>Default Category/Store Display Cases; Racks &amp; Showcases/Modular Display Shelving/Modular Display Shelves</t>
  </si>
  <si>
    <t>Default Category/Store Display Cases; Racks &amp; Showcases/Modular Display Shelving/Modular Display Cross Pieces</t>
  </si>
  <si>
    <t>Default Category/Store Display Cases; Racks &amp; Showcases/Modular Display Shelving/Modular Display Accessories</t>
  </si>
  <si>
    <t>category</t>
  </si>
  <si>
    <t>description</t>
  </si>
  <si>
    <t>meta_title</t>
  </si>
  <si>
    <t>meta_keywords</t>
  </si>
  <si>
    <t>meta_description</t>
  </si>
  <si>
    <t>image_url</t>
  </si>
  <si>
    <t>original_file_url</t>
  </si>
  <si>
    <t>&lt;p&gt;If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</si>
  <si>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</si>
  <si>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</si>
  <si>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</si>
  <si>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www.americanretailsupply.com/64690/Banners--Posters.html</t>
  </si>
  <si>
    <t>&lt;p&gt;Use Contest Boxes to Increase Store Traffic and Build Sales!&lt;/p&gt;</t>
  </si>
  <si>
    <t>Contest Boxes, Retail Store Advertising Supplies</t>
  </si>
  <si>
    <t>contest boxes</t>
  </si>
  <si>
    <t>Retail store contest boxes for sale, attractive and useful advertising and promotional products for your retail store; available from American Retail Supply.</t>
  </si>
  <si>
    <t>www.americanretailsupply.com/64695/Contest-Boxes.html</t>
  </si>
  <si>
    <t>&lt;p&gt;Blank Fluorescent Multi Use Labels that come in brilliant colors attract attention and hold it!&lt;/p&gt;</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</si>
  <si>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</si>
  <si>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</si>
  <si>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</si>
  <si>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www.americanretailsupply.com/64692/Fluorescent-Labels.html</t>
  </si>
  <si>
    <t>&lt;p&gt;Gift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</si>
  <si>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</si>
  <si>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</si>
  <si>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</si>
  <si>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www.americanretailsupply.com/64987/Gift-Cards.html</t>
  </si>
  <si>
    <t>&lt;p&gt;Use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</si>
  <si>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</si>
  <si>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</si>
  <si>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</si>
  <si>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www.americanretailsupply.com/64689/Pennants.html</t>
  </si>
  <si>
    <t>&lt;p&gt;Ready Flow Pen Sets - canister pen set. Special performance ink.  Environmentally safe, water based. Works well on regular or glossy paper, and vinyl banners. Not flammable, fade resistant. Will not run or spot when sprayed with water!&lt;/p&gt;</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</si>
  <si>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</si>
  <si>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</si>
  <si>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</si>
  <si>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www.americanretailsupply.com/64693/Ready-Flow-Pen-Sets.html</t>
  </si>
  <si>
    <t>&lt;p&gt;Look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</si>
  <si>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</si>
  <si>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</si>
  <si>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</si>
  <si>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www.americanretailsupply.com/64691/Sidewalk-Signs.html</t>
  </si>
  <si>
    <t>&lt;p&gt;Display signs professionally in these crystal clear acrylic rigid holders.  Place these in display cases, on counters, and in key locations.&lt;/p&gt;</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</si>
  <si>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</si>
  <si>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</si>
  <si>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</si>
  <si>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www.americanretailsupply.com/64983/Acrylic-Sign-Card-Frames.html</t>
  </si>
  <si>
    <t>&lt;p&gt;Chrome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</si>
  <si>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</si>
  <si>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</si>
  <si>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</si>
  <si>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www.americanretailsupply.com/64984/Chrome-Sign-Card-Frames.html</t>
  </si>
  <si>
    <t>&lt;p&gt;Menu card holders or Sign clip holders we have what you need. Please call 1-800-426-5708 if you have any questions.&lt;/p&gt;</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</si>
  <si>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</si>
  <si>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</si>
  <si>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</si>
  <si>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www.americanretailsupply.com/64981/Miscellaneous-Sign-Holders.html</t>
  </si>
  <si>
    <t>&lt;p&gt;Heavy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</si>
  <si>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</si>
  <si>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</si>
  <si>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</si>
  <si>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www.americanretailsupply.com/64982/Vinyl-Envelope--Sign-Holders.html</t>
  </si>
  <si>
    <t>&lt;p&gt;Sign Cards improve sales and increase profits of your retail store with these bright and colorful in store sign card.&lt;/p&gt;</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</si>
  <si>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</si>
  <si>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</si>
  <si>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</si>
  <si>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www.americanretailsupply.com/64687/Sign-Cards.html</t>
  </si>
  <si>
    <t>&lt;p&gt;Advertising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t>
  </si>
  <si>
    <t>Advertising Signs &amp; Supplies</t>
  </si>
  <si>
    <t>sale signs, promotional tools, retail signage, sign holders, posters banners, sidewalk signs</t>
  </si>
  <si>
    <t>Give your marketing a boost! American Retail Supply offers retail advertising aids and promotional tools including sale signs, retail signage, sale banners &amp; posters, and gift cards!</t>
  </si>
  <si>
    <t>www.americanretailsupply.com/64600/Advertising-Aids.html</t>
  </si>
  <si>
    <t>&lt;p&gt; A variety of products for displaying your products including glass shelving, jewelry and acrylic displays. Glass shelving will require a crating fee for shipment. Please call 1-800-426-5708 if you have any questions. &lt;/p&gt;</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</si>
  <si>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</si>
  <si>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</si>
  <si>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</si>
  <si>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www.americanretailsupply.com/64900/Closeout-Acrylic-Glass-Jewelry-Displays.html</t>
  </si>
  <si>
    <t>&lt;p&gt;This is the right place to find Apparel Accessories at big savings. Come back often to this page as items change often.&lt;/p&gt;</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</si>
  <si>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</si>
  <si>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</si>
  <si>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</si>
  <si>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www.americanretailsupply.com/64904/Closeout-Apparel-Accessories.html</t>
  </si>
  <si>
    <t>&lt;p&gt;Slatwall, gridwall, pegboard and wall-mounted fixtures that have been discontinued or are overstocked can help you display your products to their best advantage. There are many to chose from in various finishes. Stock is limited to on hand quantities. &lt;/p&gt;</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</si>
  <si>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</si>
  <si>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</si>
  <si>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</si>
  <si>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www.americanretailsupply.com/64901/Closeout-Brackets-Hooks-Standards.html</t>
  </si>
  <si>
    <t>&lt;p&gt;You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</si>
  <si>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</si>
  <si>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</si>
  <si>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</si>
  <si>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www.americanretailsupply.com/64898/Closeout-Display-Cases-and-Racks.html</t>
  </si>
  <si>
    <t>&lt;p&gt;We have many packaging items at great prices for your retail store. We list new items often and all purchases are limited to stock on hand. &lt;/p&gt;</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</si>
  <si>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</si>
  <si>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</si>
  <si>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</si>
  <si>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www.americanretailsupply.com/64899/Closeout-Packaging.html</t>
  </si>
  <si>
    <t>&lt;p&gt;Labelers, labels, fasteners, and accessories deeply discounted. If you have questions about if these products will work with items you already have or we sell please call 1-800-426-5708 and one of our sales reps will be happy to assist you. &lt;/p&gt;</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</si>
  <si>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</si>
  <si>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</si>
  <si>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</si>
  <si>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www.americanretailsupply.com/64902/Closeout-Price-Marking.html</t>
  </si>
  <si>
    <t>&lt;p&gt;Pens, sign holders, tags, tape and many other varied items to help you run your business at peak efficency reduced due to overstock and/or manufacturer discontinue. &lt;/p&gt;</t>
  </si>
  <si>
    <t>Miscellaneous Closeout Clearance</t>
  </si>
  <si>
    <t>Miscellaneous Closeout, retail supplies closeout, clerance items</t>
  </si>
  <si>
    <t>Miscellaneous items closeout including pens, sign holders, tags, tape and more at clearance prices; from American Retail Supply.</t>
  </si>
  <si>
    <t>www.americanretailsupply.com/64905/Miscellaneous-Closeout.html</t>
  </si>
  <si>
    <t>&lt;p&gt;Deep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t>
  </si>
  <si>
    <t>Closeouts Sale Clearance | American Retail Supply</t>
  </si>
  <si>
    <t>closeouts, closeout, clearance, discounts, sale</t>
  </si>
  <si>
    <t>American Retail Supply offers deep discounts clearance items in many departments, displays, showcases, &amp; gift packaging. Supply limited order online today!</t>
  </si>
  <si>
    <t>www.americanretailsupply.com/64594/Closeouts.html</t>
  </si>
  <si>
    <t>&lt;p&gt;Chrome Metal Sign Card Frames holders include Vinyl Sign Card Holders and Acrylic Sign Card Holders. Let your sign to do the work for you.&lt;/p&gt;</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</si>
  <si>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</si>
  <si>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</si>
  <si>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</si>
  <si>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www.americanretailsupply.com/64688/Sign-Card-Frames-and-Vinyl-Envelopes.html</t>
  </si>
  <si>
    <t>&lt;p&gt; Here are many accessories you can use when selling apparel products in your store.  Call us if you don't see what you are looking for 800-426-5708. Or email us at info@americanretailsupply.com.  &lt;/p&gt;</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</si>
  <si>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</si>
  <si>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</si>
  <si>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</si>
  <si>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www.americanretailsupply.com/65197/Apparel-Accessories--Apparel-Store-Supplies.html</t>
  </si>
  <si>
    <t>&lt;p&gt;Are you always looking for Box Cutters? You can get a case of 12 at a time from American Retail Supply for the same price you would pay for 2 at the local hardware store. What if you only need the blades well we carry those in packs of 100. &lt;/p&gt;</t>
  </si>
  <si>
    <t>Box Cutters - Retail Store Packaging Supplies and Box Cutters</t>
  </si>
  <si>
    <t>box cutters, retail packaging supplies</t>
  </si>
  <si>
    <t>Buy box cutters and retail store packaging supplies online, order box cutters for your store in bulk and save from American Retail Supply.</t>
  </si>
  <si>
    <t>www.americanretailsupply.com/64848/Box-Cutters.html</t>
  </si>
  <si>
    <t>No Description</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</si>
  <si>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</si>
  <si>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</si>
  <si>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</si>
  <si>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www.americanretailsupply.com/64850/Carts.html</t>
  </si>
  <si>
    <t>&lt;p&gt;&lt;a id="Cash Register Paper" name="Cash Register Paper"&gt;Cash Register Paper with a low lint quality paper helps prevent maintenance problems with your retail store's register. Many sizes in stock. One and two ply. Adding machine paper also!&lt;/p&gt;</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</si>
  <si>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</si>
  <si>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</si>
  <si>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</si>
  <si>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www.americanretailsupply.com/64857/Cash-Register-Paper.html</t>
  </si>
  <si>
    <t>&lt;p&gt;  Great tools to make cutting ribbon, or holding tissue or giftwrap so much easier.  From single roll and multi roll paper cutters to ribbon dispensers and tissue racks, you can find it here.  &lt;/p&gt;</t>
  </si>
  <si>
    <t>Ribbon, Tissue Paper, Giftwrap Racks</t>
  </si>
  <si>
    <t>ribbon racks, tissue paper racks, giftwrap racks</t>
  </si>
  <si>
    <t>American Retail Supply offers general store operations merchandises including ribbon, tissue paper, and giftwrap racks for your retail supply needs.</t>
  </si>
  <si>
    <t>www.americanretailsupply.com/64860/Giftwrap-Ribbon-Tissue-Racks.html</t>
  </si>
  <si>
    <t>&lt;p&gt;Shrink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</si>
  <si>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</si>
  <si>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</si>
  <si>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</si>
  <si>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www.americanretailsupply.com/64852/Impulse-Sealers--Shrink-Wrap.html</t>
  </si>
  <si>
    <t>&lt;p&gt;LED Strip lights for your store.  Use them under shelves and or around products.  These will help draw attention to your display. &lt;/p&gt;</t>
  </si>
  <si>
    <t>LED Retail Lights, Showcase Lights, Retail Lighting</t>
  </si>
  <si>
    <t>LED lights, retail lights, showcase lights</t>
  </si>
  <si>
    <t>American Retail Supply offers LED strip lights and showcase lights for your retail store lighting, order LED lights online.</t>
  </si>
  <si>
    <t>www.americanretailsupply.com/64847/Lights.html</t>
  </si>
  <si>
    <t>&lt;p&gt;You'll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t>
  </si>
  <si>
    <t>Retail Store Supplies, Store Merchandising Aids</t>
  </si>
  <si>
    <t>store merchandising, retail supplies</t>
  </si>
  <si>
    <t>Store Merchandising Aids - Buy retail store merchandising supplies and accessories for your store online from American Retail Supply.</t>
  </si>
  <si>
    <t>www.americanretailsupply.com/64864/Merchandising-Aids.html</t>
  </si>
  <si>
    <t>&lt;p&gt;Choose from a variety of Electronic Printer Labels are a Thermal Transfer labels to mark your merchandise in your retail store.  You can print labels that are either designed to be Direct Thermal or Thermal Transfer.&lt;/p&gt;</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</si>
  <si>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</si>
  <si>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</si>
  <si>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</si>
  <si>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www.americanretailsupply.com/64856/Printer-Labels.html</t>
  </si>
  <si>
    <t>&lt;p&gt;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t>
  </si>
  <si>
    <t>Shipping Envelopes, Mailers, Jiffy Bags</t>
  </si>
  <si>
    <t>Shipping Envelopes, mailers, Jiffy bags</t>
  </si>
  <si>
    <t>American Retail Supply offers general store operations merchandises including shipping envelopes, mailers, eco-shipper, Jiffy bags, and other retail supplies!</t>
  </si>
  <si>
    <t>www.americanretailsupply.com/64865/Shipping-Envelopes.html</t>
  </si>
  <si>
    <t>&lt;p&gt;In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</si>
  <si>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</si>
  <si>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</si>
  <si>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</si>
  <si>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www.americanretailsupply.com/64859/Shipping-Supplies.html</t>
  </si>
  <si>
    <t>&lt;p&gt;Hand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store.&lt;/p&gt;</t>
  </si>
  <si>
    <t>Shopping Baskets, Shopping Hand Carts and Baskets, Retail Store Supplies</t>
  </si>
  <si>
    <t>shopping baskets, shopping carts</t>
  </si>
  <si>
    <t>Retail store hand cart shopping baskets - Buy retail store hand baskets and shopping supplies for your store online from American Retail Supply.</t>
  </si>
  <si>
    <t>www.americanretailsupply.com/64855/Shopping-Baskets.html</t>
  </si>
  <si>
    <t>&lt;p&gt;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</si>
  <si>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</si>
  <si>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</si>
  <si>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</si>
  <si>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www.americanretailsupply.com/65196/Sizers-Markers--Size-Labels.html</t>
  </si>
  <si>
    <t>&lt;p&gt;These Steamers are available in standard duty or heavy duty commercial steamers. We do carry some replacement parts as well, call 1-800-426-5708 to inquire. &lt;/p&gt;</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</si>
  <si>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</si>
  <si>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</si>
  <si>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</si>
  <si>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www.americanretailsupply.com/64851/Steamers.html</t>
  </si>
  <si>
    <t>Stretch Wrap Clear Film &amp; Hand Dispenser</t>
  </si>
  <si>
    <t>Stretch Wrap, retail supplies, store operations supply</t>
  </si>
  <si>
    <t>American Retail Supply offers general store operations merchandises including stretch wrap clear film and hand dispenser and more retail supplies!</t>
  </si>
  <si>
    <t>www.americanretailsupply.com/64866/Stretch-Wrap.html</t>
  </si>
  <si>
    <t>&lt;p&gt;Sealing tape and dispensers, perfect for use at your retail store to meet all your packaging needs.&lt;/p&gt;</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</si>
  <si>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</si>
  <si>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</si>
  <si>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</si>
  <si>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www.americanretailsupply.com/64849/Tape.html</t>
  </si>
  <si>
    <t>&lt;p&gt;Turn-O-Matic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800-426-5708.&lt;/p&gt;</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</si>
  <si>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</si>
  <si>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</si>
  <si>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</si>
  <si>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www.americanretailsupply.com/64854/Turn--O--Matic-Systems.html</t>
  </si>
  <si>
    <t>&lt;p&gt;Every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t>
  </si>
  <si>
    <t>Retail Store Supplies | American Retail Supply</t>
  </si>
  <si>
    <t>store operation, sales operations supplies, retail supply,</t>
  </si>
  <si>
    <t>American Retail Supply makes it easy to run your store smoothly with our store supplies and accessories at great prices! Get everything you need at one wholesale supply store.</t>
  </si>
  <si>
    <t>www.americanretailsupply.com/64602/General-Store-Supplies.html</t>
  </si>
  <si>
    <t>&lt;p&gt;Here are curling ribbons in a rainbow of colors and textures, including natural, crimped and metallic so that you can find the perfect colors to accent your wrapped gifts!&lt;/p&gt;</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</si>
  <si>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</si>
  <si>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</si>
  <si>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</si>
  <si>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www.americanretailsupply.com/64735/Curling-Ribbon.html</t>
  </si>
  <si>
    <t>&lt;p&gt;Add that special touch in style with fabric ribbon! Here are ribbons available in sheer and satin fabrics in a variety of colors.&lt;/p&gt;</t>
  </si>
  <si>
    <t>Cloth Ribbon, Simply Sheer, Dyna-Satin and Fabric Ribbon</t>
  </si>
  <si>
    <t>cloth ribbon, fabric ribbon, bows</t>
  </si>
  <si>
    <t>Cloth ribbon and retail store gift wrapping and packaging supplies, including simply sheer and dyna-satin fabric ribbons for sale at American Retail Supply.</t>
  </si>
  <si>
    <t>www.americanretailsupply.com/64738/Fabric-Ribbon.html</t>
  </si>
  <si>
    <t>&lt;p&gt;  Add Shimmer to your retail store's packaging with Metallic and Glitter - Ribbon and Bows.&lt;/p&gt;</t>
  </si>
  <si>
    <t>Metallic Ribbon and Bows, Retail Gift Wrapping and Packaging Supplies, Ribbon and Bows</t>
  </si>
  <si>
    <t>metallic ribbon, metallic bows</t>
  </si>
  <si>
    <t>Buy metallic ribbon and bows and retail store gift wrapping and packaging supplies online at American Retail Supply.</t>
  </si>
  <si>
    <t>www.americanretailsupply.com/64739/Metallic-Bows--Ribbon.html</t>
  </si>
  <si>
    <t>&lt;p&gt;Unlike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</si>
  <si>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</si>
  <si>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</si>
  <si>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</si>
  <si>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www.americanretailsupply.com/64734/Natural-Curling-Ribbon.html</t>
  </si>
  <si>
    <t>&lt;p&gt;Our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</si>
  <si>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</si>
  <si>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</si>
  <si>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</si>
  <si>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www.americanretailsupply.com/64736/Perfect-Bows--Ribbon.html</t>
  </si>
  <si>
    <t>&lt;p&gt;Splendorette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</si>
  <si>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</si>
  <si>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</si>
  <si>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</si>
  <si>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www.americanretailsupply.com/64737/Star-Prenotched-Bows-Ribbon.html</t>
  </si>
  <si>
    <t>&lt;p&gt;Stretch Loops and Cords are a popular, attractive and easy way to secure gift boxes and add an eye catching finishing touch to your gift wrapping.&lt;/p&gt;</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</si>
  <si>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</si>
  <si>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</si>
  <si>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</si>
  <si>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www.americanretailsupply.com/64741/Stretch-Loops--Cord.html</t>
  </si>
  <si>
    <t>&lt;p&gt;  Tulle makes an elegant finish to your retail store's packaging or as an accent to your display.  This is the perfect tulle for making pew bows, tying packages, or creating wedding favors.&lt;/p&gt;</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</si>
  <si>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</si>
  <si>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</si>
  <si>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</si>
  <si>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www.americanretailsupply.com/64742/Tulle.html</t>
  </si>
  <si>
    <t>&lt;p&gt;Wraphia, Raffia, Excelsior is a great way to add a natural look to your packages. Ideal for trimming your retail store's boxes and bags. Simple to use and looks great on any package.&lt;/p&gt;</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</si>
  <si>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</si>
  <si>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</si>
  <si>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</si>
  <si>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www.americanretailsupply.com/64740/Wraphia-Raffia-Excelsior.html</t>
  </si>
  <si>
    <t>&lt;p&gt;Bows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t>
  </si>
  <si>
    <t>Bows and Ribbon - AMERICAN RETAIL SUPPLY</t>
  </si>
  <si>
    <t>Bows and ribbon, ribbon, bows, retail packaging</t>
  </si>
  <si>
    <t>AMERICAN RETAIL SUPPLY is an online wholesale products store that offers a wide variety of bows and ribbon for your retail store supply packaging needs.</t>
  </si>
  <si>
    <t>www.americanretailsupply.com/64492/Bows--Ribbon.html</t>
  </si>
  <si>
    <t>&lt;p&gt;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</si>
  <si>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</si>
  <si>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</si>
  <si>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</si>
  <si>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www.americanretailsupply.com/64707/Apparel-Boxes.html</t>
  </si>
  <si>
    <t>&lt;p&gt;Conveniently eliminate the need for gift wrap with our attractive Decorative Corrugated Shipping Boxes! The boxes come in a range of sizes and patterns.&lt;/p&gt;</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</si>
  <si>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</si>
  <si>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</si>
  <si>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</si>
  <si>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www.americanretailsupply.com/64709/Decorative-Corrugated-Boxes.html</t>
  </si>
  <si>
    <t>&lt;p&gt;Use colorful E Flute Boxes as a classy and fun way to package your retail store's product!&lt;/p&gt;</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</si>
  <si>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</si>
  <si>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</si>
  <si>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</si>
  <si>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www.americanretailsupply.com/64715/E--Flute-Decorative-Boxes.html</t>
  </si>
  <si>
    <t>&lt;p&gt;&lt;br&gt;&lt;br&gt;&lt;br&gt;Gable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U.S.A.&lt;br&gt;&lt;/p&gt;</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</si>
  <si>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</si>
  <si>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</si>
  <si>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</si>
  <si>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www.americanretailsupply.com/64711/Gable-Boxes.html</t>
  </si>
  <si>
    <t>&lt;p&gt;Choose from Natural Kraft Pinstripe, White, Gift Boxes for your Retail Store.&lt;br&gt; &lt;/p&gt;</t>
  </si>
  <si>
    <t>Gift Boxes - Retail Store Gift Boxes and Packaging</t>
  </si>
  <si>
    <t>gift boxes, wholesale boxes</t>
  </si>
  <si>
    <t>American Retail Supply offers an extensive line of wholesale gift boxes for retail stores, order retail store packaging and supplies online.</t>
  </si>
  <si>
    <t>www.americanretailsupply.com/64706/Gift-Boxes.html</t>
  </si>
  <si>
    <t>&lt;p&gt;Gift cards are a wonderful way to market your store, help your customers and provide a way to boost holiday sales - The boxes and totes help you wrap them up for any occasion. All items can be personalized, please call 1-800-426-5708 for more information. &lt;/p&gt;</t>
  </si>
  <si>
    <t>Gift Card Boxes and Purse Totes</t>
  </si>
  <si>
    <t>Gift Card Boxes, Purse Gift Bag, Purse Style Gift Bags</t>
  </si>
  <si>
    <t>The Boxes and Totes Help You Wrap Them Up For Any Occasion. Gift Card Boxes Are Perfect For Weddings, Birthdays, and Christmas. Call For Expert Advices!</t>
  </si>
  <si>
    <t>www.americanretailsupply.com/65764/Gift-Card-Boxes-and-Purse-Totes.html</t>
  </si>
  <si>
    <t>&lt;p&gt;These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t>
  </si>
  <si>
    <t>Gift Boxes - Two Piece Giftware Boxes, Retail Packaging Supplies</t>
  </si>
  <si>
    <t>gift boxes, giftware boxes</t>
  </si>
  <si>
    <t>Buy heavy duty Hi Wall 2 piece gift boxes &amp; lids, and retail store packaging supplies online from American Retail Supply.</t>
  </si>
  <si>
    <t>www.americanretailsupply.com/64710/Hi-Wall-2-Piece-Boxes--Lids.html</t>
  </si>
  <si>
    <t>&lt;p&gt;Good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</si>
  <si>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</si>
  <si>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</si>
  <si>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</si>
  <si>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www.americanretailsupply.com/64712/Italian-Boxes.html</t>
  </si>
  <si>
    <t>&lt;p&gt;Make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remember.&lt;/p&gt;</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</si>
  <si>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</si>
  <si>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</si>
  <si>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</si>
  <si>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www.americanretailsupply.com/64708/Jewelry-Boxes.html</t>
  </si>
  <si>
    <t>&lt;p&gt;Display your jewelry in style with these beautiful hinged Jewelry Boxes.  Price is per each.&lt;/p&gt;</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</si>
  <si>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</si>
  <si>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</si>
  <si>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</si>
  <si>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www.americanretailsupply.com/64716/Jewelry-Boxes-with-Hinged-Lids.html</t>
  </si>
  <si>
    <t>&lt;p&gt;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t>
  </si>
  <si>
    <t>Tin Boxes - Retail Packaging Supplies and Boxes</t>
  </si>
  <si>
    <t>tin boxes, retail packaging supplies</t>
  </si>
  <si>
    <t>Tin boxes and decorative retail packaging supplies for sale online, order tin boxes and gift boxes for your retail store from American Retail Supply.</t>
  </si>
  <si>
    <t>www.americanretailsupply.com/64717/Tin-Boxes.html</t>
  </si>
  <si>
    <t>&lt;p&gt;Gift,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</si>
  <si>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</si>
  <si>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</si>
  <si>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</si>
  <si>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www.americanretailsupply.com/64484/Boxes.html</t>
  </si>
  <si>
    <t>&lt;p&gt;Many patterns are available for your Coordinated Packaging for Food entire look.  These are not just for food packaging either, you can use for many gift items that you want to creatively package. &lt;/p&gt;</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</si>
  <si>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</si>
  <si>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</si>
  <si>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</si>
  <si>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www.americanretailsupply.com/65088/A-La-Carte-Bags--Boxes.html</t>
  </si>
  <si>
    <t>Decorative corrugated boxes for retail stores, order corrugated boxes and retail food packaging supplies online from American Retail Supply.</t>
  </si>
  <si>
    <t>www.americanretailsupply.com/65084/Decorative-Corrugated-Boxes.html</t>
  </si>
  <si>
    <t>&lt;p&gt;Whether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</si>
  <si>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</si>
  <si>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</si>
  <si>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</si>
  <si>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www.americanretailsupply.com/65085/Food-Grade-Tissue.html</t>
  </si>
  <si>
    <t>&lt;p&gt;We have many one and two pieces boxes with inserts or windows in our Boxes for Food Packaging department and are ideal. These are in either white or kraft paper with many sizes of cupcake inserts.   Boxes and inserts are sold separately. &lt;/p&gt;</t>
  </si>
  <si>
    <t>Food Boxes, Food Packaging</t>
  </si>
  <si>
    <t>food packaging, deli boxes, pizza box, cupcake inserts</t>
  </si>
  <si>
    <t>Food service packaging in white or kraft paper for different food types including pizza, bakery, cupcake, deli boxes available from American Retail Supply.</t>
  </si>
  <si>
    <t>www.americanretailsupply.com/65123/Food-Service-Boxes.html</t>
  </si>
  <si>
    <t>&lt;p&gt;Clear or printed Polypropylene Rolls and Bags are an inexpensive way to package your products.  You can use the rolls to cover baskets and the bags to individually package loose items.  Many color and prints are available. &lt;/p&gt;</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</si>
  <si>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</si>
  <si>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</si>
  <si>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</si>
  <si>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www.americanretailsupply.com/65086/Polyproylene-Bags--Rolls.html</t>
  </si>
  <si>
    <t>Default Category/Gift Wrapping &amp; Packaging/Food Packaging/Wine;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</si>
  <si>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</si>
  <si>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Packaging, Wine Bottle Bags and Boxes</t>
  </si>
  <si>
    <t>wine bags, wine packaging</t>
  </si>
  <si>
    <t>American Retail Supply offers wine packaging supplies including wine bags and wine boxes, and more retail store supplies at great prices!</t>
  </si>
  <si>
    <t>www.americanretailsupply.com/65087/Wine-Liquor-Bags--Boxes.html</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</si>
  <si>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t>
  </si>
  <si>
    <t>Food Packaging, Boxes, Containers</t>
  </si>
  <si>
    <t>food packaging, containers, food packaging bags, food packaging supplies</t>
  </si>
  <si>
    <t>American Retail Supply offers great selections of food packaging, bags, and containers for your essential retail store supplies.</t>
  </si>
  <si>
    <t>www.americanretailsupply.com/65082/Food-Packaging.html</t>
  </si>
  <si>
    <t>&lt;p&gt;We maintain one of the widest selections of label and tag stock for your enclosure cards.      &lt;/p&gt;</t>
  </si>
  <si>
    <t>Enclosure Cards, Retail Packaging, Gift Boxes, and Gift Enclosure Cards</t>
  </si>
  <si>
    <t>enclosure cards, gift cards</t>
  </si>
  <si>
    <t>Enclosure cards for retail store gift wrapping services, order enclosure cards and retail store supplies online, available from American Retail Supply.</t>
  </si>
  <si>
    <t>www.americanretailsupply.com/64751/Gift-Enclosure-Cards.html</t>
  </si>
  <si>
    <t>&lt;p&gt;All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</si>
  <si>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</si>
  <si>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</si>
  <si>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</si>
  <si>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www.americanretailsupply.com/64725/BARGAIN-In-Stock-Giftwrap.html</t>
  </si>
  <si>
    <t>&lt;p&gt;In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</si>
  <si>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</si>
  <si>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</si>
  <si>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</si>
  <si>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www.americanretailsupply.com/64723/Holiday-Giftwrap.html</t>
  </si>
  <si>
    <t>&lt;p&gt;JR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</si>
  <si>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</si>
  <si>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</si>
  <si>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</si>
  <si>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www.americanretailsupply.com/64720/JR-GiftWrap.html</t>
  </si>
  <si>
    <t>&lt;p&gt;Colorful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t>
  </si>
  <si>
    <t>Kraft Paper GiftWrap</t>
  </si>
  <si>
    <t>Kraft Paper Giftwrap, Giftwrap, Paper Giftwrap, A La Carte Giftwrap</t>
  </si>
  <si>
    <t>A La Carte Collection in Solid Color, Shadow Stripe Giftwrap. Patterns Available In Full Ream, Half Ream And Cutter Boxes.</t>
  </si>
  <si>
    <t>www.americanretailsupply.com/65351/Kraft-Paper-GiftWrap.html</t>
  </si>
  <si>
    <t>&lt;p&gt;Shamrock Giftwrap for every occasion!  Perfect for any type of retail store. Don't forget to top off your Giftwrap with the perfect &lt;a href="../64492/Bows--Ribbon.html"&gt;Bows and Ribbons!&lt;br&gt;&lt;br&gt;&lt;a href="../64492/Bows--Ribbon.html"&gt;&lt;/p&gt;</t>
  </si>
  <si>
    <t>Shamrock</t>
  </si>
  <si>
    <t>Retail store fixtures store supplies packaging price marking display fixtures and point of sale computer systems for Retail Stores</t>
  </si>
  <si>
    <t>www.americanretailsupply.com/65799/Shamrock.html</t>
  </si>
  <si>
    <t>&lt;p&gt;  Truly these Sullivan Giftwrap selections come in amazing colors and designs all found on these European look gift wraps.  Giftwrap for every occasion!  Perfect for any type of retail store.&lt;/p&gt;</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</si>
  <si>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</si>
  <si>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</si>
  <si>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</si>
  <si>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www.americanretailsupply.com/64719/Sullivan-GiftWrap.html</t>
  </si>
  <si>
    <t>&lt;p&gt;&lt;br&gt;&lt;br&gt;&lt;br&gt;Value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</si>
  <si>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</si>
  <si>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</si>
  <si>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</si>
  <si>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www.americanretailsupply.com/64721/VantagePOINT-GiftWrap.html</t>
  </si>
  <si>
    <t>&lt;p&gt;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</si>
  <si>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</si>
  <si>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</si>
  <si>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</si>
  <si>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www.americanretailsupply.com/64722/Western-Themed-GiftWrap.html</t>
  </si>
  <si>
    <t>&lt;p&gt;Here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t>
  </si>
  <si>
    <t>Gift Wrap - Retail Store Gift Wrap and Packaging Supplies</t>
  </si>
  <si>
    <t>gift wrap, giftwrap</t>
  </si>
  <si>
    <t>Gift wrap and decorative packaging supplies for retail stores, order bulk gift wrap online from American Retail Supply.</t>
  </si>
  <si>
    <t>www.americanretailsupply.com/64491/Gift-Wrap.html</t>
  </si>
  <si>
    <t>&lt;p&gt;Choose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</si>
  <si>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</si>
  <si>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</si>
  <si>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</si>
  <si>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www.americanretailsupply.com/64493/Labels--Stickers.html</t>
  </si>
  <si>
    <t>&lt;p&gt;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t>
  </si>
  <si>
    <t>Organza Bags - Organza and Velveteen Bags</t>
  </si>
  <si>
    <t>organza bags, velveteen bag</t>
  </si>
  <si>
    <t>Wholesale organza bags for sale online, order organza and velveteen bags for your retail store, from American Retail Supply.</t>
  </si>
  <si>
    <t>www.americanretailsupply.com/64749/Organza--Velvet-Bags.html</t>
  </si>
  <si>
    <t>&lt;p&gt;Colored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</si>
  <si>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</si>
  <si>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</si>
  <si>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</si>
  <si>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www.americanretailsupply.com/64705/Polypropylene-Rolls--Bags.html</t>
  </si>
  <si>
    <t>&lt;p&gt;Choose from more than 40 colors and mixes of crinkle cut shred, very fine shred and excelsior. These are a great filler for our corrugated boxes or basket boxes. &lt;/p&gt;</t>
  </si>
  <si>
    <t>Retail Packaging, Shreds, Spring Fill, Crinkle Cut and Fine Cut Retail Packaging</t>
  </si>
  <si>
    <t>packaging supplies, retail packaging</t>
  </si>
  <si>
    <t>Buy retail packaging supplies including fine and crinkle cut packaging supplies, shreds and spring fill from American Retail Supply.</t>
  </si>
  <si>
    <t>www.americanretailsupply.com/64704/Shreds.html</t>
  </si>
  <si>
    <t>&lt;p&gt;Create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t>
  </si>
  <si>
    <t>Gift Wrapping &amp; Packaging Supplies | American Retail Supply</t>
  </si>
  <si>
    <t>Gift wrap, Gift wrapping, gift wrapping paper,  gift wrapping supplies, gift wrapping ideas, tissue paper, custom tissue paper, printed tissue paper, retail supplies</t>
  </si>
  <si>
    <t>Packaging made easy! Find the perfect retail packaging supplies including gift boxes, tissue paper, gift wrap, ribbons and bows, shred, and more! Easy to order online, by email or over the phone.</t>
  </si>
  <si>
    <t>www.americanretailsupply.com/64477/Gift-Wrapping--Packaging.html</t>
  </si>
  <si>
    <t>&lt;p&gt;Use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</si>
  <si>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</si>
  <si>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</si>
  <si>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</si>
  <si>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www.americanretailsupply.com/64486/Tissue-Paper-Shreds--Polypropylene-Rolls.html</t>
  </si>
  <si>
    <t>&lt;p&gt;Choose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t>
  </si>
  <si>
    <t>Custom Tissue Paper | Custom Gift Wrapping - AMERICAN RETAIL SUPPLY</t>
  </si>
  <si>
    <t>Custom Gift Wrapping, Tissue Paper, Custom Tissue Pape, white tissue paper, printed tissue paper, christmas tissue paper</t>
  </si>
  <si>
    <t>Custom Tissue Paper  We offer botanical printed, reflections, western printed, solid color tissue paper etc.. at very reasonable prices. Make an order over the phone: 800-426-5708</t>
  </si>
  <si>
    <t>www.americanretailsupply.com/64703/Tissue-Paper.html</t>
  </si>
  <si>
    <t>&lt;p&gt;PricewaterhouseCoopers,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store.&lt;br&gt;&lt;/p&gt;</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</si>
  <si>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</si>
  <si>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</si>
  <si>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</si>
  <si>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www.americanretailsupply.com/64895/EAS-Electronic-Article-Surveillance.html</t>
  </si>
  <si>
    <t>&lt;p&gt;Mirrors,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</si>
  <si>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</si>
  <si>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</si>
  <si>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</si>
  <si>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www.americanretailsupply.com/64894/Security-Locks-Announcers-Detectors-Mirrors.html</t>
  </si>
  <si>
    <t>&lt;p&gt;Businesses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</si>
  <si>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</si>
  <si>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</si>
  <si>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</si>
  <si>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www.americanretailsupply.com/64597/Loss-Prevention.html</t>
  </si>
  <si>
    <t>&lt;p&gt;Look here for the newest arrivals to the American Retail Supply website. &lt;br&gt;&lt;br&gt;If you don't see what you're looking for here, call 800-426-5708 and let us know what you are trying to find. We have many more product options that are not currently displayed online!&lt;br&gt;&lt;/p&gt;</t>
  </si>
  <si>
    <t>New Products | American Retail Supply</t>
  </si>
  <si>
    <t>New retail products, new american retail supply products</t>
  </si>
  <si>
    <t>The latest selection of new products from American Retail Supply.</t>
  </si>
  <si>
    <t>www.americanretailsupply.com/64595/New-Arrivals.html</t>
  </si>
  <si>
    <t>Default Category/Point of Sale (POS) System &amp; Accessories/Gift Cards</t>
  </si>
  <si>
    <t>&lt;p&gt;Using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 &lt;/p&gt;</t>
  </si>
  <si>
    <t>gift certificates, gift cards</t>
  </si>
  <si>
    <t>Gift Certificates and Gift Cards for sale - Order retail store supplies and accessories for your retail store online from American Retail Supply.</t>
  </si>
  <si>
    <t>www.americanretailsupply.com/64988/Gift-Cards.html</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</si>
  <si>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</si>
  <si>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</si>
  <si>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www.americanretailsupply.com/64985/Printer--POS-Labels-Paper.html</t>
  </si>
  <si>
    <t>Default Category/Point of Sale (POS) System &amp; Accessories</t>
  </si>
  <si>
    <t>&lt;p&gt;Are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 to see our NEW website with everything we have to offer!&lt;/p&gt;</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</si>
  <si>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</si>
  <si>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</si>
  <si>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</si>
  <si>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www.americanretailsupply.com/64598/Point-of-Sale-POS-System--Accessories.html</t>
  </si>
  <si>
    <t>&lt;p&gt;Avery Dennison Labelers &amp;amp; Labels are a top quality at an affordable price.  No new tools here, just great labelers that have withstood the test of time!&lt;/p&gt;</t>
  </si>
  <si>
    <t>Price Guns - Avery Dennison Labelers and Labels</t>
  </si>
  <si>
    <t>avery dennison, avery labels, price guns</t>
  </si>
  <si>
    <t>Order Avery Dennison price guns and labels for your store online, find more pricing guns and price marking equipment at American Retail Supply.</t>
  </si>
  <si>
    <t>www.americanretailsupply.com/64679/Avery-Dennison-Labelers--Labels.html</t>
  </si>
  <si>
    <t>&lt;p&gt;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</si>
  <si>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Avery Dennison Taggers, Avery Dennison Tagging Guns</t>
  </si>
  <si>
    <t>avery dennison taggers</t>
  </si>
  <si>
    <t>Buy Avery Dennison Taggers Online - Great selection of taggers and price marking equipment for your retail store at American Retail Supply.</t>
  </si>
  <si>
    <t>www.americanretailsupply.com/64683/Avery-Dennison-Taggers.html</t>
  </si>
  <si>
    <t>&lt;p&gt;Garvey 22, 1 Line Labelers and Labels&lt;/p&gt;</t>
  </si>
  <si>
    <t>Garvey 1 Line Labelers and Labels, Garvey Price Gus</t>
  </si>
  <si>
    <t>garvey price guns, garvey labels</t>
  </si>
  <si>
    <t>Garvey 1 line labeler price guns and pricing labels for sale, shop for durable tag guns &amp; labels for your retail store supply needs from American Retail Supply.</t>
  </si>
  <si>
    <t>www.americanretailsupply.com/64931/Garvey-1-Line-Price-Guns.html</t>
  </si>
  <si>
    <t>&lt;p&gt;Garvey 22, 2 Line Labeler and Labels&lt;/p&gt;</t>
  </si>
  <si>
    <t>Garvey 2 Line Labelers and Labels, Garvey Price Guns</t>
  </si>
  <si>
    <t>Garvey 2 line labeler price guns and pricing labels for sale, shop for durable tag guns &amp; labels for your retail store supply needs from American Retail Supply.</t>
  </si>
  <si>
    <t>www.americanretailsupply.com/64932/Garvey-2-Line-Price-Guns.html</t>
  </si>
  <si>
    <t>&lt;p&gt;GARVEY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t>
  </si>
  <si>
    <t>Garvey Labelers and Labels, Garvey Price Guns</t>
  </si>
  <si>
    <t>Order Garvey labeler price guns and pricing labels for your retail store supply needs online at American Retail Supply.</t>
  </si>
  <si>
    <t>www.americanretailsupply.com/64681/Garvey-Labelers--Labels.html</t>
  </si>
  <si>
    <t>&lt;p&gt;You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</si>
  <si>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</si>
  <si>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</si>
  <si>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</si>
  <si>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www.americanretailsupply.com/64930/Meto-1--2-Line-Price-Guns.html</t>
  </si>
  <si>
    <t>&lt;p&gt;In 2 formats from Meto comes a hand held labeling system that really fits in the palm of your hand! The comfortable grip lets you label products for extended periods without fatigue. The new inker exchange system keeps your fingers clean. Choose 6 or 8 digit format.&lt;/p&gt;</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</si>
  <si>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</si>
  <si>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</si>
  <si>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</si>
  <si>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www.americanretailsupply.com/64929/Primark-1--2-Line-Price-Guns.html</t>
  </si>
  <si>
    <t>&lt;p&gt;Meto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t>
  </si>
  <si>
    <t>Meto Labelers and Labels, Price Guns, Retail Store Pricing Equipment</t>
  </si>
  <si>
    <t>meto labelers, price guns, meto labels</t>
  </si>
  <si>
    <t>Meto Labelers and Labels for sale - Order price guns and Meto price marking equipment and supplies online at American Retail Supply.</t>
  </si>
  <si>
    <t>www.americanretailsupply.com/64680/Meto-Labelers--Labels.html</t>
  </si>
  <si>
    <t>&lt;p&gt;Monarch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</si>
  <si>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</si>
  <si>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</si>
  <si>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</si>
  <si>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www.americanretailsupply.com/64923/1-Line-Monarch-Labelers.html</t>
  </si>
  <si>
    <t>&lt;p&gt;The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</si>
  <si>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</si>
  <si>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</si>
  <si>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</si>
  <si>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www.americanretailsupply.com/64922/2-Line-Monarch-Labelers.html</t>
  </si>
  <si>
    <t>&lt;p&gt;With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</si>
  <si>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</si>
  <si>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</si>
  <si>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</si>
  <si>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www.americanretailsupply.com/64924/3-Line--Promo-Monarch-Labelers.html</t>
  </si>
  <si>
    <t>&lt;p&gt;Monarch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</si>
  <si>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</si>
  <si>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</si>
  <si>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</si>
  <si>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www.americanretailsupply.com/64678/Monarch-Labelers--Labels.html</t>
  </si>
  <si>
    <t>Default Category/Pricing &amp; Tagging/Price Marking Accessories</t>
  </si>
  <si>
    <t>&lt;p&gt;Lift off, scrapers and holders help you mark your products and change pricing quickly when neccasary. &lt;/p&gt;</t>
  </si>
  <si>
    <t>Price Accessories, Retail Store Supplies</t>
  </si>
  <si>
    <t>price gun accessories</t>
  </si>
  <si>
    <t>American Retail Supply offers label scrapers, lubricant &amp; adhesive remover, and other price marking supplies and accessories.</t>
  </si>
  <si>
    <t>www.americanretailsupply.com/64686/Price-Marking-Accessories.html</t>
  </si>
  <si>
    <t>&lt;p&gt;Useful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t>
  </si>
  <si>
    <t>Price Tag Loops, Price Marking Equipment, Security Loops</t>
  </si>
  <si>
    <t>price tag loops, security loops</t>
  </si>
  <si>
    <t>Price tag security loops for sale, easily mark prices in your retail store with security loop tags, order price tags and store supplies at American Retail Supply.</t>
  </si>
  <si>
    <t>www.americanretailsupply.com/64685/Security-Loops.html</t>
  </si>
  <si>
    <t>&lt;p&gt;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</si>
  <si>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</si>
  <si>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</si>
  <si>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</si>
  <si>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www.americanretailsupply.com/64684/Tach-It-Taggers.html</t>
  </si>
  <si>
    <t>&lt;p&gt;Custom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t>
  </si>
  <si>
    <t>Sales Tags and Sold Tags, Retail Store Price Marking Supplies and Equipment</t>
  </si>
  <si>
    <t>sale tags, sold tags</t>
  </si>
  <si>
    <t>Order tags for your retail store including sale, sold, apparel, lay-a-way, shipping and customer service tags for your retail store or service business.</t>
  </si>
  <si>
    <t>www.americanretailsupply.com/64980/Tags.html</t>
  </si>
  <si>
    <t>&lt;p&gt;TG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</si>
  <si>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TG Tacher Taggers - Price Taggers, Needles, and Plastic Fasteners</t>
  </si>
  <si>
    <t>tg tacher taggers</t>
  </si>
  <si>
    <t>Order TG Tacher Taggers and tagger accessories including tagger needles and plastic fasteners for your retail pricing supplies at American Retail Supply.</t>
  </si>
  <si>
    <t>www.americanretailsupply.com/64682/TG-Tacher-Taggers.html</t>
  </si>
  <si>
    <t>&lt;p&gt;Getting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t>
  </si>
  <si>
    <t>Pricing &amp; Tagging Guns and Supplies | American Retail Supply</t>
  </si>
  <si>
    <t>pricing guns, tagging guns, prices tags, labels accessories, retail supplies</t>
  </si>
  <si>
    <t>Save time with efficient and quality pricing and tagging supplies. American Retail Supply offers an extensive line of pricing &amp; tagging supplies, including pricing &amp; tagging guns, price tags, labels &amp; accessories at great prices!</t>
  </si>
  <si>
    <t>www.americanretailsupply.com/64601/Pricing--Tagging.html</t>
  </si>
  <si>
    <t>&lt;p&gt;A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t>
  </si>
  <si>
    <t>Stock &amp; Custom Shopping Bags | American Retail Supply</t>
  </si>
  <si>
    <t>shopping bags, shopping bag, plastic bags, plastic bag, reusable bags, reusable grocery bags, paper bags, wine bags, retail packaging</t>
  </si>
  <si>
    <t>Trust the shopping bag experts! A large selection of plastic, paper, non-woven, and custom printed shopping bags for your retail store. Many recycled and reusable options available as well.</t>
  </si>
  <si>
    <t>www.americanretailsupply.com/64599/Shopping-Bags.html</t>
  </si>
  <si>
    <t>&lt;p&gt;You see Animal Prints everywhere - in the clothes you wear, in home furnishings... and now in retail store packaging. Combine and coordinate your animal print bags, gift wrap, tissue paper, boxes and ribbon. Most items can also be customized with your name on them. &lt;/p&gt;</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</si>
  <si>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</si>
  <si>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</si>
  <si>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</si>
  <si>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www.americanretailsupply.com/64991/Animal-Print-Packaging.html</t>
  </si>
  <si>
    <t>&lt;p&gt;Bags are just one type of animal print patterns available.  Give your packaging a coordinated look.  &lt;/p&gt;</t>
  </si>
  <si>
    <t>Animal Print Bags, Retail Bags &amp; Packaging</t>
  </si>
  <si>
    <t>animal print bags gift totes reuseable bags paper shopping bags</t>
  </si>
  <si>
    <t>Animal print bags for retail stores, order animal print bags including gift totes and paper shopping bags at American Retail Supply.</t>
  </si>
  <si>
    <t>www.americanretailsupply.com/65008/Bags-in-Animal-Prints.html</t>
  </si>
  <si>
    <t>&lt;p&gt;Animal print boxes coordinate with bags and tissues. The colors are truly vibrant.  &lt;/p&gt;</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</si>
  <si>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</si>
  <si>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</si>
  <si>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</si>
  <si>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www.americanretailsupply.com/65009/Boxes-in-Animal-Prints.html</t>
  </si>
  <si>
    <t>&lt;p&gt;Shamrock Animal Print Patterns Giftwrap can be combined with any number of coordinating ribbons to make your in store wrap complete. &lt;/p&gt;</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</si>
  <si>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</si>
  <si>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</si>
  <si>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</si>
  <si>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www.americanretailsupply.com/65007/Giftwrap-in-Animal-Prints.html</t>
  </si>
  <si>
    <t>&lt;p&gt;Whether you use Ribbon to tie onto shopping bags, your colorfully giftwrapped packages, or other types of packaging and you will love these animal prints.  They will for sure spice up your packaging.  &lt;/p&gt;</t>
  </si>
  <si>
    <t>Animal Print Ribbon &amp; Gift Wrapping Supplies</t>
  </si>
  <si>
    <t>animal print ribbon retail gift wrap supplies</t>
  </si>
  <si>
    <t>Animal print ribbon for sale online, buy fun and colorful animal print ribbon and gift wrap supplies for your retail store from American Retail Supply.</t>
  </si>
  <si>
    <t>www.americanretailsupply.com/65006/Ribbon-in-Animal-Prints.html</t>
  </si>
  <si>
    <t>&lt;p&gt;Animal print Tissue in your favorite animal pattern is a favorite to add to any of your packaging.  You will stand out when you offer packages using these prints. Coordinate the prints with your favorite solid color tissue.&lt;/p&gt;</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</si>
  <si>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</si>
  <si>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</si>
  <si>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</si>
  <si>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www.americanretailsupply.com/65005/Tissue-in-Animal-Prints.html</t>
  </si>
  <si>
    <t>&lt;p&gt;Use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</si>
  <si>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</si>
  <si>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</si>
  <si>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</si>
  <si>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www.americanretailsupply.com/64989/Christmas--Holiday-Packaging.html</t>
  </si>
  <si>
    <t>&lt;p&gt;Here are hundreds of designs of Christmas giftwrap paper,&lt;br&gt;Chanukah gift wrap and holiday gift wrap in full ream&lt;br&gt;rolls, 1/2 ream rolls and cutter boxes.&lt;br&gt;&lt;/p&gt;</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</si>
  <si>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</si>
  <si>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</si>
  <si>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</si>
  <si>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www.americanretailsupply.com/65000/Christmas-Giftwrap.html</t>
  </si>
  <si>
    <t>Default Category/Shopping Bags/Christmas &amp; Holiday Packaging/Custom Holiday Matched Packaging</t>
  </si>
  <si>
    <t>&lt;p&gt;It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 &lt;/p&gt;</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</si>
  <si>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</si>
  <si>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</si>
  <si>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</si>
  <si>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www.americanretailsupply.com/65004/Custom-Holiday-Matched-Packaging.html</t>
  </si>
  <si>
    <t>&lt;p&gt;Fun and festive designed packaging for the holidays available in a variety of sizes, patterns and materials. These items can be used as your holiday store packaging or resold for your customers gift giving needs.  If you have questions please call 1-800-426-5708.&lt;/p&gt;</t>
  </si>
  <si>
    <t>Decorative Holiday Packaging</t>
  </si>
  <si>
    <t>www.americanretailsupply.com/65753/Decorative-Holiday-Packaging.html</t>
  </si>
  <si>
    <t>&lt;p&gt;Combine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</si>
  <si>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</si>
  <si>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</si>
  <si>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</si>
  <si>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www.americanretailsupply.com/65011/Holiday-Boxes.html</t>
  </si>
  <si>
    <t>&lt;p&gt;Christmas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</si>
  <si>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</si>
  <si>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</si>
  <si>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</si>
  <si>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www.americanretailsupply.com/65001/Holiday-Patterned-Tissue-Paper.html</t>
  </si>
  <si>
    <t>&lt;p&gt;Your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</si>
  <si>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</si>
  <si>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</si>
  <si>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</si>
  <si>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www.americanretailsupply.com/64999/Holiday-Patterns-Plastic-Bags.html</t>
  </si>
  <si>
    <t>&lt;p&gt;If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</si>
  <si>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</si>
  <si>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</si>
  <si>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</si>
  <si>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www.americanretailsupply.com/65003/Western-Themed-Christmas-Bags.html</t>
  </si>
  <si>
    <t>&lt;p&gt;Eco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</si>
  <si>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</si>
  <si>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</si>
  <si>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</si>
  <si>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www.americanretailsupply.com/66198/Eco-Friendly-Plastic-Bags.html</t>
  </si>
  <si>
    <t>&lt;p&gt;Eco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</si>
  <si>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</si>
  <si>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</si>
  <si>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</si>
  <si>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www.americanretailsupply.com/66199/Eco-Friendly-Recycled-Paper-Bags.html</t>
  </si>
  <si>
    <t>&lt;p&gt;Non-woven polypropylene bags are some of the hottest retail packaging products on the market. Benefits include:&lt;br&gt;      Eco Friendly Design  Durable  Reuse over and over  Machine Washable  Recyclable  Place Custom Logo on any bag so your stand out from the rest!&lt;br&gt;&lt;br&gt; &lt;/p&gt;</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</si>
  <si>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</si>
  <si>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</si>
  <si>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</si>
  <si>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www.americanretailsupply.com/66200/Eco-Friendly-Reusable-Bags.html</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</si>
  <si>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</si>
  <si>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</si>
  <si>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</si>
  <si>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www.americanretailsupply.com/64990/Food--Wine-Bags.html</t>
  </si>
  <si>
    <t>&lt;p&gt;Coordinate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t>
  </si>
  <si>
    <t>Food Packaging &amp; Containers - A La Carte Bags &amp; Boxes</t>
  </si>
  <si>
    <t>www.americanretailsupply.com/64993/A-La-Carte-Bags--Boxes.html</t>
  </si>
  <si>
    <t>Default Category/Shopping Bags/Food &amp; Wine Bags/Polypropylene Bags &amp; Rolls</t>
  </si>
  <si>
    <t>&lt;p&gt;Clear or printed Polypropylene Rolls and Bags are an inexpensive way to package your products.  You can use the rolls to cover baskets and the bags to individually package loose items.  Many colors and prints are available.  &lt;br&gt;&lt;/p&gt;</t>
  </si>
  <si>
    <t>Polypropylene Bags &amp; Rolls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</si>
  <si>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</si>
  <si>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</si>
  <si>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www.americanretailsupply.com/64996/Polypropylene-Bags--Rolls.html</t>
  </si>
  <si>
    <t>Default Category/Shopping Bags/Food &amp; Wine Bags/Wine;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</si>
  <si>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</si>
  <si>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bags, wine packaging, food packaging, retail packaging</t>
  </si>
  <si>
    <t>American Retail Supply offers a great selection of wine packaging supplies including wine bags and wine boxes, order retail store supplies online.</t>
  </si>
  <si>
    <t>www.americanretailsupply.com/64994/Wine-Liquor-Bags--Boxes.html</t>
  </si>
  <si>
    <t>&lt;p&gt;Offering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</si>
  <si>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</si>
  <si>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</si>
  <si>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</si>
  <si>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www.americanretailsupply.com/65198/Garment-Rolls--Bags.html</t>
  </si>
  <si>
    <t>&lt;p&gt;Here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</si>
  <si>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</si>
  <si>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</si>
  <si>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</si>
  <si>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www.americanretailsupply.com/65066/Paper-Bags.html</t>
  </si>
  <si>
    <t>&lt;p&gt;As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t>
  </si>
  <si>
    <t>European Style Totes Bags, Retail Packaging</t>
  </si>
  <si>
    <t>totes bags european style retail packaging bag</t>
  </si>
  <si>
    <t>European style totes bags for sale online, shop for shopping tote bags and retail packaging supplies for your retail store at American Retail Supply.</t>
  </si>
  <si>
    <t>www.americanretailsupply.com/65072/European-Tote-Style-Bags.html</t>
  </si>
  <si>
    <t>&lt;p&gt;Choose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</si>
  <si>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</si>
  <si>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</si>
  <si>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</si>
  <si>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www.americanretailsupply.com/65071/Paper-Merchandise-Bags.html</t>
  </si>
  <si>
    <t>&lt;p&gt;Choose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</si>
  <si>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</si>
  <si>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</si>
  <si>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www.americanretailsupply.com/65070/Paper-Shopping-Bags.html</t>
  </si>
  <si>
    <t>Default Category/Shopping Bags/Personalized Retail Packaging Collections</t>
  </si>
  <si>
    <t>&lt;p&gt;What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Boxes!&lt;/p&gt;</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</si>
  <si>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</si>
  <si>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</si>
  <si>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</si>
  <si>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www.americanretailsupply.com/65069/Personalized-Retail-Packaging-Collections.html</t>
  </si>
  <si>
    <t>Default Category/Shopping Bags/Personalized Shopping Bags</t>
  </si>
  <si>
    <t>&lt;p&gt;Have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for!&lt;/p&gt;</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</si>
  <si>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</si>
  <si>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</si>
  <si>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</si>
  <si>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www.americanretailsupply.com/65081/Personalized-Shopping-Bags.html</t>
  </si>
  <si>
    <t>&lt;p&gt;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</si>
  <si>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</si>
  <si>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</si>
  <si>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</si>
  <si>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www.americanretailsupply.com/65067/Plastic-Bags.html</t>
  </si>
  <si>
    <t>&lt;p&gt;Clear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</si>
  <si>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</si>
  <si>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</si>
  <si>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</si>
  <si>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www.americanretailsupply.com/65080/Clear-Poly-Bags.html</t>
  </si>
  <si>
    <t>&lt;p&gt;Frosted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</si>
  <si>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</si>
  <si>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</si>
  <si>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</si>
  <si>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www.americanretailsupply.com/65075/Frosted-Plastic-Bags.html</t>
  </si>
  <si>
    <t>&lt;p&gt;Hi Density Plastic bags are light-weight, inexpensive, and water resistant so they are perfect for just about anything you sell in your store. Many of these bags are made in the USA.&lt;/p&gt;</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</si>
  <si>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</si>
  <si>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</si>
  <si>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</si>
  <si>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www.americanretailsupply.com/65074/High-Density-Plastic-Bags.html</t>
  </si>
  <si>
    <t>&lt;p&gt;   Low Density Plastic Bags have a classy gloss feel and look, and they're strong. Low density plastic bags have a soft feel as opposed to the crinkly feel of high density bags. Give us a call at 800-426-5708 if you're interested in custom printed bags.&lt;/p&gt;</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</si>
  <si>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</si>
  <si>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</si>
  <si>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</si>
  <si>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www.americanretailsupply.com/65073/Low-Density-Plastic-Bags.html</t>
  </si>
  <si>
    <t>Default Category/Shopping Bags/Plastic Bags/Personalized Plastic Bags</t>
  </si>
  <si>
    <t>&lt;p&gt;We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bag.&lt;br&gt;&lt;br&gt;&lt;/p&gt;</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</si>
  <si>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</si>
  <si>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</si>
  <si>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</si>
  <si>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www.americanretailsupply.com/65077/Personalized-Plastic-Bags.html</t>
  </si>
  <si>
    <t>&lt;p&gt;Polypropylene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t>
  </si>
  <si>
    <t>Polypropylene Bags  Clear, Printed &amp; Gusseted</t>
  </si>
  <si>
    <t>www.americanretailsupply.com/65079/Polypropylene-Bags.html</t>
  </si>
  <si>
    <t>Default Category/Shopping Bags/Western Themed Packaging</t>
  </si>
  <si>
    <t>&lt;p&gt;If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need.&lt;/p&gt;</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</si>
  <si>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</si>
  <si>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</si>
  <si>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</si>
  <si>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www.americanretailsupply.com/64992/Western-Themed-Packaging.html</t>
  </si>
  <si>
    <t>&lt;p&gt;These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</si>
  <si>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</si>
  <si>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</si>
  <si>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</si>
  <si>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www.americanretailsupply.com/65124/BookHANGERS--Sample-Rings.html</t>
  </si>
  <si>
    <t>&lt;p&gt;CalHANGERS hold your sample swatches so that you can show them to your clients easily.&lt;/p&gt;</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</si>
  <si>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</si>
  <si>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</si>
  <si>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</si>
  <si>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www.americanretailsupply.com/64964/CalHANGERS.html</t>
  </si>
  <si>
    <t>&lt;p&gt;Each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</si>
  <si>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</si>
  <si>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</si>
  <si>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</si>
  <si>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www.americanretailsupply.com/64962/CalHOOK-Brackets.html</t>
  </si>
  <si>
    <t>&lt;p&gt;These unique track systems eliminate the need to install pegboard or slatwall. Use can use your available display space efficiently. Choose the system that works best for you. &lt;/p&gt;</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</si>
  <si>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</si>
  <si>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</si>
  <si>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</si>
  <si>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www.americanretailsupply.com/64963/CalTRACK--SlatTRACK.html</t>
  </si>
  <si>
    <t>&lt;p&gt;Sample Management for the Drapery and Interior Design Industry. The CalHOOK name has been synonymous with options to store, displays and organize your samples.  You can find lots of ideas or if you can't find exactly what you are looking for, please call us at 800-426-5708.  &lt;/p&gt;</t>
  </si>
  <si>
    <t>CalHOOK Drapery Sample Management</t>
  </si>
  <si>
    <t>American Retail Supply offers CalHOOK hangers, tracks, brackets for easy sample management for the Drapery and Interior Design Industry, and other retail wall displays.</t>
  </si>
  <si>
    <t>www.americanretailsupply.com/64941/CalHOOK.html</t>
  </si>
  <si>
    <t>&lt;p&gt;Acrylic Attachments and Accessories are perfect for showing your product and isn't that what you want to do? Clear acrylic displays will highlight your product rather than the display itself.&lt;/p&gt;</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</si>
  <si>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</si>
  <si>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</si>
  <si>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</si>
  <si>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www.americanretailsupply.com/64949/Acrylic-for-Gridwall.html</t>
  </si>
  <si>
    <t>&lt;p&gt;These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</si>
  <si>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</si>
  <si>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</si>
  <si>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</si>
  <si>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www.americanretailsupply.com/64947/Gridwall--Slatgrid-Panels.html</t>
  </si>
  <si>
    <t>&lt;p&gt;Use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</si>
  <si>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</si>
  <si>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</si>
  <si>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</si>
  <si>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www.americanretailsupply.com/64951/Gridwall-Connectors.html</t>
  </si>
  <si>
    <t>&lt;p&gt;Display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t>
  </si>
  <si>
    <t>Gridwall Display Bases - Gridwall Display Accessories</t>
  </si>
  <si>
    <t>gridwall bases, gridwall display, fixtures</t>
  </si>
  <si>
    <t>Gridwall display bases and accessories available in chrome, white or black for your retail store displays and fixtures from American Retail Supply.</t>
  </si>
  <si>
    <t>www.americanretailsupply.com/64950/Gridwall-Display-Bases.html</t>
  </si>
  <si>
    <t>&lt;p&gt;Use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</si>
  <si>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</si>
  <si>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</si>
  <si>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</si>
  <si>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www.americanretailsupply.com/64948/Gridwall-Metal-Attachments.html</t>
  </si>
  <si>
    <t>&lt;p&gt;You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t>
  </si>
  <si>
    <t>Gridwall Slatgrid Displays, Retail Store Fixtures, Gridwall Slatgrid Display Accessories</t>
  </si>
  <si>
    <t>gridwall, gridwall display, gridwall accessories, grid wall faceouts, slat grid panels, grid wall</t>
  </si>
  <si>
    <t>Buy gridwall &amp; slatgrid display racks and accessories online, large selection of retail store display fixtures; available from American Retail Supply.</t>
  </si>
  <si>
    <t>www.americanretailsupply.com/64936/Gridwall-Slatgrid.html</t>
  </si>
  <si>
    <t>&lt;p&gt;These crossbars may be used with any wall system, Slatwall, Gridwall, Universal Aristocrat, or Quantum.&lt;/p&gt;</t>
  </si>
  <si>
    <t>Crossbars, Retail Display Bars, Store Fixtures, Retail Store Display Crossbars</t>
  </si>
  <si>
    <t>crossbars, store fixtures, retail display</t>
  </si>
  <si>
    <t>American Retail Supply offers quality crossbars and merchandise display racks for your retail store display fixture needs online.</t>
  </si>
  <si>
    <t>www.americanretailsupply.com/64960/Cross-Bars.html</t>
  </si>
  <si>
    <t>&lt;p&gt;Hangrod are not just for store displays but are useful for your home closet.  Strong 1" or 1 1/4" round Metal rods.  If using with slatwall recommended that you only use with metal reinforced slatwall.&lt;/p&gt;</t>
  </si>
  <si>
    <t>Hangrods, Retail Display Rods, Store Fixtures, Retail Store Display Hangrods</t>
  </si>
  <si>
    <t>hangrods, store fixtures, retail display</t>
  </si>
  <si>
    <t>American Retail Supply offers quality hangrods and merchandise display bars for your retail store merchandising display needs.</t>
  </si>
  <si>
    <t>www.americanretailsupply.com/64961/Hangrod.html</t>
  </si>
  <si>
    <t>&lt;p&gt;Merchandise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t>
  </si>
  <si>
    <t>Merchandise Bars, Retail Display, Store Fixtures, Retail Store Supplies</t>
  </si>
  <si>
    <t>merchandise bars, store fixtures</t>
  </si>
  <si>
    <t>American Retail Supply offers quality merchandise bars and store fixtures for your retail store merchandising display needs online.</t>
  </si>
  <si>
    <t>www.americanretailsupply.com/64959/Merchandising-Bars.html</t>
  </si>
  <si>
    <t>&lt;p&gt;Merchandising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</si>
  <si>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</si>
  <si>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</si>
  <si>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</si>
  <si>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www.americanretailsupply.com/64939/Merchandising-Bars-Hangrod-Crossbars.html</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</si>
  <si>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</si>
  <si>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</si>
  <si>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</si>
  <si>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www.americanretailsupply.com/65039/Baskets-BracketsDouble-Hooks.html</t>
  </si>
  <si>
    <t>&lt;p&gt;Galvanized Ball Tip PegHooks are available in standard duty, medium duty and heavy duty. They are available in lengths from 2" - 12" depending on type and are case packed in 100 pieces. &lt;/p&gt;</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</si>
  <si>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</si>
  <si>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</si>
  <si>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</si>
  <si>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www.americanretailsupply.com/65038/Galvanized-Ball-Tip-PegHooks.html</t>
  </si>
  <si>
    <t>&lt;p&gt;Scanning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</si>
  <si>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</si>
  <si>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</si>
  <si>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</si>
  <si>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www.americanretailsupply.com/65037/Scanner-Hooks.html</t>
  </si>
  <si>
    <t>&lt;p&gt;Pegboard hooks, scanner hooks, label holders and wire baskets we have a great selection to choose from. Some hooks available in standard duty, medium duty and heavy duty.&lt;/p&gt;</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</si>
  <si>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</si>
  <si>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</si>
  <si>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</si>
  <si>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www.americanretailsupply.com/64938/PegBoard-Hooks--Baskets.html</t>
  </si>
  <si>
    <t>&lt;p&gt;Does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t>
  </si>
  <si>
    <t>Textured Slatwall | 3D Slatwall - AMERICAN RETAIL SUPPLY</t>
  </si>
  <si>
    <t>3D Textured Slatwall, 3D Slatwall</t>
  </si>
  <si>
    <t>At AMERICAN RETAIL SUPPLY, we offer a wide variety of 3D textured slatwall for your retail store at amazing prices. Now, place an order by phone: 800-426-5708</t>
  </si>
  <si>
    <t>www.americanretailsupply.com/65349/3D-Textured-Slatwall.html</t>
  </si>
  <si>
    <t>&lt;p&gt;&lt;br&gt;&lt;br&gt;&lt;br&gt;Many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</si>
  <si>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</si>
  <si>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</si>
  <si>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</si>
  <si>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www.americanretailsupply.com/64944/Acrylic-for-Slatwall.html</t>
  </si>
  <si>
    <t>&lt;p&gt;Make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t>
  </si>
  <si>
    <t>Slatwall Slatbox - Slatwall Display Accessories</t>
  </si>
  <si>
    <t>slatbox, slatwall accessories, fixtures, display</t>
  </si>
  <si>
    <t>American Retail Supply offers slatwall display accessories including slatbox display bins and other retail store displays and fixtures.</t>
  </si>
  <si>
    <t>www.americanretailsupply.com/64945/Slatbox-Displays.html</t>
  </si>
  <si>
    <t>&lt;p&gt;Slatwall Ready To Assemble Free-Standing Displays are ready and easy to assemble as permanent or semi-permanent fixtures for display in white or Maple.  &lt;br&gt;Additional Freight charges will be required,  you will be notified of costs before shipping.&lt;/p&gt;</t>
  </si>
  <si>
    <t>Slatwall Free Standing Displays - Retail Store Display Fixtures</t>
  </si>
  <si>
    <t>slatwall displays, store displays, fixtures</t>
  </si>
  <si>
    <t>Slatwall free standing displays and slatwall accessories for retail stores, order slatwall displays and fixtures online.</t>
  </si>
  <si>
    <t>www.americanretailsupply.com/64946/Slatwall-Free-Standing-Displays.html</t>
  </si>
  <si>
    <t>&lt;p&gt;You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t>
  </si>
  <si>
    <t>Slatwall Panels and Inserts, Slatwall Display Accessories</t>
  </si>
  <si>
    <t>slatwall display, slatwall accessories</t>
  </si>
  <si>
    <t>American Retail Supply offers great quality slatwall panels and inserts for your retail store merchandising and display needs.</t>
  </si>
  <si>
    <t>www.americanretailsupply.com/64942/Traditional-Slatwall-Panels--Inserts.html</t>
  </si>
  <si>
    <t>&lt;p&gt;Here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</si>
  <si>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</si>
  <si>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</si>
  <si>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</si>
  <si>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www.americanretailsupply.com/64935/Slatwall.html</t>
  </si>
  <si>
    <t>&lt;p&gt;Aristocrat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</si>
  <si>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</si>
  <si>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</si>
  <si>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</si>
  <si>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www.americanretailsupply.com/64967/Aristocrat-Extra-HD-Brackets.html</t>
  </si>
  <si>
    <t>&lt;p&gt;The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</si>
  <si>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</si>
  <si>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</si>
  <si>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</si>
  <si>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www.americanretailsupply.com/64968/Aristocrat-Extra-HD-Standards.html</t>
  </si>
  <si>
    <t>&lt;p&gt;System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</si>
  <si>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</si>
  <si>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</si>
  <si>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</si>
  <si>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www.americanretailsupply.com/64969/Quantum-Extra-HD-Brackets.html</t>
  </si>
  <si>
    <t>&lt;p&gt;Quantum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</si>
  <si>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</si>
  <si>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</si>
  <si>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</si>
  <si>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www.americanretailsupply.com/64970/Quantum-Extra-HD-Wall-Standards.html</t>
  </si>
  <si>
    <t>&lt;p&gt;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</si>
  <si>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</si>
  <si>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</si>
  <si>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</si>
  <si>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www.americanretailsupply.com/64966/Universal-HD-Brackets.html</t>
  </si>
  <si>
    <t>&lt;p&gt;Universal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</si>
  <si>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</si>
  <si>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</si>
  <si>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</si>
  <si>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www.americanretailsupply.com/64965/Universal-HD-Wall-Standards.html</t>
  </si>
  <si>
    <t>&lt;p&gt;Our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</si>
  <si>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</si>
  <si>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</si>
  <si>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</si>
  <si>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www.americanretailsupply.com/64952/Slotted-Wall-Standards--Accessories.html</t>
  </si>
  <si>
    <t>&lt;p&gt;Wallmount brackets are made to attach directly to your wall surface.  It is recommened that you attach to a stud or use Molly bolts for a more secure hold.&lt;/p&gt;</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</si>
  <si>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</si>
  <si>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</si>
  <si>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</si>
  <si>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www.americanretailsupply.com/64940/Wallmount-Brackets.html</t>
  </si>
  <si>
    <t>&lt;p&gt;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t>
  </si>
  <si>
    <t>Slatwall &amp; Gridwall Displays &amp; Fixtures | American Retail Supply</t>
  </si>
  <si>
    <t>slatwall, gridwall, slatwall accessories, wall systems, store fixtures, retail fixtures, grid wall</t>
  </si>
  <si>
    <t>Browse popular slatwall and gridwall panels and accessories. Most wall display items are in stock and ship same day!</t>
  </si>
  <si>
    <t>www.americanretailsupply.com/64921/Slatwall-Gridwall-Wall-Display.html</t>
  </si>
  <si>
    <t>&lt;p&gt;Clear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</si>
  <si>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</si>
  <si>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</si>
  <si>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</si>
  <si>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www.americanretailsupply.com/64770/Acrylic-Bins-Trays-Easels.html</t>
  </si>
  <si>
    <t>&lt;p&gt;Tiered, multilevel displays which come in a variety of shapes and styles for your retail store's different display needs. If you don't see what you want, contact us and we will either find it for you or have it made to your specifications.&lt;/p&gt;</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</si>
  <si>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</si>
  <si>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</si>
  <si>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</si>
  <si>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www.americanretailsupply.com/64779/Acrylic-Countertop-Displays.html</t>
  </si>
  <si>
    <t>&lt;p&gt;Convenient, clear acrylic display that customers can easily see your E-Cig's for sale. These have a small footprint for your countertop or shelves.&lt;/p&gt;</t>
  </si>
  <si>
    <t>Acrylic E-Cig Displays | Retail Display Supplies</t>
  </si>
  <si>
    <t>Acrylic E-Cig Displays, acrylic display</t>
  </si>
  <si>
    <t>E-Cig clear acrylic displays for sale, order a variety of acrylic displays for retail store displays and fixtures from American Retail Supply.</t>
  </si>
  <si>
    <t>www.americanretailsupply.com/64768/Acrylic-E--Cig-Displays.html</t>
  </si>
  <si>
    <t>&lt;p&gt;Clear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t>
  </si>
  <si>
    <t>Acrylic Risers, Acrylic Display Risers and Retail Store Fixtures</t>
  </si>
  <si>
    <t>acrylic risers, acrylic displays</t>
  </si>
  <si>
    <t>Acrylic risers and display stands for sale, order acrylic retail store risers and display fixtures online from American Retail Supply.</t>
  </si>
  <si>
    <t>www.americanretailsupply.com/64769/Acrylic-Risers--Cubes.html</t>
  </si>
  <si>
    <t>&lt;p&gt;Perfect for displaying jewelry items. Made with clear acrylic for displaying eyewear and jewelry that will highlight your product rather than the display itself. &lt;br&gt;    Yes, we design and produce custom acrylic eyewear and jewelry displays. &lt;/p&gt;</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</si>
  <si>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</si>
  <si>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</si>
  <si>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</si>
  <si>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www.americanretailsupply.com/64915/Jewelry-Apparel-Eyewear-Displays.html</t>
  </si>
  <si>
    <t>&lt;p&gt;Acrylic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t>
  </si>
  <si>
    <t>Acrylic Displays and Racks, Acrylic Retail Store Display Fixtures</t>
  </si>
  <si>
    <t>acrylic displays, acrylic racks, acrylic fixtures</t>
  </si>
  <si>
    <t>Order acrylic displays and racks online, acrylic retail store display fixtures and showcases; from American Retail Supply.</t>
  </si>
  <si>
    <t>www.americanretailsupply.com/64663/Acrylic-Displays.html</t>
  </si>
  <si>
    <t>CD, Video &amp; Eyeware Displays</t>
  </si>
  <si>
    <t>retail store displays showcases cd video eyeware displays</t>
  </si>
  <si>
    <t>CD, Video &amp; Eyeware Displays for sale, order retail store display cases and fixtures for your retail store online from American Retail Supply.</t>
  </si>
  <si>
    <t>www.americanretailsupply.com/65182/CD-Video--Eyeware-Displays.html</t>
  </si>
  <si>
    <t>&lt;p&gt;Our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</si>
  <si>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</si>
  <si>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</si>
  <si>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</si>
  <si>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www.americanretailsupply.com/65211/Contemporary-Raw-Steel-Displays.html</t>
  </si>
  <si>
    <t>&lt;p&gt;Self standing wire counter top racks utilize empty space and increase impulse sales.&lt;/p&gt;</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</si>
  <si>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</si>
  <si>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</si>
  <si>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</si>
  <si>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www.americanretailsupply.com/64797/Counter-Top-Racks.html</t>
  </si>
  <si>
    <t>&lt;p&gt;These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</si>
  <si>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</si>
  <si>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</si>
  <si>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</si>
  <si>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www.americanretailsupply.com/65181/Literature-Racks.html</t>
  </si>
  <si>
    <t>&lt;p&gt;These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</si>
  <si>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</si>
  <si>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</si>
  <si>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</si>
  <si>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www.americanretailsupply.com/65209/Modular-Birch-Displays.html</t>
  </si>
  <si>
    <t>&lt;p&gt;Pearl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</si>
  <si>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</si>
  <si>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</si>
  <si>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</si>
  <si>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www.americanretailsupply.com/65210/Pearl-District-Displays.html</t>
  </si>
  <si>
    <t>&lt;p&gt;These Pipe &amp;amp; Panel displays work perfectly with our line of &lt;a href="../65349/3D-Textured-Slatwall.html"&gt;3D Textured Slatwall.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target=_blank&gt;here.&lt;/p&gt;</t>
  </si>
  <si>
    <t>Designer Textured Slatwall - Pipe &amp; Panel Displays</t>
  </si>
  <si>
    <t>Textured slatwall displays, slatwall accessories, slatwall hangers, pipe hangers, pipe displays</t>
  </si>
  <si>
    <t>www.americanretailsupply.com/66192/Pipe--Panel-Displays.html</t>
  </si>
  <si>
    <t>Default Category/Store Display Cases; Racks &amp; Showcases/Display Racks/Pipeline Displays</t>
  </si>
  <si>
    <t>&lt;p&gt;The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connectors.&lt;br&gt;&lt;br&gt;&lt;/p&gt;</t>
  </si>
  <si>
    <t>Pipeline Displays</t>
  </si>
  <si>
    <t>Stylish displays, garment racks, counter displays, pipeline collection</t>
  </si>
  <si>
    <t>Get these stylish and unique Pipeline Collection garment racks, counter displays and more!</t>
  </si>
  <si>
    <t>www.americanretailsupply.com/66174/Pipeline-Displays.html</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</si>
  <si>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t>
  </si>
  <si>
    <t>Retail Display Racks, Spinners, Dump Bins</t>
  </si>
  <si>
    <t>Retail display racks spinners dump bins store fixtures</t>
  </si>
  <si>
    <t>Shop for various kind of display racks, spinners, and dump bins for your retail store displays and fixtures from American Retail Supply.</t>
  </si>
  <si>
    <t>www.americanretailsupply.com/64806/Racks-Spinners-Dump-Bins.html</t>
  </si>
  <si>
    <t>&lt;p&gt;Scrapbooking Racks for supplies used in Scrapbooking is a way of keeping these supplies in an attractive neat display.  These displays will keep your supplies organized and not use a ton of space in your store. &lt;/p&gt;</t>
  </si>
  <si>
    <t>Scrapbooking Racks</t>
  </si>
  <si>
    <t>Scrap booking racks, paper racks, scrapbook shelves, retail displays</t>
  </si>
  <si>
    <t>American Retail Supply offers scrap booking racks and displays for scrapbook supplies including paper rack, tower, baskets and shelves.</t>
  </si>
  <si>
    <t>www.americanretailsupply.com/64800/Scrapbooking-Racks.html</t>
  </si>
  <si>
    <t>Slatwall FreeStanding Displays</t>
  </si>
  <si>
    <t>Slatwall display racks, corner shelf, stalwall display stands,</t>
  </si>
  <si>
    <t>Slatwall ready to assemble free-standing displays are easy to assemble as a countertop, end, stand-alone slatwall retail displays from American Retail Supply.</t>
  </si>
  <si>
    <t>www.americanretailsupply.com/64914/Slatwall-FreeStanding-Displays.html</t>
  </si>
  <si>
    <t>&lt;p&gt;Rack Components so you can make your own floor or counter rack display for your retail store. If you need more options let us know.&lt;/p&gt;</t>
  </si>
  <si>
    <t>Wire Rack Components | Retail Store Displays</t>
  </si>
  <si>
    <t>wire rack components, accessories, floor and counter rack display</t>
  </si>
  <si>
    <t>Shop for wire rack components so you can make your own floor or counter rack display; available from American Retail Supply.</t>
  </si>
  <si>
    <t>www.americanretailsupply.com/64799/Wire-Rack-Components.html</t>
  </si>
  <si>
    <t>Display Racks, Retail Store Display Fixtures and Racks</t>
  </si>
  <si>
    <t>display racks, retail display, store fixtures</t>
  </si>
  <si>
    <t>Display racks for retail stores, order display racks and store display fixtures for your store online; available from American Retail Supply.</t>
  </si>
  <si>
    <t>www.americanretailsupply.com/64667/Display-Racks.html</t>
  </si>
  <si>
    <t>&lt;p&gt;All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</si>
  <si>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</si>
  <si>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</si>
  <si>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</si>
  <si>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www.americanretailsupply.com/65194/Garment--Hat-Racks.html</t>
  </si>
  <si>
    <t>&lt;p&gt;There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800-426-5708.&lt;/p&gt;</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</si>
  <si>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</si>
  <si>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</si>
  <si>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</si>
  <si>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www.americanretailsupply.com/65195/Hangers.html</t>
  </si>
  <si>
    <t>&lt;p&gt;These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t>
  </si>
  <si>
    <t>Birch Jewelry Displays</t>
  </si>
  <si>
    <t>Birch Jewelry Displays tags supplies</t>
  </si>
  <si>
    <t>Birch Jewelry Displays for sale, order jewelry signs, tags and supplies for your retail jewelry store display needs online at American Retail Supply.</t>
  </si>
  <si>
    <t>www.americanretailsupply.com/64788/Birch-Jewelry-Displays.html</t>
  </si>
  <si>
    <t>&lt;p&gt;High quality leatherete and velveteen draw string pouches at low prices.  Quality inside and out.  Great for enhancing your jewelry, gemstones, gifts, promotions and wedding favors.&lt;br&gt;&lt;/p&gt;</t>
  </si>
  <si>
    <t>Jewelry Pouches, Jewelry Store Sales Supplies, Retail Jewelry Pouches</t>
  </si>
  <si>
    <t>jewelry pouches, jewelry bags</t>
  </si>
  <si>
    <t>Jewelry Pouches for sale - Buy jewelry pouches and jewelry store supplies for your store online at American Retail Supply.</t>
  </si>
  <si>
    <t>www.americanretailsupply.com/64791/Jewelry-Pouches.html</t>
  </si>
  <si>
    <t>&lt;p&gt;Be sure to check out our new Jewelry Riser Sets.&lt;/p&gt;</t>
  </si>
  <si>
    <t>Jewelry Risers, Retail Store Displays, Jewelry Display Riser Sets</t>
  </si>
  <si>
    <t>jewelry risers, jewelry displays</t>
  </si>
  <si>
    <t>Jewelry Display Riser Sets - Order jewelry display riser sets and jewelry display supplies for your store online at American Retail Supply.</t>
  </si>
  <si>
    <t>www.americanretailsupply.com/64794/Jewelry-Riser-Sets.html</t>
  </si>
  <si>
    <t>&lt;p&gt;It's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800-426-5708.&lt;/p&gt;</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</si>
  <si>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</si>
  <si>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</si>
  <si>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</si>
  <si>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www.americanretailsupply.com/64790/Jewelry-Supplies.html</t>
  </si>
  <si>
    <t>&lt;p&gt;Jewelry Display Pads are available in Circles, Triangles, and Rectangles and covered with Black Velvet. &lt;/p&gt;</t>
  </si>
  <si>
    <t>Jewelry Trays, Retail Store Displays, Jewelry Trays and Inserts</t>
  </si>
  <si>
    <t>jewelry trays, jewelry inserts</t>
  </si>
  <si>
    <t>Jewelry Trays and Inserts - Order jewelry trays and inserts for your retail store jewelry display needs online at American Retail Supply.</t>
  </si>
  <si>
    <t>www.americanretailsupply.com/64793/Jewelry-Trays--Inserts.html</t>
  </si>
  <si>
    <t>&lt;p&gt;Looking for something different to display your jewelry on.  These Linen look and bamboo are so popular now.  They are elegant and show off your jewelry very well.&lt;/p&gt;</t>
  </si>
  <si>
    <t>Linen Jewelry Displays</t>
  </si>
  <si>
    <t>Linen Jewelry Displays earring display</t>
  </si>
  <si>
    <t>Necklace &amp; earring displays linen displays, order linen jewelry displays for your retail gift shop or jewelry store at American Retail Supply.</t>
  </si>
  <si>
    <t>www.americanretailsupply.com/64786/Linen-Jewelry-Displays.html</t>
  </si>
  <si>
    <t>&lt;p&gt;So many Necklace and Bracelet Countertop Displays to choose from! All these options give you the ability to mix and match your jewelry displays and show off your necklace and bracelet merchandise in elegant style.&lt;/p&gt;</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</si>
  <si>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</si>
  <si>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</si>
  <si>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</si>
  <si>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www.americanretailsupply.com/64787/Necklace--Bracelet-Displays.html</t>
  </si>
  <si>
    <t>&lt;p&gt;Attractive Earring and Ring Displays make your jewelry standout.&lt;/p&gt;</t>
  </si>
  <si>
    <t>Ring &amp; Earring Displays, Jewelry Store Displays</t>
  </si>
  <si>
    <t>ring earring displays jewelry store earring display</t>
  </si>
  <si>
    <t>Ring &amp; earring displays for sale online, order earring displays for your retail gift shop or jewelry store at American Retail Supply.</t>
  </si>
  <si>
    <t>www.americanretailsupply.com/64795/Ring--Earring-Displays.html</t>
  </si>
  <si>
    <t>&lt;p&gt;Apollo and Athena Forms with ainted Wooden Base used for displaying slacks, sweaters blouses. Also used to display sportswear, shorts, swimwear, boxers or briefs. &lt;/p&gt;</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</si>
  <si>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</si>
  <si>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</si>
  <si>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</si>
  <si>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www.americanretailsupply.com/65161/Apollo--Athena-Forms.html</t>
  </si>
  <si>
    <t>&lt;p&gt;Choose from a wide selection of costumer's. Any questions please call us at 1-800-426-5708 or email info@americanretailsupply.com&lt;/p&gt;</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</si>
  <si>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</si>
  <si>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</si>
  <si>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</si>
  <si>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www.americanretailsupply.com/65154/Costumers.html</t>
  </si>
  <si>
    <t>&lt;p&gt;Contemporary Crystalline Series mannequins are made of translucent fiberglass/cast resin for decades of durable display.&lt;/p&gt;</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</si>
  <si>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</si>
  <si>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</si>
  <si>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</si>
  <si>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www.americanretailsupply.com/65156/Crystalline-Series-Mannequins.html</t>
  </si>
  <si>
    <t>&lt;p&gt;Ladies or men's head forms in Styrofoam or Abstract Fiberglass .  Great way to display scarves, Hats, caps. Self standing.&lt;br&gt;&lt;/p&gt;</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</si>
  <si>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</si>
  <si>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</si>
  <si>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</si>
  <si>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www.americanretailsupply.com/65166/Head-Forms.html</t>
  </si>
  <si>
    <t>Hosiery &amp; Sock Displays, Retail Apparel Display Mannequins</t>
  </si>
  <si>
    <t>sock displays hosiery apparel display mannequins</t>
  </si>
  <si>
    <t>Hosiery and sock displays for retail stores, order mannequins supplies and other retail displays online at American Retail Supply.</t>
  </si>
  <si>
    <t>www.americanretailsupply.com/65167/Hosiery--Sock-Displays.html</t>
  </si>
  <si>
    <t>&lt;p&gt;Kidz Klub series offers a cost effective way to display a complete line of children's clothing. Flesh tone color, modeled hair and makeup. Fiberglass construction.&lt;/p&gt;</t>
  </si>
  <si>
    <t>Boy and Girl Mannequins, Kidz Klub Series Children's Apparel Mannequins</t>
  </si>
  <si>
    <t>boy mannequins, girl mannequins</t>
  </si>
  <si>
    <t>Children's mannequins, buy boy and girl child's mannequins for your children's retail store apparel displays online.</t>
  </si>
  <si>
    <t>www.americanretailsupply.com/65164/Kidz-Klub-Mannequins.html</t>
  </si>
  <si>
    <t>&lt;p&gt;When you are looking for a more contemporary look for displaying your clothing these Molded Forms are a great choice.&lt;br&gt;Have any questions or need help please call us at 1-800-426-5708. We would be happy to help.&lt;br&gt;&lt;/p&gt;</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</si>
  <si>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</si>
  <si>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</si>
  <si>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</si>
  <si>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www.americanretailsupply.com/65153/Molded-Forms.html</t>
  </si>
  <si>
    <t>&lt;p&gt;The Rudy and Judy Series are the most affordable mannequin. Attractive, youthful looking with sculpted brown hair - Flesh tone. Includes tempered glass base.&lt;br&gt;&lt;/p&gt;</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</si>
  <si>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</si>
  <si>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</si>
  <si>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</si>
  <si>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www.americanretailsupply.com/65158/Rudy--Judy-Mannequins.html</t>
  </si>
  <si>
    <t>&lt;p&gt;Suit,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t>
  </si>
  <si>
    <t>Suit and Dress Forms, Retail Apparel Store Display Mannequins and Display Forms</t>
  </si>
  <si>
    <t>suit forms, dress forms, mannequins</t>
  </si>
  <si>
    <t>Mannequin and display forms including suit and dress forms for retail apparel store displays at American Retail Supply.</t>
  </si>
  <si>
    <t>www.americanretailsupply.com/65152/Suit-Dress-Forms.html</t>
  </si>
  <si>
    <t>&lt;p&gt;The Unbreakable forms are specially made with polyethylene rather than traditional fiberglass. This makes them tougher over the long haul, and ensures that your displays always look fresh and saves retailers money. Milky-white in color.&lt;br&gt;&lt;/p&gt;</t>
  </si>
  <si>
    <t>Unbreakable Mannequins, Retail Apparel Displays</t>
  </si>
  <si>
    <t>mannequins unbreakable mannequin apparel retail displays</t>
  </si>
  <si>
    <t>Unbreakable mannequins for sale online, order retail store apparel displays including wide selection of mannequins at American Retail Supply.</t>
  </si>
  <si>
    <t>www.americanretailsupply.com/65155/Unbreakable-Forms.html</t>
  </si>
  <si>
    <t>&lt;p&gt;Using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well.&lt;/p&gt;</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</si>
  <si>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</si>
  <si>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</si>
  <si>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</si>
  <si>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www.americanretailsupply.com/65151/Mannequins.html</t>
  </si>
  <si>
    <t>&lt;p&gt;Comes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</si>
  <si>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</si>
  <si>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</si>
  <si>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</si>
  <si>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www.americanretailsupply.com/64826/Mini-Grid.html</t>
  </si>
  <si>
    <t>&lt;p&gt;Modular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t>
  </si>
  <si>
    <t>Modular Display Shelving</t>
  </si>
  <si>
    <t>www.americanretailsupply.com/65357/Modular-Display-Shelving.html</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</si>
  <si>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</si>
  <si>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</si>
  <si>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</si>
  <si>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www.americanretailsupply.com/64816/Melamine--Bullnose-Shelves.html</t>
  </si>
  <si>
    <t>Default Category/Store Display Cases; Racks &amp; Showcases/Shelves/Tempered Glass Shelves</t>
  </si>
  <si>
    <t>&lt;p&gt;The best quality pencil polished tempered glass in the industry at great prices. Glass will ship via Common Carrier and will have a $25.00 crating charge added to orders.  &lt;/p&gt;</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</si>
  <si>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</si>
  <si>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</si>
  <si>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</si>
  <si>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www.americanretailsupply.com/64812/Tempered-Glass-Shelves.html</t>
  </si>
  <si>
    <t>&lt;p&gt;Slatwall and Gridwall wire shelving.  Available with or without lip.&lt;/p&gt;</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</si>
  <si>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</si>
  <si>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</si>
  <si>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</si>
  <si>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www.americanretailsupply.com/64814/Wire-Shelves.html</t>
  </si>
  <si>
    <t>&lt;p&gt;Choose from tempered glass, acrylic, wire, bullnose shelving, melamine, and gondola shelving.&lt;/p&gt;</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</si>
  <si>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</si>
  <si>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</si>
  <si>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</si>
  <si>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www.americanretailsupply.com/64669/Shelves.html</t>
  </si>
  <si>
    <t>&lt;p&gt;Fine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</si>
  <si>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</si>
  <si>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</si>
  <si>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</si>
  <si>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www.americanretailsupply.com/64831/Hardwood-Showcases.html</t>
  </si>
  <si>
    <t>&lt;p&gt;High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</si>
  <si>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</si>
  <si>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</si>
  <si>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</si>
  <si>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www.americanretailsupply.com/64832/High-Tech-Showcases.html</t>
  </si>
  <si>
    <t>&lt;p&gt;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</si>
  <si>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</si>
  <si>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</si>
  <si>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</si>
  <si>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www.americanretailsupply.com/64830/LaminateMetal-Showcases.html</t>
  </si>
  <si>
    <t>&lt;p&gt;You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</si>
  <si>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</si>
  <si>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</si>
  <si>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</si>
  <si>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www.americanretailsupply.com/64829/Ready-To-Assemble-Showcases.html</t>
  </si>
  <si>
    <t>&lt;p&gt;Whether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</si>
  <si>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</si>
  <si>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</si>
  <si>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</si>
  <si>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www.americanretailsupply.com/64674/Showcases.html</t>
  </si>
  <si>
    <t>&lt;p&gt;Tempered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</si>
  <si>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</si>
  <si>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</si>
  <si>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</si>
  <si>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www.americanretailsupply.com/64971/Glass-Connectors.html</t>
  </si>
  <si>
    <t>&lt;p&gt;There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</si>
  <si>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</si>
  <si>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</si>
  <si>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</si>
  <si>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www.americanretailsupply.com/65208/Melamine-Bases-for-Glass-Displays.html</t>
  </si>
  <si>
    <t>&lt;p&gt;Here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</si>
  <si>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</si>
  <si>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</si>
  <si>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</si>
  <si>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www.americanretailsupply.com/64766/Tempered-Glass-Tower-Displays.html</t>
  </si>
  <si>
    <t>&lt;p&gt;The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t>
  </si>
  <si>
    <t>Glass Displays, Retail Store Fixtures and Glass Displays</t>
  </si>
  <si>
    <t>glass displays, retail store displays, glass fixtures</t>
  </si>
  <si>
    <t>Glass display racks and cases for retail stores, order retail store fixtures and glass display racks online; from American Retail Supply.</t>
  </si>
  <si>
    <t>www.americanretailsupply.com/64666/Tempered-Glass-Shelves--Displays.html</t>
  </si>
  <si>
    <t>&lt;p&gt;Wire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</si>
  <si>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</si>
  <si>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</si>
  <si>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</si>
  <si>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www.americanretailsupply.com/64665/Wire--Acylic-Easels.html</t>
  </si>
  <si>
    <t>&lt;p&gt;Show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t>
  </si>
  <si>
    <t>Display Cases | American Retail Supply</t>
  </si>
  <si>
    <t>Display Cases, Store Display Cases, Retail Display Cases</t>
  </si>
  <si>
    <t>Great display case options for every budget! Shop for cheap economy showcases or browse our premium wood or laminate display cases in a variety of styles, colors and sizes.</t>
  </si>
  <si>
    <t>www.americanretailsupply.com/64593/Store-Display-Cases-Racks--Showcases.html</t>
  </si>
  <si>
    <t>&lt;p&gt;The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Labeler.&lt;br&gt;Or &lt;a href="http://yoosh.co/ars_files/rs6.eporia.com/company_8/Monarch%201103-1110.pdf"&gt;written loading instructions.&lt;/p&gt;</t>
  </si>
  <si>
    <t>Monarch 1110 Pricing Gun</t>
  </si>
  <si>
    <t>monarch price gun monarch 1110 price gun labeler pricing gun</t>
  </si>
  <si>
    <t>Monarch 1110 price gun, order pricing guns and price marking equipment online including Monarch price guns.</t>
  </si>
  <si>
    <t>/img3/img9123.jpg</t>
  </si>
  <si>
    <t>www.americanretailsupply.com\64923\1430\1-Line-Monarch-Labelers\Monarch-1110-Pricing-Gun.html</t>
  </si>
  <si>
    <t>&lt;p&gt;These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labels/box&lt;/p&gt;</t>
  </si>
  <si>
    <t>Monarch 1110 Labels, Monarch Price Gun Labels</t>
  </si>
  <si>
    <t>monarch 1110 labels monarch labels monarch 1110 price gun labels</t>
  </si>
  <si>
    <t>Monarch 1110 labels for sale online, order Monarch price gun labels and price marking equipment for your retail store.</t>
  </si>
  <si>
    <t>/img2/imgf49b.jpg</t>
  </si>
  <si>
    <t>www.americanretailsupply.com\64923\1561\1-Line-Monarch-Labelers\Monarch-1110-Labels.html</t>
  </si>
  <si>
    <t>&lt;p&gt;Here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&lt;/p&gt;</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</si>
  <si>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</si>
  <si>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</si>
  <si>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</si>
  <si>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/img2/img46c7.jpg</t>
  </si>
  <si>
    <t>www.americanretailsupply.com\64923\1564\1-Line-Monarch-Labelers\Monarch-1130-Labels.html</t>
  </si>
  <si>
    <t>&lt;p&gt;Imagine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&lt;/p&gt;</t>
  </si>
  <si>
    <t>Monarch 1131 Labels</t>
  </si>
  <si>
    <t>/img1/img31ea.jpg</t>
  </si>
  <si>
    <t>www.americanretailsupply.com\64923\1565\1-Line-Monarch-Labelers\Monarch-1131-Labels.html</t>
  </si>
  <si>
    <t>&lt;p&gt;Monarch 1110 Inkers for labelers.&lt;/p&gt;</t>
  </si>
  <si>
    <t>Monarch 1110 Inkers</t>
  </si>
  <si>
    <t>/img3/img878b.jpg</t>
  </si>
  <si>
    <t>www.americanretailsupply.com\64923\1569\1-Line-Monarch-Labelers\Monarch-1110-Inkers.html</t>
  </si>
  <si>
    <t>&lt;p&gt;The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Instructions&lt;/p&gt;</t>
  </si>
  <si>
    <t>Monarch 1130 Price Gun</t>
  </si>
  <si>
    <t>monarch 1130 price gun monarch pricing guns</t>
  </si>
  <si>
    <t>Monarch 1130 price guns for sale online, buy price marking equipment for your retail store including the popular Monarch 1130 pricing gun.</t>
  </si>
  <si>
    <t>/img1/img4f85.jpg</t>
  </si>
  <si>
    <t>www.americanretailsupply.com\64923\48186\1-Line-Monarch-Labelers\Monarch-1130-Price-Gun.html</t>
  </si>
  <si>
    <t>&lt;p&gt;Genuine inkers for your Monarch 1130 Series Inker 1131, 1135, and 1136 Labeler.&lt;/p&gt;</t>
  </si>
  <si>
    <t>Monarch 1130 Series Inker</t>
  </si>
  <si>
    <t>/img2/img5ecf.jpg</t>
  </si>
  <si>
    <t>www.americanretailsupply.com\64923\48290\1-Line-Monarch-Labelers\Monarch-1130-Series-Inker.html</t>
  </si>
  <si>
    <t>&lt;p&gt;  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Instructions&lt;/p&gt;</t>
  </si>
  <si>
    <t>Monarch 1131 Price Gun</t>
  </si>
  <si>
    <t>price gun monarch 1131 pricing gun monarch price gun</t>
  </si>
  <si>
    <t>Monarch 1131 price guns for sale online, order the Monarch 1131 price gun and Monarch pricing gun labels for your retail store.</t>
  </si>
  <si>
    <t>/img2/imge27b.jpg</t>
  </si>
  <si>
    <t>www.americanretailsupply.com\64923\48328\1-Line-Monarch-Labelers\Monarch-1131-Price-Gun.html</t>
  </si>
  <si>
    <t>&lt;p&gt;These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box&lt;/p&gt;</t>
  </si>
  <si>
    <t>Monarch 1115 Labels</t>
  </si>
  <si>
    <t>/img1/imgaa54.jpg</t>
  </si>
  <si>
    <t>www.americanretailsupply.com\64922\1562\2-Line-Monarch-Labelers\Monarch-1115-Labels.html</t>
  </si>
  <si>
    <t>&lt;p&gt;Labels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&lt;/p&gt;</t>
  </si>
  <si>
    <t>Monarch 1135 Labels</t>
  </si>
  <si>
    <t>/img1/img525c.jpg</t>
  </si>
  <si>
    <t>www.americanretailsupply.com\64922\1566\2-Line-Monarch-Labelers\Monarch-1135-Labels.html</t>
  </si>
  <si>
    <t>&lt;p&gt;These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&lt;/p&gt;</t>
  </si>
  <si>
    <t>Monarch 1136 Labels</t>
  </si>
  <si>
    <t>/img3/imgbb8b.jpg</t>
  </si>
  <si>
    <t>www.americanretailsupply.com\64922\1567\2-Line-Monarch-Labelers\Monarch-1136-Labels.html</t>
  </si>
  <si>
    <t>&lt;p&gt;  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Instructions&lt;/p&gt;</t>
  </si>
  <si>
    <t>Monarch 1115 Pricing Gun</t>
  </si>
  <si>
    <t>monarch 1115 pricing gun monarch price gun</t>
  </si>
  <si>
    <t>Monarch 1115 pricing gun for sale online, order Monarch 1115 pricing label guns for your retail store price marking needs.</t>
  </si>
  <si>
    <t>/img3/img44e5.jpg</t>
  </si>
  <si>
    <t>www.americanretailsupply.com\64922\48184\2-Line-Monarch-Labelers\Monarch-1115-Pricing-Gun.html</t>
  </si>
  <si>
    <t>&lt;p&gt;The Monarch 1135 Price Gun is easy to use and easy to load. Its 2 lines of 6 characters make it great for price comparisons, SKU codes, dates, etc.&lt;br&gt;&lt;a href="http://yoosh.co/ars_files/resources.myeporia.com/Company_8/Paxar%20-%20Loading%20Labels.pdf" target=_blank&gt;Loading Instructions&lt;/p&gt;</t>
  </si>
  <si>
    <t>Monarch 1135 Price Gun</t>
  </si>
  <si>
    <t>monarch 1135 price gun monarch labeler label gun</t>
  </si>
  <si>
    <t>Monarch 1135 price guns for sale online, order Monarch 1135 price label guns for your retail store price marking needs.</t>
  </si>
  <si>
    <t>/img3/img2833.jpg</t>
  </si>
  <si>
    <t>www.americanretailsupply.com\64922\48187\2-Line-Monarch-Labelers\Monarch-1135-Price-Gun.html</t>
  </si>
  <si>
    <t>&lt;p&gt;This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Instructions&lt;/p&gt;</t>
  </si>
  <si>
    <t>Monarch 1136 Price Gun</t>
  </si>
  <si>
    <t>monarch 1136 price gun monarch pricing label gun</t>
  </si>
  <si>
    <t>Monarch 1136 price gun for sale online, order price marking equipment and supplies for your retail store including the Monarch 1136 pricing gun.</t>
  </si>
  <si>
    <t>/img2/imgcba2.jpg</t>
  </si>
  <si>
    <t>www.americanretailsupply.com\64922\48188\2-Line-Monarch-Labelers\Monarch-1136-Price-Gun.html</t>
  </si>
  <si>
    <t>&lt;p&gt;Inker cartridges for Monarch 1115 Labelers.&lt;/p&gt;</t>
  </si>
  <si>
    <t>1115 Inker</t>
  </si>
  <si>
    <t>www.americanretailsupply.com\64922\48288\2-Line-Monarch-Labelers\1115-Inker.html</t>
  </si>
  <si>
    <t>&lt;p&gt;Great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&lt;/p&gt;</t>
  </si>
  <si>
    <t>Monarch 1150 Series Promotional Labels</t>
  </si>
  <si>
    <t>/img1/imgcb83.jpg</t>
  </si>
  <si>
    <t>www.americanretailsupply.com\64924\1568\3-Line--Promo-Monarch-Labelers\Monarch-1150-Series-Promotional-Labels.html</t>
  </si>
  <si>
    <t>&lt;p&gt;This Monarch 1151 has 7 Characters available on 1 Line, All Numeric use for promotional or sale pricing.&lt;/p&gt;</t>
  </si>
  <si>
    <t>Monarch 1151</t>
  </si>
  <si>
    <t>/img1/imgfed4.jpg</t>
  </si>
  <si>
    <t>www.americanretailsupply.com\64924\48189\3-Line--Promo-Monarch-Labelers\Monarch-1151.html</t>
  </si>
  <si>
    <t>&lt;p&gt;Monarch 1152 promotional labeling when you need to have an item numbers listed as well as the price.&lt;br&gt;Top has 12 Print Positions&lt;/p&gt;</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</si>
  <si>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</si>
  <si>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</si>
  <si>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</si>
  <si>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/img1/img156e.jpg</t>
  </si>
  <si>
    <t>www.americanretailsupply.com\64924\48190\3-Line--Promo-Monarch-Labelers\Monarch-1152.html</t>
  </si>
  <si>
    <t>&lt;p&gt;Inker cartridges for Monarch 1150 Series Labelers&lt;/p&gt;</t>
  </si>
  <si>
    <t>1150 Series Inker</t>
  </si>
  <si>
    <t>/img2/img1e6e.jpg</t>
  </si>
  <si>
    <t>www.americanretailsupply.com\64924\48289\3-Line--Promo-Monarch-Labelers\1150-Series-Inker.html</t>
  </si>
  <si>
    <t>&lt;p&gt;This is a 3 Line Labeler when you need to put a lot of information on a label.&lt;/p&gt;</t>
  </si>
  <si>
    <t>Monarch 1153 Price Label Gun, Monarch Pricing Guns</t>
  </si>
  <si>
    <t>monarch 1153 price gun label gun monarch pricing guns</t>
  </si>
  <si>
    <t>Monarch pricing guns for sale online, buy pricing label guns and equipment including Monarch 1153 price guns and labels for your retail store.</t>
  </si>
  <si>
    <t>/img1/img15ca.jpg</t>
  </si>
  <si>
    <t>www.americanretailsupply.com\64924\173754\3-Line--Promo-Monarch-Labelers\Monarch-1153-Labeler.html</t>
  </si>
  <si>
    <t>&lt;p&gt;  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box&lt;/p&gt;</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</si>
  <si>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</si>
  <si>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</si>
  <si>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</si>
  <si>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/img3/imga45c.jpg</t>
  </si>
  <si>
    <t>www.americanretailsupply.com\64924\173755\3-Line--Promo-Monarch-Labelers\Monarch-1153-Labels.html</t>
  </si>
  <si>
    <t>&lt;p&gt;    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added.&lt;/p&gt;</t>
  </si>
  <si>
    <t>Heavy Metal Textured Slatwall - Grey | Rust</t>
  </si>
  <si>
    <t>Slatwall, Textured Slatwall, Metal Textured Slatwall, Urban Slatwall</t>
  </si>
  <si>
    <t>2' x 8' Panels. Buy 10+ Panels At $189.50, else $198.98/Panel . Holds Up To 90lb At 6</t>
  </si>
  <si>
    <t>/img2/img526c.jpg</t>
  </si>
  <si>
    <t>www.americanretailsupply.com\65349\785448\3D-Textured-Slatwall\Heavy-Metal-Textured-Slatwall.html</t>
  </si>
  <si>
    <t>&lt;p&gt;    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</si>
  <si>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Bricks Textured Slatwall - 10+ Panel at $189.50/Panel</t>
  </si>
  <si>
    <t>Slatwall, Textured Slatwall, Brick Textured Slatwall,</t>
  </si>
  <si>
    <t>2' x 8' Panels. Buy 10+ Panels at $189.50, else $198.98/Panel. Holds Up To 90lb At 6</t>
  </si>
  <si>
    <t>/img1/img8a28.jpg</t>
  </si>
  <si>
    <t>www.americanretailsupply.com\65349\785681\3D-Textured-Slatwall\Bricks-Textured-Slatwall.html</t>
  </si>
  <si>
    <t>&lt;p&gt;    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</si>
  <si>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Blocks Textured Slatwall - Terra Cotta | Grey</t>
  </si>
  <si>
    <t>Slatwall, Textured Slatwall, Block Textured Slatwall, Brick Textured Slatwall, Design Slatwall</t>
  </si>
  <si>
    <t>/img3/img1e30.jpg</t>
  </si>
  <si>
    <t>www.americanretailsupply.com\65349\785682\3D-Textured-Slatwall\Blocks-Textured-Slatwall.html</t>
  </si>
  <si>
    <t>&lt;p&gt;   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</si>
  <si>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Barnwood Textured Slatwall - Buy 10+ Panels at $189.50</t>
  </si>
  <si>
    <t>Slatwall, Textured Slatwall, Barnwood Textured Slatwall, 3d slatwall</t>
  </si>
  <si>
    <t>2' x 8' Panels. Honey Maple, Natural, White, or Grey. Holds Up To 90lb At 6</t>
  </si>
  <si>
    <t>/img2/imgafae.jpg</t>
  </si>
  <si>
    <t>www.americanretailsupply.com\65349\786852\3D-Textured-Slatwall\Barnwood-Textured-Slatwall.html</t>
  </si>
  <si>
    <t>&lt;p&gt;   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</si>
  <si>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Linear Wave Design</t>
  </si>
  <si>
    <t>Slatwall, 3d Slatwall, Textured Slatwall, Wave Slatwall</t>
  </si>
  <si>
    <t>2' x 8' Panels. White, Bronze, Black, or Cream Color Panel. Holds Up To 90lb At 6</t>
  </si>
  <si>
    <t>/img2/imgc8e7.jpg</t>
  </si>
  <si>
    <t>www.americanretailsupply.com\65349\786894\3D-Textured-Slatwall\Linear-Wave-Textured-Slatwall.html</t>
  </si>
  <si>
    <t>&lt;p&gt;   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</si>
  <si>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Subway Tile Design</t>
  </si>
  <si>
    <t>Slatwall, Tile Slatwall, Textured Slatwall, 3d Slatwall, Urban Slatwall</t>
  </si>
  <si>
    <t>2' x 8' Panels. Buy 10+ Panels at $189.50, else $198.98. Holds Up To 90lb At 6</t>
  </si>
  <si>
    <t>/img3/imgb5ab.jpg</t>
  </si>
  <si>
    <t>www.americanretailsupply.com\65349\786902\3D-Textured-Slatwall\Subway-Tile-Textured-Slatwall.html</t>
  </si>
  <si>
    <t>&lt;p&gt;Cement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</si>
  <si>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/img2/imgb5c0-2.jpg</t>
  </si>
  <si>
    <t>www.americanretailsupply.com\65349\786903\3D-Textured-Slatwall\Cement-Textured-Slatwall.html</t>
  </si>
  <si>
    <t>&lt;p&gt;   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</si>
  <si>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/img2/img1a68.jpg</t>
  </si>
  <si>
    <t>www.americanretailsupply.com\65349\786904\3D-Textured-Slatwall\Slate-Textured-Slatwall.html</t>
  </si>
  <si>
    <t>&lt;p&gt;   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</si>
  <si>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/img2/img1a16.jpg</t>
  </si>
  <si>
    <t>www.americanretailsupply.com\65349\786905\3D-Textured-Slatwall\Wood-Textured-Slatwall.html</t>
  </si>
  <si>
    <t>&lt;p&gt;   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  &lt;/p&gt;</t>
  </si>
  <si>
    <t>Textured Slatwall - Black Tire Tread Design</t>
  </si>
  <si>
    <t>Slatwall, Textured Slatwall, 3d Slatwall, Tire Tread Slatwall,</t>
  </si>
  <si>
    <t>/img1/img6027.jpg</t>
  </si>
  <si>
    <t>www.americanretailsupply.com\65349\786911\3D-Textured-Slatwall\Tire-Tread-Textured-Slatwall.html</t>
  </si>
  <si>
    <t>&lt;p&gt;   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</si>
  <si>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/img1/img3a2a.jpg</t>
  </si>
  <si>
    <t>www.americanretailsupply.com\65349\786912\3D-Textured-Slatwall\Roadway-Textured-Slatwall.html</t>
  </si>
  <si>
    <t>&lt;p&gt;   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</si>
  <si>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Weathered Wood in Cool | Warm | Sunbaked</t>
  </si>
  <si>
    <t>Slatwall, 3d Slatwall, Textured Slatwall, Wood Textured Slatwall, Classic Textured Slatwall, Rustic Slatwall</t>
  </si>
  <si>
    <t>/img1/img4f51.jpg</t>
  </si>
  <si>
    <t>www.americanretailsupply.com\65349\786913\3D-Textured-Slatwall\Weathered-Wood-Textured-Slatwall.html</t>
  </si>
  <si>
    <t>&lt;p&gt;   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</si>
  <si>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Diamond Plate in Rust | Silver</t>
  </si>
  <si>
    <t>Slatwall, Textured Slatwall, 3d Slatwall, Diamond Textured Slatwall, Diamond slatwall</t>
  </si>
  <si>
    <t>/img3/img5da2.jpg</t>
  </si>
  <si>
    <t>www.americanretailsupply.com\65349\786914\3D-Textured-Slatwall\Diamond-Plate-Textured-Slatwall.html</t>
  </si>
  <si>
    <t>&lt;p&gt;   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</si>
  <si>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Corrugated Metal in Rust | Galvanized</t>
  </si>
  <si>
    <t>Slatwall, Textured Slatwall, 3d Slatwall, Vintage Slatwall, Antique Slatwall</t>
  </si>
  <si>
    <t>/img1/img59cd.jpg</t>
  </si>
  <si>
    <t>www.americanretailsupply.com\65349\786915\3D-Textured-Slatwall\Corrugated-Metal-Textured-Slatwall.html</t>
  </si>
  <si>
    <t>&lt;p&gt;   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</si>
  <si>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Weave Design</t>
  </si>
  <si>
    <t>Slatwall, 3d Slatwall, Textured Slatwall, Sleek Slatwall, Urban Slatwall</t>
  </si>
  <si>
    <t>/img1/img75c2.jpg</t>
  </si>
  <si>
    <t>www.americanretailsupply.com\65349\786917\3D-Textured-Slatwall\Weave-Textured-Slatwall.html</t>
  </si>
  <si>
    <t>&lt;p&gt;If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</si>
  <si>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Old Paint Textured Slatwall</t>
  </si>
  <si>
    <t>/img3/imgdc76.jpg</t>
  </si>
  <si>
    <t>www.americanretailsupply.com\65349\787789\3D-Textured-Slatwall\Old-Paint-Textured-Slatwall.html</t>
  </si>
  <si>
    <t>&lt;p&gt;               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samples.&lt;br&gt;&lt;/p&gt;</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</si>
  <si>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</si>
  <si>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</si>
  <si>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</si>
  <si>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/img3/img7c7b.jpg</t>
  </si>
  <si>
    <t>www.americanretailsupply.com\64993\48337\A-La-Carte-Bags--Boxes\Forest-Green-Collection-Bags--Boxes.html</t>
  </si>
  <si>
    <t>&lt;p&gt;&lt;br&gt;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content&lt;br&gt;&lt;/p&gt;</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</si>
  <si>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</si>
  <si>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</si>
  <si>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</si>
  <si>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/img1/img10fb.jpg</t>
  </si>
  <si>
    <t>www.americanretailsupply.com\64993\48338\A-La-Carte-Bags--Boxes\Really-Red-Collection-Bags-and-Boxes.html</t>
  </si>
  <si>
    <t>&lt;p&gt;                  Really great choice of Bags and boxes for take out, box lunches, and other specialty food uses at your store.&lt;br&gt;Order bags by the case.  Case sizes are listed below. Call 1-800-426-5708 for samples.&lt;br&gt;&lt;/p&gt;</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</si>
  <si>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</si>
  <si>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</si>
  <si>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</si>
  <si>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/img1/imge68e.jpg</t>
  </si>
  <si>
    <t>www.americanretailsupply.com\64993\48339\A-La-Carte-Bags--Boxes\White-Kraft-Food-Packaging-Bags-and-Boxes.html</t>
  </si>
  <si>
    <t>&lt;p&gt;               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content&lt;br&gt;&lt;/p&gt;</t>
  </si>
  <si>
    <t>Grape Collection Coordinated Gourmet Packaging</t>
  </si>
  <si>
    <t>coordinated packaging, shopping bags, paper bags, retail, gift bags, gift boxes, gourmet food packaging</t>
  </si>
  <si>
    <t>Coordinated bags and boxes for retail packaging or gift bags and gift boxes</t>
  </si>
  <si>
    <t>/img2/imga7d0.jpg</t>
  </si>
  <si>
    <t>www.americanretailsupply.com\64993\48341\A-La-Carte-Bags--Boxes\Grape-Collection-Shopping-Bags-and-Boxes.html</t>
  </si>
  <si>
    <t>&lt;p&gt;          Fruit Bowl Wine Packaging for Specialty Food Bags are gorgeous bags for take-out and other specialty food uses at your retail store.&lt;br&gt;Order boxes by the case.&lt;br&gt;Case sizes are listed below.&lt;br&gt;Call (800) 426-5708 for samples.&lt;br&gt;*Made with up to 30% recycled content.&lt;br&gt;&lt;/p&gt;</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</si>
  <si>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</si>
  <si>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</si>
  <si>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</si>
  <si>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/img1/img64c2.jpg</t>
  </si>
  <si>
    <t>www.americanretailsupply.com\64993\563425\A-La-Carte-Bags--Boxes\Fruit-Bowl-Wine-Packaging-Bags-and-Boxes.html</t>
  </si>
  <si>
    <t>&lt;p&gt;              Great for wine bottles and other specialty food uses at your store.&lt;br&gt;Order bags by the case.&lt;br&gt;Case sizes are listed below. &lt;br&gt;*Bags are made with up to 40% recycled Natural Kraft bags.&lt;br&gt;Call 1-800-426-5708 to talk to a sales representative for samples. &lt;/p&gt;</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</si>
  <si>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</si>
  <si>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</si>
  <si>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</si>
  <si>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/img2/img06d8.jpg</t>
  </si>
  <si>
    <t>www.americanretailsupply.com\64993\563427\A-La-Carte-Bags--Boxes\Natural-Kraft-Wine-Bags-and-Boxes.html</t>
  </si>
  <si>
    <t>&lt;p&gt;             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       &lt;/p&gt;</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</si>
  <si>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</si>
  <si>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</si>
  <si>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</si>
  <si>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/img2/img6675.jpg</t>
  </si>
  <si>
    <t>www.americanretailsupply.com\64993\582199\A-La-Carte-Bags--Boxes\Reusable-Non-Woven-Wine-Totes.html</t>
  </si>
  <si>
    <t>&lt;p&gt;A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1-800-426-5708&lt;/p&gt;</t>
  </si>
  <si>
    <t>Green Gardens Collection Bags and Boxes</t>
  </si>
  <si>
    <t>/img3/imgb9c1-2.jpg</t>
  </si>
  <si>
    <t>www.americanretailsupply.com\64993\785423\A-La-Carte-Bags--Boxes\Green-Gardens-Collection-Bags-and-Boxes.html</t>
  </si>
  <si>
    <t>&lt;p&gt;This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1-800-426-5708&lt;/p&gt;</t>
  </si>
  <si>
    <t>Market Fresh Collection Bags and Boxes</t>
  </si>
  <si>
    <t>/img2/img4201.jpg</t>
  </si>
  <si>
    <t>www.americanretailsupply.com\64993\785424\A-La-Carte-Bags--Boxes\Market-Fresh-Collection-Bags-and-Boxes.html</t>
  </si>
  <si>
    <t>&lt;p&gt;This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1-800-426-5708&lt;/p&gt;</t>
  </si>
  <si>
    <t>Geo Trio Collection Bags and Boxes</t>
  </si>
  <si>
    <t>/img1/img1265.jpg</t>
  </si>
  <si>
    <t>www.americanretailsupply.com\64993\785425\A-La-Carte-Bags--Boxes\Geo-Trio-Collection-Bags-and-Boxes.html</t>
  </si>
  <si>
    <t>&lt;p&gt;Retro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1-800-426-5708&lt;/p&gt;</t>
  </si>
  <si>
    <t>Newsprint Collection Bags and Boxes</t>
  </si>
  <si>
    <t>/img1/imgb7af.jpg</t>
  </si>
  <si>
    <t>www.americanretailsupply.com\64993\785426\A-La-Carte-Bags--Boxes\Newsprint-Collection-Bags-and-Boxes.html</t>
  </si>
  <si>
    <t>&lt;p&gt;Colorful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1-800-426-5708&lt;/p&gt;</t>
  </si>
  <si>
    <t>Beaujolais Collection Bags and Boxes</t>
  </si>
  <si>
    <t>/img2/img3c46.jpg</t>
  </si>
  <si>
    <t>www.americanretailsupply.com\65088\785427\A-La-Carte-Bags--Boxes\Beaujolais-Collection-Bags-and-Boxes.html</t>
  </si>
  <si>
    <t>&lt;p&gt;Dramatic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1-800-426-5708&lt;/p&gt;</t>
  </si>
  <si>
    <t>Noir Collection Bags and Boxes</t>
  </si>
  <si>
    <t>/img3/img6596.jpg</t>
  </si>
  <si>
    <t>www.americanretailsupply.com\64993\785428\A-La-Carte-Bags--Boxes\Noir-Collection-Bags-and-Boxes.html</t>
  </si>
  <si>
    <t>&lt;p&gt;These bags and boxes offer a nice organic look for all your food gift packaging. Pair the bags with a nice green tissue paper for a complete look. &lt;/p&gt;</t>
  </si>
  <si>
    <t>Leaves &amp; Berries on Kraft</t>
  </si>
  <si>
    <t>/img2/img0ee0.jpg</t>
  </si>
  <si>
    <t>www.americanretailsupply.com\64993\785446\A-La-Carte-Bags--Boxes\Leaves--Berries-on-Kraft.html</t>
  </si>
  <si>
    <t>&lt;p&gt;This tiny easel works when you want to display very small items.  At only 2' wide, it's a convenient display piece.  It is sold in a package of 12 easels for one low price.&lt;/p&gt;</t>
  </si>
  <si>
    <t>Acrylic Mini Easel</t>
  </si>
  <si>
    <t>Acrylic Mini Easel, display</t>
  </si>
  <si>
    <t>/img1/img52a2-2.jpg</t>
  </si>
  <si>
    <t>www.americanretailsupply.com\64770\2082\Acrylic-Bins-Trays-Easels\Acrylic-Mini-Easel.html</t>
  </si>
  <si>
    <t>&lt;p&gt;These easels are perfect for holding a packaged folded shirt and is clear acrylic.  The slant allows you to display your shirts so that they are a featured item.&lt;/p&gt;</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</si>
  <si>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</si>
  <si>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</si>
  <si>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</si>
  <si>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/img1/img234d.jpg</t>
  </si>
  <si>
    <t>www.americanretailsupply.com\64770\33978\Acrylic-Bins-Trays-Easels\Acrylic-Shirt-Easels.html</t>
  </si>
  <si>
    <t>&lt;p&gt;Plate Easels made with wire and acrylic base can be used for different sizes of plates. Just adjust the wire and you can adjust the position of your plate that you are displaying. Sold in packages of a dozen.  &lt;br&gt; &lt;/p&gt;</t>
  </si>
  <si>
    <t>Easels with Acrylic Base - As Low As $1.25/Easel</t>
  </si>
  <si>
    <t>Easels with Acrylic Base, plate display, plate easels, adjustable easels</t>
  </si>
  <si>
    <t>Easels with Acrylic Base Sold In Packages of 12 Easels. Not Sold Individually. Shop Online Today or Call For More Info!</t>
  </si>
  <si>
    <t>/img1/imgffde.jpg</t>
  </si>
  <si>
    <t>www.americanretailsupply.com\64770\34051\Acrylic-Bins-Trays-Easels\Easels-with-Acrylic-Base.html</t>
  </si>
  <si>
    <t>&lt;p&gt;This Rounded Front Opening easel is the perfect choice for displaying purses, clutch bags, or other soft goods.  The 3" deep opening allows you to display thicker items and made of clear acrylic.&lt;/p&gt;</t>
  </si>
  <si>
    <t>Acrylic Countertop Rounded Opening Easels</t>
  </si>
  <si>
    <t>Acrylic Countertop Rounded Opening Easels, display</t>
  </si>
  <si>
    <t>/img3/img07b0.jpg</t>
  </si>
  <si>
    <t>www.americanretailsupply.com\64770\34053\Acrylic-Bins-Trays-Easels\Acrylic-Rounded-Opening-Easels.html</t>
  </si>
  <si>
    <t>&lt;p&gt;Made with 3/16" clear Acrylic to hold your retail store's heavier items, along with hard to display items like plates or games. They are designed with 2 legs that will hold and balance your merchandise. &lt;br&gt;&lt;/p&gt;</t>
  </si>
  <si>
    <t>Acrylic Display Easels</t>
  </si>
  <si>
    <t>/img1/img2953.jpg</t>
  </si>
  <si>
    <t>www.americanretailsupply.com\64770\34056\Acrylic-Bins-Trays-Easels\Acrylic-Display-Easels.html</t>
  </si>
  <si>
    <t>&lt;p&gt;These are hinged easels for easy storage and shipping. They open up to display books, purses, or greeting cards effectively. Made of 1/8" molded acrylic.   &lt;/p&gt;</t>
  </si>
  <si>
    <t>Acrylic Molded Easels</t>
  </si>
  <si>
    <t>Acrylic Molded Easels, display, plates, photos</t>
  </si>
  <si>
    <t>/img2/img4973.jpg</t>
  </si>
  <si>
    <t>www.americanretailsupply.com\64770\34057\Acrylic-Bins-Trays-Easels\Acrylic-Molded-Easels.html</t>
  </si>
  <si>
    <t>&lt;p&gt;Use as boxes for selling small items as these are clear, 5 sided open cube or used as a riser for displaying items at a variety of heights.  These cubes are made from 3 /16" acrylic. &lt;br&gt;&lt;/p&gt;</t>
  </si>
  <si>
    <t>Acrylic Displays, Clear Acrylic 5 Sided Cube Displays</t>
  </si>
  <si>
    <t>acrylic cube displays clear acrylic display cubes</t>
  </si>
  <si>
    <t>Clear acrylic 5 sided cube displays for sale online, order acrylic displays for your retail store at American Retail Supply.</t>
  </si>
  <si>
    <t>/img3/img0abb.jpg</t>
  </si>
  <si>
    <t>www.americanretailsupply.com\64770\34236\Acrylic-Bins-Trays-Easels\Acrylic-Open-Cubes-316-Clear.html</t>
  </si>
  <si>
    <t>&lt;p&gt;This Dinnerware Holder will display a 5 piece place setting compactly and safely.  Use several of these on a shelf to showcase your dinnerware patterns.&lt;/p&gt;</t>
  </si>
  <si>
    <t>Acrylic Dinnerware - Holder</t>
  </si>
  <si>
    <t>Acrylic Dinnerware - Holder, set display, china setting display, presentation</t>
  </si>
  <si>
    <t>/img1/img0193.jpg</t>
  </si>
  <si>
    <t>www.americanretailsupply.com\64770\231535\Acrylic-Bins-Trays-Easels\Acrylic-Dinnerware-Holder.html</t>
  </si>
  <si>
    <t>&lt;p&gt;Cell Phone Easels that you Choose the right size for your cell phone line. Also available the Slanted Cellular Phone Holder is at a perfect slant for displaying cell phones inside showcases. &lt;/p&gt;</t>
  </si>
  <si>
    <t>Acrylic Easels | Cell Phone</t>
  </si>
  <si>
    <t>Acrylic Easels, Cell Phone Holder, Cell Phone Display, Counter Top Display</t>
  </si>
  <si>
    <t>Perfect Slant For Displaying Cell Phones Inside Showcases Or Counter Top. Call Us Now!</t>
  </si>
  <si>
    <t>/img1/imga69b.jpg</t>
  </si>
  <si>
    <t>www.americanretailsupply.com\64770\575748\Acrylic-Bins-Trays-Easels\Cell-Phone-Acrylic-Easels.html</t>
  </si>
  <si>
    <t>&lt;p&gt;These are commonly used for books, magazines, pictures, frames and collectibles.  The 3" deep "J" opening allows you to display thicker items.&lt;/p&gt;</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</si>
  <si>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</si>
  <si>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</si>
  <si>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</si>
  <si>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/img3/img204d.jpg</t>
  </si>
  <si>
    <t>www.americanretailsupply.com\64770\575749\Acrylic-Bins-Trays-Easels\3-Deep-J-Opening-Acrylic-Easels.html</t>
  </si>
  <si>
    <t>&lt;p&gt;Non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individually.&lt;br&gt;&lt;/p&gt;</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</si>
  <si>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</si>
  <si>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</si>
  <si>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</si>
  <si>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/img1/img5c81.jpg</t>
  </si>
  <si>
    <t>www.americanretailsupply.com\64770\576364\Acrylic-Bins-Trays-Easels\Acrylic-Compartment-Bins-for-Countertop.html</t>
  </si>
  <si>
    <t>&lt;p&gt;These are deluxe Acrylic Display Trays and are perfect for countertop displaying and showcasing merchandise and collectibles in your retail store.&lt;/p&gt;</t>
  </si>
  <si>
    <t>Deluxe Acrylic Showcase Trays, Retail Store Displays</t>
  </si>
  <si>
    <t>acrylic trays acrylic display tray showcase displays</t>
  </si>
  <si>
    <t>Retail store display trays, order acrylic showcase display trays for your retail store to organize your fine merchandise and collectibles.</t>
  </si>
  <si>
    <t>/img3/img683e.jpg</t>
  </si>
  <si>
    <t>www.americanretailsupply.com\64770\576365\Acrylic-Bins-Trays-Easels\Acrylic-Display-Trays-for-Countertop.html</t>
  </si>
  <si>
    <t>&lt;p&gt;Small Acrylic Easels available in 5 sizes in acrylic. Sold in packages of 12 easels&lt;/p&gt;</t>
  </si>
  <si>
    <t>38 Series Acrylic Easels - As Low As $1.10/Easels</t>
  </si>
  <si>
    <t>38 Series Acrylic Easels, Acrylic Easels, Menu Holder, Phone Holder, Countertop display, table top displays</t>
  </si>
  <si>
    <t>Sold in Cases of 12 Easels. 1</t>
  </si>
  <si>
    <t>/img2/img40cd.jpg</t>
  </si>
  <si>
    <t>www.americanretailsupply.com\64770\777848\Acrylic-Bins-Trays-Easels\38-Series-Acrylic-Easels.html</t>
  </si>
  <si>
    <t>&lt;p&gt;These easels are available in 5 sizes in acrylic. Sold per package of dozen&lt;/p&gt;</t>
  </si>
  <si>
    <t>37 Series Acrylic Easels - As Low As $1.16/Easels</t>
  </si>
  <si>
    <t>Acrylic Easels, 37 Series Acrylic Easels, Phone Display, Menu Holder,</t>
  </si>
  <si>
    <t>Sold in Cases of 12 Easels. Varying Size from 1</t>
  </si>
  <si>
    <t>www.americanretailsupply.com\64770\777849\Acrylic-Bins-Trays-Easels\37-Series-Acrylic-Easels.html</t>
  </si>
  <si>
    <t>&lt;p&gt;This clear acrylic mirror is one of our more popular styles. 8" x 10" glass mirror, 11 1/2" H. acrylic base and frame with adjustable tilt. Available with a single mirror or a double mirror. Has chrome trim with chrome knobs that allow you to turn the mirror.  Easy assembly. &lt;/p&gt;</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</si>
  <si>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</si>
  <si>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</si>
  <si>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</si>
  <si>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/img3/img7ce6.jpg</t>
  </si>
  <si>
    <t>www.americanretailsupply.com\64779\34240\Acrylic-Countertop-Displays\Acrylic-Glass-Mirror-for-Countertop-High-Style.html</t>
  </si>
  <si>
    <t>&lt;p&gt;This is compact and will take very little space.  The mirror is beveled and has polished edges.&lt;/p&gt;</t>
  </si>
  <si>
    <t>Acrylic Counter Mirror - Beveled Glass</t>
  </si>
  <si>
    <t>Acrylic Beveled Glass Counter Mirror, table top mirror, vanity mirror, adjustable, moveable tilting mirror, acrylic counter mirror</t>
  </si>
  <si>
    <t>Acrylic Counter Mirror with Beveled Glass. In Sizes of 8</t>
  </si>
  <si>
    <t>/img3/imgc8f4.jpg</t>
  </si>
  <si>
    <t>www.americanretailsupply.com\64779\34241\Acrylic-Countertop-Displays\Acrylic-Beveled-Glass-Counter-Mirror.html</t>
  </si>
  <si>
    <t>&lt;p&gt;These counter size acrylic mirrors are inexpensive.  The mirror is slanted for easier viewing.&lt;/p&gt;</t>
  </si>
  <si>
    <t>Acrylic Countertop Display - Slant Back Mirror</t>
  </si>
  <si>
    <t>Slant Back Acrylic Mirror, counter top or table top mirror, Display Mirror, countertop mirror</t>
  </si>
  <si>
    <t>Slant Back Acrylic Mirror is Slanted For Easier Viewing. 5</t>
  </si>
  <si>
    <t>/img2/imgeb07.jpg</t>
  </si>
  <si>
    <t>www.americanretailsupply.com\64779\34242\Acrylic-Countertop-Displays\Slant-Back-Acrylic-Mirror.html</t>
  </si>
  <si>
    <t>&lt;p&gt;  These are flat and available for Gridwall (slatwall image showing). They come in 3 sizes, choose the one that will fit your retail store's display. &lt;br&gt;&lt;/p&gt;</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</si>
  <si>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</si>
  <si>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</si>
  <si>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</si>
  <si>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/img2/img71dc.jpg</t>
  </si>
  <si>
    <t>www.americanretailsupply.com\64779\34243\Acrylic-Countertop-Displays\Gridwall-Acrylic-Mirror.html</t>
  </si>
  <si>
    <t>&lt;p&gt;This single sided mirror features a black acrylic frame and base with chrome trim.&amp;#160;&lt;/p&gt;</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</si>
  <si>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</si>
  <si>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</si>
  <si>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</si>
  <si>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/img2/img7f48.jpg</t>
  </si>
  <si>
    <t>www.americanretailsupply.com\64779\34244\Acrylic-Countertop-Displays\Black-Adjustable-Glass-Counter-Mirror.html</t>
  </si>
  <si>
    <t>&lt;p&gt;Made with an all Glass Mirror.  It is an economical answer to your counter mirror needs.&lt;/p&gt;</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</si>
  <si>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</si>
  <si>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</si>
  <si>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</si>
  <si>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/img1/img3bb2.jpg</t>
  </si>
  <si>
    <t>www.americanretailsupply.com\64779\34245\Acrylic-Countertop-Displays\Acrylic-Domed-Countertop-Glass-Mirror.html</t>
  </si>
  <si>
    <t>&lt;p&gt;This shelf may be just the answer to display a variety of items on your slatwall. 2 Size options available.&lt;/p&gt;</t>
  </si>
  <si>
    <t>Acrylic Shelf - Slatwall Attachment</t>
  </si>
  <si>
    <t>acrylic shelf, acrylic shelf slatwall attachment, slatwall attachment,</t>
  </si>
  <si>
    <t>Acrylic Shelf For Slatwalls. Comes In Two Sizes, One With FrontLip and Without. Shop Online Today or Call For More Info!</t>
  </si>
  <si>
    <t>/img3/imgb28a.jpg</t>
  </si>
  <si>
    <t>www.americanretailsupply.com\64779\34246\Acrylic-Countertop-Displays\Acrylic-Economy-Shelf-Display-for-Slatwall.html</t>
  </si>
  <si>
    <t>&lt;p&gt;Comes unassembled for easy shipping. It can be used on the countertop or can be mounted on the wall.&lt;/p&gt;</t>
  </si>
  <si>
    <t>Acrylic Countertop Rack - 11" Tall</t>
  </si>
  <si>
    <t>Acrylic Countertop Rack, Acrylic Countertop Display, Acrylic Display Rack</t>
  </si>
  <si>
    <t>Acrylic Countertop Rack Has Three Levels. Ships Unassemebled For Easy Shipping. Shop Online Today or Call For More Info!</t>
  </si>
  <si>
    <t>/img2/imgb111-2.jpg</t>
  </si>
  <si>
    <t>www.americanretailsupply.com\64779\34247\Acrylic-Countertop-Displays\Acrylic-Countertop-Rack.html</t>
  </si>
  <si>
    <t>&lt;p&gt;So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displaying.&lt;/p&gt;</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</si>
  <si>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</si>
  <si>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</si>
  <si>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</si>
  <si>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/img1/img02df.jpg</t>
  </si>
  <si>
    <t>www.americanretailsupply.com\64779\34248\Acrylic-Countertop-Displays\Acrylic-Mini-Platform-Stairs.html</t>
  </si>
  <si>
    <t>&lt;p&gt;Perfect step display so customers can see all the products.  They won't take up a lot of room on your shelf or showcase and you are still able to display lots of items in an orderly manner.  Legs to these display attach with stainless steel screws.  This item assembles easily.&lt;/p&gt;</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</si>
  <si>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</si>
  <si>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</si>
  <si>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</si>
  <si>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/img1/img93f1.jpg</t>
  </si>
  <si>
    <t>www.americanretailsupply.com\64779\34249\Acrylic-Countertop-Displays\Acrylic-Clear-Three-Step-Stairs.html</t>
  </si>
  <si>
    <t>&lt;p&gt;This countertop display can be used two ways by turning the unit to its other side to allow for 2" or 3" deep shelves. Great for mugs, candles, glasses or statues. Ships assembled.&lt;/p&gt;</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</si>
  <si>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</si>
  <si>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</si>
  <si>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</si>
  <si>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/img3/imgfe71.jpg</t>
  </si>
  <si>
    <t>www.americanretailsupply.com\64779\34251\Acrylic-Countertop-Displays\14-Acrylic-3-Tier-Displays.html</t>
  </si>
  <si>
    <t>&lt;p&gt;Includes 3 trays at 16" long. &lt;br&gt;You may choose any 3 trays from the following list:&lt;/p&gt;</t>
  </si>
  <si>
    <t>Acrylic Bin Display - Multiple Compartments</t>
  </si>
  <si>
    <t>Acrylic Bin Display, Acrylic Bin, Acrylic storage, Acrylic countertop display</t>
  </si>
  <si>
    <t>Your Choice of 3</t>
  </si>
  <si>
    <t>/img2/imga616.jpg</t>
  </si>
  <si>
    <t>www.americanretailsupply.com\64779\34252\Acrylic-Countertop-Displays\Acrylic-Bin-Display.html</t>
  </si>
  <si>
    <t>&lt;p&gt;Comes in 3 sizes. Choose your size depending upon the number of items you want to display. The tallest one is only 6 &amp;#189;" tall for a very compact display.  &lt;br&gt; &lt;/p&gt;</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</si>
  <si>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</si>
  <si>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</si>
  <si>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</si>
  <si>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/img2/img8c2b.jpg</t>
  </si>
  <si>
    <t>www.americanretailsupply.com\64779\34253\Acrylic-Countertop-Displays\Acrylic-Clear-Tiered-Stairs.html</t>
  </si>
  <si>
    <t>&lt;p&gt;Showcases in many sizes that show your products not the display. &lt;/p&gt;</t>
  </si>
  <si>
    <t>Acrylic Displays, Acrylic Countertop Showcases</t>
  </si>
  <si>
    <t>acrylic display case countertop showcase acrylic counter top displays</t>
  </si>
  <si>
    <t>Acrylic countertop showcases for sale online, order acrylic display cases for your retail store at American Retail Supply.</t>
  </si>
  <si>
    <t>/img3/imgfb70.jpg</t>
  </si>
  <si>
    <t>www.americanretailsupply.com\64779\34255\Acrylic-Countertop-Displays\Acrylic-Countertop-Showcases.html</t>
  </si>
  <si>
    <t>&lt;p&gt;The perfect flat display for your countertop.&amp;#160; This display comes complete a hinged door and knob for easy opening.&lt;/p&gt;</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</si>
  <si>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</si>
  <si>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</si>
  <si>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</si>
  <si>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/img2/img25f4.jpg</t>
  </si>
  <si>
    <t>www.americanretailsupply.com\64779\34256\Acrylic-Countertop-Displays\Flat-Locking-Acrylic-Showcases.html</t>
  </si>
  <si>
    <t>&lt;p&gt;These are for Slatwall and are a nice addition to your slatwall display.  Add one or more to show off your jewelry, or other items that you need to have locked for security.&lt;/p&gt;</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</si>
  <si>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</si>
  <si>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</si>
  <si>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</si>
  <si>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/img2/img47b7.jpg</t>
  </si>
  <si>
    <t>www.americanretailsupply.com\64779\34257\Acrylic-Countertop-Displays\Acrylic-Locking-Showcases-for-Slatwall.html</t>
  </si>
  <si>
    <t>&lt;p&gt;This is a great countertop display for candles, glasses or statues in your retail store. &lt;br&gt;Has a 3/4" front lip on each tear.&lt;br&gt;Dimensions: 15 3/8" W x 12 1/2" H x 11 1/4" D&lt;br&gt;Ships assembled.&lt;/p&gt;</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</si>
  <si>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</si>
  <si>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</si>
  <si>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</si>
  <si>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/img2/imgc4be.jpg</t>
  </si>
  <si>
    <t>www.americanretailsupply.com\64779\576088\Acrylic-Countertop-Displays\Acrylic-4-Tier-Displays.html</t>
  </si>
  <si>
    <t>&lt;p&gt;This is available as one two tiers. Each having 5 1/2" deep shelves.  &lt;/p&gt;</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</si>
  <si>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</si>
  <si>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</si>
  <si>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</si>
  <si>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/img1/img53d0.jpg</t>
  </si>
  <si>
    <t>www.americanretailsupply.com\64779\576089\Acrylic-Countertop-Displays\Acrylic-CD-or-DVD-Shelf-Display-Rack.html</t>
  </si>
  <si>
    <t>&lt;p&gt;Clear acrylic display that allows customers to easily see your E-Cig's for sale.&lt;br&gt;Item 70AC8922 has a total of 22 round spaces 11 per shelve, to display your E-Cig's. Item 70AC8330 has 5 tiers of shelves that will accommodate about 25 round E-Cig products.&lt;br&gt;&lt;/p&gt;</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</si>
  <si>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</si>
  <si>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</si>
  <si>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</si>
  <si>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/img2/img1454.jpg</t>
  </si>
  <si>
    <t>www.americanretailsupply.com\64768\782120\Acrylic-E--Cig-Displays\E--Cig-Acrylic-Displays.html</t>
  </si>
  <si>
    <t>&lt;p&gt;These are made of 1/8" Acrylic.&lt;/p&gt;</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</si>
  <si>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</si>
  <si>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</si>
  <si>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</si>
  <si>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/img1/img8ede.jpg</t>
  </si>
  <si>
    <t>www.americanretailsupply.com\64949\3986\Acrylic-for-Gridwall\Gridwall-Acrylic-Sign-Holders.html</t>
  </si>
  <si>
    <t>&lt;p&gt;Holds 7" wide packaged hose, and 4 1/2" deep 4 1/2" Front Lip.&lt;br&gt;Dimensions: Double 15 3/8" &lt;br&gt;&lt;/p&gt;</t>
  </si>
  <si>
    <t>Gridwall Acrylic Hosiery Bin</t>
  </si>
  <si>
    <t>/img2/imgdad4.jpg</t>
  </si>
  <si>
    <t>www.americanretailsupply.com\64949\3987\Acrylic-for-Gridwall\Gridwall-Acrylic-Hosiery-Bin.html</t>
  </si>
  <si>
    <t>&lt;p&gt;      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702285.&lt;br&gt;&lt;br&gt;&lt;/p&gt;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</si>
  <si>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</si>
  <si>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</si>
  <si>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</si>
  <si>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/img3/img61c1.jpg</t>
  </si>
  <si>
    <t>www.americanretailsupply.com\64949\33435\Acrylic-for-Gridwall\Acrylic-Compact-Disc-Display-for-Slatwall-Gridwall-Pegboard-or-Wallmount.html</t>
  </si>
  <si>
    <t>&lt;p&gt;  Clear acrylic pocket brochure holders are to be use with Slatwall, Wallmount, or Gridwall.&lt;br&gt;Styles available for 4" x 9" brochures and 8 1/2" x 11" brochures.&lt;br&gt;&lt;/p&gt;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</si>
  <si>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</si>
  <si>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</si>
  <si>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</si>
  <si>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/img3/img8217.jpg</t>
  </si>
  <si>
    <t>www.americanretailsupply.com\64949\34010\Acrylic-for-Gridwall\Acrylic-Brochure-Holders-for-Slatwall-Gridwall-or-Wallmount-for-123-Pocket.html</t>
  </si>
  <si>
    <t>&lt;p&gt;Deluxe 1/4" Acrylic Shelves come in a variety of lengths ready for Slatgrid, Gridwall, or pegboard to display merchandise in your retail store.&lt;/p&gt;</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</si>
  <si>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</si>
  <si>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</si>
  <si>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</si>
  <si>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/img1/img665b.jpg</t>
  </si>
  <si>
    <t>www.americanretailsupply.com\64949\34126\Acrylic-for-Gridwall\Acrylic-Shelves-for-Slatwall-Gridwall-or-Pegboard-Deluxe-14.html</t>
  </si>
  <si>
    <t>&lt;p&gt;Trays you can use for Slatwall or Gridwall for holding your merchandising apparel accessories, gift items, or candy in your retail store.  Made of 3/16" Acrylic.&lt;/p&gt;</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</si>
  <si>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</si>
  <si>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</si>
  <si>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</si>
  <si>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/img1/img563b.jpg</t>
  </si>
  <si>
    <t>www.americanretailsupply.com\64949\34157\Acrylic-for-Gridwall\Acrylic-Display-Trays-for-Slatwall-or-Gridwall.html</t>
  </si>
  <si>
    <t>&lt;p&gt;Use with 1/8" thick J Racks to divide your J Rack into compartments.&lt;/p&gt;</t>
  </si>
  <si>
    <t>Gridwall and Slatwall Acrylic fixtures and displays</t>
  </si>
  <si>
    <t>Acrylic dividers, J-rack divider, gridwall divider, slatwall divider</t>
  </si>
  <si>
    <t>/img1/imgbefa.jpg</t>
  </si>
  <si>
    <t>www.americanretailsupply.com\64949\173810\Acrylic-for-Gridwall\Acrylic-J-Rack-Divider-Molded.html</t>
  </si>
  <si>
    <t>&lt;p&gt;Sloping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individually.&lt;/p&gt;</t>
  </si>
  <si>
    <t>Gridwall Acrylic Sloping Bins</t>
  </si>
  <si>
    <t>/img3/imgf1d9.jpg</t>
  </si>
  <si>
    <t>www.americanretailsupply.com\64949\774184\Acrylic-for-Gridwall\Gridwall-Acrylic-Sloping-Bins.html</t>
  </si>
  <si>
    <t>&lt;p&gt;Available in wallmount styles for 4" x 9" brochures and 8 1/2" x 11" brochures.&lt;/p&gt;</t>
  </si>
  <si>
    <t>Acrylic Literature Holder for Wallmount Double Pocket</t>
  </si>
  <si>
    <t>/img3/img47ee.jpg</t>
  </si>
  <si>
    <t>www.americanretailsupply.com\64944\33862\Acrylic-for-Slatwall\Acrylic-Literature-Holder-for-Wallmount-Double-Pocket.html</t>
  </si>
  <si>
    <t>&lt;p&gt;Show off your apparel in your Retail Store with these clear apparel hangers.  &lt;/p&gt;</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</si>
  <si>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</si>
  <si>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</si>
  <si>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</si>
  <si>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/img3/img32ba.jpg</t>
  </si>
  <si>
    <t>www.americanretailsupply.com\64944\33972\Acrylic-for-Slatwall\Acrylic-Apparel-Hangers-for-Slatwall-or-Slatgrid.html</t>
  </si>
  <si>
    <t>&lt;p&gt;Molded Acrylic Brochure Holder for countertop use, or use with pegboard, slatwall, gridwall or wallmount. For 8 1/2" x 11" brochures or 4" x 9" brochures with pegboard.&lt;br&gt;701080E pictured top right.&lt;br&gt;&lt;br&gt; Model 702115E&lt;br&gt;                          at the left&lt;/p&gt;</t>
  </si>
  <si>
    <t>Acrylic Literature Holder for Counter, Slatwall, Gridwall Economy</t>
  </si>
  <si>
    <t>/img1/imgba4d.jpg</t>
  </si>
  <si>
    <t>www.americanretailsupply.com\64944\34009\Acrylic-for-Slatwall\Acrylic-Literature-Holder-for-Counter-Slatwall-Gridwall-Economy.html</t>
  </si>
  <si>
    <t>&lt;p&gt;This book displayer is made for displaying multiple books in a small area.&lt;/p&gt;</t>
  </si>
  <si>
    <t>Acrylic Book Displayer - Slatwall</t>
  </si>
  <si>
    <t>clear display for books, acrylic book fixtures, hanging display books slatwall</t>
  </si>
  <si>
    <t>Acrylic Book Displayer Hangs On Slatwalls. Show Your Books in Right or Left Angle Slant. Shop Online Today or Call For More Info!</t>
  </si>
  <si>
    <t>/img3/img352c.jpg</t>
  </si>
  <si>
    <t>www.americanretailsupply.com\64944\34018\Acrylic-for-Slatwall\Acrylic-Book-Displayer-for-Slatwall.html</t>
  </si>
  <si>
    <t>&lt;p&gt;Use for displaying your merchandise in your retail store facing out for easy viewing. Choose from a variety of sizes that work best for you. Each of these easels have a 1" Front Lip and are made with a 50&amp;#186; tilt and made from 3/16" acrylic.&lt;/p&gt;</t>
  </si>
  <si>
    <t>Slatwall attachments, fixtures, displays and accessories</t>
  </si>
  <si>
    <t>easel, acrylic tilted easel, 50 degree angle, hanging shelving, displays accessories</t>
  </si>
  <si>
    <t>/img2/img678b.jpg</t>
  </si>
  <si>
    <t>www.americanretailsupply.com\64944\34054\Acrylic-for-Slatwall\Acrylic-Easel-with-50-Tilt-for-Slatwall.html</t>
  </si>
  <si>
    <t>&lt;p&gt;This clear watch display will allow you to highlight individual watch designs in your display to their best advantage.&lt;/p&gt;</t>
  </si>
  <si>
    <t>Acrylic Single Watch Display - Slatwall or Slatgrid</t>
  </si>
  <si>
    <t>clear watch displays, hanging fixtures for watches, acrylic watch display, slatwall watch display</t>
  </si>
  <si>
    <t>Acrylic Single Watch Display Extends 3</t>
  </si>
  <si>
    <t>/img3/img0755.jpg</t>
  </si>
  <si>
    <t>www.americanretailsupply.com\64944\34071\Acrylic-for-Slatwall\Acrylic-Single-Watch-Display-for-Slatwall-or-Slatgrid.html</t>
  </si>
  <si>
    <t>&lt;p&gt;  Display holds either 1, 3, or 6 pairs of glasses.&lt;/p&gt;</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</si>
  <si>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</si>
  <si>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</si>
  <si>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</si>
  <si>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/img1/imgaf6c.jpg</t>
  </si>
  <si>
    <t>www.americanretailsupply.com\64944\34076\Acrylic-for-Slatwall\Acrylic-Eyeglass-Holder-for-Slatwall-or-Slatgrid.html</t>
  </si>
  <si>
    <t>&lt;p&gt;  Acrylic 1/8 shelves are made of clear acrylic for Slatwall or Slatgrid and are useful for lightweight products. These shelves are made of economical 1/8" clear acrylic and Made in USA.&lt;/p&gt;</t>
  </si>
  <si>
    <t>slatwall shelving, hanging shelf, clear display, fixtures, 1/8</t>
  </si>
  <si>
    <t>/img3/img2c73.jpg</t>
  </si>
  <si>
    <t>www.americanretailsupply.com\64944\34124\Acrylic-for-Slatwall\Economy-18-Acrylic-Shelves-for-Slatwall-or-Slatgrid.html</t>
  </si>
  <si>
    <t>&lt;p&gt;  Acrylic 90&amp;#186; shelves for Slatwall, or Slatgrid are ideal for heavier items that you need to display like electronic items. These shelves are made of 1/4" flat acrylic and have an additional clear acrylic brace added for additional support.&lt;/p&gt;</t>
  </si>
  <si>
    <t>clear shelves, acrylic shelving for slatwall, fixtures, braced shelves, bracketed shelving reinforced shelves, hanging shelves</t>
  </si>
  <si>
    <t>/img1/img0fc5.jpg</t>
  </si>
  <si>
    <t>www.americanretailsupply.com\64944\34127\Acrylic-for-Slatwall\Acrylic-Flat-Braced-Shelves-for-Slatwall-Slatgrid.html</t>
  </si>
  <si>
    <t>&lt;p&gt;  Clear Acrylic Standard Shelves for Slatwall are good general purpose shelves for Slatwall. These shelves are made of 3/16" clear acrylic. &lt;br&gt;&lt;/p&gt;</t>
  </si>
  <si>
    <t>hanging shelves, acrylic slatwall accessories, display shelving, clear shelves</t>
  </si>
  <si>
    <t>/img3/img783f.jpg</t>
  </si>
  <si>
    <t>www.americanretailsupply.com\64944\34133\Acrylic-for-Slatwall\Acrylic-Shelves-for-Slatwall-316-thick.html</t>
  </si>
  <si>
    <t>&lt;p&gt;    Maxi Length Shelves for Slatwall are made for those displays that you need a longer continuous shelf. These shelves are made of extra thick 1/4" acrylic.&lt;/p&gt;</t>
  </si>
  <si>
    <t>clear shelves, shelving, slatwall shelf display see through</t>
  </si>
  <si>
    <t>/img2/img866b.jpg</t>
  </si>
  <si>
    <t>www.americanretailsupply.com\64944\34135\Acrylic-for-Slatwall\Acrylic-Slatwall-Maxi-Length-Shelves.html</t>
  </si>
  <si>
    <t>&lt;p&gt;  Acrylic 4" deep shelves for Slatwall or Slatgrid. These 4" deep shelves display small items like mugs or cups very effectively. Choose from 2 different lengths and Open or Closed ends.&lt;/p&gt;</t>
  </si>
  <si>
    <t>clear 90 degree shelves, see through shelving, hanging pockets, slatwall display and accessories, fixtures</t>
  </si>
  <si>
    <t>/img1/img995e.jpg</t>
  </si>
  <si>
    <t>www.americanretailsupply.com\64944\34136\Acrylic-for-Slatwall\Acrylic-Shelves-for-Slatwall-Slatgrid-with-sides.html</t>
  </si>
  <si>
    <t>&lt;p&gt;  Clear molded shelves for Slatwall are an economical choice for displaying your merchandise. Options include front lip or even the ability to display pricing.&lt;/p&gt;</t>
  </si>
  <si>
    <t>Acrylic Shelves, Clear Molded Acrylic Ledges</t>
  </si>
  <si>
    <t>acrylic shelves clear acrylic molded ledges</t>
  </si>
  <si>
    <t>Acrylic shelves for sale online, order clear molded acrylic ledges for your retail display needs at American Retail Supply.</t>
  </si>
  <si>
    <t>/img3/img5a5f.jpg</t>
  </si>
  <si>
    <t>www.americanretailsupply.com\64944\34137\Acrylic-for-Slatwall\Molded-Slatwall-Acrylic-Shelves.html</t>
  </si>
  <si>
    <t>&lt;p&gt;  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acrylic.&lt;br&gt;&lt;/p&gt;</t>
  </si>
  <si>
    <t>clear shelves, braced shelf, 90 degree shelving, acrylic shelves, slatwall fixtures, see through display</t>
  </si>
  <si>
    <t>/img3/img8bc7.jpg</t>
  </si>
  <si>
    <t>www.americanretailsupply.com\64944\34138\Acrylic-for-Slatwall\Acrylic-Slatwall-Flat-Braced-Shelves-with-Front-Lip.html</t>
  </si>
  <si>
    <t>&lt;p&gt;  These are perfect for displaying Books, Videos and Software. &lt;br&gt;702170 holds items 7/8" to  1 1/4" thick for thin books or videos.&lt;br&gt;702174 holds items 1 1/4" to 2" thick for those thick novels and software packages. &lt;br&gt;Both are made of 1/8" acrylic for Slatwall.&lt;/p&gt;</t>
  </si>
  <si>
    <t>Acrylic Display Holders for Packaged Items for Slatwall Open Sided</t>
  </si>
  <si>
    <t>/img1/imgf522.jpg</t>
  </si>
  <si>
    <t>www.americanretailsupply.com\64944\34145\Acrylic-for-Slatwall\Acrylic-Display-Holders-for-Packaged-Items-for-Slatwall-Open-Sided.html</t>
  </si>
  <si>
    <t>&lt;p&gt;  These are acrylic 45&amp;#186; shelves have braced ends suitable to hold your heavier items. These shelves are made from heavy weight 3/16" acrylic.&lt;/p&gt;</t>
  </si>
  <si>
    <t>Acrylic Shelves for Slatwall with Lip, Slanted, or Braced Slanted</t>
  </si>
  <si>
    <t>/img2/imgb0d2.jpg</t>
  </si>
  <si>
    <t>www.americanretailsupply.com\64944\34146\Acrylic-for-Slatwall\Acrylic-Shelves-for-Slatwall-with-Lip-Slanted-or-Braced-Slanted.html</t>
  </si>
  <si>
    <t>&lt;p&gt;  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necessary.&lt;/p&gt;</t>
  </si>
  <si>
    <t>Slatwall Acrylic - 20* Tilt Back J-Rack Shelves</t>
  </si>
  <si>
    <t>Slatwall Acrylic - 20* Tilt Back J-Rack Shelves, display, fixtures</t>
  </si>
  <si>
    <t>/img3/imgc158.jpg</t>
  </si>
  <si>
    <t>www.americanretailsupply.com\64944\34152\Acrylic-for-Slatwall\Acrylic-J-Rack-20-Tilt-Back-for-Slatwall-or-Gridwall.html</t>
  </si>
  <si>
    <t>&lt;p&gt;    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</si>
  <si>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Large for Slatwall</t>
  </si>
  <si>
    <t>/img2/img476b.jpg</t>
  </si>
  <si>
    <t>www.americanretailsupply.com\64944\34153\Acrylic-for-Slatwall\Acrylic-J-Racks-Large-for-Slatwall.html</t>
  </si>
  <si>
    <t>&lt;p&gt;Acrylic Hook for Slatwall, Slatgrid  &lt;/p&gt;</t>
  </si>
  <si>
    <t>Acrylic Hook for Slatwall or Slatgrid</t>
  </si>
  <si>
    <t>/img3/img8907.jpg</t>
  </si>
  <si>
    <t>www.americanretailsupply.com\64944\34262\Acrylic-for-Slatwall\Acrylic-Hook-for-Slatwall-or-Slatgrid.html</t>
  </si>
  <si>
    <t>&lt;p&gt;Available either as a single hook or a strip of 5 or 6 hooks.&lt;/p&gt;</t>
  </si>
  <si>
    <t>Acrylic Faceout Hook for Slatwall or Slatgrid</t>
  </si>
  <si>
    <t>/img3/img6e4e.jpg</t>
  </si>
  <si>
    <t>www.americanretailsupply.com\64944\34269\Acrylic-for-Slatwall\Acrylic-Faceout-Hook-for-Slatwall-or-Slatgrid.html</t>
  </si>
  <si>
    <t>&lt;p&gt;Made of White Reinforced Nylon hookd. Sold as 25 per pack.&lt;/p&gt;</t>
  </si>
  <si>
    <t>Acrylic Molded Hooks for Slatwall</t>
  </si>
  <si>
    <t>/img2/imgd6cf.jpg</t>
  </si>
  <si>
    <t>www.americanretailsupply.com\64944\34270\Acrylic-for-Slatwall\Acrylic-Molded-Hooks-for-Slatwall.html</t>
  </si>
  <si>
    <t>&lt;p&gt;For use with Slatwall display this small bar has a with a 3 7/8" Acrylic Faceout.&lt;/p&gt;</t>
  </si>
  <si>
    <t>Acrylic Small Bar for Slatwall</t>
  </si>
  <si>
    <t>/img1/img211e.jpg</t>
  </si>
  <si>
    <t>www.americanretailsupply.com\64944\34272\Acrylic-for-Slatwall\Acrylic-Small-Bar-for-Slatwall.html</t>
  </si>
  <si>
    <t>&lt;p&gt;The brackets can be used on Slatwall or Slatgrid and range in length from 8" to 14".&lt;br&gt;&lt;br&gt;&lt;/p&gt;</t>
  </si>
  <si>
    <t>Acrylic Polycarbonate Brackets for Slatwall or Slatgrid</t>
  </si>
  <si>
    <t>clear brackets, polycarbonate brackets, shelf shelves support, supporting, display, fixtures</t>
  </si>
  <si>
    <t>Acrylic Polycarbonate Brackets range in length from 8</t>
  </si>
  <si>
    <t>/img1/imga2b1.jpg</t>
  </si>
  <si>
    <t>www.americanretailsupply.com\64944\34303\Acrylic-for-Slatwall\Acrylic-Polycarbonate-Brackets-for-Slatwall-or-Slatgrid.html</t>
  </si>
  <si>
    <t>&lt;p&gt;These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</si>
  <si>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slatwall J-rack shelving, tilted shelf shelves, slatwall display, fixtures</t>
  </si>
  <si>
    <t>/img1/img2016.jpg</t>
  </si>
  <si>
    <t>www.americanretailsupply.com\64944\173756\Acrylic-for-Slatwall\Acrylic-J-Rack-Economy-with-10-Tilt-for-Slatwall.html</t>
  </si>
  <si>
    <t>&lt;p&gt;Made of 1/8" Acrylic,  8"L x 13"W, 3" Front lip, 20 1/2 tilt for folded shirts, blouses, etc.&lt;/p&gt;</t>
  </si>
  <si>
    <t>Acrylic Tray for Packaged Items for Slatwall or Slatgrid</t>
  </si>
  <si>
    <t>/img2/img9a2f-2.jpg</t>
  </si>
  <si>
    <t>www.americanretailsupply.com\64944\173759\Acrylic-for-Slatwall\Acrylic-Tray-for-Packaged-Items-for-Slatwall-or-Slatgrid.html</t>
  </si>
  <si>
    <t>&lt;p&gt;Extruded from 1/8" acrylic for light weight items.&lt;/p&gt;</t>
  </si>
  <si>
    <t>Acrylic Molded Economy Shelves for Slatwall</t>
  </si>
  <si>
    <t>/img1/imge280.jpg</t>
  </si>
  <si>
    <t>www.americanretailsupply.com\64944\228539\Acrylic-for-Slatwall\Acrylic-Molded-Economy-Shelves-for-Slatwall.html</t>
  </si>
  <si>
    <t>&lt;p&gt;Using this shelf will show customers right away what is available. Showing your product on this shelving provides a quick view to attract buyers.&lt;br&gt;&lt;/p&gt;</t>
  </si>
  <si>
    <t>hanging shelves, acrylic shelving, 45 degree clear shelves, slatwall shelves, slanted display accessories</t>
  </si>
  <si>
    <t>/img1/img0ac2.jpg</t>
  </si>
  <si>
    <t>www.americanretailsupply.com\64944\228551\Acrylic-for-Slatwall\Acrylic-45-Slanted-Shelf-for-Slatwall-or-Slatgrid.html</t>
  </si>
  <si>
    <t>&lt;p&gt;  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</si>
  <si>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Acrylic J Racks Shelves for Slatwall</t>
  </si>
  <si>
    <t>/img1/imgfce3.jpg</t>
  </si>
  <si>
    <t>www.americanretailsupply.com\64944\576368\Acrylic-for-Slatwall\Acrylic-J-Racks-Shelves-for-Slatwall.html</t>
  </si>
  <si>
    <t>&lt;p&gt;  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</si>
  <si>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for Slatwall Economy</t>
  </si>
  <si>
    <t>/img2/img1ce8.jpg</t>
  </si>
  <si>
    <t>www.americanretailsupply.com\64944\577223\Acrylic-for-Slatwall\Acrylic-J-Racks-for-Slatwall-Economy.html</t>
  </si>
  <si>
    <t>&lt;p&gt;These work great for business cards, gift cards and envelopes that are sold in a lot of retail stores.&lt;/p&gt;</t>
  </si>
  <si>
    <t>Acrylic Business Card Holders for Slatwall or Slatgrid</t>
  </si>
  <si>
    <t>/img1/imgf866.jpg</t>
  </si>
  <si>
    <t>www.americanretailsupply.com\64944\577354\Acrylic-for-Slatwall\Acrylic-Business-Card-Holders-for-Slatwall-or-Slatgrid.html</t>
  </si>
  <si>
    <t>&lt;p&gt;These shelf displays face out at a 45&amp;#186; angle for easy view and 1" lip deluxe. Available in 3 sizes.&lt;/p&gt;</t>
  </si>
  <si>
    <t>Acrylic Shelves for Slatwall Deluxe Slanted 1" Lip</t>
  </si>
  <si>
    <t>/img2/imgb887.jpg</t>
  </si>
  <si>
    <t>www.americanretailsupply.com\64944\579426\Acrylic-for-Slatwall\Acrylic-Shelves-for-Slatwall-Deluxe-Slanted-1-Lip.html</t>
  </si>
  <si>
    <t>&lt;p&gt;  These flat mirrors come in 3 shapes and sizes such as Round, Rectangle and oval, choose the one that will fit your retail store's display. &lt;br&gt;&lt;/p&gt;</t>
  </si>
  <si>
    <t>/img2/imgd84a.jpg</t>
  </si>
  <si>
    <t>www.americanretailsupply.com\64944\773223\Acrylic-for-Slatwall\Acrylic-Mirrors-for-Slatwall.html</t>
  </si>
  <si>
    <t>&lt;p&gt;1/8" sign holders are listed as Width by Height.  &lt;/p&gt;</t>
  </si>
  <si>
    <t>Sign Holders, Acrylic Slatwall Sign Holders</t>
  </si>
  <si>
    <t>slatwall sign holders acrylic slatwall sign holder</t>
  </si>
  <si>
    <t>Slatwall sign holders for sale online, order acrylic slatwall sign holders for your retail store slatwall displays.</t>
  </si>
  <si>
    <t>/img1/img26fe.jpg</t>
  </si>
  <si>
    <t>www.americanretailsupply.com\64944\782982\Acrylic-for-Slatwall\Slatwall-or-Slatgrid-Acrylic-Sign-Holders.html</t>
  </si>
  <si>
    <t>&lt;p&gt;Single, double, triple tiered for 4" x 9" brochures, 7 1/2" x 9" brochures, or 8 1/2" x 11" brochures. Use on your countertop.&lt;/p&gt;</t>
  </si>
  <si>
    <t>Acrylic Brochure Holders - Single, Double, or Triple Pocket</t>
  </si>
  <si>
    <t>Acrylic Brochure Holder, two pocket brochure holder, tiered brochure holder, countertop brochure holder,</t>
  </si>
  <si>
    <t>Acrylic Brochure Holder Comes in 9</t>
  </si>
  <si>
    <t>/img1/imgfff0.jpg</t>
  </si>
  <si>
    <t>www.americanretailsupply.com\64774\34011\Acrylic-Literature-Displays\Acrylic-Brochure-Holders-for-Countertop-Deluxe.html</t>
  </si>
  <si>
    <t>&lt;p&gt;Like the one on the right pictured to the right. For 4" x 9" brochures on your countertop.&lt;/p&gt;</t>
  </si>
  <si>
    <t>Acrylic Literature Holder for Countertop Double Pocket</t>
  </si>
  <si>
    <t>/img2/img481a.jpg</t>
  </si>
  <si>
    <t>www.americanretailsupply.com\64774\34012\Acrylic-Literature-Displays\Acrylic-Literature-Holder-for-Countertop-Double-Pocket.html</t>
  </si>
  <si>
    <t>&lt;p&gt;Offered as a countertop literature holder with a 6" base or a 14" base for two different sizes of brochures. Easily revolves to see all 3 sides.&lt;/p&gt;</t>
  </si>
  <si>
    <t>Acrylic Literature Holder 3 Sided Revolving Display</t>
  </si>
  <si>
    <t>/img1/img3f93.jpg</t>
  </si>
  <si>
    <t>www.americanretailsupply.com\64774\34022\Acrylic-Literature-Displays\Acrylic-Literature-Holder-3-Sided-Revolving-Display.html</t>
  </si>
  <si>
    <t>&lt;p&gt;Molded Acrylic Counter Top Business Card Holders.&lt;/p&gt;</t>
  </si>
  <si>
    <t>Business Card Holders, Acrylic Counter Top Card Holder</t>
  </si>
  <si>
    <t>business card holder counter top acrylic card holders</t>
  </si>
  <si>
    <t>Business card holders for sale online, order acrylic counter top business card holders for your business at American Retail Supply.</t>
  </si>
  <si>
    <t>/img3/imgca8f.jpg</t>
  </si>
  <si>
    <t>www.americanretailsupply.com\64774\34023\Acrylic-Literature-Displays\Acrylic-Business-Card-Holders.html</t>
  </si>
  <si>
    <t>&lt;p&gt;Clear Acrylic with 1 1/2" deep pockets.&lt;br&gt;701257 sold 50 per pack.&lt;/p&gt;</t>
  </si>
  <si>
    <t>Sign Card &amp; Ticket Holders</t>
  </si>
  <si>
    <t>/img2/img07b5.jpg</t>
  </si>
  <si>
    <t>www.americanretailsupply.com\64774\174055\Acrylic-Literature-Displays\Sign-Card--Ticket-Holders.html</t>
  </si>
  <si>
    <t>&lt;p&gt;This economy brochure holder ships flat and snaps together easily&lt;/p&gt;</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</si>
  <si>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</si>
  <si>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</si>
  <si>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</si>
  <si>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/img2/imgbb37.jpg</t>
  </si>
  <si>
    <t>www.americanretailsupply.com\64774\174062\Acrylic-Literature-Displays\Acrylic-Brochure-Holder-Economy.html</t>
  </si>
  <si>
    <t>&lt;p&gt;  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holder.&lt;br&gt;&lt;/p&gt;</t>
  </si>
  <si>
    <t>Sign Holders - Add-A-Pocket</t>
  </si>
  <si>
    <t>Add-A-Pocket, display, fixture, business cards, brochures</t>
  </si>
  <si>
    <t>Add-A-Pocket to Sign Holders. Either Business Cards or Literature. Shop Online Today or Call For More Info!</t>
  </si>
  <si>
    <t>/img2/img60eb.jpg</t>
  </si>
  <si>
    <t>www.americanretailsupply.com\64774\575618\Acrylic-Literature-Displays\Acrylic-Add-A-Pocket-to-Sign-Holders.html</t>
  </si>
  <si>
    <t>&lt;p&gt;Our deluxe "Hold It" Literature Holders are perfect for sheet papers and flyers that typically want to fall forward. Holds sheets flat with a snug fit! Pocket is 1 1/2" deep.&lt;/p&gt;</t>
  </si>
  <si>
    <t>Deluxe "Hold It" Acrylic Literature Holders</t>
  </si>
  <si>
    <t>Deluxe</t>
  </si>
  <si>
    <t>/img3/img39e9.jpg</t>
  </si>
  <si>
    <t>www.americanretailsupply.com\64774\575658\Acrylic-Literature-Displays\Acrylic-Literature-Holder-for-Walls-or-Slatwall-Deluxe-Hold-It.html</t>
  </si>
  <si>
    <t>&lt;p&gt;Large Wallmount and Countertop literature Holders are perfect for large magazines and catalogs. Dimensions: 10 7/8"W x 11 3/4"H x 2"D&lt;/p&gt;</t>
  </si>
  <si>
    <t>Acrylic Literature Holders for Walls or Slatwall Large</t>
  </si>
  <si>
    <t>/img2/img1f9c.jpg</t>
  </si>
  <si>
    <t>www.americanretailsupply.com\64774\575696\Acrylic-Literature-Displays\Acrylic-Literature-Holders-for-Walls-or-Slatwall-Large.html</t>
  </si>
  <si>
    <t>&lt;p&gt;  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</si>
  <si>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Wallmount Acrylic J Racks Shelves</t>
  </si>
  <si>
    <t>/img2/img7c18-2.jpg</t>
  </si>
  <si>
    <t>www.americanretailsupply.com\64774\576367\Acrylic-Literature-Displays\Wallmount-Acrylic-J-Racks-Shelves.html</t>
  </si>
  <si>
    <t>&lt;p&gt;  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necessary.&lt;/p&gt;</t>
  </si>
  <si>
    <t>Gridwall Acrylic J-Racks Shelves</t>
  </si>
  <si>
    <t>Gridwall Acrylic J-Racks Shelves, display, fixtures, wall mount</t>
  </si>
  <si>
    <t>/img3/img5f86.jpg</t>
  </si>
  <si>
    <t>www.americanretailsupply.com\64774\576848\Acrylic-Literature-Displays\Acrylic-J-Racks-For-Gridwall.html</t>
  </si>
  <si>
    <t>&lt;p&gt;Holds up to 300, 8.5" x 11" flyers. All clear box with black lid. The lid protects literature from the outdoor elements. Hardware included. &lt;/p&gt;</t>
  </si>
  <si>
    <t>Deluxe Outdoor Acrylic Literature Box</t>
  </si>
  <si>
    <t>Deluxe Outdoor Acrylic Literature Box, display, fixture, brochure</t>
  </si>
  <si>
    <t>/img3/img2f23.jpg</t>
  </si>
  <si>
    <t>www.americanretailsupply.com\64774\576849\Acrylic-Literature-Displays\Acrylic-Outdoor-Literature-Box.html</t>
  </si>
  <si>
    <t>&lt;p&gt;Multi use 4"x 9" and 8 1/2" x 11" acrylic holder for brochures. Comes with holes for wall mount, slatwall and gridwall hooks to attach for your particular need. Pricing for tiered units includes hardware set.  Extra hardware sets can be purchased separately.&lt;br&gt;&lt;/p&gt;</t>
  </si>
  <si>
    <t>Acrylic Literature Holder Multi Tier</t>
  </si>
  <si>
    <t>/img2/img500d.jpg</t>
  </si>
  <si>
    <t>www.americanretailsupply.com\64774\576850\Acrylic-Literature-Displays\Acrylic-Literature-Holder-Multi-Tier.html</t>
  </si>
  <si>
    <t>&lt;p&gt;  Available as 4" x 9" or 8 1/2" x 11" single or double for brochures.     &lt;/p&gt;</t>
  </si>
  <si>
    <t>Slatwall Acrylic Brochure Holder - 1, 2, or 3 Pocket</t>
  </si>
  <si>
    <t>slatwall acrylic brochure holder, acrylic brochure holder, brochure holder, multiple pocket brochure holder</t>
  </si>
  <si>
    <t>Slatwall Acrylic Brochure Holder Is 9</t>
  </si>
  <si>
    <t>/img2/img4a7b.jpg</t>
  </si>
  <si>
    <t>www.americanretailsupply.com\64774\579425\Acrylic-Literature-Displays\Acrylic-Brochure-Holders-for-Slatwall-Deluxe.html</t>
  </si>
  <si>
    <t>&lt;p&gt;These are perfect for displaying your fine carvings, jewelry, or ceramics as these are mirrored open cubes. &lt;/p&gt;</t>
  </si>
  <si>
    <t>Mirrored Acrylic Cubes - 4", 6", &amp; 8"</t>
  </si>
  <si>
    <t>Mirrored Cubes, display, mirrored acrylic cubes, acrylic cubes</t>
  </si>
  <si>
    <t>Mirrored Acrylic Cubes Are Perfect For Displaying Carving, Jewelry, or Ceramics. Shop Online Today or Call For More Info!</t>
  </si>
  <si>
    <t>/img2/img187c.jpg</t>
  </si>
  <si>
    <t>www.americanretailsupply.com\64769\2290\Acrylic-Risers--Cubes\Mirrored-Acrylic-Open-Cubes.html</t>
  </si>
  <si>
    <t>&lt;p&gt;This makes a beautiful addition to your displays.  These 1/4" risers will sit nicely on any shelf. Purchase these affordable risers as sets or individually. &lt;/p&gt;</t>
  </si>
  <si>
    <t>Acrylic Risers - 1/4" Beveled Edge</t>
  </si>
  <si>
    <t>A Set of Three for $22.29! or Sold Seperately, Price Dependent on Size. Find Out More!</t>
  </si>
  <si>
    <t>/img2/img3394.jpg</t>
  </si>
  <si>
    <t>www.americanretailsupply.com\64769\33865\Acrylic-Risers--Cubes\14-Beveled-Edge-Acrylic-Risers.html</t>
  </si>
  <si>
    <t>&lt;p&gt;Beautiful clear Acrylic Risers are suitable for most light to medium weight merchandise. Purchase these very affordable risers as sets or individually.&lt;/p&gt;</t>
  </si>
  <si>
    <t>1/8" Acrylic Risers Sets &amp; Individual</t>
  </si>
  <si>
    <t>Sold in Multiple Sizes, 2</t>
  </si>
  <si>
    <t>/img1/imgef18.jpg</t>
  </si>
  <si>
    <t>www.americanretailsupply.com\64769\33965\Acrylic-Risers--Cubes\18-Acrylic-Risers-Sets--Individual.html</t>
  </si>
  <si>
    <t>&lt;p&gt;Clear acrylic 1/4" thick risers are our most versatile pieces. Select from a large variety of sizes or as sets of 3, 4, or 5 risers. These work very well when you need a range of sizes for your retail store's display. Purchase these affordable risers as sets or individually.&lt;br&gt;&lt;/p&gt;</t>
  </si>
  <si>
    <t>Acrylic Risers Sets &amp; Individual - 1/4" Acrylic</t>
  </si>
  <si>
    <t>Acrylic risers, Acrylic riser set, 1/4 Acrylic riser,</t>
  </si>
  <si>
    <t>In Set of 3, 4, or 5 Risers. Save in Orders of Set or Buy Individually. Explore More Here!</t>
  </si>
  <si>
    <t>/img3/img3888.jpg</t>
  </si>
  <si>
    <t>www.americanretailsupply.com\64769\34005\Acrylic-Risers--Cubes\14-Acrylic-Risers-Sets--Individual.html</t>
  </si>
  <si>
    <t>&lt;p&gt;Contemporary in look these solid pedestals will dress up your showcase. Solid clear acrylic, 2" in diameter. You can purchase individually or in a set of three.  Great for displaying jewelry and small novelty items.&lt;br&gt;&lt;/p&gt;</t>
  </si>
  <si>
    <t>Acrylic Risers - Solid Cylindrical Pedestals</t>
  </si>
  <si>
    <t>Solid Cylindrical Pedestals Acrylic Risers, display, acrylic risers, acrylic riser cylinder</t>
  </si>
  <si>
    <t>/img3/imgc067.jpg</t>
  </si>
  <si>
    <t>www.americanretailsupply.com\64769\34231\Acrylic-Risers--Cubes\Solid-Acrylic-Pedestals.html</t>
  </si>
  <si>
    <t>&lt;p&gt;These Clear Acrylic Molded Small Riser set is an economical answer for your riser needs. The risers are sold as a set of three.  Get several sets to use as you need them.      &lt;/p&gt;</t>
  </si>
  <si>
    <t>Acrylic Molded Small Risers</t>
  </si>
  <si>
    <t>Acrylic Molded Small Risers, display, acrylic risers, acrylic riser set, acrylic molded riser set, acrylic molded riser, small acrylic riser</t>
  </si>
  <si>
    <t>Acrylic Molded Sold In 3 Piece Riser Set. 3</t>
  </si>
  <si>
    <t>/img3/img5458.jpg</t>
  </si>
  <si>
    <t>www.americanretailsupply.com\64769\34233\Acrylic-Risers--Cubes\Acrylic-Economy-Molded-3-Piece-Riser-Set.html</t>
  </si>
  <si>
    <t>&lt;p&gt;  This set of Mirrored Acrylic Riser is made of 1/8 acrylic. This set is made up of 3 popular sizes. Includes a 5" x 4" x 2", 6" x 4" x 4",&lt;br&gt;and 6 1/2" x 4" x 6" (LxWxH).&lt;/p&gt;</t>
  </si>
  <si>
    <t>Mirrored Acrylic Risers Set - 1/8" Acrylic</t>
  </si>
  <si>
    <t>Mirrored Acrylic Risers Set made of 1/8</t>
  </si>
  <si>
    <t>/img3/img37a2.jpg</t>
  </si>
  <si>
    <t>www.americanretailsupply.com\64769\34234\Acrylic-Risers--Cubes\18-Acrylic-Mirrored-Riser-Set.html</t>
  </si>
  <si>
    <t>&lt;p&gt;This has a  beautiful upscale look.  Use these risers when you really want to show off your merchandise. This set has 3 convenient sizes of risers. Includes 5&amp;#189;" x 4" x 2&amp;#189;", 6&amp;#189;" x 4" x 3&amp;#189;", 7&amp;#189; "x 4" x 4&amp;#189;" (LxWxH).     &lt;/p&gt;</t>
  </si>
  <si>
    <t>Mirrored Acrylic Risers - 1/4" Beveled Edge</t>
  </si>
  <si>
    <t>Sold in set of Three. Useful For Showing Different Stages Of A Product. Shop Online Today!</t>
  </si>
  <si>
    <t>/img1/img9b19.jpg</t>
  </si>
  <si>
    <t>www.americanretailsupply.com\64769\34235\Acrylic-Risers--Cubes\14-Acrylic-Mirrored-Riser-with-Beveled-Edge.html</t>
  </si>
  <si>
    <t>&lt;p&gt;  Made of 1/2 acrylic and has beveled edges. May be purchased as a set or available individually.&lt;br&gt;&lt;/p&gt;</t>
  </si>
  <si>
    <t>Acrylic Risers - 1/2" Beveled Edge</t>
  </si>
  <si>
    <t>Sold in set of Three or Individually. Set of Three Creates a Steps For Your Product. Shop Online Today!</t>
  </si>
  <si>
    <t>www.americanretailsupply.com\64769\34238\Acrylic-Risers--Cubes\12-Beveled-Edge-Acrylic-Risers.html</t>
  </si>
  <si>
    <t>&lt;p&gt;  This is a great selection of a 6 Piece Clear Acrylic Risers and is one of our most popular sets. You get 6 risers for one low price.  You can add a variety of heights to highlight your retail store's display.     &lt;/p&gt;</t>
  </si>
  <si>
    <t>Acrylic Risers - 3/16" Beveled Edge</t>
  </si>
  <si>
    <t>A Great Selection Of 6 Acrylic Beveled Edge Piece Clear Acrylic Risers. Great Price for Set of 6, $50.31. Shop Online Today!</t>
  </si>
  <si>
    <t>/img1/img8d37.jpg</t>
  </si>
  <si>
    <t>www.americanretailsupply.com\64769\34239\Acrylic-Risers--Cubes\316-Acrylic-Beveled-Edge-6-Piece-Riser-Set.html</t>
  </si>
  <si>
    <t>&lt;p&gt;Frosted acrylic beveled edge risers are a beautiful addition to your displays.  These &amp;#188;" risers will sit nicely on any shelf.  They are sold individually or as a set of 3.&lt;/p&gt;</t>
  </si>
  <si>
    <t>Frosted Acrylic Risers - 1/4" Beveled Edge</t>
  </si>
  <si>
    <t>Frosted 1/4</t>
  </si>
  <si>
    <t>/img1/img7308.jpg</t>
  </si>
  <si>
    <t>www.americanretailsupply.com\64769\575750\Acrylic-Risers--Cubes\14-Beveled-Edge-Frosted-Acrylic-Risers.html</t>
  </si>
  <si>
    <t>&lt;p&gt;  This Mirrored Acrylic Riser Set is made of 1/2 acrylic. These risers may be purchased as a set of 3 or individually.&lt;/p&gt;</t>
  </si>
  <si>
    <t>Frosted Acrylic Risers - 1/2" Beveled Edge</t>
  </si>
  <si>
    <t>/img1/img8652.jpg</t>
  </si>
  <si>
    <t>www.americanretailsupply.com\64769\575980\Acrylic-Risers--Cubes\12-Beveled-Edge-Frosted-Acrylic-Risers.html</t>
  </si>
  <si>
    <t>&lt;p&gt;Stands 14" High x 14 1/4" Wide x 7" Deep. This display can be assembled for left or right spiral. Ships unassembled.&lt;/p&gt;</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</si>
  <si>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</si>
  <si>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</si>
  <si>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</si>
  <si>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/img1/imga451.jpg</t>
  </si>
  <si>
    <t>www.americanretailsupply.com\64769\576066\Acrylic-Risers--Cubes\Acrylic-4-Tier-Spiral-Display.html</t>
  </si>
  <si>
    <t>&lt;p&gt;Beautiful configuration of clear acrylic riser stands at 12 3/8" High x 12 1/4" Wide x 12 1/4" Deep. Ships unassembled.&lt;/p&gt;</t>
  </si>
  <si>
    <t>Acrylic Riser - Interlocking Four Way</t>
  </si>
  <si>
    <t>Acrylic Interlocking Four Way Riser, display, acrylic riser, acrylic interlocking riser</t>
  </si>
  <si>
    <t>Acrylic Riser Interlocks Four Way and Stands at 12 3/8</t>
  </si>
  <si>
    <t>/img3/imgcb4a.jpg</t>
  </si>
  <si>
    <t>www.americanretailsupply.com\64769\576067\Acrylic-Risers--Cubes\Acrylic-Interlocking-Four-Way-Riser.html</t>
  </si>
  <si>
    <t>&lt;p&gt;This vertical Acrylic shelf Tower Stands 21" High x 10" Diameter. The 5 round platforms make a compact vertical display to highlight your merchandise. Ships unassembled.&lt;/p&gt;</t>
  </si>
  <si>
    <t>Five Shelf Acrylic Tower</t>
  </si>
  <si>
    <t>Five Shelf Acrylic Tower, display, acrylic tower, acrylic risers</t>
  </si>
  <si>
    <t>Dimensions: 21</t>
  </si>
  <si>
    <t>/img2/img2ab1.jpg</t>
  </si>
  <si>
    <t>www.americanretailsupply.com\64769\576068\Acrylic-Risers--Cubes\Vertical-Acrylic-Tower-with-5-Platforms.html</t>
  </si>
  <si>
    <t>&lt;p&gt;Wall mount or hang from the ceiling extra large sign holders. Great for poster size signage. Sold individually.&lt;/p&gt;</t>
  </si>
  <si>
    <t>Acrylic Sign Holders for Wallmount Extra Large</t>
  </si>
  <si>
    <t>/img3/imgd60d.jpg</t>
  </si>
  <si>
    <t>www.americanretailsupply.com\64983\575655\Acrylic-Sign-Card-Frames\Acrylic-Sign-Holders-for-Wallmount-Extra-Large.html</t>
  </si>
  <si>
    <t>&lt;p&gt;These countertop sign holders are slanted back and made from 1/16" acrylic and very economical to use. Sizes listed as Width by Height. Sold individually.&lt;/p&gt;</t>
  </si>
  <si>
    <t>Acrylic Sign Holders for Countertop Economy Slant Back</t>
  </si>
  <si>
    <t>/img2/imgd07b.jpg</t>
  </si>
  <si>
    <t>www.americanretailsupply.com\64983\575694\Acrylic-Sign-Card-Frames\Acrylic-Sign-Holders-for-Countertop-Economy-Slant-Back.html</t>
  </si>
  <si>
    <t>&lt;p&gt;This chrome channel on these holders gives an upgraded look to your acrylic holder. End of stem is finished with a 3/8 threaded fitting for attaching to a metal base or garment rack. &lt;/p&gt;</t>
  </si>
  <si>
    <t>Acrylic Sign Holders with Chrome Channel</t>
  </si>
  <si>
    <t>/img3/img4dcb.jpg</t>
  </si>
  <si>
    <t>www.americanretailsupply.com\64983\575695\Acrylic-Sign-Card-Frames\Acrylic-Sign-Holders-with-Chrome-Channel.html</t>
  </si>
  <si>
    <t>&lt;p&gt;Great specialty Acrylic Sign Holders which comes with screw holes for use on wood counters or perfect for most gondola tops. Large screw mount sign holder uses screws or double sided tape to attach.&lt;/p&gt;</t>
  </si>
  <si>
    <t>Acrylic Sign Holders Special with Holes to Attach to Shelves, etc</t>
  </si>
  <si>
    <t>/img3/img63b4.jpg</t>
  </si>
  <si>
    <t>www.americanretailsupply.com\64983\576366\Acrylic-Sign-Card-Frames\Acrylic-Sign-Holders-Special-with-Holes-to-Attach-to-Shelves-etc.html</t>
  </si>
  <si>
    <t>&lt;p&gt;Countertop Sign Holders for 8 1/2" x 11" sign and a single pocket w/ 3 5/8" x 3/4" acrylic business card holder attached to the front. Literature Sign Holders is 13 1/8" x 11" sign while there is a 4"W x 1 1/2"D with a 4" lip Literature Holder attached to the front.&lt;br&gt;Sold individually.&lt;/p&gt;</t>
  </si>
  <si>
    <t>Sign Holders, Acrylic Sign Holder with Business Card Holder</t>
  </si>
  <si>
    <t>sign holders business card holder acrylic sign holders</t>
  </si>
  <si>
    <t>Acrylic sign holder with business card holder, order acrylic sign holders and retail store merchandising displays online.</t>
  </si>
  <si>
    <t>/img1/imgf2ff-2.jpg</t>
  </si>
  <si>
    <t>www.americanretailsupply.com\64983\782978\Acrylic-Sign-Card-Frames\Acrylic-Specialty-Sign-Holders.html</t>
  </si>
  <si>
    <t>&lt;p&gt;Countertop use for 13 1/8" x 11" sign while there is a 4"W x 1 1/2"D with a 4" lip Literature Holder attached to the front.&lt;/p&gt;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</si>
  <si>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</si>
  <si>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</si>
  <si>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</si>
  <si>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/img2/imga120.jpg</t>
  </si>
  <si>
    <t>www.americanretailsupply.com\64983\782979\Acrylic-Sign-Card-Frames\Acrylic-Sign-Holder-with-Literature-Pocket.html</t>
  </si>
  <si>
    <t>&lt;p&gt;The Slant Back Acrylic Sign Holders for your Countertops come in many sizes. Sold individually.&lt;/p&gt;</t>
  </si>
  <si>
    <t>Acrylic Slant Back Countertop Sign Holders</t>
  </si>
  <si>
    <t>/img3/img1dcd.jpg</t>
  </si>
  <si>
    <t>www.americanretailsupply.com\64983\783312\Acrylic-Sign-Card-Frames\Acrylic-Slant-Back-Countertop-Sign-Holders.html</t>
  </si>
  <si>
    <t>&lt;p&gt;The Two Sided, Top Loading Acrylic Sign Holders get customer's attention in either direction. Many sizes. Sold individually.&lt;/p&gt;</t>
  </si>
  <si>
    <t>Acrylic Two Sided, Top Loading Sign Holders</t>
  </si>
  <si>
    <t>/img2/img23da.jpg</t>
  </si>
  <si>
    <t>www.americanretailsupply.com\64983\783313\Acrylic-Sign-Card-Frames\Acrylic-Two-Sided-Top-Loading-Sign-Holders.html</t>
  </si>
  <si>
    <t>&lt;p&gt;Clear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individually.&lt;/p&gt;</t>
  </si>
  <si>
    <t>Acrylic Two Sided, Bottom Loading Sign Holders</t>
  </si>
  <si>
    <t>/img1/imgaea7.jpg</t>
  </si>
  <si>
    <t>www.americanretailsupply.com\64983\783363\Acrylic-Sign-Card-Frames\Acrylic-Two-Sided-Bottom-Loading-Sign-Holders.html</t>
  </si>
  <si>
    <t>&lt;p&gt;Economy Two Sided, Bottom loading sign holders get your customer's attention in both directions. You can use each side as the same message or use two different signs back to back. &lt;br&gt;Sold individually.&lt;/p&gt;</t>
  </si>
  <si>
    <t>Economy Acrylic Two Sided, Bottom Loading Sign Holders</t>
  </si>
  <si>
    <t>/img3/imgbd2c.jpg</t>
  </si>
  <si>
    <t>www.americanretailsupply.com\64983\783366\Acrylic-Sign-Card-Frames\Economy-Acrylic-Two-Sided-Bottom-Loading-Sign-Holders.html</t>
  </si>
  <si>
    <t>&lt;p&gt;Athena Miss Size Full Torso Form is great for displaying bathing suits, lingerie, and sportswear. Matching painted wooden base included.&lt;/p&gt;</t>
  </si>
  <si>
    <t>Athena Miss Size Full Torso Form</t>
  </si>
  <si>
    <t>/img2/img192c-2.jpg</t>
  </si>
  <si>
    <t>www.americanretailsupply.com\65161\154763\Apollo--Athena-Forms\Athena-Miss-Size-Full-Torso-Form.html</t>
  </si>
  <si>
    <t>&lt;p&gt;Athena Ladies Blouse Form includes concealed 5/8" flange for use with a base. May also be used as a self-standing counter display.&lt;br&gt;Product Dimensions: 23 1/2" Height, 34" Bust, 24 1/2" Waist. Comes in flesh tone and black.&lt;/p&gt;</t>
  </si>
  <si>
    <t>Athena Ladies Blouse Form</t>
  </si>
  <si>
    <t>/img3/imgf663-2.jpg</t>
  </si>
  <si>
    <t>www.americanretailsupply.com\65161\154765\Apollo--Athena-Forms\Athena-Ladies-Blouse-Form.html</t>
  </si>
  <si>
    <t>&lt;p&gt;Apollo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Neck&lt;/p&gt;</t>
  </si>
  <si>
    <t>Apollo Torso Form w/Matching Painted Wooden Snap-on Base</t>
  </si>
  <si>
    <t>/img2/img883d.jpg</t>
  </si>
  <si>
    <t>www.americanretailsupply.com\65161\154768\Apollo--Athena-Forms\Apollo-Torso-Form-wMatching-Painted-Wooden-Snap--on-Base.html</t>
  </si>
  <si>
    <t>&lt;p&gt;Apollo Muscular Shirt Form with concealed 5/8" flange. For use with #&lt;a href="../../../25490/235905/Apollo-and-Athena-Series-Mannequins/Base-for-Apollo--Athena-Forms.html"&gt;8 Base and #&lt;a href="../../../25490/235906/Apollo-and-Athena-Series-Mannequins/Upright-for-Apollo--Athena-Forms.html"&gt;9U Upright.&lt;br&gt;  Product Dimensions: 24 1/2" Height, 39" Chest, 14 1/2" Neck&lt;/p&gt;</t>
  </si>
  <si>
    <t>Apollo Muscular Shirt Form</t>
  </si>
  <si>
    <t>/img3/img2b64.jpg</t>
  </si>
  <si>
    <t>www.americanretailsupply.com\65161\154769\Apollo--Athena-Forms\Apollo-Muscular-Shirt-Form.html</t>
  </si>
  <si>
    <t>&lt;p&gt;A two-part Adjustable Sweater and Jacket Form - each part has a concealed 5/8" flange for adjusting to any length garment. Base and upright (#&lt;a href="../../../25490/235905/Apollo-and-Athena-Series-Mannequins/Base-for-Apollo--Athena-Forms.html"&gt;8B base and #&lt;a href="../../../25490/235906/Apollo-and-Athena-Series-Mannequins/Upright-for-Apollo--Athena-Forms.html"&gt;9u upright) must be ordered separately.&lt;/p&gt;</t>
  </si>
  <si>
    <t>Adjustable Sweater and Jacket Form</t>
  </si>
  <si>
    <t>/img1/img8cfb.jpg</t>
  </si>
  <si>
    <t>www.americanretailsupply.com\65161\154771\Apollo--Athena-Forms\Adjustable-Sweater-and-Jacket-Form.html</t>
  </si>
  <si>
    <t>&lt;p&gt;Slacks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Neck&lt;/p&gt;</t>
  </si>
  <si>
    <t>Apollo Torso Form with Wood Pin Base</t>
  </si>
  <si>
    <t>/img2/img2ad5.jpg</t>
  </si>
  <si>
    <t>www.americanretailsupply.com\65161\741160\Apollo--Athena-Forms\Apollo-Torso-Form-with-Wood-Pin-Base.html</t>
  </si>
  <si>
    <t>&lt;p&gt;Base for Apollo and Athena Forms are 8" Round Chrome Base with 5/8" threading.  Heavy duty weighted 8" base accepts upright with 7/8" threading. Used primarily to display a full round form or shell form on the floor.&lt;br&gt;&lt;/p&gt;</t>
  </si>
  <si>
    <t>Base for Apollo and Athena Forms</t>
  </si>
  <si>
    <t>/img2/img5dd5.jpg</t>
  </si>
  <si>
    <t>www.americanretailsupply.com\25490\235905\Apollo-and-Athena-Series-Mannequins\Base-for-Apollo--Athena-Forms.html</t>
  </si>
  <si>
    <t>&lt;p&gt;Upright for Apollo and Athena Forms are a 30" Non-adjustable Upright w/ 5/8" fitting on both ends.&lt;br&gt;Must be used with economy style &lt;a href="http://www.makeyouhappy.com/product.asp?Product_Id=235905&amp;amp;d_Id=15413&amp;amp;l1=173&amp;amp;l2=15413"&gt;8" weighted base. Creates heavy duty display stand that can hold Athena or Apollo plastic form that has a 5/8" fitting.&lt;br&gt;Base sold separately.&lt;br&gt;&lt;/p&gt;</t>
  </si>
  <si>
    <t>Upright for Apollo and Athena Forms</t>
  </si>
  <si>
    <t>/img3/imgd28d.jpg</t>
  </si>
  <si>
    <t>www.americanretailsupply.com\25490\235906\Apollo-and-Athena-Series-Mannequins\Upright-for-Apollo--Athena-Forms.html</t>
  </si>
  <si>
    <t>&lt;p&gt;Organize your products with ease using these Display It Hooks and holders.&lt;br&gt;Order per package.  Each Package has 2M (2000) hooks.&lt;/p&gt;</t>
  </si>
  <si>
    <t>Display It Hooks, Retail Apparel Displays &amp; Accessories</t>
  </si>
  <si>
    <t>apparel displays hooks retail display hook</t>
  </si>
  <si>
    <t>Display It Hooks for sale online, order retail apparel displays and accessories for your retail store including Display It Hooks.</t>
  </si>
  <si>
    <t>/img1/imgd8b8.jpg</t>
  </si>
  <si>
    <t>www.americanretailsupply.com\65197\36353\Apparel-Accessories--Apparel-Store-Supplies\Display-It-Hooks.html</t>
  </si>
  <si>
    <t>&lt;p&gt;These Safety Pins are brass plated, 3/4".&lt;/p&gt;</t>
  </si>
  <si>
    <t>Safety Pins</t>
  </si>
  <si>
    <t>/img2/img8461.jpg</t>
  </si>
  <si>
    <t>www.americanretailsupply.com\65197\36356\Apparel-Accessories--Apparel-Store-Supplies\Safety-Pins.html</t>
  </si>
  <si>
    <t>&lt;p&gt;The Cosmetic Stain Remover comes in two sizes and are great to get the remains of make-up out of clothing or anything else it may stain.&lt;/p&gt;</t>
  </si>
  <si>
    <t>Cosmetic Stain Remover</t>
  </si>
  <si>
    <t>/img3/imgcbce.jpg</t>
  </si>
  <si>
    <t>www.americanretailsupply.com\65197\36372\Apparel-Accessories--Apparel-Store-Supplies\Cosmetic-Stain-Remover.html</t>
  </si>
  <si>
    <t>&lt;p&gt;The Lint Pickup Roller can be purchased as a whole, the individual handle, or refill rolls.&lt;/p&gt;</t>
  </si>
  <si>
    <t>Lint Pickup Roller</t>
  </si>
  <si>
    <t>/img3/img2e02.jpg</t>
  </si>
  <si>
    <t>www.americanretailsupply.com\65197\36373\Apparel-Accessories--Apparel-Store-Supplies\Lint-Pickup-Roller.html</t>
  </si>
  <si>
    <t>&lt;p&gt;All Try-Ons are one size.  The Mask, Panty Jr. Thong and Panty Missy are white. The socks are tan. Order any Try-Ons by the package.&lt;br&gt;The Mask, Panty Jr. Thong and Panty Missy have 20 try-ons per package. Socks have 144 per package. Sold per package.&lt;br&gt;&lt;/p&gt;</t>
  </si>
  <si>
    <t>Try-Ons</t>
  </si>
  <si>
    <t>/img3/img14a5.jpg</t>
  </si>
  <si>
    <t>www.americanretailsupply.com\65197\36374\Apparel-Accessories--Apparel-Store-Supplies\Try--Ons.html</t>
  </si>
  <si>
    <t>&lt;p&gt;Organize your retail store's products with ease using these Neck Tie Holders and display hooks.&lt;/p&gt;</t>
  </si>
  <si>
    <t>Neck Tie Holders</t>
  </si>
  <si>
    <t>/img1/imga7c2.jpg</t>
  </si>
  <si>
    <t>www.americanretailsupply.com\65197\47174\Apparel-Accessories--Apparel-Store-Supplies\Neck-Tie-Holders.html</t>
  </si>
  <si>
    <t>&lt;p&gt;  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dressings.&lt;/p&gt;</t>
  </si>
  <si>
    <t>Lift Off Gum and Adhesive Remover</t>
  </si>
  <si>
    <t>/img3/img5e30.jpg</t>
  </si>
  <si>
    <t>www.americanretailsupply.com\65197\48245\Apparel-Accessories--Apparel-Store-Supplies\Lift-Off-Gum-and-Adhesive-Remover.html</t>
  </si>
  <si>
    <t>&lt;p&gt;Silicone Lubricant 5 oz.&lt;br&gt;&lt;/p&gt;</t>
  </si>
  <si>
    <t>Silicone Lubricant 5oz</t>
  </si>
  <si>
    <t>/img2/img22b2.jpg</t>
  </si>
  <si>
    <t>www.americanretailsupply.com\65197\48279\Apparel-Accessories--Apparel-Store-Supplies\Silicone-Lubricant-5oz.html</t>
  </si>
  <si>
    <t>&lt;p&gt;Plastic Label Scrapers&lt;br&gt;10/package &lt;/p&gt;</t>
  </si>
  <si>
    <t>Plastic Label Scrapers</t>
  </si>
  <si>
    <t>/img3/imgd7bf.jpg</t>
  </si>
  <si>
    <t>www.americanretailsupply.com\65197\48281\Apparel-Accessories--Apparel-Store-Supplies\Plastic-Label-Scrapers.html</t>
  </si>
  <si>
    <t>&lt;p&gt;Metal Label Scrapers&lt;/p&gt;</t>
  </si>
  <si>
    <t>Metal Label Scrapers</t>
  </si>
  <si>
    <t>/img2/img81ae.jpg</t>
  </si>
  <si>
    <t>www.americanretailsupply.com\65197\48282\Apparel-Accessories--Apparel-Store-Supplies\Metal-Label-Scrapers.html</t>
  </si>
  <si>
    <t>&lt;p&gt;  Steel Bank Pins are a heavier gauge steel straight pin. One pound box of pins offered in two popular sizes - # 24 at 1-1/2 long and 1 1/4" long. They will help to display your retail stores apparel without bending. &lt;/p&gt;</t>
  </si>
  <si>
    <t>Steel Bank Pins</t>
  </si>
  <si>
    <t>/img1/img82a9.jpg</t>
  </si>
  <si>
    <t>www.americanretailsupply.com\65197\244287\Apparel-Accessories--Apparel-Store-Supplies\Steel-Bank-Pins.html</t>
  </si>
  <si>
    <t>&lt;p&gt;A great value for your retail store available in 8 sizes of White apparel boxes are in stock!&lt;br&gt;Priced 100 per case - unless otherwise stated.&lt;br&gt;&lt;/p&gt;</t>
  </si>
  <si>
    <t>Apparel Boxes, Retail Store Packaging &amp; Boxes</t>
  </si>
  <si>
    <t>apparel boxes white apparel box</t>
  </si>
  <si>
    <t>White apparel boxes, order apparel boxes and retail store packaging supplies for your store online.</t>
  </si>
  <si>
    <t>/img3/imgd86d.jpg</t>
  </si>
  <si>
    <t>www.americanretailsupply.com\64707\780383\Apparel-Boxes\White-2-Piece-Pop-Up-Apparel-Boxes.html</t>
  </si>
  <si>
    <t>&lt;p&gt;A great value for your retail store available in 7 sizes of Kraft apparel boxes are in stock!&lt;br&gt;Priced 100 per case - unless otherwise stated.&lt;br&gt;&lt;/p&gt;</t>
  </si>
  <si>
    <t>apparel boxes Kraft apparel box</t>
  </si>
  <si>
    <t>Kraft apparel boxes, order apparel boxes and retail store packaging supplies for your store online.</t>
  </si>
  <si>
    <t>/img2/imgc48b.jpg</t>
  </si>
  <si>
    <t>www.americanretailsupply.com\64707\780384\Apparel-Boxes\Kraft-2-Piece-Pop-Up-Apparel-Boxes.html</t>
  </si>
  <si>
    <t>&lt;p&gt;Heavy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thickness.&lt;br&gt;&lt;/p&gt;</t>
  </si>
  <si>
    <t>Aristocrat Heavy Duty Bracket</t>
  </si>
  <si>
    <t>/img2/img192c.jpg</t>
  </si>
  <si>
    <t>www.americanretailsupply.com\64967\37848\Aristocrat-Extra-HD-Brackets\Aristocrat-Heavy-Duty-Bracket.html</t>
  </si>
  <si>
    <t>&lt;p&gt;Upturn Standard for Aristocrat helps secure the bracket in case the user forgets to tap in bracket.  Note all brackets should be tapped in.  Use for the most severe loads and where traffic conditions demand a more durable line of hardware. &lt;br&gt;&lt;/p&gt;</t>
  </si>
  <si>
    <t>Aristocrat Bracket with Upturn Standard</t>
  </si>
  <si>
    <t>/img3/imgda5b.jpg</t>
  </si>
  <si>
    <t>www.americanretailsupply.com\64967\37849\Aristocrat-Extra-HD-Brackets\Aristocrat-Bracket-with-Upturn-Standard.html</t>
  </si>
  <si>
    <t>&lt;p&gt;Aristocrat System Knife Edge Brackets to use with surface mounted and concealed standards.&lt;br&gt;    &amp;#8226; For heavy loads.&lt;br&gt;    &amp;#8226; Heavy Duty Mirror Polished Chrome Standards &amp;amp; Hardware Wall System  &lt;br&gt;&lt;/p&gt;</t>
  </si>
  <si>
    <t>Aristocrat Standard Bracket</t>
  </si>
  <si>
    <t>/img1/img0c14.jpg</t>
  </si>
  <si>
    <t>www.americanretailsupply.com\64967\37852\Aristocrat-Extra-HD-Brackets\Aristocrat-Standard-Bracket.html</t>
  </si>
  <si>
    <t>&lt;p&gt;Use the Shelf Rest with Rubber Buttons on Aristocrat Brackets for glass shelves.&lt;br&gt;&lt;/p&gt;</t>
  </si>
  <si>
    <t>Shelf Rest with Rubber Buttons</t>
  </si>
  <si>
    <t>/img2/img1b8b.jpg</t>
  </si>
  <si>
    <t>www.americanretailsupply.com\64967\37853\Aristocrat-Extra-HD-Brackets\Shelf-Rest-with-Rubber-Buttons.html</t>
  </si>
  <si>
    <t>&lt;p&gt;Use with surface mounted and concealed standards. The Adjustable Knife Edge Bracket can adjust in four downward movements 15*, 30*, 45*, and 50*.&lt;/p&gt;</t>
  </si>
  <si>
    <t>Adjustable Bracket</t>
  </si>
  <si>
    <t>/img3/imgdd7e.jpg</t>
  </si>
  <si>
    <t>www.americanretailsupply.com\64967\37855\Aristocrat-Extra-HD-Brackets\Adjustable-Bracket.html</t>
  </si>
  <si>
    <t>&lt;p&gt;Use the Facia Bracket with Standard Mounts and Concealed Standards. The concealed standard design gives an attractive and distinguished look to any store. Use with surface mounted and concealed standards: 28" to 40" Adjustable bracket.&lt;/p&gt;</t>
  </si>
  <si>
    <t>Aristocrat Facia Bracket</t>
  </si>
  <si>
    <t>/img1/img1b66-2.jpg</t>
  </si>
  <si>
    <t>www.americanretailsupply.com\64967\37856\Aristocrat-Extra-HD-Brackets\Aristocrat-Facia-Bracket.html</t>
  </si>
  <si>
    <t>&lt;p&gt;Aristocrat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thickness.&lt;/p&gt;</t>
  </si>
  <si>
    <t>Aristocrat Straight Faceout</t>
  </si>
  <si>
    <t>/img1/img0ffd.jpg</t>
  </si>
  <si>
    <t>www.americanretailsupply.com\64967\37857\Aristocrat-Extra-HD-Brackets\Aristocrat-Straight-Faceout.html</t>
  </si>
  <si>
    <t>&lt;p&gt;Aristocrat System Ball Waterfall for heavy loads.&lt;br&gt;&amp;#8226; Heavy Duty Mirror Polished Chrome Standards &amp;amp; Hardware Wall System  &lt;br&gt;The Ball Waterfall is made with 1/2" x 1 1/2" rectangular tubing.&lt;/p&gt;</t>
  </si>
  <si>
    <t>Aristocrat Waterfall</t>
  </si>
  <si>
    <t>/img2/img90b7.jpg</t>
  </si>
  <si>
    <t>www.americanretailsupply.com\64967\37859\Aristocrat-Extra-HD-Brackets\Aristocrat-Waterfall.html</t>
  </si>
  <si>
    <t>&lt;p&gt;The upturn creates the most secure bracket in case user doesn't tap the cracket into place. Note all brackets should be tapped in.&lt;/p&gt;</t>
  </si>
  <si>
    <t>Aristocrat Heavy Duty Brackets Upturn at Standard</t>
  </si>
  <si>
    <t>/img3/img622f.jpg</t>
  </si>
  <si>
    <t>www.americanretailsupply.com\64967\37862\Aristocrat-Extra-HD-Brackets\Aristocrat-Heavy-Duty-Brackets-Upturn-at-Standard.html</t>
  </si>
  <si>
    <t>&lt;p&gt;Merchandising Bar Brackets for Aristocrat System 1/2" x 1 1/2" is designed to fit Surface Mounted and Concealed Standards. &lt;a href="../../../64939/Merchandising-Bars-Hangrod-Crossbars.html"&gt;Click here for Merchandise Bar options&lt;br&gt;&lt;/p&gt;</t>
  </si>
  <si>
    <t>Aristocrat Merchandising Bar Brackets</t>
  </si>
  <si>
    <t>/img3/img6f00.jpg</t>
  </si>
  <si>
    <t>www.americanretailsupply.com\64967\37863\Aristocrat-Extra-HD-Brackets\Aristocrat-Merchandising-Bar-Brackets.html</t>
  </si>
  <si>
    <t>&lt;p&gt;Universal System Mounting Screws.&lt;br&gt;&lt;br&gt;Intended for moderate loads.  Sold in package of 12.&lt;br&gt;&lt;/p&gt;</t>
  </si>
  <si>
    <t>Mounting Screws for Mounting Standards</t>
  </si>
  <si>
    <t>/img3/img9f5a.jpg</t>
  </si>
  <si>
    <t>www.americanretailsupply.com\64968\41121\Aristocrat-Extra-HD-Standards\Mounting-Screws-for-Mounting-Standards.html</t>
  </si>
  <si>
    <t>&lt;p&gt;Aristocrat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amount.&lt;/p&gt;</t>
  </si>
  <si>
    <t>Aristocrat Extra Heavy T-Concealed Standard</t>
  </si>
  <si>
    <t>/img3/img58d7.jpg</t>
  </si>
  <si>
    <t>www.americanretailsupply.com\64968\784378\Aristocrat-Extra-HD-Standards\Aristocrat-Extra-Heavy-T--Concealed-Standard.html</t>
  </si>
  <si>
    <t>&lt;p&gt;The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amount.&lt;br&gt;&lt;/p&gt;</t>
  </si>
  <si>
    <t>Aristocrat Extra Heavy Duty Standards</t>
  </si>
  <si>
    <t>/img1/imgd137.jpg</t>
  </si>
  <si>
    <t>www.americanretailsupply.com\64968\784380\Aristocrat-Extra-HD-Standards\Aristocrat-Extra-Heavy-Duty-Standards.html</t>
  </si>
  <si>
    <t>&lt;p&gt;Aristocrat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&lt;br&gt;&lt;/p&gt;</t>
  </si>
  <si>
    <t>Aristocrat Extra Heavy Duty Concealed Standards</t>
  </si>
  <si>
    <t>/img2/imgbd53.jpg</t>
  </si>
  <si>
    <t>www.americanretailsupply.com\64968\784381\Aristocrat-Extra-HD-Standards\Aristocrat-Extra-Heavy-Duty-Concealed-Standards.html</t>
  </si>
  <si>
    <t>&lt;p&gt;Avery PB 210 Labeler &lt;br&gt;Two Line Labeler, 10 Characters per Line&lt;br&gt;&lt;a href="http://yoosh.co/ars_files/rs6.eporia.com/company_8/Avery%20Dennison%20PB%20216-210.pdf"&gt;Loading Instructions&lt;/p&gt;</t>
  </si>
  <si>
    <t>PB 210 Labeler</t>
  </si>
  <si>
    <t>/img1/img2777.jpg</t>
  </si>
  <si>
    <t>www.americanretailsupply.com\64679\1443\Avery-Dennison-Labelers--Labels\PB-210-Labeler.html</t>
  </si>
  <si>
    <t>&lt;p&gt;PB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box&lt;/p&gt;</t>
  </si>
  <si>
    <t>PB 1 Labels</t>
  </si>
  <si>
    <t>/img2/img0d8c.jpg</t>
  </si>
  <si>
    <t>www.americanretailsupply.com\64679\1533\Avery-Dennison-Labelers--Labels\PB-1-Labels.html</t>
  </si>
  <si>
    <t>&lt;p&gt;PB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box&lt;/p&gt;</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</si>
  <si>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</si>
  <si>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</si>
  <si>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</si>
  <si>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/img3/imge888.jpg</t>
  </si>
  <si>
    <t>www.americanretailsupply.com\64679\1545\Avery-Dennison-Labelers--Labels\PB216-Labels.html</t>
  </si>
  <si>
    <t>&lt;p&gt;Labels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box&lt;/p&gt;</t>
  </si>
  <si>
    <t>PB210 Labels</t>
  </si>
  <si>
    <t>/img3/img8890.jpg</t>
  </si>
  <si>
    <t>www.americanretailsupply.com\64679\1552\Avery-Dennison-Labelers--Labels\PB210-Labels.html</t>
  </si>
  <si>
    <t>&lt;p&gt;PB 1 Inkers for Avery Dennison PB 1 line Labelers&lt;/p&gt;</t>
  </si>
  <si>
    <t>PB Inkers</t>
  </si>
  <si>
    <t>/img1/imgdf6e.jpg</t>
  </si>
  <si>
    <t>www.americanretailsupply.com\64679\1553\Avery-Dennison-Labelers--Labels\PB-Inkers.html</t>
  </si>
  <si>
    <t>&lt;p&gt;Avery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Instructions&lt;br&gt;&lt;/p&gt;</t>
  </si>
  <si>
    <t>PB 1 Line Labelers</t>
  </si>
  <si>
    <t>/img3/img3f41.jpg</t>
  </si>
  <si>
    <t>www.americanretailsupply.com\64679\48182\Avery-Dennison-Labelers--Labels\PB-1-Line-Labelers.html</t>
  </si>
  <si>
    <t>&lt;p&gt;&lt;a id="Avery PB 216" name="Avery PB 216"&gt;Avery PB 216 Labeler&lt;br&gt;Two lines, 8 Characters per Line&lt;br&gt;&lt;a href="http://yoosh.co/ars_files/rs6.eporia.com/company_8/Avery%20Dennison%20PB%20216-210.pdf"&gt;Loading Instructions&lt;/p&gt;</t>
  </si>
  <si>
    <t>PB 216 Labelers</t>
  </si>
  <si>
    <t>/img2/img817e.jpg</t>
  </si>
  <si>
    <t>www.americanretailsupply.com\64679\48183\Avery-Dennison-Labelers--Labels\PB-216-Labelers.html</t>
  </si>
  <si>
    <t>&lt;p&gt;PB 210 or 216 Inkers for Avery Dennison Labelers&lt;/p&gt;</t>
  </si>
  <si>
    <t>PB 210 or 216 Inkers</t>
  </si>
  <si>
    <t>/img3/img2791.jpg</t>
  </si>
  <si>
    <t>www.americanretailsupply.com\64679\48287\Avery-Dennison-Labelers--Labels\PB-210-or-216-Inkers.html</t>
  </si>
  <si>
    <t>&lt;p&gt;Replacement Inker Assembly&lt;/p&gt;</t>
  </si>
  <si>
    <t>Replacement Inker Assembly</t>
  </si>
  <si>
    <t>/img3/img8c7a.jpg</t>
  </si>
  <si>
    <t>www.americanretailsupply.com\64679\234585\Avery-Dennison-Labelers--Labels\Replacement-Inker-Assembly.html</t>
  </si>
  <si>
    <t>&lt;p&gt;These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(5551)&lt;/p&gt;</t>
  </si>
  <si>
    <t>Needles for Taggers</t>
  </si>
  <si>
    <t>/img2/img63b0.jpg</t>
  </si>
  <si>
    <t>www.americanretailsupply.com\64683\48297\Avery-Dennison-Taggers\Needles-for-Taggers.html</t>
  </si>
  <si>
    <t>&lt;p&gt;Avery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&lt;/p&gt;</t>
  </si>
  <si>
    <t>Avery Dennison Taggers</t>
  </si>
  <si>
    <t>/img2/img421a.jpg</t>
  </si>
  <si>
    <t>www.americanretailsupply.com\64683\784098\Avery-Dennison-Taggers\Avery-Dennison-Taggers.html</t>
  </si>
  <si>
    <t>&lt;p&gt;Standard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&lt;/p&gt;</t>
  </si>
  <si>
    <t>Fasteners for Avery Dennison Taggers</t>
  </si>
  <si>
    <t>/img2/imgee5b.jpg</t>
  </si>
  <si>
    <t>www.americanretailsupply.com\64683\784103\Avery-Dennison-Taggers\Fasteners-for-Avery-Dennison-Taggers.html</t>
  </si>
  <si>
    <t>&lt;p&gt;   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case.&lt;br&gt;&lt;/p&gt;</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</si>
  <si>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</si>
  <si>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</si>
  <si>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</si>
  <si>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/img1/img3506.jpg</t>
  </si>
  <si>
    <t>www.americanretailsupply.com\65008\741329\Bags-in-Animal-Prints\Zebra--Leopard-Paper-Shopping-Bags.html</t>
  </si>
  <si>
    <t>&lt;p&gt;  These popular Frosted Animal print shoppers with Tri Fold Handles are available in 4 different patterns in Zebra, Leopard, Crocodile, and Rattler.&lt;br&gt;Bags are packed 100 per case.&lt;/p&gt;</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</si>
  <si>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</si>
  <si>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</si>
  <si>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</si>
  <si>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/img3/img8067.jpg</t>
  </si>
  <si>
    <t>www.americanretailsupply.com\65008\742786\Bags-in-Animal-Prints\Frosted-Animal-Print-Shoppers-with-Tri-Fold-Handles.html</t>
  </si>
  <si>
    <t>&lt;p&gt;Seasonal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example.)&lt;br&gt;&lt;br&gt;&lt;br&gt;&lt;br&gt;&lt;/p&gt;</t>
  </si>
  <si>
    <t>Sign Cards, Seasonal posters for Retail Stores</t>
  </si>
  <si>
    <t>sign cards posters seasonal advertising</t>
  </si>
  <si>
    <t>seasonal Sign cards posters for retail stores for sale online</t>
  </si>
  <si>
    <t>/img1/img8944.jpg</t>
  </si>
  <si>
    <t>www.americanretailsupply.com\64690\730878\Banners--Posters\Seasonal-Posters.html</t>
  </si>
  <si>
    <t>&lt;p&gt;Stop Messy Taping with Miracle Sticks&lt;br&gt;&amp;#8226; Low cost solution to unsightly taping of signs&lt;br&gt;&amp;#8226; Double sided tape sticks come in convenient rolls that peel off and apply easily.&lt;br&gt;500 miracle sticks per roll.&lt;br&gt;&lt;br&gt;&lt;/p&gt;</t>
  </si>
  <si>
    <t>Miracle Sticks</t>
  </si>
  <si>
    <t>/img1/imgf3b3.jpg</t>
  </si>
  <si>
    <t>www.americanretailsupply.com\64690\777694\Banners--Posters\Miracle-Sticks.html</t>
  </si>
  <si>
    <t>&lt;p&gt;Great indoor Posters and Pennants to grab your customers attention and increase foot traffic and sales.&lt;br&gt;Sold per pack.&lt;/p&gt;</t>
  </si>
  <si>
    <t>Posters and Pennants</t>
  </si>
  <si>
    <t>/img1/imgd6d7.jpg</t>
  </si>
  <si>
    <t>www.americanretailsupply.com\64690\778759\Banners--Posters\Posters-and-Pennants.html</t>
  </si>
  <si>
    <t>&lt;p&gt;Great Indoor Ceiling Danglers and Ceiling Arrows to get your customers attention.&lt;br&gt;Sold per pack.&lt;/p&gt;</t>
  </si>
  <si>
    <t>Ceiling Danglers</t>
  </si>
  <si>
    <t>/img1/imgda19.jpg</t>
  </si>
  <si>
    <t>www.americanretailsupply.com\64690\778760\Banners--Posters\Ceiling-Danglers.html</t>
  </si>
  <si>
    <t>&lt;p&gt;Stocked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</si>
  <si>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</si>
  <si>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</si>
  <si>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</si>
  <si>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/img3/img1816.jpg</t>
  </si>
  <si>
    <t>www.americanretailsupply.com\64725\716279\BARGAIN-In-Stock-Giftwrap\Everyday-Patterns-100-Rolls.html</t>
  </si>
  <si>
    <t>&lt;p&gt;Located,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&lt;br&gt;&lt;br&gt;&lt;/p&gt;</t>
  </si>
  <si>
    <t>Everyday Patterns II 100' rolls</t>
  </si>
  <si>
    <t>/img3/imgdd1d.jpg</t>
  </si>
  <si>
    <t>www.americanretailsupply.com\64725\716286\BARGAIN-In-Stock-Giftwrap\Everyday-Patterns-II-100-rolls.html</t>
  </si>
  <si>
    <t>&lt;p&gt;Great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</si>
  <si>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</si>
  <si>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</si>
  <si>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</si>
  <si>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/img2/img0089.jpg</t>
  </si>
  <si>
    <t>www.americanretailsupply.com\64725\716785\BARGAIN-In-Stock-Giftwrap\Christmas--Holiday-Patterns-100-Rolls.html</t>
  </si>
  <si>
    <t>&lt;p&gt;Stocked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pricing.&lt;br&gt;&lt;/p&gt;</t>
  </si>
  <si>
    <t>Everyday  Giftwrap 24" x 50' Rolls</t>
  </si>
  <si>
    <t>/img2/img6198.jpg</t>
  </si>
  <si>
    <t>www.americanretailsupply.com\64725\781063\BARGAIN-In-Stock-Giftwrap\Everyday--Giftwrap-24-x-50-Rolls.html</t>
  </si>
  <si>
    <t>&lt;p&gt;These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&lt;br&gt;&lt;/p&gt;</t>
  </si>
  <si>
    <t>Christmas Giftwrap 24" x  50' Rolls</t>
  </si>
  <si>
    <t>/img2/imgfd78.jpg</t>
  </si>
  <si>
    <t>www.americanretailsupply.com\64725\781065\BARGAIN-In-Stock-Giftwrap\Christmas-Giftwrap-24-x--50-Rolls.html</t>
  </si>
  <si>
    <t>&lt;p&gt;Use the Peg Board Hooks to hang items on your retail store's wall. The J Hook is very useful in that way.&lt;br&gt;Sold 100 per package.&lt;/p&gt;</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</si>
  <si>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</si>
  <si>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</si>
  <si>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</si>
  <si>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/img1/img97ba.jpg</t>
  </si>
  <si>
    <t>www.americanretailsupply.com\65039\41125\Baskets-BracketsDouble-Hooks\Hooks-for-Pegboard.html</t>
  </si>
  <si>
    <t>&lt;p&gt;The Control Clip, is molded inventory Peg Hooks are for use in 1/8" &amp;amp; 1/4" pegboard and slatwall. This is a heavy duty hook.&lt;br&gt;Sold 100 per package.&lt;/p&gt;</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</si>
  <si>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</si>
  <si>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</si>
  <si>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</si>
  <si>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/img3/img0488.jpg</t>
  </si>
  <si>
    <t>www.americanretailsupply.com\65039\41126\Baskets-BracketsDouble-Hooks\Molded-Inventory-Control-Clip.html</t>
  </si>
  <si>
    <t>&lt;p&gt;The Standard Duty loop hooks offer more area to hang items at your retail store with the loop that forms out off of the peg board. Sold 100 per package.&lt;/p&gt;</t>
  </si>
  <si>
    <t>Peg Board Loop Hooks | Pegboard Hooks</t>
  </si>
  <si>
    <t>pegboard hooks peg board loop hooks pegboard hook</t>
  </si>
  <si>
    <t>Peg board loop hooks for sale online, order pegboard hooks, baskets and attachments for your retail store.</t>
  </si>
  <si>
    <t>/img1/img2485.jpg</t>
  </si>
  <si>
    <t>www.americanretailsupply.com\65039\41127\Baskets-BracketsDouble-Hooks\Loop-Hooks-Standard-Duty.html</t>
  </si>
  <si>
    <t>&lt;p&gt;Add in a Multi Wire Basket in White by using the shelf brackets.&lt;br&gt;This retail store display basket comes in white only and priced per basket.&lt;br&gt;5" H x 9" W x 10 1/2" D  &lt;/p&gt;</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</si>
  <si>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</si>
  <si>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</si>
  <si>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</si>
  <si>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/img3/img1263.jpg</t>
  </si>
  <si>
    <t>www.americanretailsupply.com\65039\41135\Baskets-BracketsDouble-Hooks\Multi-Wire-Basket-White.html</t>
  </si>
  <si>
    <t>&lt;p&gt;Add in the Waterfall hooks for your retail store's Pegboard by using the appropriate brackets. Priced per piece.&lt;/p&gt;</t>
  </si>
  <si>
    <t>Waterfall Pegboard Hooks, Retail Store Fixtures</t>
  </si>
  <si>
    <t>pegboard hooks waterfall pegboard hook chrome</t>
  </si>
  <si>
    <t>Waterfall pegboard hooks for sale online, buy store display fixtures including pegboard hooks for your retail store online.</t>
  </si>
  <si>
    <t>/img1/img9140.jpg</t>
  </si>
  <si>
    <t>www.americanretailsupply.com\65039\41136\Baskets-BracketsDouble-Hooks\Pegboard-Waterfall-Bracket.html</t>
  </si>
  <si>
    <t>&lt;p&gt;Add shelves to your retail store's Pegboard Wall with these sturdy Knife Edge Brackets. Priced per each.&lt;/p&gt;</t>
  </si>
  <si>
    <t>Pegboard Shelf Brackets | Knife Edge Brackets</t>
  </si>
  <si>
    <t>pegboard shelf brackets knife edge bracket pegboard attachments</t>
  </si>
  <si>
    <t>Pegboard shelf brackets for sale online including knife edge brackets for your retail store display needs.</t>
  </si>
  <si>
    <t>/img1/imgb397.jpg</t>
  </si>
  <si>
    <t>www.americanretailsupply.com\65039\41137\Baskets-BracketsDouble-Hooks\Knife-Edge-Brackets.html</t>
  </si>
  <si>
    <t>&lt;p&gt;These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&lt;/p&gt;</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</si>
  <si>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</si>
  <si>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</si>
  <si>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</si>
  <si>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/img2/imge6f3.jpg</t>
  </si>
  <si>
    <t>www.americanretailsupply.com\64788\586415\Birch-Jewelry-Displays\Modular-Countertop-Displays.html</t>
  </si>
  <si>
    <t>&lt;p&gt;These rings are chrome plated with secure screw thread fastening and hinged opening. Available in 5" and 6" sizes. These are packaged in 12 piece cases. &lt;/p&gt;</t>
  </si>
  <si>
    <t>Sample Display Rings</t>
  </si>
  <si>
    <t>/img3/img3b74.jpg</t>
  </si>
  <si>
    <t>www.americanretailsupply.com\65124\777488\BookHANGERS--Sample-Rings\Sample-Display-Rings.html</t>
  </si>
  <si>
    <t>&lt;p&gt;Book Hangers are designed to hold your heaviest cord-type sample books securely on your rods. They are also useful for holding handbags, belts, or any other product you want to hang on your rods or racks.  May be used on up to 1 1/2" rods.  100 per package/priced per package.&lt;/p&gt;</t>
  </si>
  <si>
    <t>Book Hangers</t>
  </si>
  <si>
    <t>/img3/imgaa2c.jpg</t>
  </si>
  <si>
    <t>www.americanretailsupply.com\65124\777490\BookHANGERS--Sample-Rings\Book-Hangers.html</t>
  </si>
  <si>
    <t>&lt;p&gt;   Small and lightweight these blades are easy to change out. These box cutters are available in a case of 12. &lt;/p&gt;</t>
  </si>
  <si>
    <t>Box Cutters - Retail Packaging Supplies, Box Cutter</t>
  </si>
  <si>
    <t>box cutter retail supplies box cutters</t>
  </si>
  <si>
    <t>Box cutters for sale by the dozen, order box cutters and retail packaging supplies for your retail store online.</t>
  </si>
  <si>
    <t>/img2/img1017.jpg</t>
  </si>
  <si>
    <t>www.americanretailsupply.com\64848\48277\Box-Cutters\Box-Cutters.html</t>
  </si>
  <si>
    <t>&lt;p&gt; Dull case cutter blades are dangerous. A butcher would never work with a dull blade and you should never work with a dull dangerous box cutter blade. &lt;/p&gt;</t>
  </si>
  <si>
    <t>Box Cutter Blades, Retail Packaging Supplies &amp; Box Cutters</t>
  </si>
  <si>
    <t>box cutter blades box cutters retail packaging supplies</t>
  </si>
  <si>
    <t>Box cutter blades for sale, order retail packaging supplies for your retail store including box cutter blades online.</t>
  </si>
  <si>
    <t>/img3/imgcc95.jpg</t>
  </si>
  <si>
    <t>www.americanretailsupply.com\64848\48278\Box-Cutters\Box-Cutter-Blades.html</t>
  </si>
  <si>
    <t>&lt;p&gt;&lt;br&gt;&lt;br&gt;&lt;br&gt;Zebra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size.&lt;/p&gt;</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</si>
  <si>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</si>
  <si>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</si>
  <si>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</si>
  <si>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/img3/img4227.jpg</t>
  </si>
  <si>
    <t>www.americanretailsupply.com\65009\741334\Boxes-in-Animal-Prints\Zebra-Gable-Boxes.html</t>
  </si>
  <si>
    <t>&lt;p&gt; &lt;br&gt;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100&lt;br&gt;&lt;/p&gt;</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</si>
  <si>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</si>
  <si>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</si>
  <si>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</si>
  <si>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/img1/imge6f8.jpg</t>
  </si>
  <si>
    <t>www.americanretailsupply.com\65009\742307\Boxes-in-Animal-Prints\Gift-Card-Folders--Holders.html</t>
  </si>
  <si>
    <t>&lt;p&gt;All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item.&lt;/p&gt;</t>
  </si>
  <si>
    <t>Plastic Clip on Clothes Hangers, Retail Store Apparel Hangers</t>
  </si>
  <si>
    <t>Plastic clip hangers for sale online, order apparel hangers for displaying clothes in your retail store at American Retail Supply.</t>
  </si>
  <si>
    <t>/img2/imgac58-2.jpg</t>
  </si>
  <si>
    <t>www.americanretailsupply.com\64964\47629\CalHANGERS\Molded-Plastic-Clip-on-Hangers.html</t>
  </si>
  <si>
    <t>&lt;p&gt;Single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&lt;/p&gt;</t>
  </si>
  <si>
    <t>CalClips</t>
  </si>
  <si>
    <t>/img2/img68f9.jpg</t>
  </si>
  <si>
    <t>www.americanretailsupply.com\64964\784157\CalHANGERS\CalClips.html</t>
  </si>
  <si>
    <t>&lt;p&gt;Slanted and Straight brackets for CalTRACK or SlatTRACK make you sample display area very easy to use.  Easily get to the sample book you need quickly. Brackets are sold in packs of 6. &lt;/p&gt;</t>
  </si>
  <si>
    <t>CalHook Brackets</t>
  </si>
  <si>
    <t>/img3/img2d59.jpg</t>
  </si>
  <si>
    <t>www.americanretailsupply.com\64962\780196\CalHOOK-Brackets\CalHook-Brackets.html</t>
  </si>
  <si>
    <t>&lt;p&gt;1-1/2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CalTRACK.&lt;/p&gt;</t>
  </si>
  <si>
    <t>Caltrack</t>
  </si>
  <si>
    <t>/img1/img9303.jpg</t>
  </si>
  <si>
    <t>www.americanretailsupply.com\64963\781655\CalTRACK--SlatTRACK\Caltrack.html</t>
  </si>
  <si>
    <t>&lt;p&gt;3"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&lt;/p&gt;</t>
  </si>
  <si>
    <t>SlatTRACK</t>
  </si>
  <si>
    <t>/img3/imgb0d8.jpg</t>
  </si>
  <si>
    <t>www.americanretailsupply.com\64963\784158\CalTRACK--SlatTRACK\SlatTRACK.html</t>
  </si>
  <si>
    <t>&lt;p&gt;EZ Move Hand Truck Keeps products stacked and organized.&lt;br&gt;43"H x 14" W&lt;br&gt;Available in Black&lt;br&gt;Features:&lt;br&gt;&amp;#8226; Makes restocking &amp;amp; sorting easier.&lt;br&gt;&amp;#8226; Welded steel construction.&lt;br&gt;&amp;#8226; 150 pound load capacity.&lt;/p&gt;</t>
  </si>
  <si>
    <t>EZ Move Hand Truck</t>
  </si>
  <si>
    <t>/img1/img44c2.jpg</t>
  </si>
  <si>
    <t>www.americanretailsupply.com\64850\560207\Carts\EZ-Move-Hand-Truck.html</t>
  </si>
  <si>
    <t>&lt;p&gt;Inventory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Cartons.&lt;/p&gt;</t>
  </si>
  <si>
    <t>Inventory Return Cart</t>
  </si>
  <si>
    <t>/img3/img1bc1.jpg</t>
  </si>
  <si>
    <t>www.americanretailsupply.com\64850\560208\Carts\Inventory-Return-Cart.html</t>
  </si>
  <si>
    <t>&lt;p&gt;Two Level Gravity Fed Truck &lt;br&gt;43"H x 36"W x 19"D&lt;br&gt;Available in Tan &lt;br&gt;Features: &lt;br&gt;&amp;#8226; Durable 16 gauge, 1" round tubing &lt;br&gt;&amp;#8226; Sturdy 5" casters &lt;br&gt;&amp;#8226; Durable industrial grade construction &lt;br&gt;&amp;#8226; Use as a roll out display  &lt;/p&gt;</t>
  </si>
  <si>
    <t>Two Level Gravity Fed Truck</t>
  </si>
  <si>
    <t>/img2/img4d3e.jpg</t>
  </si>
  <si>
    <t>www.americanretailsupply.com\64850\560209\Carts\Two-Level-Gravity-Fed-Truck.html</t>
  </si>
  <si>
    <t>&lt;p&gt;Utility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levels&lt;br&gt;&lt;/p&gt;</t>
  </si>
  <si>
    <t>Utility Cart</t>
  </si>
  <si>
    <t>/img2/imgf3ba.jpg</t>
  </si>
  <si>
    <t>www.americanretailsupply.com\64850\560210\Carts\Utility-Cart.html</t>
  </si>
  <si>
    <t>&lt;p&gt;Stack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display.&lt;br&gt;&lt;br&gt;&lt;/p&gt;</t>
  </si>
  <si>
    <t>Stack n Stock Hand Truck</t>
  </si>
  <si>
    <t>/img3/img964e.jpg</t>
  </si>
  <si>
    <t>www.americanretailsupply.com\64850\560411\Carts\Stack-n-Stock-Hand-Truck.html</t>
  </si>
  <si>
    <t>&lt;p&gt;Mobile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capacity.&lt;/p&gt;</t>
  </si>
  <si>
    <t>Sloping Shelf Mobile Cart</t>
  </si>
  <si>
    <t>/img1/imga98c.jpg</t>
  </si>
  <si>
    <t>www.americanretailsupply.com\64850\560412\Carts\Sloping-Shelf-Mobile-Cart.html</t>
  </si>
  <si>
    <t>&lt;p&gt;Mobile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amount.&lt;/p&gt;</t>
  </si>
  <si>
    <t>Mobile Storage Drawer Caddy</t>
  </si>
  <si>
    <t>/img3/imgf532.jpg</t>
  </si>
  <si>
    <t>www.americanretailsupply.com\64850\560413\Carts\Mobile-Storage-Drawer-Caddy.html</t>
  </si>
  <si>
    <t>&lt;p&gt;You do not want to run out of cash register paper. Keep your retail store well supplied&lt;/p&gt;</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</si>
  <si>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</si>
  <si>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</si>
  <si>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</si>
  <si>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/img3/imgcc81.jpg</t>
  </si>
  <si>
    <t>www.americanretailsupply.com\64857\22350\Cash-Register-Paper\Cash-Register-Paper.html</t>
  </si>
  <si>
    <t>&lt;p&gt;Keep your retail store well supplied.&lt;/p&gt;</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</si>
  <si>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</si>
  <si>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</si>
  <si>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</si>
  <si>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www.americanretailsupply.com\64857\48232\Cash-Register-Paper\Adding-Machine-Paper.html</t>
  </si>
  <si>
    <t>&lt;p&gt;74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base&lt;br&gt;&lt;/p&gt;</t>
  </si>
  <si>
    <t>74 Pair Eyewear Floor Spinner</t>
  </si>
  <si>
    <t>/img3/img8204.jpg</t>
  </si>
  <si>
    <t>www.americanretailsupply.com\65182\560539\CD-Video--Eyeware-Displays\74-Pair-Eyewear-Floor-Spinner.html</t>
  </si>
  <si>
    <t>&lt;p&gt;38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included&lt;br&gt;&lt;/p&gt;</t>
  </si>
  <si>
    <t>38 Pair Eyewear Countertop Spinner</t>
  </si>
  <si>
    <t>/img1/imgc7bc.jpg</t>
  </si>
  <si>
    <t>www.americanretailsupply.com\65182\560540\CD-Video--Eyeware-Displays\38-Pair-Eyewear-Countertop-Spinner.html</t>
  </si>
  <si>
    <t>&lt;p&gt;Cd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 &lt;/p&gt;</t>
  </si>
  <si>
    <t>CD Browser System</t>
  </si>
  <si>
    <t>/img2/imgda40.jpg</t>
  </si>
  <si>
    <t>www.americanretailsupply.com\65182\560543\CD-Video--Eyeware-Displays\CD-Browser-System.html</t>
  </si>
  <si>
    <t>&lt;p&gt;Flip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&lt;br&gt;&lt;br&gt;&lt;/p&gt;</t>
  </si>
  <si>
    <t>Flip View Browser Bin</t>
  </si>
  <si>
    <t>/img1/img53cd.jpg</t>
  </si>
  <si>
    <t>www.americanretailsupply.com\65182\561662\CD-Video--Eyeware-Displays\Flip-View-Browser-Bin.html</t>
  </si>
  <si>
    <t>&lt;p&gt;30 Pocket DVD Floor Display&lt;br&gt;Contemporary design that assembles in seconds.&lt;br&gt;&lt;br&gt;Size: 70"H x 20"W x 24"D&lt;br&gt;Color: Black &lt;br&gt;&lt;br&gt;Features:&lt;br&gt;&amp;#8226; 30 Pockets&lt;br&gt;&amp;#8226; 10 Tiers &lt;br&gt;&amp;#8226; 5 DVD's per pocket&lt;br&gt;&amp;#8226; 150 DVD's total&lt;/p&gt;</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</si>
  <si>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</si>
  <si>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</si>
  <si>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</si>
  <si>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/img3/img57b0.jpg</t>
  </si>
  <si>
    <t>www.americanretailsupply.com\65182\561833\CD-Video--Eyeware-Displays\30-Pocket-DVD-Floor-Display.html</t>
  </si>
  <si>
    <t>&lt;p&gt;VantagePOINT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view.&lt;br&gt;&lt;br&gt;&lt;/p&gt;</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</si>
  <si>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</si>
  <si>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</si>
  <si>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</si>
  <si>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/img1/img85c3.jpg</t>
  </si>
  <si>
    <t>www.americanretailsupply.com\65000\709420\Christmas-Giftwrap\Vantage-Christmas-Giftwrap.html</t>
  </si>
  <si>
    <t>&lt;p&gt;Large selection of eco-friendly giftwrap for Holidays and Christmas. Made from 100% post consumer recycled fiber. Beautiful patterns and colors available in 1/4 reams, 1/2 reams and full reams. &lt;/p&gt;</t>
  </si>
  <si>
    <t>JR Holiday and Christmas</t>
  </si>
  <si>
    <t>/img1/img2d5f.jpg</t>
  </si>
  <si>
    <t>www.americanretailsupply.com\65000\780724\Christmas-Giftwrap\JR-Holiday-and-Christmas.html</t>
  </si>
  <si>
    <t>&lt;p&gt;Using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&lt;/p&gt;</t>
  </si>
  <si>
    <t>Card Frame Components</t>
  </si>
  <si>
    <t>/img2/img39b3.jpg</t>
  </si>
  <si>
    <t>www.americanretailsupply.com\64984\782376\Chrome-Sign-Card-Frames\Card-Frame-Components.html</t>
  </si>
  <si>
    <t>&lt;p&gt;The Counter Top Frame with Base is a horizontal only frame is mounted on 2 to 4" stems with 3 1/2"x 5" felt bottom base.&lt;/p&gt;</t>
  </si>
  <si>
    <t>/img1/imge454.jpg</t>
  </si>
  <si>
    <t>www.americanretailsupply.com\64984\782377\Chrome-Sign-Card-Frames\Counter-Top-Metal-Card-Frames.html</t>
  </si>
  <si>
    <t>&lt;p&gt;Floor Standing Bulletin Sign Holder have a verticle frame that holds 22"W x 28"H sign in either standard or deluxe models.&lt;br&gt;&lt;br&gt;   &lt;/p&gt;</t>
  </si>
  <si>
    <t>/img2/img21cb.jpg</t>
  </si>
  <si>
    <t>www.americanretailsupply.com\64984\782378\Chrome-Sign-Card-Frames\Floor-Standing-Sign-Frame.html</t>
  </si>
  <si>
    <t>&lt;p&gt;  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case.&lt;br&gt;&lt;/p&gt;</t>
  </si>
  <si>
    <t>Gusseted Bags - Lo-Density Plastic Gusseted Bags</t>
  </si>
  <si>
    <t>Gusseted bags, gusseted plastic bags, lo-density plastic bags</t>
  </si>
  <si>
    <t>Clear Gusseted Lo-Density Plastic Bags</t>
  </si>
  <si>
    <t>/img1/imgb401.jpg</t>
  </si>
  <si>
    <t>www.americanretailsupply.com\65080\20583\Clear-Poly-Bags\Clear-Gusseted-15-Mil-Poly-Bags.html</t>
  </si>
  <si>
    <t>&lt;p&gt;Clear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case.&lt;/p&gt;</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</si>
  <si>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</si>
  <si>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</si>
  <si>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</si>
  <si>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/img3/imga511.jpg</t>
  </si>
  <si>
    <t>www.americanretailsupply.com\65080\48815\Clear-Poly-Bags\Clear-Zipper-Reclosable-Poly-Bags.html</t>
  </si>
  <si>
    <t>&lt;p&gt;Sold as 100 bags and are stapled to a header card with a perforated lip for easy tear off.&lt;/p&gt;</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</si>
  <si>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</si>
  <si>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</si>
  <si>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</si>
  <si>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/img1/img4d60.jpg</t>
  </si>
  <si>
    <t>www.americanretailsupply.com\65080\48818\Clear-Poly-Bags\Clear-Poly-Door-Knob-Bags.html</t>
  </si>
  <si>
    <t>&lt;p&gt;  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to provide security or retain freshness. If you dont see the size you need, call us at 1-800-426-5708 so if you need help finding a size. Priced per case. Case sizes indicated below.&lt;/p&gt;</t>
  </si>
  <si>
    <t>Plastic Bags, Flat Clear Lo-Density Bags</t>
  </si>
  <si>
    <t>plastic bags clear plastic bags flat lo low density bags</t>
  </si>
  <si>
    <t>Plastic bags for retail stores, order flat clear lo-density plastic bags by the case for your retail store supply needs online.</t>
  </si>
  <si>
    <t>/img3/img223e.jpg</t>
  </si>
  <si>
    <t>www.americanretailsupply.com\65080\48819\Clear-Poly-Bags\Clear-Flat-15-Mil-Poly-Bags.html</t>
  </si>
  <si>
    <t>&lt;p&gt;Reclosable Zipper Poly Bags with a hanger hole available in 2 mil. these bags are sold in cases of 1000 bags.&lt;/p&gt;</t>
  </si>
  <si>
    <t>Clear Reclosable Poly Bag with Hanger Hole</t>
  </si>
  <si>
    <t>Clear Zipper bag, Polypropylene Bag, Reclosable Bag, Bulk Zipper Bag, gridwall poly bags</t>
  </si>
  <si>
    <t>$9.46/1000 Bags. Great For Display Loose Items On Hooks. Get Your Bags Now!</t>
  </si>
  <si>
    <t>/img1/img4bc7.jpg</t>
  </si>
  <si>
    <t>www.americanretailsupply.com\65080\778262\Clear-Poly-Bags\Clear-Zipper-2-Mil-Reclosable-Poly-Bags-with-Hanger-Hole.html</t>
  </si>
  <si>
    <t>&lt;p&gt;Keep contents bagged with these convenient Zipper Reclosable clear poly bags with a writing block in 2 mil.&lt;br&gt;Sold per 1,000 per case.&lt;br&gt;&lt;/p&gt;</t>
  </si>
  <si>
    <t>/img1/imgc8ea.jpg</t>
  </si>
  <si>
    <t>www.americanretailsupply.com\65080\778263\Clear-Poly-Bags\Clear-Zipper-2-Mil-Reclosable-Poly-Bags-with-Writing-Block.html</t>
  </si>
  <si>
    <t>&lt;p&gt;  Pricing limited to quantity on hand&lt;/p&gt;</t>
  </si>
  <si>
    <t>Jewelry Tray Liner Flocked White, 32 compartment</t>
  </si>
  <si>
    <t>/img2/img163f.jpg</t>
  </si>
  <si>
    <t>www.americanretailsupply.com\64900\241276\Closeout-Acrylic-Glass-Jewelry-Displays\Jewelry-Tray-Liner-Flocked-White-32-compartment.html</t>
  </si>
  <si>
    <t>&lt;p&gt;Pricing limited to quantity on hand&lt;br&gt;&lt;br&gt;  Note: There will be an extra charge for glass crating. Standard crating charges start at $25, and larger qty orders may require multiple crates. We will inform you of the crating charge before processing your order.&lt;/p&gt;</t>
  </si>
  <si>
    <t>Tempered 9 x 16 Glass Shelf</t>
  </si>
  <si>
    <t>/img3/img26df.jpg</t>
  </si>
  <si>
    <t>www.americanretailsupply.com\64900\243711\Closeout-Acrylic-Glass-Jewelry-Displays\Tempered-9-x-16-Glass-Shelf.html</t>
  </si>
  <si>
    <t>&lt;p&gt;Pricing limited to quantity on hand.&lt;/p&gt;</t>
  </si>
  <si>
    <t>Jewelry Pouch Leatherette White</t>
  </si>
  <si>
    <t>/img1/img48ea.jpg</t>
  </si>
  <si>
    <t>www.americanretailsupply.com\64900\246273\Closeout-Acrylic-Glass-Jewelry-Displays\Jewelry-Pouch-Leatherette-White.html</t>
  </si>
  <si>
    <t>&lt;p&gt;Put these Inserts/Tray Liners in your trays. They will keep your jewelry organized with their multiple compartments.&lt;/p&gt;</t>
  </si>
  <si>
    <t>Jewelry Tray Liner Plastic, 15 comp</t>
  </si>
  <si>
    <t>/img1/imge193.jpg</t>
  </si>
  <si>
    <t>www.americanretailsupply.com\64900\246274\Closeout-Acrylic-Glass-Jewelry-Displays\Jewelry-Tray-Liner-Plastic-15-comp.html</t>
  </si>
  <si>
    <t>&lt;p&gt;Dime Radius Corners are curved the same radius as a dime.  Note: There will be an extra charge for glass crating. Standard crating charges start at $25, and larger qty orders may require multiple crates. We will inform you of the crating charge before processing your order.&lt;/p&gt;</t>
  </si>
  <si>
    <t>3/8" Tempered Dime Radius Corners</t>
  </si>
  <si>
    <t>/img3/img8c47.jpg</t>
  </si>
  <si>
    <t>www.americanretailsupply.com\64900\434069\Closeout-Acrylic-Glass-Jewelry-Displays\38-Tempered-Dime-Radius-Corners.html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</si>
  <si>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  &lt;/p&gt;</t>
  </si>
  <si>
    <t>3 Way Glass Connector, Black Matte</t>
  </si>
  <si>
    <t>www.americanretailsupply.com\64900\434650\Closeout-Acrylic-Glass-Jewelry-Displays\3-Way-Glass-Connector-Black-Matte.html</t>
  </si>
  <si>
    <t>&lt;p&gt;Note: There will be an extra charge for glass crating. Standard crating charges start at $25, and larger qty orders may require multiple crates. We will inform you of the crating charge before processing your order.&lt;/p&gt;</t>
  </si>
  <si>
    <t>3/16" Glass Tempered, 12x16 Pencil Polished Edges</t>
  </si>
  <si>
    <t>www.americanretailsupply.com\64900\477339\Closeout-Acrylic-Glass-Jewelry-Displays\316-Glass-Tempered-12x16-Pencil-Polished-Edges.html</t>
  </si>
  <si>
    <t>&lt;p&gt;We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&lt;/p&gt;</t>
  </si>
  <si>
    <t>Acrylic Sign Holders</t>
  </si>
  <si>
    <t>www.americanretailsupply.com\64900\634210\Closeout-Acrylic-Glass-Jewelry-Displays\Acrylic-Sign-Holders.html</t>
  </si>
  <si>
    <t>&lt;p&gt;  Pricing limited to quantity on hand.&lt;/p&gt;</t>
  </si>
  <si>
    <t>Sizer Round White and or Black</t>
  </si>
  <si>
    <t>/img2/img0e43.jpg</t>
  </si>
  <si>
    <t>www.americanretailsupply.com\64904\236826\Closeout-Apparel-Accessories\Sizer-Round-White-and-or-Black.html</t>
  </si>
  <si>
    <t>Sizer Oblong White and or Gray</t>
  </si>
  <si>
    <t>/img1/img20b6.jpg</t>
  </si>
  <si>
    <t>www.americanretailsupply.com\64904\236827\Closeout-Apparel-Accessories\Sizer-Oblong-White-and-or-Gray.html</t>
  </si>
  <si>
    <t>&lt;p&gt;Black Velveteen Bags come in packs of twelve. Price is per pack&lt;br&gt;  Pricing limited to quantity on hand.&lt;/p&gt;</t>
  </si>
  <si>
    <t>Velveteen Draw String Pouches</t>
  </si>
  <si>
    <t>www.americanretailsupply.com\64904\239632\Closeout-Apparel-Accessories\Velveteen-Draw-String-Pouches.html</t>
  </si>
  <si>
    <t>&lt;p&gt;Crossbars may be used with any wall system, Slatwall, Gridwall, Universal Aristocrat, or Quantum.&lt;br&gt;3/16" x 1"&lt;br&gt;Crossbars over 7 feet are shipped common carrier.  Pricing limited to quantity on hand&lt;/p&gt;</t>
  </si>
  <si>
    <t>Crossbars</t>
  </si>
  <si>
    <t>/img2/imgbea7.jpg</t>
  </si>
  <si>
    <t>www.americanretailsupply.com\64901\37820\Closeout-Brackets-Hooks-Standards\Crossbars.html</t>
  </si>
  <si>
    <t>&lt;p&gt;Crossbar Bars may be used with any wall system, Slatwall, Gridwall, Universal Aristocrat, or Quantum.&lt;br&gt;Made with 3/4" square tubing.  Pricing limited to quantity on hand&lt;/p&gt;</t>
  </si>
  <si>
    <t>Cross Bar Waterfall</t>
  </si>
  <si>
    <t>/img3/img0e35.jpg</t>
  </si>
  <si>
    <t>www.americanretailsupply.com\64901\37823\Closeout-Brackets-Hooks-Standards\Cross-Bar-Waterfall.html</t>
  </si>
  <si>
    <t>&lt;p&gt;Merchandise Bars Help Sell More Product. Discover how a good looking display will attract clients and sell more merchandise.   Pricing limited to quantity on hand&lt;/p&gt;</t>
  </si>
  <si>
    <t>Merchandise Bar Round Faceout</t>
  </si>
  <si>
    <t>/img1/imge93e.jpg</t>
  </si>
  <si>
    <t>www.americanretailsupply.com\64901\37836\Closeout-Brackets-Hooks-Standards\Merchandise-Bar-Round-Faceout.html</t>
  </si>
  <si>
    <t>&lt;p&gt;Hangrod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hand&lt;/p&gt;</t>
  </si>
  <si>
    <t>Hangrod 1 5/16" x 6'</t>
  </si>
  <si>
    <t>/img3/img3dc9.jpg</t>
  </si>
  <si>
    <t>www.americanretailsupply.com\64901\149593\Closeout-Brackets-Hooks-Standards\Hangrod-1-516-x-6.html</t>
  </si>
  <si>
    <t>&lt;p&gt;  The Heavy Duty Hooks for use in 1/8" &amp;amp; 1/4" pegboard and slatwall. They have a .212 diameter as well.  Pack of 100. &lt;br&gt;Pricing limited to quantity on hand&lt;/p&gt;</t>
  </si>
  <si>
    <t>Peghook Heavy 8" x .212 dia. Ball End Tip</t>
  </si>
  <si>
    <t>/img1/img640e.jpg</t>
  </si>
  <si>
    <t>www.americanretailsupply.com\64901\236817\Closeout-Brackets-Hooks-Standards\Peghook-Heavy-8-x-212-dia-Ball-End-Tip.html</t>
  </si>
  <si>
    <t>&lt;p&gt;Use with Surface Mounted and Concealed Standards. It has four downward adjustments of 15*, 30*, 40* and 50*.  Pricing limited to quantity on hand.&lt;/p&gt;</t>
  </si>
  <si>
    <t>Quantum Bracket 14" Adjustable Knife Edge</t>
  </si>
  <si>
    <t>/img1/imgae39.jpg</t>
  </si>
  <si>
    <t>www.americanretailsupply.com\64901\239206\Closeout-Brackets-Hooks-Standards\Quantum-Bracket-14-Adjustable-Knife-Edge.html</t>
  </si>
  <si>
    <t>&lt;p&gt;Use with surface mounted and concealed standards.&lt;br&gt;Aristocrat System Knife Edge Brackets are:&lt;br&gt;&amp;#8226; For heavy loads.&lt;br&gt;&amp;#8226; Heavy Duty Mirror Polished Chrome Standards &amp;amp; Hardware Wall System    Pricing limited to quantity on hand.&lt;/p&gt;</t>
  </si>
  <si>
    <t>Aristocrat Bracket Knife Edge 14"</t>
  </si>
  <si>
    <t>www.americanretailsupply.com\64901\239209\Closeout-Brackets-Hooks-Standards\Aristocrat-Bracket-Knife-Edge-14.html</t>
  </si>
  <si>
    <t>&lt;p&gt;Crossbar Bars may be used with any wall system, Slatwall, Gridwall, Universal Aristocrat, or Quantum.&lt;br&gt;1/4" diameter hook with 90&amp;#186; tip.  Pricing limited to quantity on hand&lt;/p&gt;</t>
  </si>
  <si>
    <t>Cross Bar Safety Hook</t>
  </si>
  <si>
    <t>/img3/img7a0d.jpg</t>
  </si>
  <si>
    <t>www.americanretailsupply.com\64901\239214\Closeout-Brackets-Hooks-Standards\Cross-Bar-Safety-Hook.html</t>
  </si>
  <si>
    <t>&lt;p&gt;Hangrods may be used with any wall system, Slatwall, Gridwall, Universal Aristocrat, or Quantum.&lt;br&gt;1" or 1 1/4" Round Tubing.  Pricing limited to quantity on hand  &lt;br&gt;&lt;/p&gt;</t>
  </si>
  <si>
    <t>Hangrod Wall Mount Brackets fits 1" or 1 1/16" U</t>
  </si>
  <si>
    <t>/img1/img2462.jpg</t>
  </si>
  <si>
    <t>www.americanretailsupply.com\64901\239216\Closeout-Brackets-Hooks-Standards\Hangrod-Wall-Mount-Brackets-fits-1-or-1-116-U.html</t>
  </si>
  <si>
    <t>&lt;p&gt;Add in the Waterfall hooks for your retail store's Pegboard by using the appropriate brackets.   Pricing limited to quantity on hand&lt;/p&gt;</t>
  </si>
  <si>
    <t>Pegboard 17 1/2" 6 Ball Waterfall Chrome</t>
  </si>
  <si>
    <t>www.americanretailsupply.com\64901\239220\Closeout-Brackets-Hooks-Standards\Pegboard-17-12-6-Ball-Waterfall-Chrome.html</t>
  </si>
  <si>
    <t>&lt;p&gt;We offer two types of Merchandising Bars with the waterfall model: hook and ball. Both will add to your retail store nicely and will attract your client's attention.    Faceout is made with 1/2" x 1 1/2" rectangular tubing.    Pricing limited to quantity on hand  &lt;/p&gt;</t>
  </si>
  <si>
    <t>Merchandise Bar Waterfall-Ball</t>
  </si>
  <si>
    <t>/img1/img6a7a.jpg</t>
  </si>
  <si>
    <t>www.americanretailsupply.com\64901\239483\Closeout-Brackets-Hooks-Standards\Merchandise-Bar-Waterfall--Ball.html</t>
  </si>
  <si>
    <t>&lt;p&gt;Use with Surface Mounted and Concealed Standards.  Pricing limited to quantity on hand.&lt;/p&gt;</t>
  </si>
  <si>
    <t>Quantum 18" Left Bracket Flange</t>
  </si>
  <si>
    <t>/img2/img848c.jpg</t>
  </si>
  <si>
    <t>www.americanretailsupply.com\64901\245429\Closeout-Brackets-Hooks-Standards\Quantum-18-Left-Bracket-Flange.html</t>
  </si>
  <si>
    <t>&lt;p&gt;The ARISTOCRAT SYSTEM is recommended for the most severe loads and where traffic conditions demand a more durable line of hardware. &lt;br&gt;General specifications: .125" steel thickness.  Pricing limited to quantity on hand.&lt;/p&gt;</t>
  </si>
  <si>
    <t>Aristocrat 14" Merchandise Bar Bracket</t>
  </si>
  <si>
    <t>/img2/img813f.jpg</t>
  </si>
  <si>
    <t>www.americanretailsupply.com\64901\245432\Closeout-Brackets-Hooks-Standards\Aristocrat-14-Merchandise-Bar-Bracket.html</t>
  </si>
  <si>
    <t>&lt;p&gt;Hangrods may be used with any wall system, Slatwall, Gridwall, Universal Aristocrat, or Quantum.&lt;br&gt;1" or 1 1/4" Round Tubing.&lt;br&gt;Be sure to check if you need left, right.  Pricing limited to quantity on hand.&lt;/p&gt;</t>
  </si>
  <si>
    <t>Hangrod Snap on Brackets</t>
  </si>
  <si>
    <t>/img1/img4847.jpg</t>
  </si>
  <si>
    <t>www.americanretailsupply.com\64901\245471\Closeout-Brackets-Hooks-Standards\Hangrod-Snap-on-Brackets.html</t>
  </si>
  <si>
    <t>Gridwall Hook 12" x 3/16" White 45* Degree Tip</t>
  </si>
  <si>
    <t>/img3/img90e0.jpg</t>
  </si>
  <si>
    <t>www.americanretailsupply.com\64901\245623\Closeout-Brackets-Hooks-Standards\Gridwall-Hook-12-x-316-White-45-Degree-Tip.html</t>
  </si>
  <si>
    <t>Mini Grid White 12 WAY Connector</t>
  </si>
  <si>
    <t>/img3/imgfcd3.jpg</t>
  </si>
  <si>
    <t>www.americanretailsupply.com\64901\245625\Closeout-Brackets-Hooks-Standards\Mini-Grid-White-12-WAY-Connector.html</t>
  </si>
  <si>
    <t>&lt;p&gt;  This Gridwall Heavy Duty 1/4" diameter hook has a 90&amp;#186; tip. 12" length and black finish.&lt;/p&gt;</t>
  </si>
  <si>
    <t>Heavy Duty Hook 1/4" Diameter 90o tip, 12"</t>
  </si>
  <si>
    <t>/img1/img290e.jpg</t>
  </si>
  <si>
    <t>www.americanretailsupply.com\64901\434814\Closeout-Brackets-Hooks-Standards\Heavy-Duty-Hook-14-Diameter-90-tip-12.html</t>
  </si>
  <si>
    <t>&lt;p&gt;Heavy duty 1/4" diameter wire with 90 degree tip for gridwall. Closeout is available in 9" length and color is black. Other sizes and colors are available in gridwall accessories. If you have any questions please call 1-800-426-5708.&lt;br&gt;&lt;br&gt;&lt;br&gt;&lt;/p&gt;</t>
  </si>
  <si>
    <t>9" Gridwall Heavy Duty Hook</t>
  </si>
  <si>
    <t>/img2/imgcf5e.jpg</t>
  </si>
  <si>
    <t>www.americanretailsupply.com\64901\785835\Closeout-Brackets-Hooks-Standards\9-Gridwall-Heavy-Duty-Hook.html</t>
  </si>
  <si>
    <t>&lt;p&gt;These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amount.&lt;/p&gt;</t>
  </si>
  <si>
    <t>Round Glass Cube Display Base</t>
  </si>
  <si>
    <t>/img3/img7dd3.jpg</t>
  </si>
  <si>
    <t>www.americanretailsupply.com\64898\37163\Closeout-Display-Cases-and-Racks\Round-Glass-Cube-Display-Base.html</t>
  </si>
  <si>
    <t>&lt;p&gt;These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amount.&lt;/p&gt;</t>
  </si>
  <si>
    <t>Square Glass Cube Display Base</t>
  </si>
  <si>
    <t>/img2/img6823.jpg</t>
  </si>
  <si>
    <t>www.americanretailsupply.com\64898\37165\Closeout-Display-Cases-and-Racks\Square-Glass-Cube-Display-Base.html</t>
  </si>
  <si>
    <t>&lt;p&gt;  5 Sided Display Cube&lt;/p&gt;</t>
  </si>
  <si>
    <t>5 sided Display Cube</t>
  </si>
  <si>
    <t>/img2/imge092.jpg</t>
  </si>
  <si>
    <t>www.americanretailsupply.com\64898\222067\Closeout-Display-Cases-and-Racks\5-sided-Display-Cube.html</t>
  </si>
  <si>
    <t>&lt;p&gt;    E'Tagere Pine 6' with clear stain&lt;br&gt;Open Display with No side glass&lt;br&gt;72" x 24" x 24" open Shelf Display&lt;br&gt;Halogen Lights and Storage&lt;br&gt;CLOSEOUT PRICE WAS $1,100.&lt;br&gt;Now $550.00 !    Limit quantity to 1.&lt;br&gt;&lt;/p&gt;</t>
  </si>
  <si>
    <t>E'tagere Pine 6'</t>
  </si>
  <si>
    <t>/img1/img826b.jpg</t>
  </si>
  <si>
    <t>www.americanretailsupply.com\64898\236989\Closeout-Display-Cases-and-Racks\Etagere-Pine-6.html</t>
  </si>
  <si>
    <t>&lt;p&gt;    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amount.&lt;/p&gt;</t>
  </si>
  <si>
    <t>4' Jewelry Sit Down Case, New World Style</t>
  </si>
  <si>
    <t>/img3/img48db.jpg</t>
  </si>
  <si>
    <t>www.americanretailsupply.com\64898\577677\Closeout-Display-Cases-and-Racks\4-Jewelry-Sit-Down-Case-New-World-Style.html</t>
  </si>
  <si>
    <t>&lt;p&gt;      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 &lt;/p&gt;</t>
  </si>
  <si>
    <t>4' Jewelry Top Vision Case, New World Style</t>
  </si>
  <si>
    <t>/img1/img5ef3.jpg</t>
  </si>
  <si>
    <t>www.americanretailsupply.com\64898\577681\Closeout-Display-Cases-and-Racks\4-Jewelry-Top-Vision-Case-New-World-Style.html</t>
  </si>
  <si>
    <t>&lt;p&gt;  Hexagon Countertop, Oak&lt;br&gt;Made of Oak with a Medium Stain&lt;br&gt;29"H x 17"side to side&lt;br&gt;20" point to point&lt;br&gt;1 Halogen spot light&lt;/p&gt;</t>
  </si>
  <si>
    <t>Hexagon Countertop Case</t>
  </si>
  <si>
    <t>/img1/imgcfb8.jpg</t>
  </si>
  <si>
    <t>www.americanretailsupply.com\64898\739235\Closeout-Display-Cases-and-Racks\Hexagon-Countertop-Case.html</t>
  </si>
  <si>
    <t>&lt;p&gt;  Custom Countertop, Cedar Humidor&lt;br&gt;Made of Cedar with Cordovan stain lacquer&lt;br&gt;6 sides&lt;br&gt;1 glass shelf&lt;br&gt;20"H x 20"D x 34"L&lt;br&gt;&lt;/p&gt;</t>
  </si>
  <si>
    <t>Custom Countertop Case, Cedar Humidor</t>
  </si>
  <si>
    <t>/img1/imgb624.jpg</t>
  </si>
  <si>
    <t>www.americanretailsupply.com\64898\739776\Closeout-Display-Cases-and-Racks\Custom-Countertop-Case-Cedar-Humidor.html</t>
  </si>
  <si>
    <t>&lt;p&gt;6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condition.&lt;/p&gt;</t>
  </si>
  <si>
    <t>Pine Wall Case</t>
  </si>
  <si>
    <t>/img2/imgfba5.jpg</t>
  </si>
  <si>
    <t>www.americanretailsupply.com\64898\739783\Closeout-Display-Cases-and-Racks\Pine-Wall-Case.html</t>
  </si>
  <si>
    <t>&lt;p&gt;If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 &lt;/p&gt;</t>
  </si>
  <si>
    <t>Hickory Custom Wall Display</t>
  </si>
  <si>
    <t>/img2/imgd851.jpg</t>
  </si>
  <si>
    <t>www.americanretailsupply.com\64898\739798\Closeout-Display-Cases-and-Racks\Hickory-Custom-Wall-Display.html</t>
  </si>
  <si>
    <t>&lt;p&gt;This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amount.&lt;/p&gt;</t>
  </si>
  <si>
    <t>Showcase 2' Collectors</t>
  </si>
  <si>
    <t>/img1/img3532.jpg</t>
  </si>
  <si>
    <t>www.americanretailsupply.com\64898\763855\Closeout-Display-Cases-and-Racks\Showcase-2-Collectors.html</t>
  </si>
  <si>
    <t>&lt;p&gt;This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hand.&lt;/p&gt;</t>
  </si>
  <si>
    <t>18" Straight Arm Garment Rack</t>
  </si>
  <si>
    <t>/img3/imgfb81.jpg</t>
  </si>
  <si>
    <t>www.americanretailsupply.com\64898\785240\Closeout-Display-Cases-and-Racks\18-Straight-Arm-Garment-Rack.html</t>
  </si>
  <si>
    <t>&lt;p&gt;This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hand.&lt;/p&gt;</t>
  </si>
  <si>
    <t>22" Straight Arm Garment Rack</t>
  </si>
  <si>
    <t>/img1/imgb31a.jpg</t>
  </si>
  <si>
    <t>www.americanretailsupply.com\64898\785241\Closeout-Display-Cases-and-Racks\22-Straight-Arm-Garment-Rack.html</t>
  </si>
  <si>
    <t>&lt;p&gt;This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&lt;/p&gt;</t>
  </si>
  <si>
    <t>2-16" Straight &amp; 2-18" Slant Arms w/8 Ball Stops</t>
  </si>
  <si>
    <t>/img3/img4007.jpg</t>
  </si>
  <si>
    <t>www.americanretailsupply.com\64898\785242\Closeout-Display-Cases-and-Racks\2--16-Straight--2--18-Slant-Arms-w8-Ball-Stops.html</t>
  </si>
  <si>
    <t>&lt;p&gt;Ready-to-Assemble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amount.&lt;/p&gt;</t>
  </si>
  <si>
    <t>White Wrap Counter 48"x20"x38"</t>
  </si>
  <si>
    <t>/img3/imgd775.jpg</t>
  </si>
  <si>
    <t>www.americanretailsupply.com\64898\787689\Closeout-Display-Cases-and-Racks\White-Wrap-Counter-48x20x38.html</t>
  </si>
  <si>
    <t>&lt;p&gt;Ready-to-Assemble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amount.&lt;/p&gt;</t>
  </si>
  <si>
    <t>White Wrap Counter 70"x20"x38"</t>
  </si>
  <si>
    <t>www.americanretailsupply.com\64898\787696\Closeout-Display-Cases-and-Racks\White-Wrap-Counter-70x20x38.html</t>
  </si>
  <si>
    <t>&lt;p&gt;This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Denver.&lt;/p&gt;</t>
  </si>
  <si>
    <t>16" Slant Arm Garment Rack with 8 Ball Stops</t>
  </si>
  <si>
    <t>/img2/imge395.jpg</t>
  </si>
  <si>
    <t>www.americanretailsupply.com\64898\788051\Closeout-Display-Cases-and-Racks\16-Slant-Arm-Garment-Rack-with-8-Ball-Stops.html</t>
  </si>
  <si>
    <t>&lt;p&gt;6" x 3 7/8" x 18"&lt;/p&gt;</t>
  </si>
  <si>
    <t>Red Cello Bags</t>
  </si>
  <si>
    <t>/img2/imgad27.jpg</t>
  </si>
  <si>
    <t>www.americanretailsupply.com\64899\236742\Closeout-Packaging\Red-Cello-Bags.html</t>
  </si>
  <si>
    <t>Metallic Tone Ribbon</t>
  </si>
  <si>
    <t>/img3/img0c8d.jpg</t>
  </si>
  <si>
    <t>www.americanretailsupply.com\64899\244696\Closeout-Packaging\Metallic-Tone-Ribbon.html</t>
  </si>
  <si>
    <t>&lt;p&gt;5 LB Package&lt;br&gt;Pricing limited to quantity on hand.&lt;/p&gt;</t>
  </si>
  <si>
    <t>Shreds</t>
  </si>
  <si>
    <t>/img2/imgb97b.jpg</t>
  </si>
  <si>
    <t>www.americanretailsupply.com\64899\244699\Closeout-Packaging\Shreds.html</t>
  </si>
  <si>
    <t>Clearphane 40" X 100 Pink</t>
  </si>
  <si>
    <t>/img1/img9604.jpg</t>
  </si>
  <si>
    <t>www.americanretailsupply.com\64899\244701\Closeout-Packaging\Clearphane-40-X-100-Pink.html</t>
  </si>
  <si>
    <t>&lt;p&gt;Shiny Metallic Gold or Silver Stretch Loops with pre tied bows.&lt;br&gt;Price per pack with 50 per pack.  Pricing limited to quantity on hand&lt;/p&gt;</t>
  </si>
  <si>
    <t>Elasti Loops</t>
  </si>
  <si>
    <t>/img1/img59aa.jpg</t>
  </si>
  <si>
    <t>www.americanretailsupply.com\64899\245001\Closeout-Packaging\Elasti-Loops.html</t>
  </si>
  <si>
    <t>Simply Sheer Ribbon</t>
  </si>
  <si>
    <t>/img2/img445c.jpg</t>
  </si>
  <si>
    <t>www.americanretailsupply.com\64899\245007\Closeout-Packaging\Simply-Sheer-Ribbon.html</t>
  </si>
  <si>
    <t>&lt;p&gt;100 per case.&lt;/p&gt;</t>
  </si>
  <si>
    <t>Ribbon Slitter Double Sided</t>
  </si>
  <si>
    <t>/img3/imgf2bf.jpg</t>
  </si>
  <si>
    <t>www.americanretailsupply.com\64899\245010\Closeout-Packaging\Ribbon-Slitter-Double-Sided.html</t>
  </si>
  <si>
    <t>&lt;p&gt;Pricing limited to quantity on hand&lt;/p&gt;</t>
  </si>
  <si>
    <t>Cord Metallic Tinsel 100 yds Silver</t>
  </si>
  <si>
    <t>/img2/img66ac.jpg</t>
  </si>
  <si>
    <t>www.americanretailsupply.com\64899\245425\Closeout-Packaging\Cord-Metallic-Tinsel-100-yds-Silver.html</t>
  </si>
  <si>
    <t>&lt;p&gt;5 Needles per package&lt;/p&gt;</t>
  </si>
  <si>
    <t>TG Tagger Needles Fine</t>
  </si>
  <si>
    <t>/img1/imgbf28.jpg</t>
  </si>
  <si>
    <t>www.americanretailsupply.com\64902\243782\Closeout-Price-Marking\TG-Tagger-Needles-Fine.html</t>
  </si>
  <si>
    <t>&lt;p&gt;Priced Per Package of 15m labels&lt;/p&gt;</t>
  </si>
  <si>
    <t>1115 Labels</t>
  </si>
  <si>
    <t>/img1/img1259.jpg</t>
  </si>
  <si>
    <t>www.americanretailsupply.com\64902\243784\Closeout-Price-Marking\1115-Labels.html</t>
  </si>
  <si>
    <t>&lt;p&gt;Label available in Florescent Red. Pictured here as white.&lt;/p&gt;</t>
  </si>
  <si>
    <t>Labels 2200 2 FL Red 1.125M per RL</t>
  </si>
  <si>
    <t>/img1/img31d4.jpg</t>
  </si>
  <si>
    <t>www.americanretailsupply.com\64902\244583\Closeout-Price-Marking\Labels-2200-2-FL-Red-1125M-per-RL.html</t>
  </si>
  <si>
    <t>P 26 Labels, White 1.125M per RL</t>
  </si>
  <si>
    <t>/img1/imgc0bb.jpg</t>
  </si>
  <si>
    <t>www.americanretailsupply.com\64902\244586\Closeout-Price-Marking\P-26-Labels-White-1125M-per-RL.html</t>
  </si>
  <si>
    <t>Holster for Meto 1600, 2200, 2600</t>
  </si>
  <si>
    <t>/img3/img5cee.jpg</t>
  </si>
  <si>
    <t>www.americanretailsupply.com\64902\244587\Closeout-Price-Marking\Holster-for-Meto-1600-2200-2600.html</t>
  </si>
  <si>
    <t>Labels 1170, 1155 White Split 1M per RL</t>
  </si>
  <si>
    <t>/img3/imga160.jpg</t>
  </si>
  <si>
    <t>www.americanretailsupply.com\64902\244593\Closeout-Price-Marking\Labels-1170-1155-White-Split-1M-per-RL.html</t>
  </si>
  <si>
    <t>Labels 1175, 1153 White Rem. 1M per RL</t>
  </si>
  <si>
    <t>/img3/img06ab.jpg</t>
  </si>
  <si>
    <t>www.americanretailsupply.com\64902\244594\Closeout-Price-Marking\Labels-1175-1153-White-Rem-1M-per-RL.html</t>
  </si>
  <si>
    <t>Monarch Labelers for Resale</t>
  </si>
  <si>
    <t>/img3/imga2f5.jpg</t>
  </si>
  <si>
    <t>www.americanretailsupply.com\64902\244596\Closeout-Price-Marking\Monarch-Labelers-for-Resale.html</t>
  </si>
  <si>
    <t>Tach It Reinforced Needles (3)</t>
  </si>
  <si>
    <t>/img3/img6e1e.jpg</t>
  </si>
  <si>
    <t>www.americanretailsupply.com\64902\244698\Closeout-Price-Marking\Tach-It-Reinforced-Needles-3.html</t>
  </si>
  <si>
    <t>Meto Inker L14, L24, L12</t>
  </si>
  <si>
    <t>/img1/imgf0e3.jpg</t>
  </si>
  <si>
    <t>www.americanretailsupply.com\64902\252070\Closeout-Price-Marking\Meto-Inker-L14-L24-L12.html</t>
  </si>
  <si>
    <t>&lt;p&gt;Plastic Fasteners for the Avery Dennison Standard Pistol Grip (5552) and Scissor Grip (5544) Taggers.&lt;br&gt;Fasteners and loops come 50 fasteners per clip and are priced per box of 5000(M) *except for 55562 for 2" Standard Plus which have 100 per clip and are priced per box of 10(M).&lt;/p&gt;</t>
  </si>
  <si>
    <t>Standard Fasteners 1 1/2 Inch Loop</t>
  </si>
  <si>
    <t>/img1/img8d46.jpg</t>
  </si>
  <si>
    <t>www.americanretailsupply.com\64902\434811\Closeout-Price-Marking\Standard-Fasteners-1-12-Inch-Loop.html</t>
  </si>
  <si>
    <t>&lt;p&gt;These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Denver&lt;/p&gt;</t>
  </si>
  <si>
    <t>Monarch 1110 White Labels</t>
  </si>
  <si>
    <t>/img2/imgf6b4.jpg</t>
  </si>
  <si>
    <t>www.americanretailsupply.com\64902\788048\Closeout-Price-Marking\Monarch-1110-White-Labels.html</t>
  </si>
  <si>
    <t>&lt;p&gt;22" x 28" Rainbow Pack of blank fluorescent sign cards consist of Green, Yellow, Pink, and Red/Orange. Cards are 8 point stock. 100 cards per package.&lt;br&gt;FOB Kent  Regular Price: $97.37/pack - Clearance Price: $48.68/pack&lt;/p&gt;</t>
  </si>
  <si>
    <t>Rainbow Fluorescent Sign Cards</t>
  </si>
  <si>
    <t>/img3/img50f3.jpg</t>
  </si>
  <si>
    <t>www.americanretailsupply.com\64902\788049\Closeout-Price-Marking\Rainbow-Fluorescent-Sign-Cards.html</t>
  </si>
  <si>
    <t>&lt;p&gt;Avery Dennison 1160 labeler white labels at more that 75% off. These come 1250 labels per roll and are packaged 10 rolls per sleeve.&lt;br&gt;FOB Kent  Regular Price: $10.38 per roll - Your Price: $2.59 per roll.&lt;/p&gt;</t>
  </si>
  <si>
    <t>Avery Dennison 1160 Labels</t>
  </si>
  <si>
    <t>/img3/img2ac8.jpg</t>
  </si>
  <si>
    <t>www.americanretailsupply.com\64902\788050\Closeout-Price-Marking\Avery-Dennison-1160-Labels.html</t>
  </si>
  <si>
    <t>&lt;p&gt;Specialized Loop Fasteners for the Avery Dennison Tagger. These are available in 1-1/2" and 3" Closeout price only applies to what we have in stock. FOB Kent.&lt;br&gt;&lt;br&gt;&lt;/p&gt;</t>
  </si>
  <si>
    <t>Loop Fasteners</t>
  </si>
  <si>
    <t>/img3/imgbe53.jpg</t>
  </si>
  <si>
    <t>www.americanretailsupply.com\64902\788054\Closeout-Price-Marking\Loop-Fasteners.html</t>
  </si>
  <si>
    <t>&lt;p&gt;TG Tacher Standard Fasteners may be used with any standard tagger. Standard taggers work best when tagging medium weight fabrics. These clearance fasteners are 1" and pink in color. Order fasteners by the box. Each box has 5000 fasteners. FOB Kent.&lt;/p&gt;</t>
  </si>
  <si>
    <t>Standard Pink Fasteners</t>
  </si>
  <si>
    <t>/img2/img2933.jpg</t>
  </si>
  <si>
    <t>www.americanretailsupply.com\64902\788055\Closeout-Price-Marking\Standard-Pink-Fasteners.html</t>
  </si>
  <si>
    <t>&lt;p&gt;Use this unique line to add class to your earring display. We offer several styles, all made out of raw steel. This is a very lovely look.&lt;br&gt;7" High.&lt;/p&gt;</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</si>
  <si>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</si>
  <si>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</si>
  <si>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</si>
  <si>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/img2/imge588.jpg</t>
  </si>
  <si>
    <t>www.americanretailsupply.com\65211\44190\Contemporary-Raw-Steel-Displays\6-Pair-Earring-Display.html</t>
  </si>
  <si>
    <t>&lt;p&gt;New line of Contemporary fixtures that will complement your retail store. All pieces are made of high quality Raw Steel and are finished in the popular "Pewter" gloss look. Decorative finials and trims make this line unique.&lt;/p&gt;</t>
  </si>
  <si>
    <t>Hat Stand</t>
  </si>
  <si>
    <t>/img3/imgd063.jpg</t>
  </si>
  <si>
    <t>www.americanretailsupply.com\65211\44194\Contemporary-Raw-Steel-Displays\Hat-Stand.html</t>
  </si>
  <si>
    <t>&lt;p&gt;Feature 10 watches on the 2 Tier Watch Display. This is a unique line that is very classy.&lt;br&gt;9 1/4" high.&lt;/p&gt;</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</si>
  <si>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</si>
  <si>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</si>
  <si>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</si>
  <si>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/img2/img5bb1.jpg</t>
  </si>
  <si>
    <t>www.americanretailsupply.com\65211\44195\Contemporary-Raw-Steel-Displays\2-Tier-Watch-Display.html</t>
  </si>
  <si>
    <t>&lt;p&gt;Give your blouses a classic look by featuring them on the Blouse Displayer. 19" x 30"&lt;/p&gt;</t>
  </si>
  <si>
    <t>Blouse Displayer</t>
  </si>
  <si>
    <t>/img2/img9066.jpg</t>
  </si>
  <si>
    <t>www.americanretailsupply.com\65211\44197\Contemporary-Raw-Steel-Displays\Blouse-Displayer.html</t>
  </si>
  <si>
    <t>&lt;p&gt;These Glass Top Displays are lovely and an asset to any retail store. 17" x 24" x 24". &lt;/p&gt;</t>
  </si>
  <si>
    <t>Glass Top Displays</t>
  </si>
  <si>
    <t>/img2/img8c5d.jpg</t>
  </si>
  <si>
    <t>www.americanretailsupply.com\65211\44199\Contemporary-Raw-Steel-Displays\Glass-Top-Displays.html</t>
  </si>
  <si>
    <t>&lt;p&gt;The 2 Sided Floor Mirror for Shoes is a great way for customers to get an accurate view of the shoes they wish to buy.&lt;/p&gt;</t>
  </si>
  <si>
    <t>2 Sided Floor Mirror for Shoes</t>
  </si>
  <si>
    <t>/img1/imgddec.jpg</t>
  </si>
  <si>
    <t>www.americanretailsupply.com\65211\44207\Contemporary-Raw-Steel-Displays\2-Sided-Floor-Mirror-for-Shoes.html</t>
  </si>
  <si>
    <t>&lt;p&gt;This Hanging Wall Mirror allows a customer to have a full view of the outfit they are trying on. Put this Hanging Wall Mirror in your dressing rooms to add a unique look to the rooms.&lt;/p&gt;</t>
  </si>
  <si>
    <t>Hanging Wall Mirror</t>
  </si>
  <si>
    <t>/img3/img0d1f.jpg</t>
  </si>
  <si>
    <t>www.americanretailsupply.com\65211\44208\Contemporary-Raw-Steel-Displays\Hanging-Wall-Mirror.html</t>
  </si>
  <si>
    <t>&lt;p&gt;Contemporary countertop earring card display stand is perfect for displaying earrings in your retail jewelry or gift store. 15" high.&lt;/p&gt;</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</si>
  <si>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</si>
  <si>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</si>
  <si>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</si>
  <si>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/img1/img5089.jpg</t>
  </si>
  <si>
    <t>www.americanretailsupply.com\65211\47155\Contemporary-Raw-Steel-Displays\Earring-Card-Display.html</t>
  </si>
  <si>
    <t>&lt;p&gt;15" high.&lt;/p&gt;</t>
  </si>
  <si>
    <t>24 Pair Earring Display</t>
  </si>
  <si>
    <t>/img3/img7eb9.jpg</t>
  </si>
  <si>
    <t>www.americanretailsupply.com\65211\47156\Contemporary-Raw-Steel-Displays\24-Pair-Earring-Display.html</t>
  </si>
  <si>
    <t>&lt;p&gt;This 2 tier counter top jewelry display stand is perfect for displaying necklaces and bracelets. 12" high.&lt;/p&gt;</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</si>
  <si>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</si>
  <si>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</si>
  <si>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</si>
  <si>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/img1/imgfc92.jpg</t>
  </si>
  <si>
    <t>www.americanretailsupply.com\65211\47157\Contemporary-Raw-Steel-Displays\2-Tier-Jewelry-Display-Stand.html</t>
  </si>
  <si>
    <t>&lt;p&gt;Contemporary counter top necklace or bracelet jewelry display stand. 15" high.&lt;/p&gt;</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</si>
  <si>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</si>
  <si>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</si>
  <si>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</si>
  <si>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/img2/imgb06c.jpg</t>
  </si>
  <si>
    <t>www.americanretailsupply.com\65211\47158\Contemporary-Raw-Steel-Displays\1-Tier-Jewelry-Display-Stand.html</t>
  </si>
  <si>
    <t>&lt;p&gt;The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amount.&lt;/p&gt;</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</si>
  <si>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</si>
  <si>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</si>
  <si>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</si>
  <si>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/img3/imgc4b0.jpg</t>
  </si>
  <si>
    <t>www.americanretailsupply.com\65211\47207\Contemporary-Raw-Steel-Displays\Free-Standing-Jewelry-Display-Case.html</t>
  </si>
  <si>
    <t>&lt;p&gt;These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&lt;/p&gt;</t>
  </si>
  <si>
    <t>Contemporary Design Display Racks</t>
  </si>
  <si>
    <t>/img2/img27ea.jpg</t>
  </si>
  <si>
    <t>www.americanretailsupply.com\65211\253859\Contemporary-Raw-Steel-Displays\Contemporary-Design-Display-Racks.html</t>
  </si>
  <si>
    <t>&lt;p&gt;5 1/2" high.&lt;/p&gt;</t>
  </si>
  <si>
    <t>"T" Type Earring Display</t>
  </si>
  <si>
    <t>/img2/img7062.jpg</t>
  </si>
  <si>
    <t>www.americanretailsupply.com\65211\447141\Contemporary-Raw-Steel-Displays\T-Type-Earring-Display.html</t>
  </si>
  <si>
    <t>&lt;p&gt;Contemporary steel countertop earring display stand. 16" high.&lt;/p&gt;</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</si>
  <si>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</si>
  <si>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</si>
  <si>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</si>
  <si>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/img3/img753c.jpg</t>
  </si>
  <si>
    <t>www.americanretailsupply.com\65211\447143\Contemporary-Raw-Steel-Displays\12-Pair-Earring-Display.html</t>
  </si>
  <si>
    <t>&lt;p&gt;This 3 tier countertop jewelry display is perfect for displaying necklaces and bracelets in your retail store. 12" high.&lt;/p&gt;</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</si>
  <si>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</si>
  <si>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</si>
  <si>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</si>
  <si>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/img2/imgbe3b.jpg</t>
  </si>
  <si>
    <t>www.americanretailsupply.com\65211\447145\Contemporary-Raw-Steel-Displays\3-Tier-Jewelry-Display.html</t>
  </si>
  <si>
    <t>&lt;p&gt;The Collapsible Easel has a divinely classic look about it, giving that look to anything that is displayed on it.&lt;/p&gt;</t>
  </si>
  <si>
    <t>Collapsible Easel</t>
  </si>
  <si>
    <t>/img1/imgb80f.jpg</t>
  </si>
  <si>
    <t>www.americanretailsupply.com\65211\447147\Contemporary-Raw-Steel-Displays\Collapsible-Easel.html</t>
  </si>
  <si>
    <t>&lt;p&gt;  Have the ability to display items on your ladders by using the Belt Ladder Attachments. We offer them in several different sizes for your convenience.&lt;/p&gt;</t>
  </si>
  <si>
    <t>Belt Ladder Attachments</t>
  </si>
  <si>
    <t>/img3/img8c35.jpg</t>
  </si>
  <si>
    <t>www.americanretailsupply.com\65211\447148\Contemporary-Raw-Steel-Displays\Belt-Ladder-Attachments.html</t>
  </si>
  <si>
    <t>&lt;p&gt;Here is real value for your money a Million Dollar Bill. Sell your customers a fake million dollar bill for $1.00 each. It is a great stocking stuffer gift for your favorite inlaw or just about anybody else you can think of. &lt;/p&gt;</t>
  </si>
  <si>
    <t>Fake Million Dollar Bill for Sale Online</t>
  </si>
  <si>
    <t>fake million dollar bill stand display card million dollar bills</t>
  </si>
  <si>
    <t>A million dollar bill is gift anyone would appreciate, these fake million dollar bills are fun and a real value for the money.</t>
  </si>
  <si>
    <t>/img1/imgc95d.jpg</t>
  </si>
  <si>
    <t>www.americanretailsupply.com\64695\1755\Contest-Boxes\Million-Dollar-Bill.html</t>
  </si>
  <si>
    <t>&lt;p&gt;The contest box is 11 x 11 x 14" when assembled.  The red on white attention getting boxes generate excitement for your contest.  Made of sturdy white cardboard. The one piece design assembles easily in seconds without tape.&lt;br&gt; &lt;/p&gt;</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</si>
  <si>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</si>
  <si>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</si>
  <si>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</si>
  <si>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/img3/imgbb9f.jpg</t>
  </si>
  <si>
    <t>www.americanretailsupply.com\64695\173651\Contest-Boxes\Corrugated-Contest-Box.html</t>
  </si>
  <si>
    <t>&lt;p&gt;Goose Neck Forms - for women's blouses in Black or Chrome - 17" Hangers adjust in height from 19" to 34" on a 5" x 7" weighted base. Includes adjustable waist cinch.&lt;/p&gt;</t>
  </si>
  <si>
    <t>Goose Neck Blouse Display</t>
  </si>
  <si>
    <t>/img3/imgb906.jpg</t>
  </si>
  <si>
    <t>www.americanretailsupply.com\65154\37073\Costumers\Goose-Neck-Blouse-Display.html</t>
  </si>
  <si>
    <t>&lt;p&gt;This Child Flex Form Plush Black form may be shaped into any position and hung form cord or wire. Form has 3/8" fitting for mounting.&lt;/p&gt;</t>
  </si>
  <si>
    <t>Child Flex Form Plush Black</t>
  </si>
  <si>
    <t>/img3/imgaa38.jpg</t>
  </si>
  <si>
    <t>www.americanretailsupply.com\65154\156021\Costumers\Child-Flex-Form-Plush-Black.html</t>
  </si>
  <si>
    <t>&lt;p&gt;Adult Flex Form Plush Black May be shaped into any position and hung form cord or wire. Form has 3/8" fitting for mounting.  #8B base and #7U upright are additional.  Please call for pricing.&lt;br&gt;Product Dimensions: 62" Height, 19" Arms, 41" Legs&lt;br&gt;&lt;br&gt; &lt;br&gt;&lt;br&gt;&lt;/p&gt;</t>
  </si>
  <si>
    <t>Adult Flex Form Plush Black</t>
  </si>
  <si>
    <t>www.americanretailsupply.com\65154\156022\Costumers\Adult-Flex-Form-Plush-Black.html</t>
  </si>
  <si>
    <t>&lt;p&gt;Affordable Adj Notched Costumer slim-line costumer adjusts every 3" from 49"-78" and accommodates men's, women's and children's garments. Has convenient notch at top to hold hanger. The most cost-effective costumer on the market!&lt;br&gt;&lt;/p&gt;</t>
  </si>
  <si>
    <t>Adj Notched Costumer</t>
  </si>
  <si>
    <t>/img2/img71ca.jpg</t>
  </si>
  <si>
    <t>www.americanretailsupply.com\65154\156029\Costumers\Adj-Notched-Costumer.html</t>
  </si>
  <si>
    <t>&lt;p&gt;Attractive and very affordable Countertop with Shoulder Bar Black is a metal costumer is made of epoxy coated square tubing. Finish in Matte Black. The removable bar allows for easy dressing and undressing. Base is 12" x 15".&lt;br&gt;Product Dimensions: 36"H; Hanger is 19"W &lt;br&gt;&lt;/p&gt;</t>
  </si>
  <si>
    <t>Countertop with Shoulder Bar Black</t>
  </si>
  <si>
    <t>/img3/img3114.jpg</t>
  </si>
  <si>
    <t>www.americanretailsupply.com\65154\156071\Costumers\Countertop-with-Shoulder-Bar-Black.html</t>
  </si>
  <si>
    <t>&lt;p&gt;Affordable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&lt;br&gt;&lt;/p&gt;</t>
  </si>
  <si>
    <t>Floor Stand with Shoulder Bar Black</t>
  </si>
  <si>
    <t>/img1/img3bff.jpg</t>
  </si>
  <si>
    <t>www.americanretailsupply.com\65154\156072\Costumers\Floor-Stand-with-Shoulder-Bar-Black.html</t>
  </si>
  <si>
    <t>&lt;p&gt;Attractive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&lt;/p&gt;</t>
  </si>
  <si>
    <t>Child Floor Stand</t>
  </si>
  <si>
    <t>/img1/img6416.jpg</t>
  </si>
  <si>
    <t>www.americanretailsupply.com\65154\156073\Costumers\Child-Floor-Stand.html</t>
  </si>
  <si>
    <t>&lt;p&gt;This Men's Floor Stand displayer has a 15" x 15" base, 19" hanger with decorative ball at top. Is adjustable from 55"-72". Clip waist attachment included.&lt;br&gt;Finished in Matte Black&lt;/p&gt;</t>
  </si>
  <si>
    <t>Men's Floor Stand</t>
  </si>
  <si>
    <t>www.americanretailsupply.com\65154\156074\Costumers\Mens-Floor-Stand.html</t>
  </si>
  <si>
    <t>&lt;p&gt;Displayer has a 10" x 10" base, 19" hanger with decorative ball at top. 46" adjustable upright. Clip waist attachment included.&lt;br&gt;Matte Black finish.&lt;/p&gt;</t>
  </si>
  <si>
    <t>Men's Countertop</t>
  </si>
  <si>
    <t>/img2/img06f3.jpg</t>
  </si>
  <si>
    <t>www.americanretailsupply.com\65154\156079\Costumers\Mens-Countertop.html</t>
  </si>
  <si>
    <t>&lt;p&gt;2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&lt;/p&gt;</t>
  </si>
  <si>
    <t>2 Tier Counter Spinner Display with 12 Pegs</t>
  </si>
  <si>
    <t>/img1/img4245.jpg</t>
  </si>
  <si>
    <t>www.americanretailsupply.com\64797\734990\Counter-Top-Racks\2-Tier-Counter-Spinner-Display-with-12-Pegs.html</t>
  </si>
  <si>
    <t>&lt;p&gt;18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included&lt;br&gt;&lt;/p&gt;</t>
  </si>
  <si>
    <t>White 18 Pocket Countertop Card Spinner</t>
  </si>
  <si>
    <t>/img2/img7a61.jpg</t>
  </si>
  <si>
    <t>www.americanretailsupply.com\64797\734991\Counter-Top-Racks\White-18-Pocket-Countertop-Card-Spinner.html</t>
  </si>
  <si>
    <t>&lt;p&gt;Just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D&lt;/p&gt;</t>
  </si>
  <si>
    <t>White Linear Counter Display</t>
  </si>
  <si>
    <t>/img2/imgdf17.jpg</t>
  </si>
  <si>
    <t>www.americanretailsupply.com\64797\735010\Counter-Top-Racks\White-Linear-Counter-Display.html</t>
  </si>
  <si>
    <t>&lt;p&gt;Dimensions: 21"H x 15"W x 9"D. The shelf depth ranges from 4 1/2" to 8 1/2".  Each tier includes a welded sign channel 14" wide x 1 1/2" high.&lt;br&gt;&lt;br&gt;&lt;/p&gt;</t>
  </si>
  <si>
    <t>Black 5 Tier Merchandiser Counter Rack</t>
  </si>
  <si>
    <t>/img3/img1ef6.jpg</t>
  </si>
  <si>
    <t>www.americanretailsupply.com\64797\735011\Counter-Top-Racks\Black-5-Tier-Merchandiser-Counter-Rack.html</t>
  </si>
  <si>
    <t>&lt;p&gt;Crossbar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items.&lt;/p&gt;</t>
  </si>
  <si>
    <t>Crossbar Accessories</t>
  </si>
  <si>
    <t>/img2/img52c0.jpg</t>
  </si>
  <si>
    <t>www.americanretailsupply.com\64960\37818\Cross-Bars\Crossbar-Accessories.html</t>
  </si>
  <si>
    <t>&lt;p&gt;Crystalline White Translucent Female fiberglass, mannequin with oval head. This life-size mannequin will draw attention from anywhere in the store.&lt;br&gt;&lt;/p&gt;</t>
  </si>
  <si>
    <t>White Translucent Female</t>
  </si>
  <si>
    <t>/img1/img4749.jpg</t>
  </si>
  <si>
    <t>www.americanretailsupply.com\65156\740886\Crystalline-Series-Mannequins\White-Translucent-Female.html</t>
  </si>
  <si>
    <t>&lt;p&gt;Crystalline White Translucent Male fiberglass mannequin with oval head. This life-size mannequin will draw attention from anywhere in the store.&lt;br&gt;&lt;/p&gt;</t>
  </si>
  <si>
    <t>White Translucent Male</t>
  </si>
  <si>
    <t>/img1/imgffa4.jpg</t>
  </si>
  <si>
    <t>www.americanretailsupply.com\65156\740887\Crystalline-Series-Mannequins\White-Translucent-Male.html</t>
  </si>
  <si>
    <t>&lt;p&gt;              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below.&lt;br&gt;&lt;br&gt;&lt;/p&gt;</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</si>
  <si>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</si>
  <si>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</si>
  <si>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</si>
  <si>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/img2/img79b5.jpg</t>
  </si>
  <si>
    <t>www.americanretailsupply.com\64735\19865\Curling-Ribbon\Curling-Ribbon.html</t>
  </si>
  <si>
    <t>&lt;p&gt;Crimped Metallic Tone Curling Ribbon available in emerald, red, silver, and gold.&lt;br&gt;Order curling ribbon by the roll.&lt;br&gt;Roll sizes are 3/16" x 250 yards. &lt;/p&gt;</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</si>
  <si>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</si>
  <si>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</si>
  <si>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</si>
  <si>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/img1/img453d.jpg</t>
  </si>
  <si>
    <t>www.americanretailsupply.com\64735\19866\Curling-Ribbon\Crimped-Metallic-Tone-Curling-Ribbon.html</t>
  </si>
  <si>
    <t>&lt;p&gt;&lt;br&gt;&lt;br&gt;&lt;br&gt;Printed Curling Ribbon with a smooth texture that is Made in the USA of 100% polypropylene.&lt;br&gt;&lt;br&gt;&lt;/p&gt;</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</si>
  <si>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</si>
  <si>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</si>
  <si>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</si>
  <si>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/img2/img1fb7.jpg</t>
  </si>
  <si>
    <t>www.americanretailsupply.com\64735\746204\Curling-Ribbon\Printed-Curling-Ribbon.html</t>
  </si>
  <si>
    <t>&lt;p&gt;&lt;br&gt;&lt;br&gt;&lt;br&gt;Solid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U.S.A.&lt;/p&gt;</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</si>
  <si>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</si>
  <si>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</si>
  <si>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</si>
  <si>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/img2/img906c.jpg</t>
  </si>
  <si>
    <t>www.americanretailsupply.com\64703\19958\Custom-Tissue-Paper--Custom-Gift-Wrapping\Solid-Color-Tissue-Paper.html</t>
  </si>
  <si>
    <t>&lt;p&gt;One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  Any questions, feel free to call your customer representative at 800-426-5708. Order candy boxes by the case of 250 boxes. &lt;/p&gt;</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</si>
  <si>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</si>
  <si>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</si>
  <si>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</si>
  <si>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/img2/img1efc.jpg</t>
  </si>
  <si>
    <t>www.americanretailsupply.com\65084\18449\Decorative-Corrugated-Boxes\Folding-Candy-Boxes.html</t>
  </si>
  <si>
    <t>&lt;p&gt;  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 used in 54P3970 (13 1/8" x 7 1/8" x 3 1/2", 50 per pack) available for purchase &lt;a href="http://arsv2.eporiaservices.com/22217/732233/Decorative-Corrugated-Boxes/Inserts-and-Dividers.html"&gt;here.&lt;br&gt;Order boxes by the package.&lt;br&gt;Each package has 50 boxes, unless otherwise listed.&lt;br&gt;&lt;br&gt;&lt;/p&gt;</t>
  </si>
  <si>
    <t>Red Gift Boxes - Special Occasion, Holiday and Christmas Gift Boxes and Packaging Supplies</t>
  </si>
  <si>
    <t>gift box, christmas gift boxes</t>
  </si>
  <si>
    <t>Gift boxes for Christmas and holiday gift wrapping, order gift boxes and packaging supplies for your retail store online.</t>
  </si>
  <si>
    <t>/img3/img730b.jpg</t>
  </si>
  <si>
    <t>www.americanretailsupply.com\64709\226749\Decorative-Corrugated-Boxes\Red-Satin-Gift-Boxes.html</t>
  </si>
  <si>
    <t>&lt;p&gt;    These gift Christmas &amp;amp; Holiday Gift Boxes are perfect for use in your retail store during the Christmas and holiday season!&lt;br&gt;Order boxes by the package.&lt;br&gt;Each package has 50 boxes, unless otherwise listed.&lt;br&gt;&lt;br&gt;&lt;/p&gt;</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</si>
  <si>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</si>
  <si>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</si>
  <si>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</si>
  <si>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/img1/img1f69.jpg</t>
  </si>
  <si>
    <t>www.americanretailsupply.com\64709\226750\Decorative-Corrugated-Boxes\Christmas--Holiday-Gift-Boxes.html</t>
  </si>
  <si>
    <t>&lt;p&gt;    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noted.&lt;/p&gt;</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</si>
  <si>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</si>
  <si>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</si>
  <si>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</si>
  <si>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/img1/img408b.jpg</t>
  </si>
  <si>
    <t>www.americanretailsupply.com\64709\226751\Decorative-Corrugated-Boxes\Red--Hunter-Green-Bows-Gift-Boxes.html</t>
  </si>
  <si>
    <t>&lt;p&gt;    Burnished Gold boxes are an elegant, easy way to package your items. Two bottle divider item &lt;a href="http://arsv2.eporiaservices.com/22217/732233/Decorative-Corrugated-Boxes/Inserts-and-Dividers.html"&gt;54P4088 is used in 54P4816 (13 1/8 x 7 1/8 x 3 1/2, 50 per pack). Order boxes by the package.&lt;br&gt;Each package has 50 boxes, unless otherwise listed.&lt;/p&gt;</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</si>
  <si>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</si>
  <si>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</si>
  <si>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</si>
  <si>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/img2/imgb4a0.jpg</t>
  </si>
  <si>
    <t>www.americanretailsupply.com\64709\226758\Decorative-Corrugated-Boxes\Burnished-Gold.html</t>
  </si>
  <si>
    <t>&lt;p&gt;  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noted.&lt;br&gt;&lt;/p&gt;</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</si>
  <si>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</si>
  <si>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</si>
  <si>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</si>
  <si>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/img3/img0020.jpg</t>
  </si>
  <si>
    <t>www.americanretailsupply.com\64709\226769\Decorative-Corrugated-Boxes\Spruce-Green-Brushstroke-Gift-Boxes.html</t>
  </si>
  <si>
    <t>&lt;p&gt;    Silver Plated look for these boxes is so elegant. Let your creativity go with the possibilities. Three bottle divider is item &lt;a href="http://arsv2.eporiaservices.com/22217/732233/Decorative-Corrugated-Boxes/Inserts-and-Dividers.html"&gt;54P4067 used in 54P3635 (11 3/4" x 14" x 4 1/4", 25 per pack).&lt;br&gt;Order boxes by the package.&lt;br&gt;Each package has 50 boxes, unless otherwise listed.&lt;br&gt;&lt;br&gt;&lt;/p&gt;</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</si>
  <si>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</si>
  <si>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</si>
  <si>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</si>
  <si>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/img1/img84e3.jpg</t>
  </si>
  <si>
    <t>www.americanretailsupply.com\64709\226770\Decorative-Corrugated-Boxes\Silver-Plated.html</t>
  </si>
  <si>
    <t>&lt;p&gt;  Holstein pattern gift boxes are so fun and easy to use for your customers purchases.&lt;br&gt;Order boxes by the package.&lt;br&gt;Each package has 50 boxes, unless otherwise listed.&lt;/p&gt;</t>
  </si>
  <si>
    <t>Decorative Corrugated Boxes - Holstein Print</t>
  </si>
  <si>
    <t>decorative gift boxes packaging cardboard gift box cow print</t>
  </si>
  <si>
    <t>Decorative cardboard gift boxes in black and white cow print available in multiple sizes for all your retail and bulk gift packaging needs.</t>
  </si>
  <si>
    <t>/img2/img5a93.jpg</t>
  </si>
  <si>
    <t>www.americanretailsupply.com\64709\226776\Decorative-Corrugated-Boxes\Holstein.html</t>
  </si>
  <si>
    <t>&lt;p&gt;    Kraft gift boxes. Two bottle divider is item # &lt;a href="http://arsv2.eporiaservices.com/64709/732233/Decorative-Corrugated-Boxes-V2/Inserts-and-Dividers.html"&gt;54P4088 used in 54P4694 (13 1/8" x 7 1/8" x 3 1/2", 50 per pack) available for purchase &lt;a href="http://arsv2.eporiaservices.com/64709/732233/Decorative-Corrugated-Boxes-V2/Inserts-and-Dividers.html"&gt;here.&lt;br&gt;Order boxes by the package.&lt;br&gt;Each package has 50 boxes, unless otherwise listed.&lt;/p&gt;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</si>
  <si>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</si>
  <si>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</si>
  <si>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</si>
  <si>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/img2/imgc203.jpg</t>
  </si>
  <si>
    <t>www.americanretailsupply.com\64709\226778\Decorative-Corrugated-Boxes\Kraft.html</t>
  </si>
  <si>
    <t>&lt;p&gt;    Create your own look by using White Kraft gift boxes along with attractive &lt;a href="http://arsv2.eporiaservices.com/64492/Bows--Ribbon-V2.html"&gt;Bows and Ribbons.&lt;br&gt;Order boxes by the package.&lt;br&gt;Each package has 50 boxes, unless otherwise listed.&lt;/p&gt;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</si>
  <si>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</si>
  <si>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</si>
  <si>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</si>
  <si>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/img2/imgf4d8.jpg</t>
  </si>
  <si>
    <t>www.americanretailsupply.com\64709\226780\Decorative-Corrugated-Boxes\White-Kraft.html</t>
  </si>
  <si>
    <t>&lt;p&gt;    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listed.&lt;br&gt;&lt;br&gt;&lt;/p&gt;</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</si>
  <si>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</si>
  <si>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</si>
  <si>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</si>
  <si>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/img3/img3d40.jpg</t>
  </si>
  <si>
    <t>www.americanretailsupply.com\64709\226911\Decorative-Corrugated-Boxes\Hunter-Green-Kraft-Gift-Boxes.html</t>
  </si>
  <si>
    <t>&lt;p&gt;    Black Kraft Boxes are here. Two-bottle divider is item # &lt;a&gt;54P4088 and used in 54P4271 (13 1/8" x 7 1/8" x 3 1/2" - 50 per pack) available for purchase &lt;a href="http://arsv2.eporiaservices.com/64709/732233/Decorative-Corrugated-Boxes-V2/Inserts-and-Dividers.html"&gt;here.  Three bottle divider is item #&lt;a&gt;54P4067 and used in 54P4265 (11 3/4" x 14" x 4 1/4" -25 per pack) and available for purchase &lt;a href="http://arsv2.eporiaservices.com/64709/732233/Decorative-Corrugated-Boxes-V2/Inserts-and-Dividers.html"&gt;here.&lt;br&gt;Order boxes by the pack.&lt;br&gt;Each package has 50 boxes, unless otherwise listed.&lt;/p&gt;</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</si>
  <si>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</si>
  <si>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</si>
  <si>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</si>
  <si>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/img3/imgace2.jpg</t>
  </si>
  <si>
    <t>www.americanretailsupply.com\64709\226912\Decorative-Corrugated-Boxes\Black-Kraft-Boxes.html</t>
  </si>
  <si>
    <t>&lt;p&gt;    Chocolate colored boxes. Two-bottle divider (item # &lt;a href="http://arsv2.eporiaservices.com/64709/732233/Decorative-Corrugated-Boxes-V2/Inserts-and-Dividers.html"&gt;54P4088) used in 54P3643 (13 1/8" x 7 1/8" x 3 1/2", 50 per pack) available for purchase &lt;a href="http://arsv2.eporiaservices.com/64709/732233/Decorative-Corrugated-Boxes-V2/Inserts-and-Dividers.html"&gt;here.&lt;br&gt;Order boxes by the package.&lt;br&gt;Each package has 50 boxes, unless otherwise listed.&lt;/p&gt;</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</si>
  <si>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</si>
  <si>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</si>
  <si>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</si>
  <si>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/img2/img6c29.jpg</t>
  </si>
  <si>
    <t>www.americanretailsupply.com\64709\437364\Decorative-Corrugated-Boxes\Chocolate.html</t>
  </si>
  <si>
    <t>&lt;p&gt;    Such a beautiful pattern are our White Pine gift boxes.&lt;br&gt;Two bottle divider is item # &lt;a href="http://arsv2.eporiaservices.com/64709/732233/Decorative-Corrugated-Boxes-V2/Inserts-and-Dividers.html"&gt;54P4088 used in 54P3627 (13 1/8" x 7 1/8" x 3 1/2", 50 per pack) available for purchase &lt;a href="http://arsv2.eporiaservices.com/64709/732233/Decorative-Corrugated-Boxes-V2/Inserts-and-Dividers.html"&gt;here.&lt;br&gt;Order boxes by the package.&lt;br&gt;Each package has 50 boxes, unless otherwise listed.&lt;/p&gt;</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</si>
  <si>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</si>
  <si>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</si>
  <si>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</si>
  <si>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/img2/img2e8d.jpg</t>
  </si>
  <si>
    <t>www.americanretailsupply.com\64709\476533\Decorative-Corrugated-Boxes\White-Pine.html</t>
  </si>
  <si>
    <t>&lt;p&gt;    Beautiful Damask, Black &amp;amp; White boxes are so elegant.&lt;br&gt;Order boxes by the package.&lt;br&gt;Each package has 50 boxes, unless otherwise listed.&lt;/p&gt;</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</si>
  <si>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</si>
  <si>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</si>
  <si>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</si>
  <si>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/img3/img4ebf.jpg</t>
  </si>
  <si>
    <t>www.americanretailsupply.com\64709\476534\Decorative-Corrugated-Boxes\Damask-Black--White.html</t>
  </si>
  <si>
    <t>&lt;p&gt;  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breaking&lt;br&gt;&lt;br&gt;&lt;/p&gt;</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</si>
  <si>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</si>
  <si>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</si>
  <si>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</si>
  <si>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/img1/img8268.jpg</t>
  </si>
  <si>
    <t>www.americanretailsupply.com\64709\732233\Decorative-Corrugated-Boxes\Inserts-and-Dividers.html</t>
  </si>
  <si>
    <t>&lt;p&gt;    These Stripes gift boxes are perfect for use in your retail store during the Christmas and holiday season!&lt;br&gt;Order boxes by the package.&lt;br&gt;Each package has 50 boxes, unless otherwise listed.&lt;br&gt;&lt;br&gt;&lt;/p&gt;</t>
  </si>
  <si>
    <t>/img3/img1c75.jpg</t>
  </si>
  <si>
    <t>www.americanretailsupply.com\64709\734396\Decorative-Corrugated-Boxes\Stripes.html</t>
  </si>
  <si>
    <t>&lt;p&gt;  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listed.&lt;br&gt;&lt;br&gt;&lt;/p&gt;</t>
  </si>
  <si>
    <t>Poinsettia Gift Boxes - Special Occasion, Holiday and Christmas Gift Boxes and Packaging Supplies</t>
  </si>
  <si>
    <t>gift box, christmas gift boxes, corrugated boxes</t>
  </si>
  <si>
    <t>/img2/img2020.jpg</t>
  </si>
  <si>
    <t>www.americanretailsupply.com\64709\734550\Decorative-Corrugated-Boxes\Poinsettia.html</t>
  </si>
  <si>
    <t>&lt;p&gt;Cheery Brilliant Stipe boxes are a great choice.&lt;br&gt;Order boxes by the package.&lt;br&gt;Each package has 50 boxes, unless otherwise listed.&lt;/p&gt;</t>
  </si>
  <si>
    <t>Brilliant Stripe</t>
  </si>
  <si>
    <t>/img3/img36ff.jpg</t>
  </si>
  <si>
    <t>www.americanretailsupply.com\64709\782111\Decorative-Corrugated-Boxes\Brilliant-Stripe.html</t>
  </si>
  <si>
    <t>&lt;p&gt;Solid color boxes are a great choice to mix and match with our &lt;a href="http://arsv2.eporiaservices.com/64492/Bows--Ribbon-V2.html"&gt;bows &amp;amp; ribbons or add your own touch with some &lt;a href="http://arsv2.eporiaservices.com/64703/Tissue-Paper-V2.html"&gt;colored tissue.&lt;br&gt;Order boxes by the package.&lt;br&gt;Each package has 50 boxes, unless otherwise listed.&lt;/p&gt;</t>
  </si>
  <si>
    <t>Bright Solids</t>
  </si>
  <si>
    <t>/img3/img98cd.jpg</t>
  </si>
  <si>
    <t>www.americanretailsupply.com\64709\782112\Decorative-Corrugated-Boxes\Bright-Solids.html</t>
  </si>
  <si>
    <t>&lt;p&gt;Wonderful print for the holidays or special occasions.&lt;br&gt;Order boxes by the package.&lt;br&gt;Each package has 50 boxes, unless otherwise listed.&lt;/p&gt;</t>
  </si>
  <si>
    <t>Streaming Lights</t>
  </si>
  <si>
    <t>/img1/img6e55.jpg</t>
  </si>
  <si>
    <t>www.americanretailsupply.com\64709\782114\Decorative-Corrugated-Boxes\Streaming-Lights.html</t>
  </si>
  <si>
    <t>&lt;p&gt;Bright red bags with a festive snowflake design. These bags, boxes and tins come in a variety of sizes to package up everything in your store for the holidays. Pair these with white or silver tissue for a wonderful finished look. See item descriptions for case sizes. &lt;br&gt;&lt;/p&gt;</t>
  </si>
  <si>
    <t>Presents Please Collection</t>
  </si>
  <si>
    <t>/img3/imgc86c.jpg</t>
  </si>
  <si>
    <t>www.americanretailsupply.com\65753\787808\Decorative-Holiday-Packaging\Presents-Please-Collection.html</t>
  </si>
  <si>
    <t>&lt;p&gt;These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&lt;/p&gt;</t>
  </si>
  <si>
    <t>Sophie Holiday Greeting &amp; Ornaments</t>
  </si>
  <si>
    <t>/img2/imgb690.jpg</t>
  </si>
  <si>
    <t>www.americanretailsupply.com\65753\787809\Decorative-Holiday-Packaging\Sophie-Holiday-Greeting--Ornaments.html</t>
  </si>
  <si>
    <t>&lt;p&gt;These classic inspired bags are available in paper and plastic in a variety of popular sizes. The colors work with so many other colors that your options for holiday packaging are endless. See item descriptions for case sizes.  &lt;/p&gt;</t>
  </si>
  <si>
    <t>Retro Gift Collection</t>
  </si>
  <si>
    <t>/img2/img08f4.jpg</t>
  </si>
  <si>
    <t>www.americanretailsupply.com\65753\787810\Decorative-Holiday-Packaging\Retro-Gift-Collection.html</t>
  </si>
  <si>
    <t>&lt;p&gt;Poinsettias are a fun and common sign of the holiday season. These colorful bags match with some many colors and add a festive retro look to your holiday packaging. Available in three sizes.&lt;/p&gt;</t>
  </si>
  <si>
    <t>Poinsettia Collection</t>
  </si>
  <si>
    <t>/img2/img6f16.jpg</t>
  </si>
  <si>
    <t>www.americanretailsupply.com\65753\787812\Decorative-Holiday-Packaging\Poinsettia-Collection.html</t>
  </si>
  <si>
    <t>&lt;p&gt;Vintage Santa and reindeer give these bags a nostalgic feel. These bags come in three sizes and are made in the USA. Click on each design to see these warm and homey patterns up close.&lt;/p&gt;</t>
  </si>
  <si>
    <t>Nicolas Collection</t>
  </si>
  <si>
    <t>/img1/img8eac.jpg</t>
  </si>
  <si>
    <t>www.americanretailsupply.com\65753\787813\Decorative-Holiday-Packaging\Nicolas-Collection.html</t>
  </si>
  <si>
    <t>&lt;p&gt;&lt;br&gt;&lt;br&gt;&lt;br&gt;Wonderful and wintery white bags with silver snowflakes dress up your holiday packaging with sparkle. Match these bags with a silver tissue or dress them up with blue red or green. Made from 50% recycled materials and in the USA. &lt;/p&gt;</t>
  </si>
  <si>
    <t>Shimmering Snowflake Collection</t>
  </si>
  <si>
    <t>/img1/img1f1e.jpg</t>
  </si>
  <si>
    <t>www.americanretailsupply.com\65753\787814\Decorative-Holiday-Packaging\Shimmering-Snowflake-Collection.html</t>
  </si>
  <si>
    <t>&lt;p&gt;These bags can be used for the holiday season or just as a change for the season bag. Four popular sizes in a 2.50mil plastic bags that is recyclable and biodegradable. Packaged 500 bags per case. &lt;/p&gt;</t>
  </si>
  <si>
    <t>Winter City Collection</t>
  </si>
  <si>
    <t>/img1/imga6ab.jpg</t>
  </si>
  <si>
    <t>www.americanretailsupply.com\65753\787815\Decorative-Holiday-Packaging\Winter-City-Collection.html</t>
  </si>
  <si>
    <t>&lt;p&gt;Solid Bags&lt;br&gt;Select from colors to set your store apart from others. Try using our decorative &lt;a href="http://arsv2.eporiaservices.com/64492/Bows--Ribbon-V2.html"&gt;Bows &amp;amp; Ribbons.&lt;br&gt;Priced per case of 25.&lt;/p&gt;</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</si>
  <si>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</si>
  <si>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</si>
  <si>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</si>
  <si>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/img1/img80c5.jpg</t>
  </si>
  <si>
    <t>www.americanretailsupply.com\64715\172944\E--Flute-Decorative-Boxes\Solid-Bags.html</t>
  </si>
  <si>
    <t>&lt;p&gt;Heart Bag&lt;br&gt;Really sets the tone for these versatile bags.&lt;br&gt;Priced per case of 25.&lt;/p&gt;</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</si>
  <si>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</si>
  <si>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</si>
  <si>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</si>
  <si>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/img2/img49e1.jpg</t>
  </si>
  <si>
    <t>www.americanretailsupply.com\64715\172946\E--Flute-Decorative-Boxes\Heart-Window-Bag.html</t>
  </si>
  <si>
    <t>&lt;p&gt;So very cute are these Bunny Bags.&lt;br&gt;3 3/4" x 2 1/4" x 8"&lt;/p&gt;</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</si>
  <si>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</si>
  <si>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</si>
  <si>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</si>
  <si>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/img3/img2b4d.jpg</t>
  </si>
  <si>
    <t>www.americanretailsupply.com\64715\172947\E--Flute-Decorative-Boxes\Bunny-Window-Bag.html</t>
  </si>
  <si>
    <t>&lt;p&gt;Wonderful color for these Diamond Single Face Bags&lt;br&gt;Priced per case of 25.&lt;/p&gt;</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</si>
  <si>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</si>
  <si>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</si>
  <si>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</si>
  <si>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/img1/imgad0b.jpg</t>
  </si>
  <si>
    <t>www.americanretailsupply.com\64715\227247\E--Flute-Decorative-Boxes\Diamond-Window-Bag.html</t>
  </si>
  <si>
    <t>&lt;p&gt;Star Single Face Bag&lt;br&gt;Are terrific for any customer purchases.&lt;br&gt;Priced per case of 25.&lt;/p&gt;</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</si>
  <si>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</si>
  <si>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</si>
  <si>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</si>
  <si>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/img2/img01c3.jpg</t>
  </si>
  <si>
    <t>www.americanretailsupply.com\64715\227248\E--Flute-Decorative-Boxes\Star-Window-Bag.html</t>
  </si>
  <si>
    <t>&lt;p&gt;Look at these Tree Single Face Gift Bags that are perfect for Christmas, holiday and year round use. These gift bags are available in small and large sizes and also available with a handle.&lt;br&gt;Priced per case of 25.&lt;/p&gt;</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</si>
  <si>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</si>
  <si>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</si>
  <si>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</si>
  <si>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/img3/imge5a9.jpg</t>
  </si>
  <si>
    <t>www.americanretailsupply.com\64715\227249\E--Flute-Decorative-Boxes\Tree-Window-Bag.html</t>
  </si>
  <si>
    <t>&lt;p&gt;  If you want to know more about EAS Labels, call us at 1-800-426-5708 and we can help answer any questions you have.   &lt;/p&gt;</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</si>
  <si>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</si>
  <si>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</si>
  <si>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</si>
  <si>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/img2/imgc329.jpg</t>
  </si>
  <si>
    <t>www.americanretailsupply.com\64895\228942\EAS-Electronic-Article-Surveillance\EAS-Labels.html</t>
  </si>
  <si>
    <t>&lt;p&gt;  If you want to know more about EAS Hard Tags, call us at 1-800-426-5708 and we can help answer any questions you have.   &lt;/p&gt;</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</si>
  <si>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</si>
  <si>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</si>
  <si>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</si>
  <si>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/img1/img5884.jpg</t>
  </si>
  <si>
    <t>www.americanretailsupply.com\64895\228943\EAS-Electronic-Article-Surveillance\EAS-Hard-Tags.html</t>
  </si>
  <si>
    <t>&lt;p&gt;            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case.&lt;/p&gt;</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</si>
  <si>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</si>
  <si>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</si>
  <si>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</si>
  <si>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/img1/imgebad.jpg</t>
  </si>
  <si>
    <t>www.americanretailsupply.com\66198\20276\Eco-Friendly-Plastic-Bags\Patch-Handle-Plastic-Merchandise-Bags.html</t>
  </si>
  <si>
    <t>&lt;p&gt;  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indicated.&lt;br&gt;&lt;br&gt;&lt;/p&gt;</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</si>
  <si>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</si>
  <si>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</si>
  <si>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</si>
  <si>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/img2/img6bfa.jpg</t>
  </si>
  <si>
    <t>www.americanretailsupply.com\66198\49187\Eco-Friendly-Plastic-Bags\Frosted-SOS-Gift-Bags.html</t>
  </si>
  <si>
    <t>&lt;p&gt; These high density frosted bags are made of 3.5 and 4 mil thick high density plastic. These shopping bags have a TRi fold handle made from 1-1/2". The 14" x 10" x 15" x 10" and 17" x 7" x 18" x 7" are sold 200 per case. All others are packed 250 per case.&lt;/p&gt;</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</si>
  <si>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</si>
  <si>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</si>
  <si>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</si>
  <si>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/img3/imga641.jpg</t>
  </si>
  <si>
    <t>www.americanretailsupply.com\66198\50114\Eco-Friendly-Plastic-Bags\Frosted-Shoppers-with-Tri-Folded-Loop-Handles.html</t>
  </si>
  <si>
    <t>&lt;p&gt;                     &lt;br&gt;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U.S.A.&lt;/p&gt;</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</si>
  <si>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</si>
  <si>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</si>
  <si>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</si>
  <si>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/img1/img8969.jpg</t>
  </si>
  <si>
    <t>www.americanretailsupply.com\66199\437246\Eco-Friendly-Recycled-Paper-Bags\Recycled-Natural-Kraft-Paper-Shopping-Bags.html</t>
  </si>
  <si>
    <t>&lt;p&gt; &lt;br&gt;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U.S.A.&lt;/p&gt;</t>
  </si>
  <si>
    <t>/img3/img2724.jpg</t>
  </si>
  <si>
    <t>www.americanretailsupply.com\66199\739028\Eco-Friendly-Recycled-Paper-Bags\Recycled-White-Kraft-Paper-Shopping-Bags.html</t>
  </si>
  <si>
    <t>&lt;p&gt;You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case.&lt;br&gt;&lt;/p&gt;</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</si>
  <si>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</si>
  <si>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</si>
  <si>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</si>
  <si>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/img3/img0a4d.jpg</t>
  </si>
  <si>
    <t>www.americanretailsupply.com\66200\435281\Eco-Friendly-Reusable-Bags\Personalized-Silk-Screened-Non-Woven-Reusable-Shopping-Bags.html</t>
  </si>
  <si>
    <t>&lt;p&gt;                 &lt;/p&gt;</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</si>
  <si>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</si>
  <si>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</si>
  <si>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</si>
  <si>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/img2/imgbd49.jpg</t>
  </si>
  <si>
    <t>www.americanretailsupply.com\66200\639363\Eco-Friendly-Reusable-Bags\Sparkling-Clear-Bags.html</t>
  </si>
  <si>
    <t>&lt;p&gt;                    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bags.&lt;br&gt;&lt;/p&gt;</t>
  </si>
  <si>
    <t>reusable bags custom printed wholesale reusable shopping bag, green bags, eco-friendly bags</t>
  </si>
  <si>
    <t>/img1/img12db.jpg</t>
  </si>
  <si>
    <t>www.americanretailsupply.com\66200\640298\Eco-Friendly-Reusable-Bags\Personalized-Color-Magic-Non-Woven-Reusable-Shopping-Bags.html</t>
  </si>
  <si>
    <t>&lt;p&gt;  They are laminated with the finest quality lacquer over heavy paper.  The top of the bag features a turned edge for strength and added elegance.  The handles are made of high quality rope strung through grommets.  These bags would look great with your name custom printed on them. &lt;/p&gt;</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</si>
  <si>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</si>
  <si>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</si>
  <si>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</si>
  <si>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/img1/imgeb61.jpg</t>
  </si>
  <si>
    <t>www.americanretailsupply.com\65072\29145\European-Tote-Style-Bags\Gloss-Laminated-EuroTotes.html</t>
  </si>
  <si>
    <t>&lt;p&gt;European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&lt;br&gt;&lt;/p&gt;</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</si>
  <si>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</si>
  <si>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</si>
  <si>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</si>
  <si>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/img3/img0bfa.jpg</t>
  </si>
  <si>
    <t>www.americanretailsupply.com\65072\445458\European-Tote-Style-Bags\Tinted-Paper-EuroTotes.html</t>
  </si>
  <si>
    <t>&lt;p&gt;  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below.&lt;/p&gt;</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</si>
  <si>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</si>
  <si>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</si>
  <si>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</si>
  <si>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/img1/img6406.jpg</t>
  </si>
  <si>
    <t>www.americanretailsupply.com\65072\445789\European-Tote-Style-Bags\Matte-Laminated-EuroTotes.html</t>
  </si>
  <si>
    <t>&lt;p&gt;Eurototes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charge.&lt;br&gt;&lt;br&gt;&lt;/p&gt;</t>
  </si>
  <si>
    <t>Natural and White Kraft Paper Eurototes</t>
  </si>
  <si>
    <t>/img2/img2f43.jpg</t>
  </si>
  <si>
    <t>www.americanretailsupply.com\65072\777847\European-Tote-Style-Bags\Natural-and-White-Kraft-Paper-Eurototes.html</t>
  </si>
  <si>
    <t>&lt;p&gt;Three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1-800-426-5708.&lt;/p&gt;</t>
  </si>
  <si>
    <t>Purse Totes</t>
  </si>
  <si>
    <t>/img3/img1fcd.jpg</t>
  </si>
  <si>
    <t>www.americanretailsupply.com\65072\788394\European-Tote-Style-Bags\Purse-Totes.html</t>
  </si>
  <si>
    <t>&lt;p&gt;Simply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&lt;/p&gt;</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</si>
  <si>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</si>
  <si>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</si>
  <si>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</si>
  <si>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/img3/img27a1.jpg</t>
  </si>
  <si>
    <t>www.americanretailsupply.com\64738\19674\Fabric-Ribbon\Simply-Sheer-Asiana-Fabric-Ribbon.html</t>
  </si>
  <si>
    <t>&lt;p&gt;Dyna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sheen.&lt;/p&gt;</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</si>
  <si>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</si>
  <si>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</si>
  <si>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</si>
  <si>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/img2/img1688.jpg</t>
  </si>
  <si>
    <t>www.americanretailsupply.com\64738\28871\Fabric-Ribbon\Dyna-Satin-Acetate-Ribbon.html</t>
  </si>
  <si>
    <t>&lt;p&gt;&lt;br&gt;&lt;br&gt;&lt;br&gt;Grosgrain Ribbon is a timeless favorite for packages, gifts, crafts and clothing.&lt;br&gt;Order ribbon by the roll.&lt;br&gt;Each roll is 100 or 50 yards as listed. &lt;br&gt;&lt;/p&gt;</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</si>
  <si>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</si>
  <si>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</si>
  <si>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</si>
  <si>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/img1/imgabdf.jpg</t>
  </si>
  <si>
    <t>www.americanretailsupply.com\64738\241280\Fabric-Ribbon\Grosgrain-Ribbon.html</t>
  </si>
  <si>
    <t>&lt;p&gt;Single Faced Satin Fabric Ribbon&lt;br&gt;Available in many different color and two different sizes. &lt;br&gt;Also check out Double Faced Satin Ribbon. &lt;/p&gt;</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</si>
  <si>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</si>
  <si>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</si>
  <si>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</si>
  <si>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/img2/img03a3.jpg</t>
  </si>
  <si>
    <t>www.americanretailsupply.com\64738\241281\Fabric-Ribbon\Single-Faced-Satin-Ribbon.html</t>
  </si>
  <si>
    <t>&lt;p&gt;Wired Encore Ribbon is a very sheer ribbon with a wired edge made from 100% polyester. &lt;br&gt;Available in 5/8" x 25 yds or 1 1/2" x 25 yds.&lt;/p&gt;</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</si>
  <si>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</si>
  <si>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</si>
  <si>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</si>
  <si>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/img3/img5d1c.jpg</t>
  </si>
  <si>
    <t>www.americanretailsupply.com\64738\254981\Fabric-Ribbon\Wired-Encore-Ribbon.html</t>
  </si>
  <si>
    <t>&lt;p&gt;Jungle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roll.&lt;br&gt;&lt;/p&gt;</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</si>
  <si>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</si>
  <si>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</si>
  <si>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</si>
  <si>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/img2/img3200.jpg</t>
  </si>
  <si>
    <t>www.americanretailsupply.com\64738\641888\Fabric-Ribbon\Jungle-Print-Polyester-Ribbon.html</t>
  </si>
  <si>
    <t>&lt;p&gt;Double Faced Satin Fabric Ribbon Available in many different color and two different sizes. &lt;br&gt;Also don't miss our Single Faced Satin Ribbon. &lt;/p&gt;</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</si>
  <si>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</si>
  <si>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</si>
  <si>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</si>
  <si>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/img1/imgfd54.jpg</t>
  </si>
  <si>
    <t>www.americanretailsupply.com\64738\773564\Fabric-Ribbon\Double-Faced-Satin-Ribbon.html</t>
  </si>
  <si>
    <t>&lt;p&gt;Many sizes and colors of our Fluorescent Rectangle Labels - Striking, and Bold Blank Self-Stick Labels available as Rectangles in four different sizes and six fluorescent colors.  Please see individual items for specific size and quantity per roll.&lt;/p&gt;</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</si>
  <si>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</si>
  <si>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</si>
  <si>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</si>
  <si>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/img3/imgdf9b.jpg</t>
  </si>
  <si>
    <t>www.americanretailsupply.com\64692\741538\Fluorescent-Labels\Fluorescent-Rectangle-Labels.html</t>
  </si>
  <si>
    <t>&lt;p&gt;Great way to capture attention with these Fluorescent Circle Labels - Bold, Blank Self-Stick Labels available as Circles in four sizes and six colors.  Please see individual items for specific size and quantity per roll.&lt;/p&gt;</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</si>
  <si>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</si>
  <si>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</si>
  <si>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</si>
  <si>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/img3/img7d7f.jpg</t>
  </si>
  <si>
    <t>www.americanretailsupply.com\64692\741539\Fluorescent-Labels\Fluorescent-Circle-Labels.html</t>
  </si>
  <si>
    <t>&lt;p&gt;Fluorescent Starburst Labels that make a group of items on your selves stand out with a simple label. Really Bold, Blank Self Stick Starbursts Labels available in four colors and one size. Please see individual items for specific size and quantity per roll.&lt;/p&gt;</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</si>
  <si>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</si>
  <si>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</si>
  <si>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</si>
  <si>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/img1/img1616.jpg</t>
  </si>
  <si>
    <t>www.americanretailsupply.com\64692\741540\Fluorescent-Labels\Fluorescent-Starburst-Labels.html</t>
  </si>
  <si>
    <t>&lt;p&gt;People feel good when they buy "Made in the USA" Label.  Put these labels, that cost you less than 1 cent each, on your items that are Made in the USA and watch your sales soar. These labels are 1/2" in diameter, sold 1000 labels per roll.&lt;/p&gt;</t>
  </si>
  <si>
    <t>Made in the USA Labels, Stickers &amp; Labels</t>
  </si>
  <si>
    <t>made usa labels usa stickers</t>
  </si>
  <si>
    <t>Made in the USA labels for sale online, buy made in the USA sticker labels and watch your retail store sales soar.</t>
  </si>
  <si>
    <t>/img3/img015a.jpg</t>
  </si>
  <si>
    <t>www.americanretailsupply.com\64692\742032\Fluorescent-Labels\Made-In-USA-Label.html</t>
  </si>
  <si>
    <t>&lt;p&gt;Hi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Case.&lt;br&gt;&lt;br&gt;&lt;/p&gt;</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</si>
  <si>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</si>
  <si>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</si>
  <si>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</si>
  <si>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/img3/img31bf.jpg</t>
  </si>
  <si>
    <t>www.americanretailsupply.com\65085\235454\Food-Grade-Tissue\Hi-Performance-Dry-Wax-Food-Service-Tissue-Paper.html</t>
  </si>
  <si>
    <t>&lt;p&gt;Menu Tissue Paper is Light Weight 10.5# Paper, Full Wet Strength un-waxed for Sanitary pick up and or Food wrap, 12" x 12" sheets. Used for Dry Food Handling, Packaged in Dispenser Box, 10 packs of 1,000.&lt;/p&gt;</t>
  </si>
  <si>
    <t>Tissue Paper, Menu Tissue Paper for Dry Food Handling</t>
  </si>
  <si>
    <t>menu tissue paper food handling paper white kraft tissue paper</t>
  </si>
  <si>
    <t>Menu Tissue Paper for dry food handling, this menu tissue paper is packaged in a dispenser box &amp; available in white &amp; Kraft.</t>
  </si>
  <si>
    <t>/img3/imgc8a1.jpg</t>
  </si>
  <si>
    <t>www.americanretailsupply.com\65085\235455\Food-Grade-Tissue\Menu-Tissue-Paper.html</t>
  </si>
  <si>
    <t>&lt;p&gt;20# Grease Resistant Paper for Sanitary Food wrap&lt;br&gt;18" x 20" sheets Packaged in Flat Poly Packs; 4 packs of 500 sheets, 2000 per case.&lt;br&gt;Available in White.&lt;br&gt;Sold per case.&lt;br&gt;&lt;br&gt;&lt;br&gt;&lt;/p&gt;</t>
  </si>
  <si>
    <t>/img2/img40ef.jpg</t>
  </si>
  <si>
    <t>www.americanretailsupply.com\65085\649537\Food-Grade-Tissue\Ultra-Performance-20-Grease-Resistant-Tissue-Paper.html</t>
  </si>
  <si>
    <t>&lt;p&gt;             An Environmentally Responsible Choice White exterior with kraft interior. * Indicates these are Cake Covers (Lock Corner Cover). &lt;br&gt;                         &lt;br&gt;&lt;/p&gt;</t>
  </si>
  <si>
    <t>Bakery Boxes | +$.20/box</t>
  </si>
  <si>
    <t>Donut Boxes, Cake Boxes, Bakery Boxes, Bulk Bakery Boxes, Cheap Bakery Boxes, Bulk Donut Boxes</t>
  </si>
  <si>
    <t>200+ Boxes Per Order. Many Sizes To Choose From. Can Hold 1, 2, or 3 Dozen Donuts.</t>
  </si>
  <si>
    <t>/img3/imgedd5.jpg</t>
  </si>
  <si>
    <t>www.americanretailsupply.com\65123\746708\Food-Service-Boxes\Bakery-Boxes-Lock-Corner-1-Piece-White.html</t>
  </si>
  <si>
    <t>&lt;p&gt;Bakery Boxes-Lock Corner - Two Piece, Full Telescope. Two Piece - Clay Coated Kraft Back. Sold by the bundle as indicated.&lt;/p&gt;</t>
  </si>
  <si>
    <t>2 Piece Bakery Box</t>
  </si>
  <si>
    <t>Bakery Boxes, Bulk Bakery Boxes, Cheap Bulk Bakery Boxes</t>
  </si>
  <si>
    <t>As Low As $0.64/Box. Sold in Bundles of 25, 50, or 100 (Depending On Box Size). Get Yours Now!</t>
  </si>
  <si>
    <t>/img2/img2e7b.jpg</t>
  </si>
  <si>
    <t>www.americanretailsupply.com\65123\749626\Food-Service-Boxes\Bakery-Boxes-2-Piece-Lock-Corner.html</t>
  </si>
  <si>
    <t>&lt;p&gt;Donut Trays - 1-PC. 4-corner automatic tray, Recyclable kraft (-501) OR 100% Recycled material with variable coating white outside (-515)&lt;/p&gt;</t>
  </si>
  <si>
    <t>/img1/img1f4b.jpg</t>
  </si>
  <si>
    <t>www.americanretailsupply.com\65123\754507\Food-Service-Boxes\Donut-Carry-Out-Boxes.html</t>
  </si>
  <si>
    <t>&lt;p&gt;Cake Pads - Single and double wall mottled white (MW), White w/grease resistant coating (GR), and gold scalloped.&lt;br&gt;&lt;/p&gt;</t>
  </si>
  <si>
    <t>Cake Pads, Food &amp; Gift Retail Packaging</t>
  </si>
  <si>
    <t>cake pads single double wall cake pad mottled white</t>
  </si>
  <si>
    <t>Cake Pads - Food and gift retail packaging for sale online, including single and double wall mottled white cake pads at American Retail Supply.</t>
  </si>
  <si>
    <t>/img1/imga951.jpg</t>
  </si>
  <si>
    <t>www.americanretailsupply.com\65123\754628\Food-Service-Boxes\Cake-Pads-Rectangle.html</t>
  </si>
  <si>
    <t>&lt;p&gt;           An Environmentally&lt;br&gt;Responsible Choice    Window Cup Cake Boxes - 1-PC. Lock Corner, 100% Recyclable Material&lt;br&gt;&lt;/p&gt;</t>
  </si>
  <si>
    <t>Window Cup Cake Box - White | Strawberry | Chocolate | Kraft</t>
  </si>
  <si>
    <t>Cupcake Box, Bulk Cupcake Box, Cheap Cupcake Box, Window Cupcake Box</t>
  </si>
  <si>
    <t>As Low As $0.49/Box. Sold in Bundles of 50 or 100 (Depending On Box Size). Holds 2.5 to 4 inch Cupcakes. Get Yours Now!</t>
  </si>
  <si>
    <t>/img3/imgf012.jpg</t>
  </si>
  <si>
    <t>www.americanretailsupply.com\65123\758132\Food-Service-Boxes\Window-Cup-Cake-Boxes.html</t>
  </si>
  <si>
    <t>&lt;p&gt;Cupcake Inserts - 100% Recycled material with white outside, kraft interior&lt;br&gt;Priced per case of 100.&lt;/p&gt;</t>
  </si>
  <si>
    <t>Cake Circles, Food &amp; Gift Retail Packaging</t>
  </si>
  <si>
    <t>cake circles single double wall cake pad mottled white</t>
  </si>
  <si>
    <t>Cake Circles - Food and gift retail packaging for sale online, including single and double wall mottled white cake pads at American Retail Supply.</t>
  </si>
  <si>
    <t>/img3/img7317.jpg</t>
  </si>
  <si>
    <t>www.americanretailsupply.com\65123\758209\Food-Service-Boxes\Cupcake-Inserts.html</t>
  </si>
  <si>
    <t>&lt;p&gt;Pizza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100.&lt;/p&gt;</t>
  </si>
  <si>
    <t>/img2/imgda76.jpg</t>
  </si>
  <si>
    <t>www.americanretailsupply.com\65123\758261\Food-Service-Boxes\Pizza-Take-Out-Boxes.html</t>
  </si>
  <si>
    <t>&lt;p&gt;Take and Bake Pizza Trays - LOCK-Corner trays, ovenable SBS recyclable white, inside poly coated&lt;br&gt;Cooking instructions are printed on the trays.&lt;br&gt;Priced per case, case sizes listed.&lt;/p&gt;</t>
  </si>
  <si>
    <t>/img3/img9282.jpg</t>
  </si>
  <si>
    <t>www.americanretailsupply.com\65123\758392\Food-Service-Boxes\Take-and-Bake-Pizza-Trays.html</t>
  </si>
  <si>
    <t>&lt;p&gt;Gable Boxes - Auto bottom, 100% recycled material with kraft interiors&lt;br&gt;Priced per case. Case sizes listed below.&lt;/p&gt;</t>
  </si>
  <si>
    <t>/img2/img7ad7.jpg</t>
  </si>
  <si>
    <t>www.americanretailsupply.com\65123\758699\Food-Service-Boxes\White-and-Brown-Kraft-Gable-Boxes.html</t>
  </si>
  <si>
    <t>&lt;p&gt;Drink Carriers - 100% recycled material with kraft interiors. NOTE:  Items 668, 739, and 7710 are 1 pc. auto. bottoms w/ handles. Items 962 and 1162 are Beers strap trays.  1052 is a Beers J tray. Priced per case. Case sizes listed below.&lt;/p&gt;</t>
  </si>
  <si>
    <t>/img3/img2542.jpg</t>
  </si>
  <si>
    <t>www.americanretailsupply.com\65123\758700\Food-Service-Boxes\Drink-Take-Out-Carriers.html</t>
  </si>
  <si>
    <t>&lt;p&gt;Snack Pak - 4-corner automatic (1-pc. beers corner glued), 100% recycled material with whiter outside, kraft interiors&lt;br&gt;Priced per case. Case sizes listed below.&lt;/p&gt;</t>
  </si>
  <si>
    <t>/img3/img0910.jpg</t>
  </si>
  <si>
    <t>www.americanretailsupply.com\65123\758701\Food-Service-Boxes\Snack-Pak-Open-Trays.html</t>
  </si>
  <si>
    <t>&lt;p&gt;Deli Boxes are 1-pc automatic bottoms, 100% recycled material with whiter outside, kraft interiors&lt;br&gt;Priced per case. Case sizes listed below.&lt;/p&gt;</t>
  </si>
  <si>
    <t>/img3/img4683.jpg</t>
  </si>
  <si>
    <t>www.americanretailsupply.com\65123\758702\Food-Service-Boxes\Deli-Boxes.html</t>
  </si>
  <si>
    <t>&lt;p&gt;Meat Boxes - Clay coated news back. NOTE: 1055M is a 1-pc. automatic bottom.  105M is a 2-pc. lock corner&lt;br&gt;Priced per case. Case sizes listed below.&lt;/p&gt;</t>
  </si>
  <si>
    <t>/img1/img1626.jpg</t>
  </si>
  <si>
    <t>www.americanretailsupply.com\65123\758703\Food-Service-Boxes\Meat-Boxes.html</t>
  </si>
  <si>
    <t>&lt;p&gt;             An Environmentally&lt;br&gt;Responsible Choice                 One Piece - SBS Recyclable&lt;br&gt;Priced per bundle. Bundle sizes listed.                   &lt;br&gt;&lt;br&gt;&lt;br&gt;&lt;br&gt;&lt;br&gt;&lt;br&gt;&lt;br&gt;&lt;/p&gt;</t>
  </si>
  <si>
    <t>Window Bakery Boxes - Kraft | White</t>
  </si>
  <si>
    <t>Bakery Boxes, Bulk Bakery Boxes, Bundle Bakery Box, Cheap Bundle Bakery Boxes,</t>
  </si>
  <si>
    <t>As Low As $0.64/Box. Sold in Bundles of 50, 100, 150, or 200 (Depending On Box Size). 6 - 14 Inch Wide Boxes. Get Yours Now!</t>
  </si>
  <si>
    <t>/img3/img4d42.jpg</t>
  </si>
  <si>
    <t>www.americanretailsupply.com\65123\758707\Food-Service-Boxes\Window-Bakery-Boxes.html</t>
  </si>
  <si>
    <t>&lt;p&gt;             An Environmentally&lt;br&gt;Responsible Choice One Piece - SBS Recyclable&lt;br&gt;Priced per bundle. Bundle sizes listed.&lt;br&gt;                  &lt;br&gt;&lt;br&gt;&lt;br&gt;&lt;br&gt;&lt;br&gt;&lt;br&gt;&lt;br&gt;&lt;br&gt;&lt;br&gt;&lt;/p&gt;</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</si>
  <si>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</si>
  <si>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</si>
  <si>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</si>
  <si>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/img1/imge9b7.jpg</t>
  </si>
  <si>
    <t>www.americanretailsupply.com\65123\759338\Food-Service-Boxes\Bakers-Choice-Window-Bakery-Boxes.html</t>
  </si>
  <si>
    <t>&lt;p&gt;            An Environmentally &lt;br&gt;Responsible Choice                 100% Recyclable Kraft Boxes, Matching the Classic Kraft Boxes.&lt;br&gt;Priced per bundle. 1000 bags per bundle.&lt;br&gt;&lt;br&gt;&lt;br&gt;&lt;br&gt;&lt;br&gt;&lt;/p&gt;</t>
  </si>
  <si>
    <t>/img2/img8bd2.jpg</t>
  </si>
  <si>
    <t>www.americanretailsupply.com\65123\759339\Food-Service-Boxes\Printed-Kraft-Boxes-with-Windows.html</t>
  </si>
  <si>
    <t>&lt;p&gt;               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handle).&lt;/p&gt;</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</si>
  <si>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</si>
  <si>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</si>
  <si>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</si>
  <si>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/img3/imgebb0.jpg</t>
  </si>
  <si>
    <t>www.americanretailsupply.com\65075\49188\Frosted-Plastic-Bags\Frosted-Shoppers-with-Soft-Flexi-Loop-Handles.html</t>
  </si>
  <si>
    <t>&lt;p&gt;  &lt;br&gt;             &lt;br&gt;&lt;br&gt;&lt;br&gt;&lt;br&gt;These SuperWave Frosted Bags are translucent, 2.25 mil thick, and packaged 250 per case.  &lt;br&gt;Made with 15% to 25% recycled material. Made in the U.S.A.  &lt;/p&gt;</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</si>
  <si>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</si>
  <si>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</si>
  <si>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</si>
  <si>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/img2/img1996.jpg</t>
  </si>
  <si>
    <t>www.americanretailsupply.com\65075\172651\Frosted-Plastic-Bags\Super-Wave-Frosted-Bags.html</t>
  </si>
  <si>
    <t>&lt;p&gt;Frosted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&lt;br&gt;&lt;br&gt;&lt;/p&gt;</t>
  </si>
  <si>
    <t>Frosted Plastic Bags, Retail Store Packaging Supplies</t>
  </si>
  <si>
    <t>plastic bags frosted plastic bag retail packaging supplies Custom printing</t>
  </si>
  <si>
    <t>Frost Bags - Frosted plastic bags for retail stores, bag colors include clear, aque, lime, golden rod, hot pink, and purple</t>
  </si>
  <si>
    <t>/img1/img4f00.jpg</t>
  </si>
  <si>
    <t>www.americanretailsupply.com\65075\641041\Frosted-Plastic-Bags\Frosted-Trapezoid-Shaped-Bags.html</t>
  </si>
  <si>
    <t>&lt;p&gt;  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case.&lt;br&gt;&lt;/p&gt;</t>
  </si>
  <si>
    <t>/img2/img0386.jpg</t>
  </si>
  <si>
    <t>www.americanretailsupply.com\65075\641049\Frosted-Plastic-Bags\Pattern-Frosted-Shoppers-with-Tri-Fold-Handles.html</t>
  </si>
  <si>
    <t>&lt;p&gt;             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case&lt;/p&gt;</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</si>
  <si>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</si>
  <si>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</si>
  <si>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</si>
  <si>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/img2/imgf974.jpg</t>
  </si>
  <si>
    <t>www.americanretailsupply.com\65075\744869\Frosted-Plastic-Bags\Frosted-Merchandise-Bags.html</t>
  </si>
  <si>
    <t>&lt;p&gt;These Precious Metals with Tri Fold handle shoppers are exquisite. Available in Gold or Silver.&lt;br&gt;Packed 250 per case. Add more flare to your packaging with these &lt;a href="../../../64703/20014/Tissue-Paper/Precious-Metal-Patterns-Printed-Tissue-Paper.html"&gt;Precious Metal Pattern Printed Tissues.&lt;br&gt; &lt;/p&gt;</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</si>
  <si>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</si>
  <si>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</si>
  <si>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</si>
  <si>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/img3/imgaca7.jpg</t>
  </si>
  <si>
    <t>www.americanretailsupply.com\65075\773375\Frosted-Plastic-Bags\Precious-Metal-Shoppers-with-Tri-Fold-Handles.html</t>
  </si>
  <si>
    <t>&lt;p&gt;&lt;br&gt;&lt;br&gt;&lt;br&gt;Gable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 for other gable boxes.&lt;br&gt;Call us at 1-800-426-5708 for more information about how to hot-stamp with your logo!&lt;br&gt;Packed 100 to the case.&lt;br&gt;Please note: pictures are to represent pattern, not relative size.&lt;/p&gt;</t>
  </si>
  <si>
    <t>Gable Boxes, Gable Gift &amp; Food Boxes, Retail Packaging</t>
  </si>
  <si>
    <t>gable boxes gift gable box food boxes</t>
  </si>
  <si>
    <t>Gable boxes for sale online, buy Gable boxes for your retail gift and food packaging needs at AmericanRetailSupply.com.</t>
  </si>
  <si>
    <t>/img2/img6c6c.jpg</t>
  </si>
  <si>
    <t>www.americanretailsupply.com\64711\715928\Gable-Boxes\Gable-Boxes-with-Stock-Prints.html</t>
  </si>
  <si>
    <t>&lt;p&gt;The Standard Duty Peg Board Hooks have a .149 diameter.&lt;br&gt;Sold 100 per package.&lt;/p&gt;</t>
  </si>
  <si>
    <t>Pegboard Hooks &amp; Attachments | Galvanized Ball Tip Standard Duty Peg Hook</t>
  </si>
  <si>
    <t>Pegboard hooks and attachments for retail stores including galvanized ball tip standard duty peg hooks.</t>
  </si>
  <si>
    <t>www.americanretailsupply.com\65038\41130\Galvanized-Ball-Tip-PegHooks\Galvanized-Ball-Tip-Standard-Duty-Peg-Hook.html</t>
  </si>
  <si>
    <t>&lt;p&gt;The Medium Duty Peg Board Hooks have a .177 diameter. A great addition to add to your retail store's peg board.&lt;br&gt;Sold 100 per package.&lt;/p&gt;</t>
  </si>
  <si>
    <t>Pegboard Hooks - Galvanized Ball Tip Medium Duty Peg Hook</t>
  </si>
  <si>
    <t>pegboard hooks peg hook galvanized ball tip pegboard hook</t>
  </si>
  <si>
    <t>Pegboard hooks for sale online including galvanized ball tip medium duty peg hook and more pegboard hooks, baskets and attachments.</t>
  </si>
  <si>
    <t>www.americanretailsupply.com\65038\41131\Galvanized-Ball-Tip-PegHooks\Galvanized-Ball-Tip-Medium-Duty-Peg-Hook.html</t>
  </si>
  <si>
    <t>&lt;p&gt;Heavy Duty Pegboard Hooks for use in 1/8" &amp;amp; 1/4" pegboard and slatwall.  Made with 0.212 wire.  &lt;br&gt;Sold 100 per package.&lt;br&gt;&lt;/p&gt;</t>
  </si>
  <si>
    <t>Pegboard Hooks | Galvanized Ball Tip Heavy Duty Peg Hook</t>
  </si>
  <si>
    <t>pegboard hooks peg hooks heavy duty peg hook galvanized ball tip</t>
  </si>
  <si>
    <t>Pegboard hooks for sale online including galvanized ball tip heavy duty peg hooks for your retails store display needs.</t>
  </si>
  <si>
    <t>www.americanretailsupply.com\65038\41133\Galvanized-Ball-Tip-PegHooks\Galvanized-Ball-Tip-Heavy-Duty-Peg-Hook.html</t>
  </si>
  <si>
    <t>&lt;p&gt;    2 Way Racks - Mirror polished chrome and Black are available in our Two Arm Racks with Heavy Pan Base.   Two 16" rectangular straight arms with protective chrome strip. &lt;a href="http://yoosh.co/ars_files/rs6.eporia.com/company_8/428201%20garmet%20rack.pdf"&gt;Assembly Instructions here.&lt;/p&gt;</t>
  </si>
  <si>
    <t>2 Arm Garment Racks</t>
  </si>
  <si>
    <t>/img3/img7ea3.jpg</t>
  </si>
  <si>
    <t>www.americanretailsupply.com\65194\36804\Garment--Hat-Racks\2-Arm-Garment-Racks.html</t>
  </si>
  <si>
    <t>&lt;p&gt;    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428410.&lt;/p&gt;</t>
  </si>
  <si>
    <t>4 Arm Garment Racks</t>
  </si>
  <si>
    <t>/img2/img4518.jpg</t>
  </si>
  <si>
    <t>www.americanretailsupply.com\65194\36811\Garment--Hat-Racks\4-Arm-Garment-Racks.html</t>
  </si>
  <si>
    <t>&lt;p&gt;Rolling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Instructions&lt;/p&gt;</t>
  </si>
  <si>
    <t>Rolling Racks</t>
  </si>
  <si>
    <t>/img2/imgc186.jpg</t>
  </si>
  <si>
    <t>www.americanretailsupply.com\65194\37060\Garment--Hat-Racks\Rolling-Racks.html</t>
  </si>
  <si>
    <t>&lt;p&gt;Adjustable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Instructions&lt;br&gt;&lt;br&gt;&lt;/p&gt;</t>
  </si>
  <si>
    <t>Round Racks and Accessories</t>
  </si>
  <si>
    <t>/img1/img9b33.jpg</t>
  </si>
  <si>
    <t>www.americanretailsupply.com\65194\37069\Garment--Hat-Racks\Round-Racks-and-Accessories.html</t>
  </si>
  <si>
    <t>&lt;p&gt;  Specialty Racks;&lt;br&gt;&lt;br&gt;Ball Spiral Rack - 29 Ball Stops, 18" weighted base, 67" high. Top is threaded for a card holder.&lt;br&gt;&lt;a href="http://yoosh.co/ars_files/rs6.eporia.com/company_8/assemble%20SpiralRack428110_AssemblyInstructions.pdf"&gt;assembly instructions&lt;br&gt;&lt;br&gt;Revolving Single Tier Belt Rack - 52 high Rack, Belt tier is a 19" diameter ring with 20 hooks, 18" weighted base. Top is threaded for a card holder.&lt;br&gt;&lt;br&gt;Hat Rack - Revolving 20 Arms w/ Foam Caps included 20" Square Base&lt;/p&gt;</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</si>
  <si>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</si>
  <si>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</si>
  <si>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</si>
  <si>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/img1/img7227.jpg</t>
  </si>
  <si>
    <t>www.americanretailsupply.com\65194\37071\Garment--Hat-Racks\Specialty-Racks.html</t>
  </si>
  <si>
    <t>&lt;p&gt;Show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&lt;/p&gt;</t>
  </si>
  <si>
    <t>Floor Display Hat Racks</t>
  </si>
  <si>
    <t>/img1/img6f4a.jpg</t>
  </si>
  <si>
    <t>www.americanretailsupply.com\65194\708556\Garment--Hat-Racks\Floor-Display-Hat-Racks.html</t>
  </si>
  <si>
    <t>&lt;p&gt;Get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&lt;/p&gt;</t>
  </si>
  <si>
    <t>Countertop Hat Racks</t>
  </si>
  <si>
    <t>/img2/img1a1f.jpg</t>
  </si>
  <si>
    <t>www.americanretailsupply.com\65194\708557\Garment--Hat-Racks\Countertop-Hat-Racks.html</t>
  </si>
  <si>
    <t>&lt;p&gt;If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&lt;/p&gt;</t>
  </si>
  <si>
    <t>Garment Rack Replacement Arms and Casters</t>
  </si>
  <si>
    <t>/img1/imgbd67.jpg</t>
  </si>
  <si>
    <t>www.americanretailsupply.com\65194\784083\Garment--Hat-Racks\Garment-Rack-Replacement-Arms-and-Casters.html</t>
  </si>
  <si>
    <t>&lt;p&gt;Protect your clients purchase with these economy clear garment rolls. These bags are similar to the bags you get at a dry cleaner, but are a bit thicker.&lt;br&gt;All Bags: 1500' Roll: 1 Mil Thick 21" wide x 3" Gusset, 30 lbs.&lt;br&gt;40" long bags -  450 per Roll&lt;/p&gt;</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</si>
  <si>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</si>
  <si>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</si>
  <si>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</si>
  <si>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/img1/imgfb86.jpg</t>
  </si>
  <si>
    <t>www.americanretailsupply.com\65198\20277\Garment-Rolls--Bags\Lo-Density-Plastic-Garment-Rolls.html</t>
  </si>
  <si>
    <t>&lt;p&gt;Salesmans Garment Bag in Navy Blue is water-resistant, made out of nylon, and come in the lengths of 48" or 57" long. You can store multiple items in the Salesmans Garment Bag.&lt;/p&gt;</t>
  </si>
  <si>
    <t>Salesmans Garment Bag in Navy Blue</t>
  </si>
  <si>
    <t>/img1/img5e31.jpg</t>
  </si>
  <si>
    <t>www.americanretailsupply.com\65198\36802\Garment-Rolls--Bags\Salesmans-Garment-Bag-in-Navy-Blue.html</t>
  </si>
  <si>
    <t>Garvey 22, 1 Line Labelers</t>
  </si>
  <si>
    <t>/img2/img0071.jpg</t>
  </si>
  <si>
    <t>www.americanretailsupply.com\64931\173737\Garvey-1-Line-Price-Guns\Garvey-22-1-Line-Labelers.html</t>
  </si>
  <si>
    <t>&lt;p&gt;Garvey Ink Roller for the Garvey 25, 1 line promotional&lt;/p&gt;</t>
  </si>
  <si>
    <t>Garvey Ink Roller for the Garvey 25</t>
  </si>
  <si>
    <t>/img3/img359c.jpg</t>
  </si>
  <si>
    <t>www.americanretailsupply.com\64931\173738\Garvey-1-Line-Price-Guns\Garvey-Ink-Roller-for-the-Garvey-25.html</t>
  </si>
  <si>
    <t>&lt;p&gt;Garvey 22, 1 Line Labels&lt;/p&gt;</t>
  </si>
  <si>
    <t>Garvey 22, 1 Line Labels</t>
  </si>
  <si>
    <t>/img2/img3feb.jpg</t>
  </si>
  <si>
    <t>www.americanretailsupply.com\64931\173739\Garvey-1-Line-Price-Guns\Garvey-22-1-Line-Labels.html</t>
  </si>
  <si>
    <t>&lt;p&gt;Garvey Starter Kit Includes: Garvey 22, 6 Labeler, 5 rolls white &amp;amp; 5 rolls fluorescent red labels.&lt;/p&gt;</t>
  </si>
  <si>
    <t>Garvey 22 Starter Kit</t>
  </si>
  <si>
    <t>/img3/img0b74.jpg</t>
  </si>
  <si>
    <t>www.americanretailsupply.com\64931\173742\Garvey-1-Line-Price-Guns\Garvey-22-Starter-Kit.html</t>
  </si>
  <si>
    <t>&lt;p&gt;Garvey 25, 1 Line Labels, Choose from 3 blank labels.&lt;br&gt;Packed 1000 per roll and 8 rolls per pack.&lt;/p&gt;</t>
  </si>
  <si>
    <t>Garvey 25, 1 Line Labels</t>
  </si>
  <si>
    <t>/img2/img9c4a.jpg</t>
  </si>
  <si>
    <t>www.americanretailsupply.com\64931\173745\Garvey-1-Line-Price-Guns\Garvey-25-1-Line-Labels.html</t>
  </si>
  <si>
    <t>&lt;p&gt;Garvey 18, 1 Line Labels available in white and red.&lt;br&gt;Order labels by the box.&lt;br&gt;Each box has 11 rolls (1,273 labels per roll) = 14,000 labels per box &lt;br&gt;&lt;/p&gt;</t>
  </si>
  <si>
    <t>Garvey 18, 1 Line Labels</t>
  </si>
  <si>
    <t>/img3/img2ae2.jpg</t>
  </si>
  <si>
    <t>www.americanretailsupply.com\64931\173747\Garvey-1-Line-Price-Guns\Garvey-18-1-Line-Labels.html</t>
  </si>
  <si>
    <t>&lt;p&gt;Garvey 25, 1 Line Labeler and Labels&lt;/p&gt;</t>
  </si>
  <si>
    <t>Garvey 25, 1 Line Promotional Price Gun</t>
  </si>
  <si>
    <t>/img3/img8d60.jpg</t>
  </si>
  <si>
    <t>www.americanretailsupply.com\64931\445664\Garvey-1-Line-Price-Guns\Garvey-25-1-Line-Promotional-Price-Gun.html</t>
  </si>
  <si>
    <t>&lt;p&gt;Garvey 25, 1 Line Labels&lt;br&gt;1250 Labels/Roll, 8 Rolls/Pkg&lt;br&gt;10M per Package, 200M per Case&lt;/p&gt;</t>
  </si>
  <si>
    <t>Garvey 25 Labels</t>
  </si>
  <si>
    <t>/img2/imgb741.jpg</t>
  </si>
  <si>
    <t>www.americanretailsupply.com\64931\445665\Garvey-1-Line-Price-Guns\Garvey-25-Labels.html</t>
  </si>
  <si>
    <t>&lt;p&gt;Garvey 22, 2 Line Labelers have big characters on two lines. "Jam Proof" design makes this the absolute easiest labeler ever. All labels are produced with security slits &amp;amp; permanent adhesive. Choose from 4 blank labels. One ink roller is included with each gun purchased.&lt;/p&gt;</t>
  </si>
  <si>
    <t>Garvey 22, 2 Line Labelers</t>
  </si>
  <si>
    <t>/img3/img78a0.jpg</t>
  </si>
  <si>
    <t>www.americanretailsupply.com\64932\173740\Garvey-2-Line-Price-Guns\Garvey-22-2-Line-Labelers.html</t>
  </si>
  <si>
    <t>&lt;p&gt;Garvey 22, 2 Line Labels are Packed 1000 per roll and 9 rolls per pack. Choose from many blank labels that fit your needs (Orange is a special order - Call 1-800-426-5708). Free ink roller is included with each label pack.&lt;/p&gt;</t>
  </si>
  <si>
    <t>Garvey 22, 2 Line Labels</t>
  </si>
  <si>
    <t>/img3/img4d03.jpg</t>
  </si>
  <si>
    <t>www.americanretailsupply.com\64932\173741\Garvey-2-Line-Price-Guns\Garvey-22-2-Line-Labels.html</t>
  </si>
  <si>
    <t>&lt;p&gt;  Garvey Starter Kit Includes: Garvey 22 77 Labeler, 5 rolls white &amp;amp; 5 rolls fluorescent red labels.&lt;/p&gt;</t>
  </si>
  <si>
    <t>Starter Kit</t>
  </si>
  <si>
    <t>/img2/img68c6.jpg</t>
  </si>
  <si>
    <t>www.americanretailsupply.com\64932\173743\Garvey-2-Line-Price-Guns\Starter-Kit.html</t>
  </si>
  <si>
    <t>&lt;p&gt;Available in White and Natural Kraft with easy to open ends for a unique packaging ideas.&lt;br&gt;Priced per case. Each case quantity is noted.&lt;/p&gt;</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</si>
  <si>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</si>
  <si>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</si>
  <si>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</si>
  <si>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/img2/imgc1c4.jpg</t>
  </si>
  <si>
    <t>www.americanretailsupply.com\64706\18448\Gift-Boxes\Pillow-Packs.html</t>
  </si>
  <si>
    <t>&lt;p&gt;   Tinted Kraft Tuck it gift Boxes are available in Oatmeal, Deep Purple, Black Groove and Cocoa. These boxes are one piece and ship flat for assembly when you need them. If you'd like a custom look these boxes may be hot stamped with your name please call 800-426-5708 for details. &lt;/p&gt;</t>
  </si>
  <si>
    <t>Tuckit Boxes - Gift Boxes for Retail Stores, Tinted Kraft Tuckit Boxes</t>
  </si>
  <si>
    <t>tuckit boxes gift boxes tuckit gift boxes</t>
  </si>
  <si>
    <t>Tuckit boxes for retail stores, order tinted Kraft tuckit gift boxes and retail packaging supplies for your retail store online.</t>
  </si>
  <si>
    <t>/img1/img1961.jpg</t>
  </si>
  <si>
    <t>www.americanretailsupply.com\64706\18594\Gift-Boxes\Tinted-Kraft-Tuckit-Gift-Boxes.html</t>
  </si>
  <si>
    <t>&lt;p&gt;  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 to round out the presentation?&lt;br&gt;&lt;/p&gt;</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</si>
  <si>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</si>
  <si>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</si>
  <si>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</si>
  <si>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/img3/img94a7.jpg</t>
  </si>
  <si>
    <t>www.americanretailsupply.com\64706\172856\Gift-Boxes\View-Top-Stationery-Boxes.html</t>
  </si>
  <si>
    <t>&lt;p&gt;Our Two Piece Hat Boxes have a low gloss white finish board with gray interior. Includes polished white cord handle. Order by the case; each case has 25 boxes with the exception of: 54812126 at 12" x 12" x 6" box has 50 boxes per case.&lt;br&gt;&lt;/p&gt;</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</si>
  <si>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</si>
  <si>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</si>
  <si>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</si>
  <si>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/img1/img1c08.jpg</t>
  </si>
  <si>
    <t>www.americanretailsupply.com\64706\476449\Gift-Boxes\Two-Piece-Hat-Boxes.html</t>
  </si>
  <si>
    <t>&lt;p&gt;White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6&lt;br&gt;&lt;br&gt;&lt;/p&gt;</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</si>
  <si>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</si>
  <si>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</si>
  <si>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</si>
  <si>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/img1/img9716.jpg</t>
  </si>
  <si>
    <t>www.americanretailsupply.com\64706\777022\Gift-Boxes\Gift-Box-Assortments.html</t>
  </si>
  <si>
    <t>&lt;p&gt; White one piece folding and two piece locking gift boxes. Available in a variety of sizes with recycled content. Most sizes available to ship same day. Packaged by case. Case size is 100 per case unless otherwise noted.&lt;/p&gt;</t>
  </si>
  <si>
    <t>White Gift Boxes, Gift Boxes &amp; Retail Packaging</t>
  </si>
  <si>
    <t>white gift boxes retail packaging gift boxes</t>
  </si>
  <si>
    <t>White gift boxes for retail stores, order gift boxes and packaging supplies for your retail store online.</t>
  </si>
  <si>
    <t>/img3/img5090.jpg</t>
  </si>
  <si>
    <t>www.americanretailsupply.com\64706\780198\Gift-Boxes\White-Folding-Gift-Boxes.html</t>
  </si>
  <si>
    <t>&lt;p&gt;Kraft one piece folding and two piece locking gift boxes. Available in a variety of sizes. These boxes are 100% recycled material and are recyclable and compostable.  &lt;br&gt;100 per case unless otherwise marked.&lt;/p&gt;</t>
  </si>
  <si>
    <t>Kraft Gift Boxes, Gift Boxes &amp; Retail Packaging</t>
  </si>
  <si>
    <t>kraft gift boxes retail packaging gift boxes</t>
  </si>
  <si>
    <t>Kraft gift boxes for retail stores, order gift boxes and packaging supplies for your retail store online.</t>
  </si>
  <si>
    <t>/img1/img38cc.jpg</t>
  </si>
  <si>
    <t>www.americanretailsupply.com\64706\780199\Gift-Boxes\Kraft-Folding-Gift-Boxes.html</t>
  </si>
  <si>
    <t>&lt;p&gt;Pop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&lt;br&gt;&lt;/p&gt;</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</si>
  <si>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</si>
  <si>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</si>
  <si>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</si>
  <si>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/img1/img370d.jpg</t>
  </si>
  <si>
    <t>www.americanretailsupply.com\65764\715752\Gift-Card-Boxes-and-Purse-Totes\Pop-Up-Gift-Card-Boxes.html</t>
  </si>
  <si>
    <t>&lt;p&gt;This display holder comes in a convenient size 5 1/4" x 9"&lt;/p&gt;</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</si>
  <si>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</si>
  <si>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</si>
  <si>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</si>
  <si>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/img2/img006f.jpg</t>
  </si>
  <si>
    <t>www.americanretailsupply.com\64987\130646\Gift-Cards\Acrylic-Gift-Card-Holder-Display.html</t>
  </si>
  <si>
    <t>&lt;p&gt;Available in two styles plus envelopes available.&lt;br&gt;&amp;#8226; Curved Card Carrier has a half moon front cover, is scored to fold. Has die cut slits to hold gift card.&lt;/p&gt;</t>
  </si>
  <si>
    <t>Gift Card Holders for Retail Stores</t>
  </si>
  <si>
    <t>gift card holders retail store gift card holder</t>
  </si>
  <si>
    <t>Gift card holders for sale online, buy gift card holders and gift card accessories for your retail store.</t>
  </si>
  <si>
    <t>/img1/img1ee1.jpg</t>
  </si>
  <si>
    <t>www.americanretailsupply.com\64987\236144\Gift-Cards\Gift-Card-Holders.html</t>
  </si>
  <si>
    <t>&lt;p&gt;3 Ring Binder with 100 pages in each binder. Use this binder to track your gift cards manually. &lt;/p&gt;</t>
  </si>
  <si>
    <t>Gift Card Journal Entry Binder</t>
  </si>
  <si>
    <t>/img2/img9626.jpg</t>
  </si>
  <si>
    <t>www.americanretailsupply.com\64987\784159\Gift-Cards\Gift-Card-Journal-Entry-Binder.html</t>
  </si>
  <si>
    <t>&lt;p&gt;    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stated.&lt;/p&gt;</t>
  </si>
  <si>
    <t>Enclosure Cards, Gift Enclosure Cards &amp; Gift Wrapping Supplies</t>
  </si>
  <si>
    <t>enclosure cards gift enclosure cards</t>
  </si>
  <si>
    <t>Enclosure cards, order gift enclosure cards and gift wrapping supplies for your retail store online.</t>
  </si>
  <si>
    <t>/img3/img559b.jpg</t>
  </si>
  <si>
    <t>www.americanretailsupply.com\64751\22328\Gift-Enclosure-Cards\Everyday-Designs-for-Gift-Enclosure-Cards.html</t>
  </si>
  <si>
    <t>&lt;p&gt;  White envelopes to be used with your enclosure cards.&lt;br&gt;Priced per 100 card pack.&lt;br&gt;    Use with:&lt;br&gt;Folded Card Size 3"x 2"&lt;br&gt;Envelopes 2 3/8" x 3 5/8"&lt;/p&gt;</t>
  </si>
  <si>
    <t>Enclosure Cards, White Matching Envelopes</t>
  </si>
  <si>
    <t>enclosure card envelopes matching envelopes white</t>
  </si>
  <si>
    <t>White envelopes to coordinate with your enclosure cards, order enclosure cards and retail supplies at American Retail Supply.</t>
  </si>
  <si>
    <t>/img3/imgd8df.jpg</t>
  </si>
  <si>
    <t>www.americanretailsupply.com\64751\48347\Gift-Enclosure-Cards\Envelopes-for-Gift-Enclosure-Cards.html</t>
  </si>
  <si>
    <t>&lt;p&gt;  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view.&lt;br&gt;&lt;/p&gt;</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</si>
  <si>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</si>
  <si>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</si>
  <si>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</si>
  <si>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/img3/imga94c.jpg</t>
  </si>
  <si>
    <t>www.americanretailsupply.com\64751\48348\Gift-Enclosure-Cards\Christmas-and-Holiday-Gift-Enclosure-Cards.html</t>
  </si>
  <si>
    <t>&lt;p&gt;  &lt;br&gt;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stocks.&lt;/p&gt;</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</si>
  <si>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</si>
  <si>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</si>
  <si>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</si>
  <si>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/img1/img1fd9.jpg</t>
  </si>
  <si>
    <t>www.americanretailsupply.com\65007\742366\Giftwrap-in-Animal-Prints\Giftwrap-in-Animal-Print-Patterns.html</t>
  </si>
  <si>
    <t>&lt;p&gt;  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rack.&lt;/p&gt;</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</si>
  <si>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</si>
  <si>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</si>
  <si>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</si>
  <si>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/img1/img75a1.jpg</t>
  </si>
  <si>
    <t>www.americanretailsupply.com\64860\48238\Giftwrap-Ribbon-Tissue-Racks\Multi-Roll-Paper--GiftWrap-Cutters.html</t>
  </si>
  <si>
    <t>&lt;p&gt;  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rolls.&lt;/p&gt;</t>
  </si>
  <si>
    <t>Paper Cutters, Serrated Edge Paper Roll Cutter</t>
  </si>
  <si>
    <t>paper roll cutter serrated edge cutter paper roll cutters</t>
  </si>
  <si>
    <t>Paper roll cutters, order paper roll cutters online including serrated edge paper roll cutters and retail store packaging supplies.</t>
  </si>
  <si>
    <t>/img2/imga22f.jpg</t>
  </si>
  <si>
    <t>www.americanretailsupply.com\64860\48239\Giftwrap-Ribbon-Tissue-Racks\Serrated-Edge-Single-Paper-Cutter.html</t>
  </si>
  <si>
    <t>&lt;p&gt;  Here are lightweight paper cutters for wall mount, countertop or under counter use. The unit holds up to 9" diameter rolls. It is available in various widths from 18 to 36.&lt;/p&gt;</t>
  </si>
  <si>
    <t>Paper Cutters, Single Roll Paper Cutter</t>
  </si>
  <si>
    <t>single roll cutter paper cutters</t>
  </si>
  <si>
    <t>Single roll paper cutters for wall mount, counter top, or under the counter use, order paper cutters and retail packaging supplies for your retail store online.</t>
  </si>
  <si>
    <t>/img1/img8868.jpg</t>
  </si>
  <si>
    <t>www.americanretailsupply.com\64860\48240\Giftwrap-Ribbon-Tissue-Racks\Single-Roll-Paper-Cutters.html</t>
  </si>
  <si>
    <t>&lt;p&gt;Tissue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&lt;br&gt;&lt;br&gt;&lt;/p&gt;</t>
  </si>
  <si>
    <t>Tissue Display Racks</t>
  </si>
  <si>
    <t>/img2/img8b32.jpg</t>
  </si>
  <si>
    <t>www.americanretailsupply.com\64860\172982\Giftwrap-Ribbon-Tissue-Racks\Tissue-Display-Racks.html</t>
  </si>
  <si>
    <t>&lt;p&gt;  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unit.&lt;/p&gt;</t>
  </si>
  <si>
    <t>Ribbon Dispenser for Flat Ribbon</t>
  </si>
  <si>
    <t>Ribbon Dispenser, Flat Ribbon, Multiple Ribbon Holder</t>
  </si>
  <si>
    <t>Holds Up To 18 Ribbon Spools! Organize Flat Ribbons with Ribbon Dispenser. Smooth, Easy, Controlled Ribbon Feeder.</t>
  </si>
  <si>
    <t>/img1/imge227.jpg</t>
  </si>
  <si>
    <t>www.americanretailsupply.com\64860\779930\Giftwrap-Ribbon-Tissue-Racks\Ribbon-Dispenser-for-Flat-Ribbon.html</t>
  </si>
  <si>
    <t>&lt;p&gt;  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unit.&lt;/p&gt;</t>
  </si>
  <si>
    <t>Ribbon Dispenser for Curling Ribbon</t>
  </si>
  <si>
    <t>Ribbon Dispenser, Curling Ribbon, Ribbon Holder,</t>
  </si>
  <si>
    <t>Free Up Counter Space! Wall Or Countertop Ribbon Dispenser. Holds 10 to 12 Spools.</t>
  </si>
  <si>
    <t>/img3/imgea04.jpg</t>
  </si>
  <si>
    <t>www.americanretailsupply.com\64860\779931\Giftwrap-Ribbon-Tissue-Racks\Ribbon-Dispenser-for-Curling-Ribbon.html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</si>
  <si>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 &lt;a href="../../37176/Glass-Connectors/Hasp.html" target=_blank&gt;hasp and &lt;a href="../../47634/Glass-Connectors/Combination-Lock.html" target=_blank&gt;combo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</si>
  <si>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2 Way</t>
  </si>
  <si>
    <t>/img3/img2866.jpg</t>
  </si>
  <si>
    <t>www.americanretailsupply.com\64971\37172\Glass-Connectors\2-Way.html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</si>
  <si>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</si>
  <si>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3 Way</t>
  </si>
  <si>
    <t>/img1/imgb7db.jpg</t>
  </si>
  <si>
    <t>www.americanretailsupply.com\64971\37173\Glass-Connectors\3-Way.html</t>
  </si>
  <si>
    <t>4 Way</t>
  </si>
  <si>
    <t>/img2/img4e23.jpg</t>
  </si>
  <si>
    <t>www.americanretailsupply.com\64971\37174\Glass-Connectors\4-Way.html</t>
  </si>
  <si>
    <t>Hinge</t>
  </si>
  <si>
    <t>/img3/img09a9.jpg</t>
  </si>
  <si>
    <t>www.americanretailsupply.com\64971\37175\Glass-Connectors\Hinge.html</t>
  </si>
  <si>
    <t>Hasp</t>
  </si>
  <si>
    <t>/img1/img6b79.jpg</t>
  </si>
  <si>
    <t>www.americanretailsupply.com\64971\37176\Glass-Connectors\Hasp.html</t>
  </si>
  <si>
    <t>&lt;p&gt;Securing your displays are easy with this combination lock.&lt;/p&gt;</t>
  </si>
  <si>
    <t>Combination Lock</t>
  </si>
  <si>
    <t>/img2/img337d.jpg</t>
  </si>
  <si>
    <t>www.americanretailsupply.com\64971\47634\Glass-Connectors\Combination-Lock.html</t>
  </si>
  <si>
    <t>Clear Shelf Rests</t>
  </si>
  <si>
    <t>/img1/img0eca.jpg</t>
  </si>
  <si>
    <t>www.americanretailsupply.com\64971\47635\Glass-Connectors\Clear-Shelf-Rests.html</t>
  </si>
  <si>
    <t>3 Way Adjustable</t>
  </si>
  <si>
    <t>/img2/img7f3a.jpg</t>
  </si>
  <si>
    <t>www.americanretailsupply.com\64971\231679\Glass-Connectors\3-Way-Adjustable.html</t>
  </si>
  <si>
    <t>&lt;p&gt;Utilizing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separately&lt;/p&gt;</t>
  </si>
  <si>
    <t>Slatgrid Panels, Slatgrid Fixtures &amp; Displays for Retail Stores</t>
  </si>
  <si>
    <t>slatgrid panels slatgrid fixtures slatgrid displays</t>
  </si>
  <si>
    <t>Slatgrid panels for retail store displays, order slatgrid panels and fixtures for your retail store display needs online.</t>
  </si>
  <si>
    <t>/img1/img1e3a.jpg</t>
  </si>
  <si>
    <t>www.americanretailsupply.com\64947\2701\Gridwall--Slatgrid-Panels\Slatgrid-Panels.html</t>
  </si>
  <si>
    <t>&lt;p&gt;Adjustable and lends itself to the creative and innovative! Use Gridwall for your permanent fixtures and temporary displays. Looking to make your display more stable by adding a base or legs? &lt;a href="../../../64950/Gridwall-Display-Bases.html" target=_self&gt;Just click here to view our selection.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Separately&lt;/p&gt;</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</si>
  <si>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</si>
  <si>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</si>
  <si>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</si>
  <si>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/img1/imga34a.jpg</t>
  </si>
  <si>
    <t>www.americanretailsupply.com\64947\2704\Gridwall--Slatgrid-Panels\Gridwall-Panels.html</t>
  </si>
  <si>
    <t>&lt;p&gt;  Gridwall and Slatgrid Butterfly Joining Clips will add display stability to 2 or more pieces of slatwall or gridwall that need to be connected.  They can be purchased in chrome, black, or white.&lt;/p&gt;</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</si>
  <si>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</si>
  <si>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</si>
  <si>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</si>
  <si>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/img1/imgaaa4.jpg</t>
  </si>
  <si>
    <t>www.americanretailsupply.com\64951\36212\Gridwall-Connectors\Joining-Clips.html</t>
  </si>
  <si>
    <t>&lt;p&gt;  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white.&lt;/p&gt;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</si>
  <si>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</si>
  <si>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</si>
  <si>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</si>
  <si>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/img2/img0bf2.jpg</t>
  </si>
  <si>
    <t>www.americanretailsupply.com\64951\36213\Gridwall-Connectors\Wall-to-Grid-Bracket.html</t>
  </si>
  <si>
    <t>&lt;p&gt;  The Universal Standard Bracket is used to attach your Gridwall display panels to installed Universal standards.  These brackets are available in chrome and are 2" long.&lt;/p&gt;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</si>
  <si>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</si>
  <si>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</si>
  <si>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</si>
  <si>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/img1/img8c5b.jpg</t>
  </si>
  <si>
    <t>www.americanretailsupply.com\64951\36214\Gridwall-Connectors\Universal-Standard-to-Grid-Bracket.html</t>
  </si>
  <si>
    <t>&lt;p&gt;  This is a 2" bracket that allows you to attach Gridwall panel displays to your installed Slatwall fixtures.  It is recommended that you use reinforced slatwall when using these brackets.  Available in chrome.&lt;/p&gt;</t>
  </si>
  <si>
    <t>Gridwall Connectors, Slatwall to Grid Brackets</t>
  </si>
  <si>
    <t>slatwall grid brackets gridwall connectors</t>
  </si>
  <si>
    <t>Gridwall connectors, order slatwall to grid brackets and more retail store fixtures and displays at American Retail Supply.</t>
  </si>
  <si>
    <t>/img2/img7e44.jpg</t>
  </si>
  <si>
    <t>www.americanretailsupply.com\64951\36216\Gridwall-Connectors\Slatwall-to-Grid-Bracket.html</t>
  </si>
  <si>
    <t>&lt;p&gt;These ties have a variety of uses including a quick and easy way to connect 2 or more pieces of Gridwall or Slatgrid. &lt;br&gt;Sold 100 per package.&lt;/p&gt;</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</si>
  <si>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</si>
  <si>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</si>
  <si>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</si>
  <si>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/img1/img8d58.jpg</t>
  </si>
  <si>
    <t>www.americanretailsupply.com\64951\228793\Gridwall-Connectors\Cable-Ties.html</t>
  </si>
  <si>
    <t>&lt;p&gt;Make your own H Shaped display using 4 pieces of Gridwall or Slatgrid and this Gondola Base.  Levelers are included. &lt;a href="http://arsv2.eporiaservices.com/64947/Gridwall--Slatgrid-Panels-V2.html"&gt;Panels and joining clips are sold separately for assembling your display.  All Gridwall Gondola Bases are available in Chrome, White, and Black.&lt;/p&gt;</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</si>
  <si>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</si>
  <si>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</si>
  <si>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</si>
  <si>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/img3/imgbacd.jpg</t>
  </si>
  <si>
    <t>www.americanretailsupply.com\64950\35393\Gridwall-Display-Bases\Gridwall-Gondola-Base.html</t>
  </si>
  <si>
    <t>&lt;p&gt;Use this to make your own 4 sided fixture using 4 pieces of Gridwall or Slatgrid.&lt;br&gt;Display &lt;a href="http://arsv2.eporiaservices.com/64947/Gridwall--Slatgrid-Panels-V2.html"&gt;panels and joining clips are sold separately.  &lt;br&gt;Order Castors separately, see item 4288001B&lt;/p&gt;</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</si>
  <si>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</si>
  <si>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</si>
  <si>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</si>
  <si>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/img1/img9600.jpg</t>
  </si>
  <si>
    <t>www.americanretailsupply.com\64950\35394\Gridwall-Display-Bases\Star-Base.html</t>
  </si>
  <si>
    <t>&lt;p&gt;These 24" Legs are used if you need only a single panel or multiple panels to add stability to your Gridwall display.  Available in Chrome, White, or Black. &lt;br&gt;Legs are sold separately and each panel requires two legs.  &lt;/p&gt;</t>
  </si>
  <si>
    <t>Gridwall Legs, Gridwall Display Bases &amp; Fixtures for Retail Stores</t>
  </si>
  <si>
    <t>gridwall legs gridwall bases</t>
  </si>
  <si>
    <t>Gridwall legs for single and multiple panel gridwall displays, order gridwall display bases and retail store fixtures online.</t>
  </si>
  <si>
    <t>/img3/img5ba3.jpg</t>
  </si>
  <si>
    <t>www.americanretailsupply.com\64950\35395\Gridwall-Display-Bases\Gridwall-Display-Legs.html</t>
  </si>
  <si>
    <t>&lt;p&gt;Make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 and joining clips are sold separately. All Gridwall Triangle Bases are available in Chrome, White, and Black.&lt;/p&gt;</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</si>
  <si>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</si>
  <si>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</si>
  <si>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</si>
  <si>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/img3/img000e.jpg</t>
  </si>
  <si>
    <t>www.americanretailsupply.com\64950\35396\Gridwall-Display-Bases\Triangle-Base.html</t>
  </si>
  <si>
    <t>&lt;p&gt;    This is 24"x 24" Flat Wire Shelf. Your color choices are chrome, black, or white. &lt;br&gt;&lt;/p&gt;</t>
  </si>
  <si>
    <t>Gridwall Flat Wire Shelf</t>
  </si>
  <si>
    <t>/img2/img193c.jpg</t>
  </si>
  <si>
    <t>www.americanretailsupply.com\64948\34096\Gridwall-Metal-Attachments\Gridwall-Flat-Wire-Shelf.html</t>
  </si>
  <si>
    <t>&lt;p&gt;Available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&lt;/p&gt;</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</si>
  <si>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</si>
  <si>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</si>
  <si>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</si>
  <si>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/img1/img682f.jpg</t>
  </si>
  <si>
    <t>www.americanretailsupply.com\64948\34302\Gridwall-Metal-Attachments\Shelf-Rest-with-Rubber-Buttons-for-Glass-Shelves.html</t>
  </si>
  <si>
    <t>&lt;p&gt;  Heavy duty 1/4" diameter wire with 90&amp;#186; tip for Gridwall.  Available in white, chrome or black in 1, 4 6 9 and 12 lengths.&lt;/p&gt;</t>
  </si>
  <si>
    <t>Gridwall Heavy Duty Hook 1/4" Diameter 90o tip</t>
  </si>
  <si>
    <t>/img2/imgc3d0.jpg</t>
  </si>
  <si>
    <t>www.americanretailsupply.com\64948\35383\Gridwall-Metal-Attachments\Gridwall-Heavy-Duty-Hook-14-Diameter-90-tip.html</t>
  </si>
  <si>
    <t>&lt;p&gt;Heavy Duty Hook 1/4" Diameter wire with 45&amp;#186; tip for Gridwall. They can be ordered in any length from 2"to 12". They are available in white, black, or chrome.&lt;/p&gt;</t>
  </si>
  <si>
    <t>Gridwall Heavy Duty Hook 1/4" Diameter 45o tip</t>
  </si>
  <si>
    <t>/img1/img3ea9.jpg</t>
  </si>
  <si>
    <t>www.americanretailsupply.com\64948\35384\Gridwall-Metal-Attachments\Gridwall-Heavy-Duty-Hook-14-Diameter-45-tip.html</t>
  </si>
  <si>
    <t>&lt;p&gt;Regular Duty hooks are 3/16" diameter with a 45&amp;#186; tip.  They come in sizes ranging from 2" to 12", and in black, white, or chrome.&lt;/p&gt;</t>
  </si>
  <si>
    <t>Gridwall Hook  Regular Duty</t>
  </si>
  <si>
    <t>/img2/imgbcf2.jpg</t>
  </si>
  <si>
    <t>www.americanretailsupply.com\64948\35385\Gridwall-Metal-Attachments\Gridwall-Hook--Regular-Duty.html</t>
  </si>
  <si>
    <t>&lt;p&gt;  These are meant to be used to display apparel on hangers, purses or other hanging merchandise.  They are 12" long and come in your choice of black, white, or chrome.&lt;/p&gt;</t>
  </si>
  <si>
    <t>Gridwall Straight Faceout</t>
  </si>
  <si>
    <t>/img3/img8ca8.jpg</t>
  </si>
  <si>
    <t>www.americanretailsupply.com\64948\35386\Gridwall-Metal-Attachments\Gridwall-Straight-Faceout.html</t>
  </si>
  <si>
    <t>&lt;p&gt;Can be used to display your hanging merchandise at an angle to highlight each item.  They are 16" long and are available in black, chrome, or white.&lt;/p&gt;</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</si>
  <si>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</si>
  <si>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</si>
  <si>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</si>
  <si>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/img2/img8838.jpg</t>
  </si>
  <si>
    <t>www.americanretailsupply.com\64948\35387\Gridwall-Metal-Attachments\Gridwall-Waterfall-with-Ball-Stops.html</t>
  </si>
  <si>
    <t>&lt;p&gt;Hang several pieces of your merchandise at an angle with this waterfall with hooks.  Easy to retrieve the back item without unloading the whole display.  They are available 16" long and in black, white or chrome.&lt;/p&gt;</t>
  </si>
  <si>
    <t>Gridwall Attachments, Waterfall Hook</t>
  </si>
  <si>
    <t>waterfall hook gridwall attachments gridwall fixtures store displays</t>
  </si>
  <si>
    <t>Waterfall hooks, order gridwall attachments including waterfall hooks in black, white, or chrome at American Retail Supply.</t>
  </si>
  <si>
    <t>/img2/img6e9f.jpg</t>
  </si>
  <si>
    <t>www.americanretailsupply.com\64948\35388\Gridwall-Metal-Attachments\Gridwall-Waterfall-with-Hooks.html</t>
  </si>
  <si>
    <t>&lt;p&gt;The Hangrod bracket will hang on a single 2' wide piece of gridwall for a compact display.  Available in Chrome.&lt;/p&gt;</t>
  </si>
  <si>
    <t>Gridwall U Shaped Hangrod Bracket</t>
  </si>
  <si>
    <t>/img1/img27af.jpg</t>
  </si>
  <si>
    <t>www.americanretailsupply.com\64948\35389\Gridwall-Metal-Attachments\Gridwall-U-Shaped-Hangrod-Bracket.html</t>
  </si>
  <si>
    <t>&lt;p&gt;The bracket will be used in a corner with 2 pieces of Gridwall or Slatgrid.  Hang up apparel and use very little valuable floor space.  Available in chrome.&lt;/p&gt;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</si>
  <si>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</si>
  <si>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</si>
  <si>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</si>
  <si>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/img1/img82d9.jpg</t>
  </si>
  <si>
    <t>www.americanretailsupply.com\64948\35390\Gridwall-Metal-Attachments\Gridwall-Hangrod-Quarter-Circle-Bracket.html</t>
  </si>
  <si>
    <t>&lt;p&gt;This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chrome.&lt;/p&gt;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</si>
  <si>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</si>
  <si>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</si>
  <si>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</si>
  <si>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/img3/img81da.jpg</t>
  </si>
  <si>
    <t>www.americanretailsupply.com\64948\35391\Gridwall-Metal-Attachments\Gridwall-Bracket-for-Hangrod-Straight.html</t>
  </si>
  <si>
    <t>&lt;p&gt;Use this to display pictures or or other items that you do not want to protrude away from the wall.  They are available in chrome, black, or white.&lt;/p&gt;</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</si>
  <si>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</si>
  <si>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</si>
  <si>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</si>
  <si>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/img3/imgb971.jpg</t>
  </si>
  <si>
    <t>www.americanretailsupply.com\64948\35392\Gridwall-Metal-Attachments\Gridwall-Picture-Hanger.html</t>
  </si>
  <si>
    <t>&lt;p&gt;  Use this shelf with lip for your Gridwall and is 24"x 15". Available in chrome, black, or white. &lt;br&gt;&lt;/p&gt;</t>
  </si>
  <si>
    <t>Slant Shelf with Lip</t>
  </si>
  <si>
    <t>/img2/img6aba.jpg</t>
  </si>
  <si>
    <t>www.americanretailsupply.com\64948\35825\Gridwall-Metal-Attachments\Slant-Shelf-with-Lip.html</t>
  </si>
  <si>
    <t>&lt;p&gt;    Great wire baskets that come in 2 sizes as either 12" x 12" x 4" or 24" x 12" x 4". &lt;br&gt;Both sizes are available in chrome, black, or white. &lt;br&gt;&lt;/p&gt;</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</si>
  <si>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</si>
  <si>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</si>
  <si>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</si>
  <si>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/img2/imgc08f.jpg</t>
  </si>
  <si>
    <t>www.americanretailsupply.com\64948\35826\Gridwall-Metal-Attachments\Multi-Wire-Baskets-for-Slatwall-Gridwall-Pegboard.html</t>
  </si>
  <si>
    <t>&lt;p&gt;What a unique way to use and display any of your items on this triangle shelf for Gridwall. Choose from chrome, black, or white.&lt;br&gt;&lt;/p&gt;</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</si>
  <si>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</si>
  <si>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</si>
  <si>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</si>
  <si>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/img3/img8ac6.jpg</t>
  </si>
  <si>
    <t>www.americanretailsupply.com\64948\35829\Gridwall-Metal-Attachments\Triangle-Shelf.html</t>
  </si>
  <si>
    <t>&lt;p&gt;  This is a Flat shelf with Lip is 24" x 15" and comes in chrome, black, or white. &lt;/p&gt;</t>
  </si>
  <si>
    <t>Flat Shelf with Lip</t>
  </si>
  <si>
    <t>/img1/img5025.jpg</t>
  </si>
  <si>
    <t>www.americanretailsupply.com\64948\35830\Gridwall-Metal-Attachments\Flat-Shelf-with-Lip.html</t>
  </si>
  <si>
    <t>&lt;p&gt;  Easily used wire easel to display lightweight items such as plates, books, cards, or picture frames. These measure 4" x 3 3/4" and are available in white or black. Priced per dozen.&lt;/p&gt;</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</si>
  <si>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</si>
  <si>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</si>
  <si>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</si>
  <si>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/img3/img6c91.jpg</t>
  </si>
  <si>
    <t>www.americanretailsupply.com\64948\35869\Gridwall-Metal-Attachments\Gridwall-Wire-Easel.html</t>
  </si>
  <si>
    <t>&lt;p&gt;  (Knife Edge Brackets) brackets can be used with Gridwall or Slatgrid fixtures.  All are available in chrome, black or white. They range in length from 4" to 16". Use melamine shelves, glass, and or wood with these brackets.&lt;/p&gt;</t>
  </si>
  <si>
    <t>Gridwall Standard Brackets</t>
  </si>
  <si>
    <t>/img3/img9e20.jpg</t>
  </si>
  <si>
    <t>www.americanretailsupply.com\64948\36205\Gridwall-Metal-Attachments\Gridwall-Standard-Brackets.html</t>
  </si>
  <si>
    <t>&lt;p&gt;  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options&lt;/p&gt;</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</si>
  <si>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</si>
  <si>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</si>
  <si>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</si>
  <si>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/img1/img9a18.jpg</t>
  </si>
  <si>
    <t>www.americanretailsupply.com\64948\36208\Gridwall-Metal-Attachments\Gridwall-Bracket-for-Merchandising-Bar.html</t>
  </si>
  <si>
    <t>&lt;p&gt;  This bracket is 12" long and will hold 1" diameter hangrod for Gridwall, sold separately. Saddle is centered. Chrome Plated only. &lt;/p&gt;</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</si>
  <si>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</si>
  <si>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</si>
  <si>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</si>
  <si>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/img2/img251a.jpg</t>
  </si>
  <si>
    <t>www.americanretailsupply.com\64948\36209\Gridwall-Metal-Attachments\Gridwall-Bracket-for-Hangrod.html</t>
  </si>
  <si>
    <t>&lt;p&gt;Made to be attached at the cross sections of each gridwall panel. &lt;/p&gt;</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</si>
  <si>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</si>
  <si>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</si>
  <si>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</si>
  <si>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/img1/imgbfda.jpg</t>
  </si>
  <si>
    <t>www.americanretailsupply.com\64948\228801\Gridwall-Metal-Attachments\Black-Gridwall-Hooks.html</t>
  </si>
  <si>
    <t>&lt;p&gt;These Chrome Finish Hangers are finished in a bright polished chrome.  They are useful as a salesman's sample hangers or on a rack to display apparel in your retail store.  Hangers are sold 100 per Case.&lt;/p&gt;</t>
  </si>
  <si>
    <t>Clothes Hangers, Chrome Dress and Shirt Hanger</t>
  </si>
  <si>
    <t>clothes hangers chrome hanger dress shirt hangers</t>
  </si>
  <si>
    <t>Clothes hangers for retail apparel stores, order chrome hangers for dresses and shirts for your retail store displays online.</t>
  </si>
  <si>
    <t>/img3/img6732.jpg</t>
  </si>
  <si>
    <t>www.americanretailsupply.com\65195\36366\Hangers\Chrome-Finish-Hangers.html</t>
  </si>
  <si>
    <t>&lt;p&gt;Keep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&lt;/p&gt;</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</si>
  <si>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</si>
  <si>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</si>
  <si>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</si>
  <si>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/img1/img556f.jpg</t>
  </si>
  <si>
    <t>www.americanretailsupply.com\65195\36386\Hangers\Hanger-Accessories.html</t>
  </si>
  <si>
    <t>&lt;p&gt;These beautiful Wooden Top Hangers add a classic look to the way you display your retail store's clothing. Hooks are brass.&lt;br&gt;  Hangers are sold 100 per Case.&lt;/p&gt;</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</si>
  <si>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</si>
  <si>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</si>
  <si>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</si>
  <si>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/img1/img117e.jpg</t>
  </si>
  <si>
    <t>www.americanretailsupply.com\65195\36793\Hangers\Wooden-Top-Hangers.html</t>
  </si>
  <si>
    <t>&lt;p&gt;These natural Wooden Contoured Suit Hangers are ideal for hanging both the suit jacket and slacks. The wood hanger themselves add a nice touch to your retail store.   Hangers are sold 100 per Case.&lt;/p&gt;</t>
  </si>
  <si>
    <t>Wooden Hangers - Wooden Contoured Suit Hangers</t>
  </si>
  <si>
    <t>wooden hangers suit hanger wood hangers</t>
  </si>
  <si>
    <t>Wooden Hangers - Contoured wooden suit hangers for hanging suit jackets and slacks, order wood hangers for your retail store online.</t>
  </si>
  <si>
    <t>/img3/img0528.jpg</t>
  </si>
  <si>
    <t>www.americanretailsupply.com\65195\36794\Hangers\Wooden-Contoured-Suit-Hangers.html</t>
  </si>
  <si>
    <t>&lt;p&gt;These Wooden Pant and Shirt Hangers add a special touch to hanging up those items at your retail store. They come in a walnut or varnish finish.   Hangers are sold 100 per Case.&lt;/p&gt;</t>
  </si>
  <si>
    <t>Wooden Hangers - Wooden Pant and Skirt Hangers</t>
  </si>
  <si>
    <t>wooden pant hangers wood skirt hanger wooden hangers</t>
  </si>
  <si>
    <t>Wooden pant and skirt hangers, these wooden hangers are perfect for hanging and displaying pants and skirts in your retail store.</t>
  </si>
  <si>
    <t>/img2/imgf449.jpg</t>
  </si>
  <si>
    <t>www.americanretailsupply.com\65195\36796\Hangers\Wooden-Pant-and-Shirt-Hangers.html</t>
  </si>
  <si>
    <t>&lt;p&gt;These are the finest quality clothing Top Hangers for shirts and blouses with Metal Swivel Hook made of plastic clothes hangers for shirts and blouses. These hangers are sold 100 per Case.&lt;/p&gt;</t>
  </si>
  <si>
    <t>Plastic Clothes Hangers, Plastic Blouse and Shirt Hangers</t>
  </si>
  <si>
    <t>clothes hangers plastic shirt hangers blouse hanger</t>
  </si>
  <si>
    <t>Clothes hangers for shirts and blouses, order plastic clothes hangers and apparel merchandise display items for your retail store online.</t>
  </si>
  <si>
    <t>/img2/img4be0.jpg</t>
  </si>
  <si>
    <t>www.americanretailsupply.com\65195\47586\Hangers\Top-Hangers-with-Metal-Swivel-Hook.html</t>
  </si>
  <si>
    <t>&lt;p&gt;Pant/Skirt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case.&lt;/p&gt;</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</si>
  <si>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</si>
  <si>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</si>
  <si>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</si>
  <si>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/img1/img16ca.jpg</t>
  </si>
  <si>
    <t>www.americanretailsupply.com\65195\47616\Hangers\PantSkirt-Hangers-w-Metal-Swivel-Hook.html</t>
  </si>
  <si>
    <t>&lt;p&gt;    Suit Hangers are sold 100 per Case.&lt;/p&gt;</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</si>
  <si>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</si>
  <si>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</si>
  <si>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</si>
  <si>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/img1/img4715.jpg</t>
  </si>
  <si>
    <t>www.americanretailsupply.com\65195\47623\Hangers\Suit-Hangers.html</t>
  </si>
  <si>
    <t>&lt;p&gt;17" Outerwear Hangers with 3 1/4" Metal Hook.&lt;br&gt;    Hangers are sold 100 per Case.&lt;/p&gt;</t>
  </si>
  <si>
    <t>Outerwear Hangers, Clear Plastic Outerwear Hangers with Metal Hooks</t>
  </si>
  <si>
    <t>outerwear hangers plastic hangers outerwear hanger</t>
  </si>
  <si>
    <t>Outerwear hangers for retail apparel stores, order outerwear hangers and retail display fixtures for your retail store online.</t>
  </si>
  <si>
    <t>/img1/img0344.jpg</t>
  </si>
  <si>
    <t>www.americanretailsupply.com\65195\47627\Hangers\Outerwear-Hangers.html</t>
  </si>
  <si>
    <t>&lt;p&gt;Specialty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   &lt;/p&gt;</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</si>
  <si>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</si>
  <si>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</si>
  <si>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</si>
  <si>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/img1/img56b7.jpg</t>
  </si>
  <si>
    <t>www.americanretailsupply.com\65195\437272\Hangers\Specialty-Hangers.html</t>
  </si>
  <si>
    <t>&lt;p&gt;Hangrod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Quantum.&lt;br&gt;&lt;br&gt;&lt;/p&gt;</t>
  </si>
  <si>
    <t>Hangrod Accessories</t>
  </si>
  <si>
    <t>www.americanretailsupply.com\64961\37826\Hangrod\Hangrod-Accessories.html</t>
  </si>
  <si>
    <t>&lt;p&gt;Hangrods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separately.&lt;/p&gt;</t>
  </si>
  <si>
    <t>Hangrod</t>
  </si>
  <si>
    <t>/img1/imgb952.jpg</t>
  </si>
  <si>
    <t>www.americanretailsupply.com\64961\37833\Hangrod\Hangrod.html</t>
  </si>
  <si>
    <t>&lt;p&gt;An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6812.&lt;br&gt;&lt;br&gt;FOB - Bend, OR Unless noted ALL cases will ship VIA LTL Common Carrier. A crating charge will be added to all cases being shipped. You will be notified of the freight amount and the crating charges. &lt;/p&gt;</t>
  </si>
  <si>
    <t>Glass and Wood Display Cases, Retail Store Showcases, Fixtures</t>
  </si>
  <si>
    <t>glass and wood display fixture cabinet showcases</t>
  </si>
  <si>
    <t>/img3/img6300.jpg</t>
  </si>
  <si>
    <t>www.americanretailsupply.com\64831\47106\Hardwood-Showcases\Sit--Down-Showcase.html</t>
  </si>
  <si>
    <t>&lt;p&gt;    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 &lt;/p&gt;</t>
  </si>
  <si>
    <t>Extended Vision Display Case - Rectangle and Hexagon, Multi-Tier Display Case - Rectangle and Hexagon</t>
  </si>
  <si>
    <t>Multi-Level Display Case, Hardwood Display Case, Display Case, Antique Display Case</t>
  </si>
  <si>
    <t>YOUR CHOICE of Wood, Finish, and Design. 28</t>
  </si>
  <si>
    <t>/img1/imgd431.jpg</t>
  </si>
  <si>
    <t>www.americanretailsupply.com\64831\47107\Hardwood-Showcases\Extended-Vision-Display-Case.html</t>
  </si>
  <si>
    <t>&lt;p&gt;Our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 &lt;/p&gt;</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</si>
  <si>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</si>
  <si>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</si>
  <si>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</si>
  <si>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/img2/img2663.jpg</t>
  </si>
  <si>
    <t>www.americanretailsupply.com\64831\47108\Hardwood-Showcases\Full-Vision-Displays.html</t>
  </si>
  <si>
    <t>&lt;p&gt;Save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showcase&lt;br&gt;&lt;/p&gt;</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</si>
  <si>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</si>
  <si>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</si>
  <si>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</si>
  <si>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/img1/imge46a.jpg</t>
  </si>
  <si>
    <t>www.americanretailsupply.com\64831\47111\Hardwood-Showcases\Showcase--Cashwrap-Combo-Cases.html</t>
  </si>
  <si>
    <t>&lt;p&gt;The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 &lt;/p&gt;</t>
  </si>
  <si>
    <t>Half Vision Display Case - 4ft | 5ft | 6ft Long</t>
  </si>
  <si>
    <t>Half Vision Display Case, Display Case, Displat Case with Lights</t>
  </si>
  <si>
    <t>Rectangle, Hexagon(corner), Octagon, or Combo Display Types. 16</t>
  </si>
  <si>
    <t>/img2/img99f0.jpg</t>
  </si>
  <si>
    <t>www.americanretailsupply.com\64831\47113\Hardwood-Showcases\Half-Vision-Displays.html</t>
  </si>
  <si>
    <t>&lt;p&gt;  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 &lt;/p&gt;</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</si>
  <si>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</si>
  <si>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</si>
  <si>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</si>
  <si>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/img3/img2c00.jpg</t>
  </si>
  <si>
    <t>www.americanretailsupply.com\64831\47114\Hardwood-Showcases\Jewelry-Top-Vision-Displays.html</t>
  </si>
  <si>
    <t>&lt;p&gt;Pricing on all Cashwrap Including Adjustable Shelves include Adjustable Shelves.&lt;br&gt;Options: Check Writer Top, Drawers, or Hinged Doors for additional charge.&lt;br&gt;&lt;/p&gt;</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</si>
  <si>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</si>
  <si>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</si>
  <si>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</si>
  <si>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/img3/img425d.jpg</t>
  </si>
  <si>
    <t>www.americanretailsupply.com\64831\47115\Hardwood-Showcases\Cashwrap.html</t>
  </si>
  <si>
    <t>&lt;p&gt;E'Tagere's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help.&lt;br&gt;&lt;/p&gt;</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</si>
  <si>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</si>
  <si>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</si>
  <si>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</si>
  <si>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/img1/img69c1.jpg</t>
  </si>
  <si>
    <t>www.americanretailsupply.com\64831\47116\Hardwood-Showcases\ETagere-Open-Shelf-Display-wMirror-Bottom.html</t>
  </si>
  <si>
    <t>&lt;p&gt;  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 &lt;/p&gt;</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</si>
  <si>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</si>
  <si>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</si>
  <si>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</si>
  <si>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/img2/img668b.jpg</t>
  </si>
  <si>
    <t>www.americanretailsupply.com\64831\47117\Hardwood-Showcases\Special-Cases.html</t>
  </si>
  <si>
    <t>&lt;p&gt;Classic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6811HL.&lt;/p&gt;</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</si>
  <si>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</si>
  <si>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</si>
  <si>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</si>
  <si>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/img1/img2d9c.jpg</t>
  </si>
  <si>
    <t>www.americanretailsupply.com\64831\47125\Hardwood-Showcases\Classic-Tower-Displays.html</t>
  </si>
  <si>
    <t>&lt;p&gt;  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 &lt;/p&gt;</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</si>
  <si>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</si>
  <si>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</si>
  <si>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</si>
  <si>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/img1/imgadda.jpg</t>
  </si>
  <si>
    <t>www.americanretailsupply.com\64831\47127\Hardwood-Showcases\Queen-Anne-Tower-Cases.html</t>
  </si>
  <si>
    <t>&lt;p&gt;Stretch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&lt;br&gt;&lt;/p&gt;</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</si>
  <si>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</si>
  <si>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</si>
  <si>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</si>
  <si>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/img2/img6459.jpg</t>
  </si>
  <si>
    <t>www.americanretailsupply.com\64831\47227\Hardwood-Showcases\Classic-Towers-Stretched-Version.html</t>
  </si>
  <si>
    <t>&lt;p&gt;  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 &lt;/p&gt;</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</si>
  <si>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</si>
  <si>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</si>
  <si>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</si>
  <si>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/img3/img03f1.jpg</t>
  </si>
  <si>
    <t>www.americanretailsupply.com\64831\47233\Hardwood-Showcases\Countertop-Cases.html</t>
  </si>
  <si>
    <t>&lt;p&gt;  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shelves&lt;/p&gt;</t>
  </si>
  <si>
    <t>Collector's Case - Wood Display Cases for Retail Stores</t>
  </si>
  <si>
    <t>collectibles case wood display cases collectors case glass and wood cabinet</t>
  </si>
  <si>
    <t>Wood collectors and curio display cases for retail stores, gift shops, museums, or anywhere else a wood display case is needed.</t>
  </si>
  <si>
    <t>/img3/imgd8f2.jpg</t>
  </si>
  <si>
    <t>www.americanretailsupply.com\64831\47969\Hardwood-Showcases\Collectors-Series-Upright-Displays.html</t>
  </si>
  <si>
    <t>&lt;p&gt;  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bench.&lt;br&gt;FOB - Bend, OR&lt;br&gt;Unless noted ALL cases will ship VIA LTL Common Carrier. &lt;br&gt;A crating charge will be added to all cases being shipped.&lt;br&gt;Freight is quoted separately. You will be notified of the freight amount and the crating charges. &lt;/p&gt;</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</si>
  <si>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</si>
  <si>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</si>
  <si>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</si>
  <si>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/img1/img329f.jpg</t>
  </si>
  <si>
    <t>www.americanretailsupply.com\64831\47983\Hardwood-Showcases\Showcase-Bench.html</t>
  </si>
  <si>
    <t>&lt;p&gt;  Beautiful Queen Anne Jewelry Cases with Cabriole Legs. Adding these antique style wood and glass showcases to you retail store will add a touch of elegance. All display cases are made of solid wood with lacquered finish and are perfect for displaying fine jewelry.&lt;br&gt;&lt;/p&gt;</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</si>
  <si>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</si>
  <si>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</si>
  <si>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</si>
  <si>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/img1/img73d0.jpg</t>
  </si>
  <si>
    <t>www.americanretailsupply.com\64831\442764\Hardwood-Showcases\Queen-Anne-Jewelry-Cases.html</t>
  </si>
  <si>
    <t>&lt;p&gt;  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 &lt;/p&gt;</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</si>
  <si>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</si>
  <si>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</si>
  <si>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</si>
  <si>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/img2/img8816.jpg</t>
  </si>
  <si>
    <t>www.americanretailsupply.com\64831\442765\Hardwood-Showcases\Queen-Anne-Wrap-Counters.html</t>
  </si>
  <si>
    <t>&lt;p&gt;  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jewelry.&lt;br&gt;&lt;/p&gt;</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</si>
  <si>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</si>
  <si>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</si>
  <si>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</si>
  <si>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/img3/imgcb13.jpg</t>
  </si>
  <si>
    <t>www.americanretailsupply.com\64831\442767\Hardwood-Showcases\Queen-Anne-Fullview-Cases.html</t>
  </si>
  <si>
    <t>&lt;p&gt;Beautiful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charges.&lt;/p&gt;</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</si>
  <si>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</si>
  <si>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</si>
  <si>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</si>
  <si>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/img2/img4f89.jpg</t>
  </si>
  <si>
    <t>www.americanretailsupply.com\64831\442800\Hardwood-Showcases\Museum-Style-Tower-Displays.html</t>
  </si>
  <si>
    <t>&lt;p&gt;Beautiful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 &lt;/p&gt;</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</si>
  <si>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</si>
  <si>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</si>
  <si>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</si>
  <si>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/img2/img5aab.jpg</t>
  </si>
  <si>
    <t>www.americanretailsupply.com\64831\442801\Hardwood-Showcases\Museum-Style-Countertop-Displays.html</t>
  </si>
  <si>
    <t>&lt;p&gt;Ladies Abstract Fiberglass Head is a Sturdy, fiberglass construction minimizes damage. Abstract face allows hats and scarves to be highlighted. Self standing.&lt;br&gt;&lt;/p&gt;</t>
  </si>
  <si>
    <t>Ladies Abstact Fiberglass Head</t>
  </si>
  <si>
    <t>/img2/imgb328.jpg</t>
  </si>
  <si>
    <t>www.americanretailsupply.com\65166\156995\Head-Forms\Ladies-Abstact-Fiberglass-Head.html</t>
  </si>
  <si>
    <t>&lt;p&gt;Styrofoam Heads&lt;/p&gt;</t>
  </si>
  <si>
    <t>Styrofoam Heads</t>
  </si>
  <si>
    <t>/img3/img9a56.jpg</t>
  </si>
  <si>
    <t>www.americanretailsupply.com\65166\703691\Head-Forms\Styrofoam-Heads.html</t>
  </si>
  <si>
    <t>&lt;p&gt;    Mix or match lids with bottoms.&lt;br&gt;&lt;a href="http://yoosh.co/ars_files/rs6.eporia.com/company_8/Hi%20Wall%20Boxes%20suggested%20Uses.pdf"&gt;Click here for the Hi Walls Boxes Suggested Uses list.&lt;br&gt;Please be sure to order lids separately.   &lt;/p&gt;</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</si>
  <si>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</si>
  <si>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</si>
  <si>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</si>
  <si>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/img3/img5d28.jpg</t>
  </si>
  <si>
    <t>www.americanretailsupply.com\64710\747887\Hi-Wall-2-Piece-Boxes--Lids\Hi-Wall-2-Piece-White-Boxes--Lids.html</t>
  </si>
  <si>
    <t>&lt;p&gt;&lt;a href="http://yoosh.co/ars_files/rs6.eporia.com/company_8/Hi%20Wall%20Boxes%20suggested%20Uses.pdf"&gt;    Mix or match lids with bottoms.&lt;br&gt;&lt;a href="http://yoosh.co/ars_files/rs6.eporia.com/company_8/Hi%20Wall%20Boxes%20suggested%20Uses.pdf"&gt;Click here for the Hi Walls Boxes Suggested Uses list.&lt;br&gt;Please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 and &lt;a href="http://arsv2.eporiaservices.com/64704/Shreds-V2.html"&gt;shreds.&lt;br&gt;&lt;br&gt; &lt;/p&gt;</t>
  </si>
  <si>
    <t>/img3/img452a.jpg</t>
  </si>
  <si>
    <t>www.americanretailsupply.com\64710\748773\Hi-Wall-2-Piece-Boxes--Lids\Hi-Wall-2-Piece-Gold-Boxes--Lids.html</t>
  </si>
  <si>
    <t>&lt;p&gt;&lt;a href="http://yoosh.co/ars_files/rs6.eporia.com/company_8/Hi%20Wall%20Boxes%20suggested%20Uses.pdf"&gt;  Mix or match lids with bottoms.&lt;br&gt;&lt;a href="http://yoosh.co/ars_files/rs6.eporia.com/company_8/Hi%20Wall%20Boxes%20suggested%20Uses.pdf"&gt;&lt;a href="http://yoosh.co/ars_files/rs6.eporia.com/company_8/Hi%20Wall%20Boxes%20suggested%20Uses.pdf"&gt;Click here for the Hi Walls Boxes Suggested Uses list.&lt;br&gt;Please be sure to order lids separately.&lt;/p&gt;</t>
  </si>
  <si>
    <t>/img2/imga13c.jpg</t>
  </si>
  <si>
    <t>www.americanretailsupply.com\64710\748775\Hi-Wall-2-Piece-Boxes--Lids\Hi-Wall-2-Piece-Black-Swirl-Boxes--Lids.html</t>
  </si>
  <si>
    <t>&lt;p&gt;&lt;a href="http://yoosh.co/ars_files/rs6.eporia.com/company_8/Hi%20Wall%20Boxes%20suggested%20Uses.pdf"&gt;    Mix or match lids with bottoms.&lt;a href="http://yoosh.co/ars_files/rs6.eporia.com/company_8/Hi%20Wall%20Boxes%20suggested%20Uses.pdf"&gt;&lt;br&gt;Click here for the Hi Walls Boxes Suggested Uses list.&lt;br&gt;Please be sure to order lids separately.   &lt;/p&gt;</t>
  </si>
  <si>
    <t>/img1/img51c2.jpg</t>
  </si>
  <si>
    <t>www.americanretailsupply.com\64710\748776\Hi-Wall-2-Piece-Boxes--Lids\Hi-Wall-2-Piece-Red-Boxes--Lids.html</t>
  </si>
  <si>
    <t>&lt;p&gt;&lt;br&gt;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&lt;br&gt;&lt;/p&gt;</t>
  </si>
  <si>
    <t>Plastic Bags - Hi-Density Plastic Merchandise Bags</t>
  </si>
  <si>
    <t>plastic merchandise bags, plastic bags, merchandise bags</t>
  </si>
  <si>
    <t>Plastic merchandise bags for retail stores, order plastic merchandise bags and retail store packaging supplies online.</t>
  </si>
  <si>
    <t>/img3/imgd255.jpg</t>
  </si>
  <si>
    <t>www.americanretailsupply.com\65074\20290\High-Density-Plastic-Bags\High-Density-Plastic-Merchandise-Bags.html</t>
  </si>
  <si>
    <t>&lt;p&gt;Bag frame holds your t-shirt bag open for quick and easy filling.&lt;/p&gt;</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</si>
  <si>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</si>
  <si>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</si>
  <si>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</si>
  <si>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/img2/img9197.jpg</t>
  </si>
  <si>
    <t>www.americanretailsupply.com\65074\20297\High-Density-Plastic-Bags\Plastic-Bag-Accessories.html</t>
  </si>
  <si>
    <t>&lt;p&gt;&lt;br&gt;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&lt;/p&gt;</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</si>
  <si>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</si>
  <si>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</si>
  <si>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</si>
  <si>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/img2/img059b.jpg</t>
  </si>
  <si>
    <t>www.americanretailsupply.com\65074\49169\High-Density-Plastic-Bags\Hi-Density-Plastic-Bags-with-T-Shirt-Handle.html</t>
  </si>
  <si>
    <t>&lt;p&gt;  &lt;br&gt;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&lt;/p&gt;</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</si>
  <si>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</si>
  <si>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</si>
  <si>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</si>
  <si>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/img3/imgdce7.jpg</t>
  </si>
  <si>
    <t>www.americanretailsupply.com\65074\227781\High-Density-Plastic-Bags\AmeriTote-High-Density-Plastic-Shopping-Bags.html</t>
  </si>
  <si>
    <t>&lt;p&gt;A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</si>
  <si>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</si>
  <si>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</si>
  <si>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</si>
  <si>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/img3/img0f36.jpg</t>
  </si>
  <si>
    <t>www.americanretailsupply.com\64832\172187\High-Tech-Showcases\Full-Sized-Quarter-Vision-Jewelry-Showcase.html</t>
  </si>
  <si>
    <t>&lt;p&gt;  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Levelers,&lt;/p&gt;</t>
  </si>
  <si>
    <t>Curved Jewelry Display Cases, Retail Jewelry Store Glass Showcase Displays</t>
  </si>
  <si>
    <t>curved jewelry cabinet display cases glass fixtures</t>
  </si>
  <si>
    <t>/img3/imgc4d0.jpg</t>
  </si>
  <si>
    <t>www.americanretailsupply.com\64832\172189\High-Tech-Showcases\Full-Sized-Quarter-Vision-Curved-Jewelry-Corner-Showcase.html</t>
  </si>
  <si>
    <t>&lt;p&gt;A pre-assembled, Quarter-Vision Corner Jewelry Showcase. Enjoy 4 square feet of elegant space for your products. Shown in pearwood laminate with black anodized aluminum frame.      &lt;/p&gt;</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</si>
  <si>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</si>
  <si>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</si>
  <si>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</si>
  <si>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/img3/img300c.jpg</t>
  </si>
  <si>
    <t>www.americanretailsupply.com\64832\172190\High-Tech-Showcases\Full-Sized-Quarter-Vision-Corner-Jewelry-Showcase.html</t>
  </si>
  <si>
    <t>&lt;p&gt;A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switch&lt;/p&gt;</t>
  </si>
  <si>
    <t>Jewelry Showcases | Full-Vision Jewelry Display Case</t>
  </si>
  <si>
    <t>jewelry showcases jewelry display case full vision showcase</t>
  </si>
  <si>
    <t>Jewelry showcases for sale online, order full-vision jewelry display cases for your retail store at American Retail Supply.</t>
  </si>
  <si>
    <t>/img2/img4e8f.jpg</t>
  </si>
  <si>
    <t>www.americanretailsupply.com\64832\172191\High-Tech-Showcases\Full-Sized-Full-Vision-Showcase.html</t>
  </si>
  <si>
    <t>&lt;p&gt;  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     &lt;/p&gt;</t>
  </si>
  <si>
    <t>Wood display cash wrap cabinet</t>
  </si>
  <si>
    <t>wood display cash wrap cabinet display fixture</t>
  </si>
  <si>
    <t>/img3/img4f28.jpg</t>
  </si>
  <si>
    <t>www.americanretailsupply.com\64832\172197\High-Tech-Showcases\Cash-Wrap-Cabinet.html</t>
  </si>
  <si>
    <t>&lt;p&gt;A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</si>
  <si>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Jewelry Display Cases, Retail Jewelry Store Glass Showcase Displays</t>
  </si>
  <si>
    <t>rectangular glass display cabinets, jewelry showcases, fixtures</t>
  </si>
  <si>
    <t>/img2/img8f4a.jpg</t>
  </si>
  <si>
    <t>www.americanretailsupply.com\64832\172201\High-Tech-Showcases\Full-Sized-Quarter-Vision-Jewelry-Showcase-wWood-Sides.html</t>
  </si>
  <si>
    <t>&lt;p&gt;A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switch&lt;/p&gt;</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</si>
  <si>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</si>
  <si>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</si>
  <si>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</si>
  <si>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/img2/img17d4.jpg</t>
  </si>
  <si>
    <t>www.americanretailsupply.com\64832\172206\High-Tech-Showcases\Full-Sized-Half-Vision-Showcase.html</t>
  </si>
  <si>
    <t>&lt;p&gt;Hexagon free standing jewelry display case. Six sided glass area is 18" high. Shown in cherry laminate with gold anodized aluminum frame. Enjoy 5 square feet respectively of elegant shelf space for your products.    &lt;/p&gt;</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</si>
  <si>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</si>
  <si>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</si>
  <si>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</si>
  <si>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/img3/img9996.jpg</t>
  </si>
  <si>
    <t>www.americanretailsupply.com\64832\172207\High-Tech-Showcases\Hexagon-Free-Standing-Jewelry-Display-Case.html</t>
  </si>
  <si>
    <t>&lt;p&gt;A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     &lt;/p&gt;</t>
  </si>
  <si>
    <t>curved wood and glass display wall case cabinet showcase</t>
  </si>
  <si>
    <t>curved wood and glass display, showcases, cabinets, fixtures</t>
  </si>
  <si>
    <t>/img1/img97de.jpg</t>
  </si>
  <si>
    <t>www.americanretailsupply.com\64832\172239\High-Tech-Showcases\Curved-Wall-48-Wide-Display-Case-with-Storage.html</t>
  </si>
  <si>
    <t>&lt;p&gt;A pre-assembled glass curved wall display case. Shown in cherry laminate optional micro halogen spotlights. Enjoy either 22 square feet of elegant shelf space for your products. The following features come standard on cases.     &lt;/p&gt;</t>
  </si>
  <si>
    <t>curved glass and wood wall case</t>
  </si>
  <si>
    <t>wood and glass display cabinet fixtures and cases showcases</t>
  </si>
  <si>
    <t>/img2/img12b8.jpg</t>
  </si>
  <si>
    <t>www.americanretailsupply.com\64832\172249\High-Tech-Showcases\Curved-Wall-45-Glass-Display-Case-No-Storage.html</t>
  </si>
  <si>
    <t>&lt;p&gt;A pre-assembled, stretched hexagon tower display case. Shown in black laminate with black anodized aluminum frame with optional micro halogen spotlights. Enjoy 22 square feet of elegant shelf space for your products.      &lt;/p&gt;</t>
  </si>
  <si>
    <t>hexagonal glass tower display case fixture</t>
  </si>
  <si>
    <t>hexagonal glass tower display case fixture, stretched hexagonal tower display cabinet</t>
  </si>
  <si>
    <t>/img1/imgab55.jpg</t>
  </si>
  <si>
    <t>www.americanretailsupply.com\64832\172259\High-Tech-Showcases\Hexagon-Stretched-Tower-Display-Case.html</t>
  </si>
  <si>
    <t>&lt;p&gt;A pre-assembled, hexagon, revolving tower display case with two round 19.75" in diameter adjustable shelves. Shown in pearwood laminate with black anodized aluminum frame. Enjoy 3.5 square feet of elegant shelf space for your products.     &lt;/p&gt;</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</si>
  <si>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</si>
  <si>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</si>
  <si>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</si>
  <si>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/img3/img5484.jpg</t>
  </si>
  <si>
    <t>www.americanretailsupply.com\64832\172260\High-Tech-Showcases\Hexagon-Revolving-Tower-Display-Case-with-Storage.html</t>
  </si>
  <si>
    <t>&lt;p&gt;A pre-assembled, hexagon counter top display case. Shown here on 67VPED6 in black laminate with black anodized aluminum frame. Enjoy 6.5 square feet of elegant shelf space for your products. &lt;/p&gt;</t>
  </si>
  <si>
    <t>glass countertop showcase display</t>
  </si>
  <si>
    <t>glass showcase cabinet display, tower, hexagonal tower</t>
  </si>
  <si>
    <t>/img1/img9a22.jpg</t>
  </si>
  <si>
    <t>www.americanretailsupply.com\64832\172262\High-Tech-Showcases\Hexagon-Counter-Top-Display-Case.html</t>
  </si>
  <si>
    <t>&lt;p&gt;A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switch.&lt;/p&gt;</t>
  </si>
  <si>
    <t>wood and glass compact display square tower case cabinet showcase</t>
  </si>
  <si>
    <t>showcase, wood and glass, display, cabinet, fixture</t>
  </si>
  <si>
    <t>/img2/imgfe5f.jpg</t>
  </si>
  <si>
    <t>www.americanretailsupply.com\64832\583774\High-Tech-Showcases\Compact-Square-Tower-Display-Case.html</t>
  </si>
  <si>
    <t>&lt;p&gt;A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    &lt;/p&gt;</t>
  </si>
  <si>
    <t>glass wall display cabinet rectangular</t>
  </si>
  <si>
    <t>rectangular glass display cabinet wall storage fixtures</t>
  </si>
  <si>
    <t>glass wall display cabinets rectangular</t>
  </si>
  <si>
    <t>/img3/img0332.jpg</t>
  </si>
  <si>
    <t>www.americanretailsupply.com\64832\583775\High-Tech-Showcases\Curved-Wall-40-Wide-Display-no-Storage.html</t>
  </si>
  <si>
    <t>&lt;p&gt;A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42"&lt;/p&gt;</t>
  </si>
  <si>
    <t>glass rectangular display cabinet display showcases</t>
  </si>
  <si>
    <t>/img1/imgc6f3.jpg</t>
  </si>
  <si>
    <t>www.americanretailsupply.com\64832\583778\High-Tech-Showcases\Full-Sized-Quarter-Vision-Jewelry-Showcase-with-Pedastal-Ends.html</t>
  </si>
  <si>
    <t>&lt;p&gt;A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</si>
  <si>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and wood display cases, jewelry fixtures, cabinets, storage</t>
  </si>
  <si>
    <t>/img2/img8630.jpg</t>
  </si>
  <si>
    <t>www.americanretailsupply.com\64832\583842\High-Tech-Showcases\Full-Sized-Quarter-Vision-Jewelry-Case-with-Angled-Corners.html</t>
  </si>
  <si>
    <t>&lt;p&gt;A pre-assembled, tempered glass, curved tower display case with curved top canopy and curved base cabinet. Shown in brushed silver laminate with flat silver anodized aluminum frame and with optional micro halogen spotlights. The following features come standard on cases.     &lt;/p&gt;</t>
  </si>
  <si>
    <t>curved wood and glass display tower case cabinet showcase</t>
  </si>
  <si>
    <t>curved tower case, display cabinet, showcase, fixture, wood and glass</t>
  </si>
  <si>
    <t>/img3/img5aed.jpg</t>
  </si>
  <si>
    <t>www.americanretailsupply.com\64832\583941\High-Tech-Showcases\Curved-Tower-Display-Case.html</t>
  </si>
  <si>
    <t>&lt;p&gt;The top portion of a Hexagon, free standing jewelry display case can be used as a countertop case. Tempered Six sided glass area 18high.    &lt;/p&gt;</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</si>
  <si>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</si>
  <si>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</si>
  <si>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/img1/img85d9.jpg</t>
  </si>
  <si>
    <t>www.americanretailsupply.com\64832\585062\High-Tech-Showcases\Hexagon-Freestanding-Jewelry-Display-Case-Top-Only.html</t>
  </si>
  <si>
    <t>&lt;p&gt;    &lt;br&gt;Fun reindeer dance pattern conveniently eliminates the need for gift wrap with these attractive decorated corrugated gift boxes! The boxes come in a range of sizes and patterns.  Order boxes by the package.  Each package has 50 boxes, unless otherwise listed.&lt;/p&gt;</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</si>
  <si>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</si>
  <si>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</si>
  <si>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</si>
  <si>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/img3/imgdee7.jpg</t>
  </si>
  <si>
    <t>www.americanretailsupply.com\65011\732117\Holiday-Boxes\Reindeer-Dance.html</t>
  </si>
  <si>
    <t>&lt;p&gt;    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 used in 54P3589 (2 Bottle Box 13 1/8"x 7 1/8"x 3 1/2", 50 per pack) available for purchase &lt;a href="http://arsv2.eporiaservices.com/22217/732233/Decorative-Corrugated-Boxes/Inserts-and-Dividers.html"&gt;here.&lt;br&gt;Order boxes by the package.&lt;br&gt;Each package has 50 boxes, unless otherwise noted.&lt;br&gt;&lt;/p&gt;</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</si>
  <si>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</si>
  <si>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</si>
  <si>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</si>
  <si>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/img2/img6ecd.jpg</t>
  </si>
  <si>
    <t>www.americanretailsupply.com\65011\732118\Holiday-Boxes\Riveting-Ribbons.html</t>
  </si>
  <si>
    <t>&lt;p&gt;Sullivan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view.&lt;br&gt;&lt;br&gt;&lt;br&gt;&lt;/p&gt;</t>
  </si>
  <si>
    <t>Christmas Gift Wrap, Christmas and Holiday Wrapping Paper, Gift Wrapping Supplies</t>
  </si>
  <si>
    <t>christmas gift wrap holiday wrapping paper</t>
  </si>
  <si>
    <t>Christmas and holiday gift wrap paper, buy gift wrapping paper for your retail store gift wrapping needs online.</t>
  </si>
  <si>
    <t>/img3/img1c2f.jpg</t>
  </si>
  <si>
    <t>www.americanretailsupply.com\64723\50821\Holiday-Giftwrap\Christmas-and-Holiday-Giftwrap-2.html</t>
  </si>
  <si>
    <t>&lt;p&gt;Sullivan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&lt;br&gt;&lt;br&gt;&lt;br&gt;&lt;br&gt;&lt;/p&gt;</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</si>
  <si>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</si>
  <si>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</si>
  <si>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</si>
  <si>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/img3/imgb5fc.jpg</t>
  </si>
  <si>
    <t>www.americanretailsupply.com\64723\50843\Holiday-Giftwrap\Christmas-and-Holiday-Giftwrap-1.html</t>
  </si>
  <si>
    <t>&lt;p&gt;                  Choose from 7 different tissue paper assortments for your store. We also have assortments of our &lt;a href="http://arsv2.eporiaservices.com/64703/19958/Tissue-Paper-V2/Solid-Color-Tissue-Paper.html"&gt;Solid Color Tissue Assortment Packs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otherwise.&lt;br&gt;&lt;br&gt;&lt;br&gt;&lt;/p&gt;</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</si>
  <si>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</si>
  <si>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</si>
  <si>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</si>
  <si>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/img1/img9f6e.jpg</t>
  </si>
  <si>
    <t>www.americanretailsupply.com\65001\28612\Holiday-Patterned-Tissue-Paper\Printed-Tissue-Paper-Assortment-Packs.html</t>
  </si>
  <si>
    <t>&lt;p&gt;   &lt;br&gt;&lt;/p&gt;</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</si>
  <si>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</si>
  <si>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</si>
  <si>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</si>
  <si>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www.americanretailsupply.com\65001\223362\Holiday-Patterned-Tissue-Paper\Holiday--Christmas-Printed-Tissue-Paper.html</t>
  </si>
  <si>
    <t>&lt;p&gt;Holiday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(PCR).&lt;br&gt;&lt;/p&gt;</t>
  </si>
  <si>
    <t>/img3/img0060.jpg</t>
  </si>
  <si>
    <t>www.americanretailsupply.com\64999\752414\Holiday-Patterns-Plastic-Bags\Holiday-AmeriTotes-Hi--Density-in-Solid-Colors.html</t>
  </si>
  <si>
    <t>&lt;p&gt;&lt;br&gt;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&lt;/p&gt;</t>
  </si>
  <si>
    <t>Plastic Shopping Bags - Super Gloss Plastic Merchandise Bags</t>
  </si>
  <si>
    <t>plastic shopping bags, plastic merchandise bags, plastic bags, green bags</t>
  </si>
  <si>
    <t>Plastic shopping bags for retail store merchandise, order plastic merchandise bags for your retail store online.</t>
  </si>
  <si>
    <t>/img2/img0094.jpg</t>
  </si>
  <si>
    <t>www.americanretailsupply.com\64999\752422\Holiday-Patterns-Plastic-Bags\Gloss-Christmas-Plastic-Merchandise-Bags.html</t>
  </si>
  <si>
    <t>&lt;p&gt;Celebrate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&lt;br&gt;&lt;/p&gt;</t>
  </si>
  <si>
    <t>Printed Plastic Holiday Bags</t>
  </si>
  <si>
    <t>/img1/img3870.jpg</t>
  </si>
  <si>
    <t>www.americanretailsupply.com\64999\762170\Holiday-Patterns-Plastic-Bags\Printed-Plastic-Holiday-Bags.html</t>
  </si>
  <si>
    <t>&lt;p&gt;Female Leg - Standing&lt;/p&gt;</t>
  </si>
  <si>
    <t>Female Leg</t>
  </si>
  <si>
    <t>/img3/img2a68.jpg</t>
  </si>
  <si>
    <t>www.americanretailsupply.com\65167\156998\Hosiery--Sock-Displays\Female-Leg.html</t>
  </si>
  <si>
    <t>&lt;p&gt;Athletic Men's Sock Display where the Height is mid calf. Made of linear polyethylene plastic. Flesh tone color. Weighted foot for stability.&lt;br&gt;Product Dimensions: Fits sizes 10-13; 12" height&lt;br&gt; &lt;/p&gt;</t>
  </si>
  <si>
    <t>Athletic Men's Sock Display</t>
  </si>
  <si>
    <t>/img3/img8e64.jpg</t>
  </si>
  <si>
    <t>www.americanretailsupply.com\65167\156999\Hosiery--Sock-Displays\Athletic-Mens-Sock-Display.html</t>
  </si>
  <si>
    <t>&lt;p&gt;Shrink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WA&lt;br&gt;&lt;/p&gt;</t>
  </si>
  <si>
    <t>Shrink Wrap Film &amp; Bags, Shrink Wrap Packaging Supplies</t>
  </si>
  <si>
    <t>shrink wrap film shrink wrap bags shrink wrap packaging</t>
  </si>
  <si>
    <t>Shrink wrap film and bags for retail packaging, order shrink wrap packaging supplies for your retail store online.</t>
  </si>
  <si>
    <t>/img2/imgf706.jpg</t>
  </si>
  <si>
    <t>www.americanretailsupply.com\64852\22329\Impulse-Sealers--Shrink-Wrap\Shrink-Wrap-Film-and-Bags.html</t>
  </si>
  <si>
    <t>&lt;p&gt;Impulse Sealers in several lengths for many sizes of bags&lt;/p&gt;</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</si>
  <si>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</si>
  <si>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</si>
  <si>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</si>
  <si>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/img2/img0fae.jpg</t>
  </si>
  <si>
    <t>www.americanretailsupply.com\10290\48242\Impulse-Sealers--Shrink-Wrap\Impulse-Sealers.html</t>
  </si>
  <si>
    <t>&lt;p&gt;Impulse Sealer Replacement Kit includes 2 element wires, 2 teflon pads.&lt;/p&gt;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</si>
  <si>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</si>
  <si>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</si>
  <si>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</si>
  <si>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/img3/img91bb.jpg</t>
  </si>
  <si>
    <t>www.americanretailsupply.com\64852\48243\Impulse-Sealers--Shrink-Wrap\Impulse-Sealer-Replacement-Kit.html</t>
  </si>
  <si>
    <t>&lt;p&gt;Our Shrink Wrap System is designed for any application from delicate gift baskets to wooden toys to cosmetics. Imagine an industrial heat gun that won't burn film! Use our shock resistant heat gun directly on the film for a perfect package. 2 Year Warranty. FOB Kent, WA&lt;/p&gt;</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</si>
  <si>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</si>
  <si>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</si>
  <si>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</si>
  <si>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/img3/imgd20d.jpg</t>
  </si>
  <si>
    <t>www.americanretailsupply.com\64852\153428\Impulse-Sealers--Shrink-Wrap\Shrink-Wrap-Systems.html</t>
  </si>
  <si>
    <t>&lt;p&gt;Our Shrink Wrap Heat Gun is different than a lot of shrnkwrap in the market. This one is a Low Temperature heat gun that will not burn your products or you.  &lt;/p&gt;</t>
  </si>
  <si>
    <t>Shrink Wrap Heat Gun</t>
  </si>
  <si>
    <t>www.americanretailsupply.com\64852\153429\Impulse-Sealers--Shrink-Wrap\Shrink-Wrap-Heat-Gun.html</t>
  </si>
  <si>
    <t>&lt;p&gt;This 6" Hand Crimper and or Sealer is designed so that you can adjust the size of your wrap before shrinking.  If you just need a little clip here or there to make your shrink-wrap bag perfect for the size of your basket,  you will find this handy tool useful.&lt;/p&gt;</t>
  </si>
  <si>
    <t>hand crimper hand sealer</t>
  </si>
  <si>
    <t>hand sealer, heat sealer, hand crimper, heat crimper</t>
  </si>
  <si>
    <t>Shop for a 6</t>
  </si>
  <si>
    <t>/img2/img33d2.jpg</t>
  </si>
  <si>
    <t>www.americanretailsupply.com\64852\153430\Impulse-Sealers--Shrink-Wrap\6-Hand-Crimper-and-or-Sealer.html</t>
  </si>
  <si>
    <t>&lt;p&gt;Replacement Kit includes: Element Wire, Insulation, Fuses, "S" Hook&lt;/p&gt;</t>
  </si>
  <si>
    <t>Shrink Wrap Replacement Kit</t>
  </si>
  <si>
    <t>www.americanretailsupply.com\64852\153431\Impulse-Sealers--Shrink-Wrap\Shrink-Wrap-Replacement-Kit.html</t>
  </si>
  <si>
    <t>&lt;p&gt;   Italian style Matte Gold Linen Collection of boxes are available in treasure chest, pillow pack, 2 piece and bottle carrier.&lt;br&gt;Order by the case of 200 pieces per case, unless otherwise noted. &lt;/p&gt;</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</si>
  <si>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</si>
  <si>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</si>
  <si>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</si>
  <si>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/img3/img6d80.jpg</t>
  </si>
  <si>
    <t>www.americanretailsupply.com\64712\439478\Italian-Boxes\Matte-Gold-Linen-Collection.html</t>
  </si>
  <si>
    <t>&lt;p&gt;Italian style White Gloss Collection boxes are available in treasure chest, pillow pack and 2 piece boxes. &lt;br&gt;Order by the case.&lt;br&gt;Each case has 200 pieces.&lt;/p&gt;</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</si>
  <si>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</si>
  <si>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</si>
  <si>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</si>
  <si>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/img1/imgcfa2.jpg</t>
  </si>
  <si>
    <t>www.americanretailsupply.com\64712\441391\Italian-Boxes\White-Gloss-Collection.html</t>
  </si>
  <si>
    <t>&lt;p&gt;Chocolate Linen Collection boxes are available in treasure chest, pillow pack and 2 piece boxes. &lt;br&gt;Order by the case packed in 200 per case*&lt;br&gt;*Except for 54453CH and 54464CH are 100 per case. &lt;/p&gt;</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</si>
  <si>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</si>
  <si>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</si>
  <si>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</si>
  <si>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/img2/imgd52d.jpg</t>
  </si>
  <si>
    <t>www.americanretailsupply.com\64712\441474\Italian-Boxes\Chocolate-Linen-Collection.html</t>
  </si>
  <si>
    <t>Acrylic Apparel Ball Waterfall - 14" Long</t>
  </si>
  <si>
    <t>Acrylic Apparel Ball Waterfall, clothing display, hanging fixtures, clothes, waterfall hanger</t>
  </si>
  <si>
    <t>/img3/imgb0ae.jpg</t>
  </si>
  <si>
    <t>www.americanretailsupply.com\64915\33973\Jewelry-Apparel-Eyewear-Displays\Acrylic-Apparel-Ball-Waterfall.html</t>
  </si>
  <si>
    <t>&lt;p&gt;Fold shirts around the board and remove, makes your stacks of merchandise neat.  Made of 1/8" clear acrylic with polished edges and includes a hand slot for easy use.&lt;/p&gt;</t>
  </si>
  <si>
    <t>Acrylic Apparel Folding Boards - Includes Hand Slot</t>
  </si>
  <si>
    <t>Acrylic Apparel Folding Boards, clothing, clothes</t>
  </si>
  <si>
    <t>Acrylic Apparel Folding Boards Comes In Small, Medium, and Large. From 8</t>
  </si>
  <si>
    <t>/img3/img7f22.jpg</t>
  </si>
  <si>
    <t>www.americanretailsupply.com\64915\33974\Jewelry-Apparel-Eyewear-Displays\Acrylic-Apparel-Folding-Boards.html</t>
  </si>
  <si>
    <t>Acrylic Apparel Hanger Strip - 11 Holes</t>
  </si>
  <si>
    <t>Acrylic Apparel Hanger Strip, display, clothes fixtures</t>
  </si>
  <si>
    <t>Acrylic Apparel Hanger Strip is 1</t>
  </si>
  <si>
    <t>/img1/img9e72.jpg</t>
  </si>
  <si>
    <t>www.americanretailsupply.com\64915\33975\Jewelry-Apparel-Eyewear-Displays\Acrylic-Apparel-Hanger-Strip.html</t>
  </si>
  <si>
    <t>&lt;p&gt;This acrylic slatwall display is perfect for easily displaying the T shirt designs offered in your retail store.&lt;/p&gt;</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</si>
  <si>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</si>
  <si>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</si>
  <si>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</si>
  <si>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/img1/img2145.jpg</t>
  </si>
  <si>
    <t>www.americanretailsupply.com\64915\33977\Jewelry-Apparel-Eyewear-Displays\Acrylic-Apparel-Slatwall-T-shirt-Display.html</t>
  </si>
  <si>
    <t>&lt;p&gt;Acrylic apparel display bins including slatwall and counter top display bins for your retail store.&lt;/p&gt;</t>
  </si>
  <si>
    <t>Retail Store Displays, Acrylic Apparel Display Bins</t>
  </si>
  <si>
    <t>retail store displays acrylic display bins apparel displays</t>
  </si>
  <si>
    <t>Retail store displays, order slatwall and counter top acrylic apparel display bins for your retail store online.</t>
  </si>
  <si>
    <t>/img2/imga575.jpg</t>
  </si>
  <si>
    <t>www.americanretailsupply.com\64915\33980\Jewelry-Apparel-Eyewear-Displays\Acrylic-Apparel-Bins.html</t>
  </si>
  <si>
    <t>&lt;p&gt;This has ten 2 1/2"long chrome spokes with ball ends for hanging your belts or ties for display. There is a 2" distance between spokes.&lt;/p&gt;</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</si>
  <si>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</si>
  <si>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</si>
  <si>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</si>
  <si>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/img1/img5541.jpg</t>
  </si>
  <si>
    <t>www.americanretailsupply.com\64915\33988\Jewelry-Apparel-Eyewear-Displays\Acrylic-Apparel-Belt-and-Tie-Displays.html</t>
  </si>
  <si>
    <t>Acrylic Apparel Displayer - Scarf Ring</t>
  </si>
  <si>
    <t>Acrylic Apparel Scarf Ring Displayer, bulk scarf ring, bundle scarf ring, scarf display, acrylic scarf ring</t>
  </si>
  <si>
    <t>Acrylic Apparel Scarf Ring Displayer is 1 3/4</t>
  </si>
  <si>
    <t>/img3/imga292.jpg</t>
  </si>
  <si>
    <t>www.americanretailsupply.com\64915\33992\Jewelry-Apparel-Eyewear-Displays\Acrylic-Apparel-Scarf-Ring-Displayer.html</t>
  </si>
  <si>
    <t>&lt;p&gt;This is a lovely display with it's hardwood base is perfect for displaying special items.&lt;/p&gt;</t>
  </si>
  <si>
    <t>Acrylic Glass Dome with Hardwood Base, Retail Display Cases</t>
  </si>
  <si>
    <t>glass dome display hardwood base acrylic glass dome retail display case</t>
  </si>
  <si>
    <t>Acrylic glass dome display with hardwood base, order store fixtures and displays online at American Retail Supply.</t>
  </si>
  <si>
    <t>/img3/img0d56.jpg</t>
  </si>
  <si>
    <t>www.americanretailsupply.com\64915\34062\Jewelry-Apparel-Eyewear-Displays\Glass-Dome-Display-with-Hardwood-Base.html</t>
  </si>
  <si>
    <t>&lt;p&gt;Clear acrylic locking case for security with black rotating base and top to display 20 pairs of eyewear. Four mirrored panels to allow customer viewing. Ships fully assembled.&lt;/p&gt;</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</si>
  <si>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</si>
  <si>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</si>
  <si>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</si>
  <si>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/img2/img7834.jpg</t>
  </si>
  <si>
    <t>www.americanretailsupply.com\64915\34072\Jewelry-Apparel-Eyewear-Displays\Acrylic-Revolving-Security-Eyewear-Displays.html</t>
  </si>
  <si>
    <t>&lt;p&gt;Acrylic Counter Top Eyewear Displays. 4 styles hold up to 8 pairs of glasses.&lt;/p&gt;</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</si>
  <si>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</si>
  <si>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</si>
  <si>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</si>
  <si>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/img2/imgb2dc.jpg</t>
  </si>
  <si>
    <t>www.americanretailsupply.com\64915\34073\Jewelry-Apparel-Eyewear-Displays\Acrylic-Countertop-Eyewear-Displays.html</t>
  </si>
  <si>
    <t>Acrylic Freestanding Eyewear Displays - 1, 2, or 3 Pairs</t>
  </si>
  <si>
    <t>Acrylic Freestanding Eyewear Displays, eyeglasses, eye glasses, table top or counter top display</t>
  </si>
  <si>
    <t>Acrylic Freestanding Eyewear Displays Comes In 3</t>
  </si>
  <si>
    <t>/img1/img8387.jpg</t>
  </si>
  <si>
    <t>www.americanretailsupply.com\64915\34075\Jewelry-Apparel-Eyewear-Displays\Acrylic-Freestanding-Eyewear-Displays.html</t>
  </si>
  <si>
    <t>&lt;p&gt;  Acrylic Display Rods&amp;#160;in 4 styles&amp;#160;hold up to&amp;#160;14 pairs of glasses.&lt;/p&gt;</t>
  </si>
  <si>
    <t>Acrylic Eyewear Display Rods - 6, 9, or 14 Pairs</t>
  </si>
  <si>
    <t>Acrylic Eyewear Display Rods, fixtures, eye glasses, eye glass, wall mounted</t>
  </si>
  <si>
    <t>Mount Acrylic Eyewear Display Rods Onto Walls at 24</t>
  </si>
  <si>
    <t>/img2/imgbb28.jpg</t>
  </si>
  <si>
    <t>www.americanretailsupply.com\64915\34077\Jewelry-Apparel-Eyewear-Displays\Acrylic--Eyewear-Display-Rods.html</t>
  </si>
  <si>
    <t>&lt;p&gt;Four opaque white panels that hold 24 pairs of eyewear. Classic clear view mirror on all 4 panels for the customer's convenience. Hidden revolving plate.&lt;/p&gt;</t>
  </si>
  <si>
    <t>Acrylic Revolving Eyewear Display - Holds 24 Pairs</t>
  </si>
  <si>
    <t>Acrylic Revolving Eyewear Display, rotating display, eyeglass fixtures, table top or counter top eye glasses display</t>
  </si>
  <si>
    <t>Acrylic Revolving Eyewear Display Has 4 Panels with Mirror. 24</t>
  </si>
  <si>
    <t>/img1/imgcf48.jpg</t>
  </si>
  <si>
    <t>www.americanretailsupply.com\64915\576323\Jewelry-Apparel-Eyewear-Displays\Acrylic-Revolving-Eyewear-Display.html</t>
  </si>
  <si>
    <t>&lt;p&gt;Attractive watch displays that hold the watches at a slight angle that invites great viewing, along with it's flexible cuff material that allows for a variety of shapes and sizes. &lt;/p&gt;</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</si>
  <si>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</si>
  <si>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</si>
  <si>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</si>
  <si>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/img1/imgeacf.jpg</t>
  </si>
  <si>
    <t>www.americanretailsupply.com\64915\576362\Jewelry-Apparel-Eyewear-Displays\Molded-Acrylic-Watch-Displays.html</t>
  </si>
  <si>
    <t>&lt;p&gt;Holds 5 clutch bags in an attractive, orderly fashion.&lt;/p&gt;</t>
  </si>
  <si>
    <t>Clutch Bag Acrylic Riser</t>
  </si>
  <si>
    <t>/img1/img1389.jpg</t>
  </si>
  <si>
    <t>www.americanretailsupply.com\64915\576363\Jewelry-Apparel-Eyewear-Displays\Clutch-Bag-Acrylic-Riser.html</t>
  </si>
  <si>
    <t>&lt;p&gt;   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cards&lt;br&gt;&lt;/p&gt;</t>
  </si>
  <si>
    <t>Acrylic Earring Card Display - 2" Cards</t>
  </si>
  <si>
    <t>acrylic earring card display, acrylic earring display</t>
  </si>
  <si>
    <t>Can Hold Up To 28 - 120 Cards. Choose From Rotating, Slantback, or Slatwall Displays. Shop Online Today or Call For More Info!</t>
  </si>
  <si>
    <t>/img1/img9222.jpg</t>
  </si>
  <si>
    <t>www.americanretailsupply.com\64915\779376\Jewelry-Apparel-Eyewear-Displays\Acrylic-Earring-Card-Displays.html</t>
  </si>
  <si>
    <t>&lt;p&gt;Acrylic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individually&lt;/p&gt;</t>
  </si>
  <si>
    <t>Acrylic T Bar Jewelry Displays - 1, 3 or 4, Tier Bars</t>
  </si>
  <si>
    <t>T bar jewelry displays, countertop display, countertop jewelry display, slatwall bar display</t>
  </si>
  <si>
    <t>Acrylic T Bar Jewelry Displays Can Attach To Slatwall, SlatGrid, or Placed on Countertop. 8</t>
  </si>
  <si>
    <t>/img2/imgf8d3.jpg</t>
  </si>
  <si>
    <t>www.americanretailsupply.com\64915\779406\Jewelry-Apparel-Eyewear-Displays\Acrylic-T-Bar-Jewelry-Displays.html</t>
  </si>
  <si>
    <t>&lt;p&gt;&lt;br&gt;&lt;br&gt;&lt;br&gt;You will be amazed at the beauty of these White Swirl Jewelry Boxes in Paper. Even customizing with one of our &lt;a href="http://arsv2.eporiaservices.com/64492/Bows--Ribbon-V2.html"&gt;bows and ribbons, available in many patterns. The possibilities are endless.&lt;br&gt;Sold 100 per case/pack.  Made in USA.&lt;/p&gt;</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</si>
  <si>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</si>
  <si>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</si>
  <si>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</si>
  <si>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/img2/imge5b7.jpg</t>
  </si>
  <si>
    <t>www.americanretailsupply.com\64708\757042\Jewelry-Boxes\White-Swirl-Jewelry-Boxes.html</t>
  </si>
  <si>
    <t>&lt;p&gt;         &lt;br&gt;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collection.&lt;br&gt;&lt;br&gt;If you're looking for a cheaper option, take a look at our Economy Line &lt;a href="../../792889/Jewelry-Boxes/Economy-Natural-Kraft-Jewelry-Boxes.html"&gt;here.  Made in USA.&lt;/p&gt;</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</si>
  <si>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</si>
  <si>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</si>
  <si>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</si>
  <si>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/img1/img9bf2.jpg</t>
  </si>
  <si>
    <t>www.americanretailsupply.com\64708\757055\Jewelry-Boxes\Natural-Kraft-Jewelry-Boxes.html</t>
  </si>
  <si>
    <t>&lt;p&gt; &lt;br&gt;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 or &lt;a href="http://arsv2.eporiaservices.com/64703/Tissue-Paper-V2.html"&gt;tissue.  &lt;br&gt;All boxes made with 100% Recycled Cardboard - 90% Post&lt;br&gt;Consumer Waste.  &lt;br&gt;Sold in 100|case/pack. Made In USA.&lt;/p&gt;</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</si>
  <si>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</si>
  <si>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</si>
  <si>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</si>
  <si>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/img1/imgeb7d.jpg</t>
  </si>
  <si>
    <t>www.americanretailsupply.com\64708\757060\Jewelry-Boxes\Silver-and-Gold-Foil-Jewelry-Boxes.html</t>
  </si>
  <si>
    <t>&lt;p&gt;&lt;br&gt;&lt;br&gt;&lt;br&gt;Try a different look to your packaging with the View Top Jewelry Boxes - White. This is a great way to show your product.&lt;br&gt;Sold in White Only and 100/per Case. Made in USA.&lt;/p&gt;</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</si>
  <si>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</si>
  <si>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</si>
  <si>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</si>
  <si>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/img3/img8767.jpg</t>
  </si>
  <si>
    <t>www.americanretailsupply.com\64708\757063\Jewelry-Boxes\White-View-Top-Jewelry-Boxes.html</t>
  </si>
  <si>
    <t>&lt;p&gt; &lt;br&gt;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computer.&lt;/p&gt;</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</si>
  <si>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</si>
  <si>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</si>
  <si>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</si>
  <si>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/img3/imgfb93.jpg</t>
  </si>
  <si>
    <t>www.americanretailsupply.com\64708\757064\Jewelry-Boxes\Colored-Kraft-Jewelry-Boxes.html</t>
  </si>
  <si>
    <t>&lt;p&gt;&lt;br&gt;          &lt;br&gt;&lt;br&gt;&lt;br&gt;&lt;br&gt;Chocolate Embossed Jewelry boxes with lid and base made with 100% recycled fibers and 100% green hydroelectricity.&lt;br&gt;Filled with our 100% recycled EcoFiber.&lt;br&gt;Sold 100|case/pk; except 54GCICH Gift Card Inserts 50|case/pk&lt;br&gt;Made in USA&lt;/p&gt;</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</si>
  <si>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</si>
  <si>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</si>
  <si>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</si>
  <si>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/img1/img8eb8.jpg</t>
  </si>
  <si>
    <t>www.americanretailsupply.com\64708\757070\Jewelry-Boxes\Chocolate-Embossed-Jewelry-Boxes.html</t>
  </si>
  <si>
    <t>&lt;p&gt;&lt;br&gt;&lt;br&gt;&lt;br&gt;Great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USA&lt;/p&gt;</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</si>
  <si>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</si>
  <si>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</si>
  <si>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</si>
  <si>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/img2/imgc307.jpg</t>
  </si>
  <si>
    <t>www.americanretailsupply.com\64708\757073\Jewelry-Boxes\Black-Embossed-Jewelry-Boxes.html</t>
  </si>
  <si>
    <t>&lt;p&gt;&lt;br&gt;&lt;br&gt;&lt;br&gt;These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7/8"&lt;br&gt;&lt;br&gt;&lt;/p&gt;</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</si>
  <si>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</si>
  <si>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</si>
  <si>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</si>
  <si>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www.americanretailsupply.com\64708\757075\Jewelry-Boxes\Jewelry-Box-Assortments.html</t>
  </si>
  <si>
    <t>&lt;p&gt;&lt;br&gt;&lt;br&gt;&lt;br&gt;Many Jewelry Boxes in several different sizes all in Leopard pattern. &lt;br&gt;Sold 100|case/pk; except 54250 sold 50|case/pk&lt;br&gt;Made in USA&lt;br&gt;&lt;/p&gt;</t>
  </si>
  <si>
    <t>Leopard Patterned Jewelry Boxes</t>
  </si>
  <si>
    <t>/img1/img1c36.jpg</t>
  </si>
  <si>
    <t>www.americanretailsupply.com\64708\778648\Jewelry-Boxes\Leopard-Patterned-Jewelry-Boxes.html</t>
  </si>
  <si>
    <t>&lt;p&gt;&lt;br&gt;&lt;br&gt;&lt;br&gt;Many Jewelry Boxes in several different sizes all in a great Zebra pattern. &lt;br&gt;Sold by 100 per case, except 54250 sold 50 per case.  Made in USA.&lt;/p&gt;</t>
  </si>
  <si>
    <t>Zebra Patterned Jewelry Boxes</t>
  </si>
  <si>
    <t>/img2/imge5f5.jpg</t>
  </si>
  <si>
    <t>www.americanretailsupply.com\64708\778649\Jewelry-Boxes\Zebra-Patterned-Jewelry-Boxes.html</t>
  </si>
  <si>
    <t>&lt;p&gt;If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 to compare.&lt;/p&gt;</t>
  </si>
  <si>
    <t>Great Deal on Natural Kraft Jewelry Boxes</t>
  </si>
  <si>
    <t>Natural Kraft Jewelry Boxes, Brown Jewelry Bboxes, Cheap Jewelry Boxes</t>
  </si>
  <si>
    <t>These brown jewelry boxes come in 4 different sizes at incrediblely low prices!</t>
  </si>
  <si>
    <t>www.americanretailsupply.com\64708\792889\Jewelry-Boxes\Economy-Natural-Kraft-Jewelry-Boxes.html</t>
  </si>
  <si>
    <t>&lt;p&gt;Available in Faux White Leather. Sold individually.&lt;br&gt;&lt;/p&gt;</t>
  </si>
  <si>
    <t>White Faux Leather Hinged Jewelry Boxes</t>
  </si>
  <si>
    <t>/img3/img7844.jpg</t>
  </si>
  <si>
    <t>www.americanretailsupply.com\64716\783223\Jewelry-Boxes-with-Hinged-Lids\White-Faux-Leather-Hinged-Jewelry-Boxes.html</t>
  </si>
  <si>
    <t>&lt;p&gt;Black Velvet hinged jewelry boxes. Sold individually.&lt;br&gt;&lt;/p&gt;</t>
  </si>
  <si>
    <t>Black Velvet with Gold Trim Hinged Jewelry Boxes</t>
  </si>
  <si>
    <t>/img1/imgda08.jpg</t>
  </si>
  <si>
    <t>www.americanretailsupply.com\64716\783224\Jewelry-Boxes-with-Hinged-Lids\Black-Velvet-with-Gold-Trim-Hinged-Jewelry-Boxes.html</t>
  </si>
  <si>
    <t>&lt;p&gt;Rosewood Veneer Hinged Jewelry boxes have a beautiful look in any display case. Sold individually.&lt;br&gt;&lt;/p&gt;</t>
  </si>
  <si>
    <t>Rosewood Veneer Hinged Jewelry Boxes</t>
  </si>
  <si>
    <t>/img3/img9e11.jpg</t>
  </si>
  <si>
    <t>www.americanretailsupply.com\64716\783225\Jewelry-Boxes-with-Hinged-Lids\Rosewood-Veneer-Hinged-Jewelry-Boxes.html</t>
  </si>
  <si>
    <t>&lt;p&gt;Black Velveteen Drawstring Bags come packaged 12 pouches per case. Priced per case.&lt;br&gt;&lt;/p&gt;</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</si>
  <si>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</si>
  <si>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</si>
  <si>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</si>
  <si>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/img2/img905a.jpg</t>
  </si>
  <si>
    <t>www.americanretailsupply.com\64791\18450\Jewelry-Pouches\Velveteen-Drawstring-Pouches.html</t>
  </si>
  <si>
    <t>&lt;p&gt;Leatherette Drawstring Jewelry Pouches are available in Black or White. Pouches come with 12 per case. Priced per case.&lt;br&gt;&lt;/p&gt;</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</si>
  <si>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</si>
  <si>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</si>
  <si>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</si>
  <si>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/img1/imgda76.jpg</t>
  </si>
  <si>
    <t>www.americanretailsupply.com\64791\166167\Jewelry-Pouches\Leatherette-Drawstring-Pouches.html</t>
  </si>
  <si>
    <t>&lt;p&gt;Our Hexagon Jewelry Riser Set comes in&amp;#160;Black Velvet and Black or White Faux Leather. There are six pieces 4" Diagonally in various heights, that are in the shape of hexagons. Your jewelry is sure to stand out with this set.  &lt;/p&gt;</t>
  </si>
  <si>
    <t>Hexagon Riser Set</t>
  </si>
  <si>
    <t>/img3/img362c.jpg</t>
  </si>
  <si>
    <t>www.americanretailsupply.com\64794\37344\Jewelry-Riser-Sets\Hexagon-Riser-Set.html</t>
  </si>
  <si>
    <t>&lt;p&gt;Our U-Pins are #9, 7/8" long, and offered in brass color or nickel color. They will meet your retail store's needs.&lt;/p&gt;</t>
  </si>
  <si>
    <t>U-Pins</t>
  </si>
  <si>
    <t>/img2/img371d.jpg</t>
  </si>
  <si>
    <t>www.americanretailsupply.com\64790\36354\Jewelry-Supplies\U--Pins.html</t>
  </si>
  <si>
    <t>&lt;p&gt;Adhesive Backs are made to attach to back of earring cards for easy hanging. Offered in small or large.&lt;/p&gt;</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</si>
  <si>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</si>
  <si>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</si>
  <si>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</si>
  <si>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/img2/img60ed.jpg</t>
  </si>
  <si>
    <t>www.americanretailsupply.com\64790\37341\Jewelry-Supplies\Adhesive-Back-for-Earring-Cards.html</t>
  </si>
  <si>
    <t>&lt;p&gt;Allow your displays to stay organized by using the Earring Cards. With the option of having a Puff Pad in plain white you can't go wrong!&lt;br&gt;&lt;br&gt;Order Earring Cards by the case.&lt;br&gt;Each case has 100 cards.&lt;/p&gt;</t>
  </si>
  <si>
    <t>White Puff Pad Plain Earring Cards</t>
  </si>
  <si>
    <t>/img1/imga11b.jpg</t>
  </si>
  <si>
    <t>www.americanretailsupply.com\64790\37343\Jewelry-Supplies\White-Puff-Pad-Plain-Earring-Cards.html</t>
  </si>
  <si>
    <t>&lt;p&gt;Mark your jewelry with the Jewelry Tags w/silk strings. Offered in white in four different sizes.&lt;/p&gt;</t>
  </si>
  <si>
    <t>Jewelry Tags w/Silk Strings</t>
  </si>
  <si>
    <t>/img1/img21cd.jpg</t>
  </si>
  <si>
    <t>www.americanretailsupply.com\64790\37352\Jewelry-Supplies\Jewelry-Tags-wSilk-Strings.html</t>
  </si>
  <si>
    <t>&lt;p&gt;Convenient dumbbell labels will wrap around your jewelry.  Tyvek onces cannot be torn off,  paper labels will tear.  &lt;/p&gt;</t>
  </si>
  <si>
    <t>Dumbell Labels</t>
  </si>
  <si>
    <t>Dumbell Labels ring pricing, necklace and ring price marking</t>
  </si>
  <si>
    <t>/img2/img0a77.jpg</t>
  </si>
  <si>
    <t>www.americanretailsupply.com\64790\37353\Jewelry-Supplies\Dumbell-Labels.html</t>
  </si>
  <si>
    <t>&lt;p&gt;Allow your displays to stay organized by using the Earring Cards. With the plain black cards you can't go wrong! 2" x 2"&lt;/p&gt;</t>
  </si>
  <si>
    <t>Black Hanging Earring Cards</t>
  </si>
  <si>
    <t>/img2/imgf72e.jpg</t>
  </si>
  <si>
    <t>www.americanretailsupply.com\64790\47775\Jewelry-Supplies\Black-Hanging-Earring-Cards.html</t>
  </si>
  <si>
    <t>&lt;p&gt;Jewelry Showcase Signs&lt;br&gt;3 1/2" W x 2" H. &lt;br&gt;6 signs per pack&lt;/p&gt;</t>
  </si>
  <si>
    <t>Showcase Signs</t>
  </si>
  <si>
    <t>/img3/imge77f.jpg</t>
  </si>
  <si>
    <t>www.americanretailsupply.com\64790\231609\Jewelry-Supplies\Showcase-Signs.html</t>
  </si>
  <si>
    <t>&lt;p&gt;Jewelry Polishing Cloth&lt;br&gt;&lt;br&gt;Gently remove tarnish and dirt from your silver, gold, and platinum jewelry by polishing with the white inner cloth.  Finish by buffing to a high luster with the outer cloth.&lt;br&gt;&lt;br&gt;4" x 6" Gray&lt;br&gt;&lt;br&gt;&lt;/p&gt;</t>
  </si>
  <si>
    <t>Jewelry Polishing Cloth</t>
  </si>
  <si>
    <t>/img1/img5862.jpg</t>
  </si>
  <si>
    <t>www.americanretailsupply.com\64790\255319\Jewelry-Supplies\Jewelry-Polishing-Cloth.html</t>
  </si>
  <si>
    <t>&lt;p&gt;Fold this card around necklaces or bracelets and press the adhesive strip closed to hold the jewelry.&lt;br&gt;&lt;br&gt;Folded size - 1 3/8" x 1 3/4"&lt;br&gt;&lt;br&gt;1000/pk&lt;br&gt;&lt;br&gt;Available in Black or White&lt;/p&gt;</t>
  </si>
  <si>
    <t>Necklace/Bracelet Hanging Cards</t>
  </si>
  <si>
    <t>/img3/img0e55.jpg</t>
  </si>
  <si>
    <t>www.americanretailsupply.com\64790\734729\Jewelry-Supplies\NecklaceBracelet-Hanging-Cards.html</t>
  </si>
  <si>
    <t>&lt;p&gt;Many sizes to select from to display your product. Easy to reclose along the bottom flap and comes with top hanger hole.&lt;br&gt;1.2 Mil bags with bottom gusset.&lt;br&gt;&lt;/p&gt;</t>
  </si>
  <si>
    <t>/img1/imgbe2b.jpg</t>
  </si>
  <si>
    <t>www.americanretailsupply.com\64790\756290\Jewelry-Supplies\Clear-OPP-Bags-with-Recloseable-Bottom-Flap.html</t>
  </si>
  <si>
    <t>&lt;p&gt;The Circle Jewelry Display Pad comes covered in black velvet, making displaying jewelry a beautiful thing.&lt;/p&gt;</t>
  </si>
  <si>
    <t>Circles</t>
  </si>
  <si>
    <t>Circles, jewelry display, presentation</t>
  </si>
  <si>
    <t>/img2/img9d68.jpg</t>
  </si>
  <si>
    <t>www.americanretailsupply.com\64793\37337\Jewelry-Trays--Inserts\Jewelry-Circle-Display-Pads.html</t>
  </si>
  <si>
    <t>&lt;p&gt;The Rectangle Jewelry Display Pads come in Deluxe Black Velvet, Black Velvet, or White Velvet. These Rectangle Pads will fit in the &lt;a href="http://arsv2.eporiaservices.com/64793/37776/Jewelry-Trays--Inserts-V2/Jewelry-Display-Trays.html"&gt;Jewelry Trays that we sell . 14 1/8" x 7 5/8"&lt;/p&gt;</t>
  </si>
  <si>
    <t>Rectangle</t>
  </si>
  <si>
    <t>Rectangle, jewelry display, presentation</t>
  </si>
  <si>
    <t>/img3/imgb8bf.jpg</t>
  </si>
  <si>
    <t>www.americanretailsupply.com\64793\37340\Jewelry-Trays--Inserts\Jewelry-Rectangle-Display-Pads.html</t>
  </si>
  <si>
    <t>&lt;p&gt;Keep your jewelry merchandise organized and catergorized with different types of trays. We also have &lt;a href="http://arsv2.eporiaservices.com/64793/37340/Jewelry-Trays--Inserts-V2/Jewelry-Rectangle-Display-Pads.html"&gt;Jewelry Tray Pad Inserts to fit these trays. These Trays make displaying jewelry easy to do! See our &lt;a href="http://arsv2.eporiaservices.com/64779/34255/Acrylic-Countertop-Displays-V2/Acrylic-Countertop-Showcases.html"&gt;locking acrylic jewelry tray display case&lt;a href="http://arsv2.eporiaservices.com/64779/34255/Acrylic-Countertop-Displays-V2/Acrylic-Countertop-Showcases.html"&gt;s.&lt;/p&gt;</t>
  </si>
  <si>
    <t>Trays</t>
  </si>
  <si>
    <t>Trays jewelry display presentation</t>
  </si>
  <si>
    <t>/img2/imga9b4.jpg</t>
  </si>
  <si>
    <t>www.americanretailsupply.com\64793\37776\Jewelry-Trays--Inserts\Jewelry-Display-Trays.html</t>
  </si>
  <si>
    <t>&lt;p&gt;Inserts/Tray Liners in your trays. They will keep your jewelry organized with their multiple compartments.&lt;/p&gt;</t>
  </si>
  <si>
    <t>Inserts/Tray Liners</t>
  </si>
  <si>
    <t>Inserts/Tray Liners for jewelry, earrings, rings, necklaces</t>
  </si>
  <si>
    <t>www.americanretailsupply.com\64793\37779\Jewelry-Trays--Inserts\Jewelry-Tray-Inserts-and-Liners.html</t>
  </si>
  <si>
    <t>&lt;p&gt;Premium Fabric Soft Black Carrying Case - Premium Cloth to tote around jewelry merchandise. It opens from the side so that the items are easy for you to access. Holds 12 - 1" h. trays. It is offered in black. 16" x 9" x 13"&lt;/p&gt;</t>
  </si>
  <si>
    <t>Carrying Case</t>
  </si>
  <si>
    <t>Carrying Case, jewelry storage, transfer</t>
  </si>
  <si>
    <t>/img1/img3c04.jpg</t>
  </si>
  <si>
    <t>www.americanretailsupply.com\64793\37780\Jewelry-Trays--Inserts\Jewelry-Tray-Carrying-Cases.html</t>
  </si>
  <si>
    <t>&lt;p&gt;New this year are many Giftwraps for Baby.  These are so sweet and cute. We have many &lt;a href="http://arsv2.eporiaservices.com/64719/Sullivan-GiftWrap-V2.html?npp=40"&gt;bows and ribbons plus our &lt;a href="http://arsv2.eporiaservices.com/64703/Tissue-Paper-V2.html"&gt;tissue paper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</si>
  <si>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</si>
  <si>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</si>
  <si>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</si>
  <si>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/img3/imge46d.jpg</t>
  </si>
  <si>
    <t>www.americanretailsupply.com\64720\757841\JR-GiftWrap\Baby-Giftwrap.html</t>
  </si>
  <si>
    <t>&lt;p&gt;New this year are many Birthday &amp;amp; Celebration Giftwrap patterns.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</si>
  <si>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</si>
  <si>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</si>
  <si>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</si>
  <si>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/img1/imgc9c4.jpg</t>
  </si>
  <si>
    <t>www.americanretailsupply.com\64720\757842\JR-GiftWrap\Birthday--Celebration-Giftwrap.html</t>
  </si>
  <si>
    <t>&lt;p&gt;New this year are many Floral Giftwrap patterns.  This large collection has so many styles to choose from along with our &lt;a href="http://arsv2.eporiaservices.com/64492/Bows--Ribbon-V2.html"&gt;bows and ribbons, and the large &lt;a href="http://arsv2.eporiaservices.com/64703/Tissue-Paper-V2.html"&gt;tissue paper line.&lt;br&gt;      * 1/4 ream = 30" x 208"&lt;br&gt;         1/2 ream = 30" x 416'&lt;br&gt;         full ream = 30" x 833'&lt;br&gt;(*note: minimum order of 1/4 ream is 2 rolls)&lt;br&gt;Other widths, flat sheets and many bags to match are available call 1-800-426-5708 and ask a sales representative for details.&lt;br&gt;FOB, CA&lt;/p&gt;</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</si>
  <si>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</si>
  <si>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</si>
  <si>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</si>
  <si>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/img1/imgfe08.jpg</t>
  </si>
  <si>
    <t>www.americanretailsupply.com\64720\757843\JR-GiftWrap\Floral-Giftwrap.html</t>
  </si>
  <si>
    <t>&lt;p&gt;New this year are many Masculine Giftwrap patterns.  There are so many great patterns to choose from in this gift wrap. Great selection of &lt;a href="../../../64704/Shreds.html"&gt;Shreds, &lt;a href="../../../64703/Tissue-Paper.html"&gt;Tissue, &lt;a href="../../../64492/Bows--Ribbon.html"&gt;Bows and Ribbons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CA&lt;/p&gt;</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</si>
  <si>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</si>
  <si>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</si>
  <si>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</si>
  <si>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/img1/img2a18.jpg</t>
  </si>
  <si>
    <t>www.americanretailsupply.com\64720\757844\JR-GiftWrap\Masculine-Giftwrap.html</t>
  </si>
  <si>
    <t>&lt;p&gt;New this year are many Wedding, Bridal and Anniversary Giftwrap patterns.  This beautiful and elegant collection this year that will impress your customers. We have pretty &lt;a href="../../757843/JR-GiftWrap/Floral-Giftwrap.html"&gt;Floral Giftwrap for that special day.Take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</si>
  <si>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</si>
  <si>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</si>
  <si>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</si>
  <si>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/img2/img0cc8.jpg</t>
  </si>
  <si>
    <t>www.americanretailsupply.com\64720\757845\JR-GiftWrap\Wedding-Bridal-and-Anniversary-Giftwrap.html</t>
  </si>
  <si>
    <t>&lt;p&gt;New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CA&lt;/p&gt;</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</si>
  <si>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</si>
  <si>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</si>
  <si>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</si>
  <si>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/img1/img1fcc.jpg</t>
  </si>
  <si>
    <t>www.americanretailsupply.com\64720\757846\JR-GiftWrap\Double-Sided--Kraft-Giftwrap.html</t>
  </si>
  <si>
    <t>&lt;p&gt;New this year are so many Matte Solid Giftwrap patterns that let you be creative with our &lt;a href="http://arsv2.eporiaservices.com/64492/Bows--Ribbon-V2.html"&gt;bows and ribbons, &lt;a href="http://arsv2.eporiaservices.com/64703/Tissue-Paper-V2.html"&gt;tissue.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CA&lt;/p&gt;</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</si>
  <si>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</si>
  <si>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</si>
  <si>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</si>
  <si>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/img3/imgf031.jpg</t>
  </si>
  <si>
    <t>www.americanretailsupply.com\64720\757848\JR-GiftWrap\Matte-Solid-Giftwrap.html</t>
  </si>
  <si>
    <t>&lt;p&gt;Graphic Giftwrap patterns. Fun and different styles to make anyone's giftwrap packages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</si>
  <si>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Graphic Giftwrap</t>
  </si>
  <si>
    <t>/img1/img1f8d.jpg</t>
  </si>
  <si>
    <t>www.americanretailsupply.com\64720\787769\JR-GiftWrap\Graphic-Giftwrap.html</t>
  </si>
  <si>
    <t>&lt;p&gt;Many cute Juvenile Giftwrap patterns for boys, girls, or teens.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</si>
  <si>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Juvenile Giftwrap</t>
  </si>
  <si>
    <t>/img2/img6979.jpg</t>
  </si>
  <si>
    <t>www.americanretailsupply.com\64720\787770\JR-GiftWrap\Juvenile-Giftwrap.html</t>
  </si>
  <si>
    <t>&lt;p&gt;Romantic and cheerful Valentine Giftwrap patterns. We are introducing this beautiful and elegant new collection this year that will impress your customers. 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</si>
  <si>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Valentine Giftwrap</t>
  </si>
  <si>
    <t>/img3/img7796.jpg</t>
  </si>
  <si>
    <t>www.americanretailsupply.com\64720\787771\JR-GiftWrap\Valentine-Giftwrap.html</t>
  </si>
  <si>
    <t>&lt;p&gt;Kidz Klub 4-yr old Unisex - White - series offers a cost effective way to display a complete line of children's clothing. Headless, white color. Fiberglass construction.&lt;br&gt;Product Dimensions: 37"H&lt;/p&gt;</t>
  </si>
  <si>
    <t>Kidz Klub 4-yr old Unisex - White</t>
  </si>
  <si>
    <t>/img3/imge699.jpg</t>
  </si>
  <si>
    <t>www.americanretailsupply.com\65164\740768\Kidz-Klub-Mannequins\Kidz-Klub-4--yr-old-Unisex----White.html</t>
  </si>
  <si>
    <t>&lt;p&gt;Kidz Klub 6-yr old Unisex - White - series offers a cost effective way to display a complete line of children's clothing. Headless, white color. Fiberglass construction.&lt;br&gt;Product Dimensions: 42"H&lt;/p&gt;</t>
  </si>
  <si>
    <t>Kidz Klub 6-yr old Unisex - White</t>
  </si>
  <si>
    <t>/img1/imgd422.jpg</t>
  </si>
  <si>
    <t>www.americanretailsupply.com\65164\740769\Kidz-Klub-Mannequins\Kidz-Klub-6--yr-old-Unisex----White.html</t>
  </si>
  <si>
    <t>&lt;p&gt;Kidz Klub 6-yr old Seated Unisex - White - series offers a cost effective way to display a complete line of children's clothing. Headless, white color. Fiberglass construction.&lt;br&gt;Product Dimensions: 23.5"H&lt;/p&gt;</t>
  </si>
  <si>
    <t>Kidz Klub 6-yr old Seated Unisex - White</t>
  </si>
  <si>
    <t>/img3/img3972.jpg</t>
  </si>
  <si>
    <t>www.americanretailsupply.com\65164\740770\Kidz-Klub-Mannequins\Kidz-Klub-6--yr-old-Seated-Unisex----White.html</t>
  </si>
  <si>
    <t>&lt;p&gt;Kidz Klub 8-yr old Unisex - White - series offers a cost effective way to display a complete line of children's clothing. Headless, white color. Fiberglass construction.&lt;br&gt;Product Dimensions: 45.5"H&lt;/p&gt;</t>
  </si>
  <si>
    <t>Kidz Klub 8-yr old Unisex - White</t>
  </si>
  <si>
    <t>/img2/img9e05.jpg</t>
  </si>
  <si>
    <t>www.americanretailsupply.com\65164\740771\Kidz-Klub-Mannequins\Kidz-Klub-8--yr-old-Unisex----White.html</t>
  </si>
  <si>
    <t>&lt;p&gt;Kidz Klub 10-yr old Unisex - White - series offers a cost effective way to display a complete line of children's clothing. Headless, white color. Fiberglass construction.&lt;br&gt;Product Dimensions: 50"H&lt;/p&gt;</t>
  </si>
  <si>
    <t>Kidz Klub 10-yr old Unisex - White</t>
  </si>
  <si>
    <t>/img2/img8283.jpg</t>
  </si>
  <si>
    <t>www.americanretailsupply.com\65164\740772\Kidz-Klub-Mannequins\Kidz-Klub-10--yr-old-Unisex----White.html</t>
  </si>
  <si>
    <t>&lt;p&gt;Kidz Klub 12-yr old Unisex - White - series offers a cost effective way to display a complete line of children's clothing. Headless, white color. Fiberglass construction.&lt;br&gt;Product Dimensions: 55"H&lt;/p&gt;</t>
  </si>
  <si>
    <t>Kidz Klub 12-yr old Unisex - White</t>
  </si>
  <si>
    <t>/img3/img876a.jpg</t>
  </si>
  <si>
    <t>www.americanretailsupply.com\65164\740773\Kidz-Klub-Mannequins\Kidz-Klub-12--yr-old-Unisex----White.html</t>
  </si>
  <si>
    <t>&lt;p&gt;Colorful matching gift wraps that match the &lt;a href="../../../65088/A-La-Carte-Bags--Boxes.html"&gt;A La Carte collection of bags and boxes. These let you carry a look throughout your store packaging. All patterns are available in full ream, half ream and cutter boxes. &lt;/p&gt;</t>
  </si>
  <si>
    <t>A La Carte Gift Wraps</t>
  </si>
  <si>
    <t>/img1/imge5dd.jpg</t>
  </si>
  <si>
    <t>www.americanretailsupply.com\65351\785525\Kraft-Paper-GiftWrap\A-La-Carte-Gift-Wraps.html</t>
  </si>
  <si>
    <t>&lt;p&gt;Labels for the finishing touches on gift &lt;a href="http://arsv2.eporiaservices.com/64484/Boxes-V2.html"&gt;boxes, &lt;a href="http://arsv2.eporiaservices.com/64703/Tissue-Paper-V2.html"&gt;tissue, &lt;a href="http://arsv2.eporiaservices.com/64751/48347/Gift-Enclosure-Cards-V2/Envelopes-for-Gift-Enclosure-Cards.html"&gt;envelopes for gift card enclosures or giftwrap all ready to apply.&lt;br&gt;Sold by the case. 250 labels per roll.&lt;/p&gt;</t>
  </si>
  <si>
    <t>Special Occasion Gift Labels</t>
  </si>
  <si>
    <t>/img3/imgd490.jpg</t>
  </si>
  <si>
    <t>www.americanretailsupply.com\64493\778892\Labels--Stickers\Special-Occasion-Gift-Labels.html</t>
  </si>
  <si>
    <t>&lt;p&gt;Three full view merchandise levels give you more selling display fixtures per square foot. Top shelf is 8" deep. Second shelf is 10" deep. Two-piece glass shelving is adjustable.&lt;/p&gt;</t>
  </si>
  <si>
    <t>Full vision showcases</t>
  </si>
  <si>
    <t>glass display fixtures, cases, showcase, glass shelving, clear display, freestanding showcase</t>
  </si>
  <si>
    <t>full vision showcase</t>
  </si>
  <si>
    <t>/img2/imga770.jpg</t>
  </si>
  <si>
    <t>www.americanretailsupply.com\64830\174386\LaminateMetal-Showcases\Full-Vision-Showcases.html</t>
  </si>
  <si>
    <t>&lt;p&gt;These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amount.&lt;/p&gt;</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</si>
  <si>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</si>
  <si>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</si>
  <si>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</si>
  <si>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/img1/imgd8a2.jpg</t>
  </si>
  <si>
    <t>www.americanretailsupply.com\64830\174387\LaminateMetal-Showcases\Corner-Fill-Display-Cases.html</t>
  </si>
  <si>
    <t>&lt;p&gt;Self-Edge Corner display treatment with HPL available by quote. Cornice treatment available by quote. Slatwall back fixture available by quote. &lt;/p&gt;</t>
  </si>
  <si>
    <t>upright display</t>
  </si>
  <si>
    <t>mirrored back display, freestanding showcases, fixtures, shelving, glass doors</t>
  </si>
  <si>
    <t>/img3/img6574.jpg</t>
  </si>
  <si>
    <t>www.americanretailsupply.com\64830\174443\LaminateMetal-Showcases\Upright-Display.html</t>
  </si>
  <si>
    <t>&lt;p&gt;Flexible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front.&lt;br&gt;&lt;/p&gt;</t>
  </si>
  <si>
    <t>ledge counter</t>
  </si>
  <si>
    <t>counter, matching display counter, storage &amp; wrapping fixture, counter with shelving for storage</t>
  </si>
  <si>
    <t>/img3/img85d7.jpg</t>
  </si>
  <si>
    <t>www.americanretailsupply.com\64830\174472\LaminateMetal-Showcases\Ledge-Counters.html</t>
  </si>
  <si>
    <t>&lt;p&gt;Simple,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amount.&lt;/p&gt;</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</si>
  <si>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</si>
  <si>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</si>
  <si>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</si>
  <si>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/img1/imgcedf.jpg</t>
  </si>
  <si>
    <t>www.americanretailsupply.com\64830\174475\LaminateMetal-Showcases\Display-Table.html</t>
  </si>
  <si>
    <t>&lt;p&gt;18" x 8" x 30" Glass door display, fixture is on custom steel ball-bearing rollers, has recessed finger pulls. &lt;/p&gt;</t>
  </si>
  <si>
    <t>tall counter display</t>
  </si>
  <si>
    <t>display case, counter display showcase, fixtures, see through, sliding glass doors</t>
  </si>
  <si>
    <t>/img3/imgea1a.jpg</t>
  </si>
  <si>
    <t>www.americanretailsupply.com\64830\174476\LaminateMetal-Showcases\Tall-Counter-Display-Case.html</t>
  </si>
  <si>
    <t>&lt;p&gt;Full-length,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amount.&lt;/p&gt;</t>
  </si>
  <si>
    <t>Alcove Mirror</t>
  </si>
  <si>
    <t>mirror displays, fixtures, tri-fold mirror, wall hanging or freestanding mirror, alcove mirror</t>
  </si>
  <si>
    <t>Alcove mirror</t>
  </si>
  <si>
    <t>/img3/imgbc8f.jpg</t>
  </si>
  <si>
    <t>www.americanretailsupply.com\64830\174477\LaminateMetal-Showcases\Alcove-Mirror.html</t>
  </si>
  <si>
    <t>&lt;p&gt;Designed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&lt;/p&gt;</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</si>
  <si>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</si>
  <si>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</si>
  <si>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</si>
  <si>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/img1/imge990.jpg</t>
  </si>
  <si>
    <t>www.americanretailsupply.com\64830\175983\LaminateMetal-Showcases\Rear-Access-Corner-Display-Cases.html</t>
  </si>
  <si>
    <t>&lt;p&gt;For More display fixture area combined with a convenient rear storage compartment, our Half Vision Cases are your best choice.&lt;/p&gt;</t>
  </si>
  <si>
    <t>half vision showcase</t>
  </si>
  <si>
    <t>mirrored showcase, display fixture, storage and display, freestanding display</t>
  </si>
  <si>
    <t>/img3/img0905.jpg</t>
  </si>
  <si>
    <t>www.americanretailsupply.com\64830\175995\LaminateMetal-Showcases\Half-Vision-Showcases.html</t>
  </si>
  <si>
    <t>&lt;p&gt;This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compartment.&lt;/p&gt;</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</si>
  <si>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</si>
  <si>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</si>
  <si>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</si>
  <si>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/img1/img1fd4.jpg</t>
  </si>
  <si>
    <t>www.americanretailsupply.com\64830\175996\LaminateMetal-Showcases\Jewelry-Display-Showcases.html</t>
  </si>
  <si>
    <t>&lt;p&gt;The Extra Vision Showcases have a 32" high glass display area dramatically presents three levels of merchandise in these showcase fixtures which blend with any store decor.&lt;/p&gt;</t>
  </si>
  <si>
    <t>Extra Vision Showcase</t>
  </si>
  <si>
    <t>showcase, fixtures, displays, glass, freestanding display, mirrored back display</t>
  </si>
  <si>
    <t>Extra vision showcase</t>
  </si>
  <si>
    <t>/img2/img7ebf.jpg</t>
  </si>
  <si>
    <t>www.americanretailsupply.com\64830\175998\LaminateMetal-Showcases\Extra-Vision-Showcases.html</t>
  </si>
  <si>
    <t>&lt;p&gt;Slimline Towers come in stationary hexagonal and square designs. Each has four sturdy acrylic shelves that are infinitely adjustable. If ordered with lights the light column uses a 64" T6 fluorescent tube and operates on 115v AC.&lt;/p&gt;</t>
  </si>
  <si>
    <t>Slimline Towers - Square | Hexagon</t>
  </si>
  <si>
    <t>Slimline Towers, Display Case, Tall Display Cases, Hexagon Display Case</t>
  </si>
  <si>
    <t>/img2/imgb78d.jpg</t>
  </si>
  <si>
    <t>www.americanretailsupply.com\64830\175999\LaminateMetal-Showcases\Slimline-Towers.html</t>
  </si>
  <si>
    <t>&lt;p&gt;Our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 &lt;/p&gt;</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</si>
  <si>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</si>
  <si>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</si>
  <si>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</si>
  <si>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/img3/img062e.jpg</t>
  </si>
  <si>
    <t>www.americanretailsupply.com\64830\176000\LaminateMetal-Showcases\Fineline-Tower-Glass-Display-Cases.html</t>
  </si>
  <si>
    <t>&lt;p&gt;Flexible storage bins in these wrap counters make them versatile. Available in 48", 60" and 70" lengths. All fixtures are 34" high.&lt;/p&gt;</t>
  </si>
  <si>
    <t>wrap counter</t>
  </si>
  <si>
    <t>wrap counter, fixture, shelving, workspace, freestanding</t>
  </si>
  <si>
    <t>/img1/img571d.jpg</t>
  </si>
  <si>
    <t>www.americanretailsupply.com\64830\176003\LaminateMetal-Showcases\Wrap-Counters.html</t>
  </si>
  <si>
    <t>&lt;p&gt;Both cash register stand fixture models measure 38" high, 20" deep and 24" long. Flat Top model has two storage shelves, one fixed, one adjustable. Well Top model has 6" well and one adjustable storage shelf.&lt;/p&gt;</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</si>
  <si>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</si>
  <si>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</si>
  <si>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</si>
  <si>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/img3/img6517.jpg</t>
  </si>
  <si>
    <t>www.americanretailsupply.com\64830\176004\LaminateMetal-Showcases\Cash-Register-Stands.html</t>
  </si>
  <si>
    <t>&lt;p&gt;LED Light Kits - For display cases. Available in 4' for 48" Full Vision Case or 6' for 70" Full Vision Case or Jewelry Case.&lt;br&gt;&lt;br&gt;Ratchet Lock w/Keys - Secures sliding doors on display cases.&lt;/p&gt;</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</si>
  <si>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</si>
  <si>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</si>
  <si>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</si>
  <si>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/img3/img9049.jpg</t>
  </si>
  <si>
    <t>www.americanretailsupply.com\64847\773401\Lights\Showcase-Light-Kits-and-Locks.html</t>
  </si>
  <si>
    <t>&lt;p&gt;These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&lt;/p&gt;</t>
  </si>
  <si>
    <t>Flexible LED Light Strip</t>
  </si>
  <si>
    <t>/img1/img6e93.jpg</t>
  </si>
  <si>
    <t>www.americanretailsupply.com\64847\776995\Lights\Flexible-LED-Light-Strip.html</t>
  </si>
  <si>
    <t>&lt;p&gt;Necklaces stand out on these beautiful linen and bamboo displays.&lt;/p&gt;</t>
  </si>
  <si>
    <t>/img3/imge1e8.jpg</t>
  </si>
  <si>
    <t>www.americanretailsupply.com\64786\775233\Linen-Jewelry-Displays\Necklace-Jewelry-Displays.html</t>
  </si>
  <si>
    <t>&lt;p&gt;Our new beautiful linen T-bars are the hottest look to show off your jewelry.  &lt;/p&gt;</t>
  </si>
  <si>
    <t>/img1/img4a03.jpg</t>
  </si>
  <si>
    <t>www.americanretailsupply.com\64786\775234\Linen-Jewelry-Displays\T--Bar-Jewelry-Displays.html</t>
  </si>
  <si>
    <t>&lt;p&gt;Attractive Earring Displays on linen fabric make your jewelry standout.&lt;br&gt;Sold as each.&lt;/p&gt;</t>
  </si>
  <si>
    <t>/img2/img3689.jpg</t>
  </si>
  <si>
    <t>www.americanretailsupply.com\64786\775235\Linen-Jewelry-Displays\Earring-Displays.html</t>
  </si>
  <si>
    <t>&lt;p&gt;24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&lt;br&gt;&lt;br&gt;&lt;/p&gt;</t>
  </si>
  <si>
    <t>24 Pocket Literature Spinner</t>
  </si>
  <si>
    <t>/img3/imga102.jpg</t>
  </si>
  <si>
    <t>www.americanretailsupply.com\65181\561663\Literature-Racks\24-Pocket-Literature-Spinner.html</t>
  </si>
  <si>
    <t>&lt;p&gt;Decora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&lt;br&gt;&lt;br&gt;&lt;/p&gt;</t>
  </si>
  <si>
    <t>Decora Literature Stand</t>
  </si>
  <si>
    <t>/img3/img1c3a.jpg</t>
  </si>
  <si>
    <t>www.americanretailsupply.com\65181\561665\Literature-Racks\Decora-Literature-Stand.html</t>
  </si>
  <si>
    <t>&lt;p&gt;24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&lt;/p&gt;</t>
  </si>
  <si>
    <t>24 Pocket Combo Spinner</t>
  </si>
  <si>
    <t>/img2/img86c3.jpg</t>
  </si>
  <si>
    <t>www.americanretailsupply.com\65181\561739\Literature-Racks\24-Pocket-Combo-Spinner.html</t>
  </si>
  <si>
    <t>&lt;p&gt;24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&lt;/p&gt;</t>
  </si>
  <si>
    <t>24 Pocket Spinner</t>
  </si>
  <si>
    <t>/img1/imgd129.jpg</t>
  </si>
  <si>
    <t>www.americanretailsupply.com\65181\561792\Literature-Racks\24-Pocket-Spinner.html</t>
  </si>
  <si>
    <t>&lt;p&gt;Postcard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holder&lt;br&gt;&lt;/p&gt;</t>
  </si>
  <si>
    <t>Postcard Spinner</t>
  </si>
  <si>
    <t>/img2/img9db5.jpg</t>
  </si>
  <si>
    <t>www.americanretailsupply.com\65181\561793\Literature-Racks\Postcard-Spinner.html</t>
  </si>
  <si>
    <t>&lt;p&gt;16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&lt;br&gt;&lt;/p&gt;</t>
  </si>
  <si>
    <t>16 Pocket Calendar Spinner</t>
  </si>
  <si>
    <t>/img3/img9f58.jpg</t>
  </si>
  <si>
    <t>www.americanretailsupply.com\65181\561794\Literature-Racks\16-Pocket-Calendar-Spinner.html</t>
  </si>
  <si>
    <t>&lt;p&gt;24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&lt;/p&gt;</t>
  </si>
  <si>
    <t>24 Pocket 4 7/8 Spinner</t>
  </si>
  <si>
    <t>/img3/img9204.jpg</t>
  </si>
  <si>
    <t>www.americanretailsupply.com\65181\561795\Literature-Racks\24-Pocket-4-78-Spinner.html</t>
  </si>
  <si>
    <t>&lt;p&gt;48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&lt;/p&gt;</t>
  </si>
  <si>
    <t>48 Pocket  Spinner</t>
  </si>
  <si>
    <t>/img2/img2370.jpg</t>
  </si>
  <si>
    <t>www.americanretailsupply.com\65181\561796\Literature-Racks\48-Pocket--Spinner.html</t>
  </si>
  <si>
    <t>&lt;p&gt;Available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freight.&lt;/p&gt;</t>
  </si>
  <si>
    <t>Black 20 Pocket Magazine Merchandiser</t>
  </si>
  <si>
    <t>/img1/img3d78.jpg</t>
  </si>
  <si>
    <t>www.americanretailsupply.com\65181\734986\Literature-Racks\Black-20-Pocket-Magazine-Merchandiser.html</t>
  </si>
  <si>
    <t>&lt;p&gt;  &lt;br&gt;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&lt;/p&gt;</t>
  </si>
  <si>
    <t>/img1/imgb305.jpg</t>
  </si>
  <si>
    <t>www.americanretailsupply.com\65073\20299\Low-Density-Plastic-Bags\Super-Gloss-Plastic-Merchandise-Bags.html</t>
  </si>
  <si>
    <t>&lt;p&gt;   &lt;br&gt;             &lt;br&gt;&lt;/p&gt;</t>
  </si>
  <si>
    <t>/img2/imgda28.jpg</t>
  </si>
  <si>
    <t>www.americanretailsupply.com\65073\744108\Low-Density-Plastic-Bags\Heavy-Duty-Reusable-T-Shirt-Bags.html</t>
  </si>
  <si>
    <t>&lt;p&gt;Melamine Shelving Available in White, Black, and Maple.&lt;/p&gt;</t>
  </si>
  <si>
    <t>Melamine Shelving</t>
  </si>
  <si>
    <t>/img1/img9425.jpg</t>
  </si>
  <si>
    <t>www.americanretailsupply.com\64816\1909\Melamine--Bullnose-Shelves\Melamine-Shelving.html</t>
  </si>
  <si>
    <t>&lt;p&gt;Easily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&lt;br&gt;&lt;br&gt;&lt;br&gt;&lt;br&gt;&lt;br&gt;&lt;br&gt;&lt;br&gt;&lt;br&gt;&lt;br&gt;&lt;br&gt;&lt;/p&gt;</t>
  </si>
  <si>
    <t>Bull Nose Shelving - Solid Colors</t>
  </si>
  <si>
    <t>Bull Nose Shelving - Solid Colors display, fixtures, presentation</t>
  </si>
  <si>
    <t>/img1/imgb9ae.jpg</t>
  </si>
  <si>
    <t>www.americanretailsupply.com\64816\1910\Melamine--Bullnose-Shelves\Bull-Nose-Shelving-in-Solid-Colors.html</t>
  </si>
  <si>
    <t>&lt;p&gt;&amp;#8226;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3&lt;/p&gt;</t>
  </si>
  <si>
    <t>Bull Nose Shelving - Wood Grain</t>
  </si>
  <si>
    <t>Bull Nose Shelving - Wood Grain display, presentation, fixtures</t>
  </si>
  <si>
    <t>/img3/img1ff3.jpg</t>
  </si>
  <si>
    <t>www.americanretailsupply.com\64816\231709\Melamine--Bullnose-Shelves\Bull-Nose-Shelving----Wood-Grain.html</t>
  </si>
  <si>
    <t>&lt;p&gt;This oval base is like the one seen in this picture.  This oval base for your glass display is 30" x 54".  It comes in black or white melamine.  &lt;br&gt;    If this size doesn't work for you please call 800-426-5708 and we will help you find the size you need.&lt;/p&gt;</t>
  </si>
  <si>
    <t>Oval Glass Cube Display Base</t>
  </si>
  <si>
    <t>/img1/imga7c9.jpg</t>
  </si>
  <si>
    <t>www.americanretailsupply.com\65208\563391\Melamine-Bases-for-Glass-Displays\Oval-Glass-Cube-Display-Base.html</t>
  </si>
  <si>
    <t>&lt;p&gt;Merchandise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(item number &lt;a href="../../../17769/173489/Merchandising-Aids/Hooks-and-Clips.html"&gt;45R242) that can be used with this heavyweight plastic strip.&lt;br&gt;&lt;/p&gt;</t>
  </si>
  <si>
    <t>Chain Kits, Retail Store Merchandising Supplies</t>
  </si>
  <si>
    <t>merchandising retail store chain kits</t>
  </si>
  <si>
    <t>Order merchandise strips and chain kits to hang and display small merchandise in your retail store.</t>
  </si>
  <si>
    <t>/img2/img08b3.jpg</t>
  </si>
  <si>
    <t>www.americanretailsupply.com\64864\2074\Merchandising-Aids\Merchandise-Strips.html</t>
  </si>
  <si>
    <t>&lt;p&gt;Front Runners Label Holders for Adhesive Labels Holds 2" Labels. Use with Peg hooks. Fits Wire, Plastic and Plate Hooks. &lt;/p&gt;</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</si>
  <si>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</si>
  <si>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</si>
  <si>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</si>
  <si>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/img1/img72d2.jpg</t>
  </si>
  <si>
    <t>www.americanretailsupply.com\64864\12523\Merchandising-Aids\Front-Runners.html</t>
  </si>
  <si>
    <t>&lt;p&gt;Adhesive Hang Tags&lt;br&gt;&amp;#8226; Perfect for point of purchase displays.&lt;br&gt;&amp;#8226; Fix damaged packaging.&lt;br&gt;&amp;#8226; Use with shrink wrapped products.&lt;/p&gt;</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</si>
  <si>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</si>
  <si>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</si>
  <si>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</si>
  <si>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/img2/img0541.jpg</t>
  </si>
  <si>
    <t>www.americanretailsupply.com\64864\12524\Merchandising-Aids\Adhesive-Hang-Tags.html</t>
  </si>
  <si>
    <t>&lt;p&gt;Adhesive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Roll.&lt;br&gt;&lt;/p&gt;</t>
  </si>
  <si>
    <t>Adhesive Label Release</t>
  </si>
  <si>
    <t>/img3/img462b.jpg</t>
  </si>
  <si>
    <t>www.americanretailsupply.com\64864\12526\Merchandising-Aids\Adhesive-Label-Release.html</t>
  </si>
  <si>
    <t>&lt;p&gt;Convenient to use Price Channel Molding Plastic Molding that fits on your current shelving. A clear backing with clear window eliminates the need for clear ticket covers.&lt;br&gt;Comes with an Adhesive Back 1 1/4" wide x 48" long.&lt;/p&gt;</t>
  </si>
  <si>
    <t>Price Channel Molding</t>
  </si>
  <si>
    <t>/img1/imgd19b.jpg</t>
  </si>
  <si>
    <t>www.americanretailsupply.com\64864\12527\Merchandising-Aids\Price-Channel-Molding.html</t>
  </si>
  <si>
    <t>&lt;p&gt;Junior Flip Up Ostrich Feather Duster Retractable&lt;br&gt;&lt;/p&gt;</t>
  </si>
  <si>
    <t>Junior Flip Up Ostrich Feather Duster Retractable</t>
  </si>
  <si>
    <t>/img1/img3ae1.jpg</t>
  </si>
  <si>
    <t>www.americanretailsupply.com\64864\48280\Merchandising-Aids\Junior-Flip-Up-Ostrich-Feather-Duster-Retractable.html</t>
  </si>
  <si>
    <t>&lt;p&gt;Small ticket holders and clips are useful in holding SKU labels and small advertising signs.  Use these in shelf molding, baskets or on a shelf.  If you don't see the type of holder you need,  call us a 800-426-5708 and we will find you what you need.  &lt;/p&gt;</t>
  </si>
  <si>
    <t>Label &amp; Sign Holders, Retail Store Merchandising Supplies</t>
  </si>
  <si>
    <t>label holders sign holder retail merchandising supplies</t>
  </si>
  <si>
    <t>Label and sign holders for sale online, buy retail merchandising supplies including label and sign holders for your retail store.</t>
  </si>
  <si>
    <t>/img1/img072c.jpg</t>
  </si>
  <si>
    <t>www.americanretailsupply.com\64864\173487\Merchandising-Aids\Label--Sign-Holders.html</t>
  </si>
  <si>
    <t>&lt;p&gt;Hang and Display small merchandise easily with Clips and Chain Kits.&lt;/p&gt;</t>
  </si>
  <si>
    <t>Chain Kits</t>
  </si>
  <si>
    <t>/img2/img7c4a.jpg</t>
  </si>
  <si>
    <t>www.americanretailsupply.com\64864\173488\Merchandising-Aids\Chain-Kits.html</t>
  </si>
  <si>
    <t>&lt;p&gt;Hooks and Clips that hang and display all your small merchandise easily. &lt;/p&gt;</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</si>
  <si>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</si>
  <si>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</si>
  <si>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</si>
  <si>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/img3/img60c1.jpg</t>
  </si>
  <si>
    <t>www.americanretailsupply.com\17769\173489\Merchandising-Aids\Hooks-and-Clips.html</t>
  </si>
  <si>
    <t>&lt;p&gt;SKU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dividers.&lt;/p&gt;</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</si>
  <si>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</si>
  <si>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</si>
  <si>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</si>
  <si>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/img3/imgd78f.jpg</t>
  </si>
  <si>
    <t>www.americanretailsupply.com\64864\228911\Merchandising-Aids\SKU-Divider-Strips.html</t>
  </si>
  <si>
    <t>&lt;p&gt;&lt;/p&gt;</t>
  </si>
  <si>
    <t>Ceiling Clip Installation Poles</t>
  </si>
  <si>
    <t>/img2/img68c2.jpg</t>
  </si>
  <si>
    <t>www.americanretailsupply.com\64864\228912\Merchandising-Aids\Ceiling-Clip-Installation-Poles.html</t>
  </si>
  <si>
    <t>&lt;p&gt;These clear bumper buttons are Clear Polyurethane and will prevent damage to shelves and other surfaces. Adhesive backed buttons attach to the bottom of displays easily.&lt;br&gt;Sold by 100 per case.&lt;/p&gt;</t>
  </si>
  <si>
    <t>Clear Bumper Buttons</t>
  </si>
  <si>
    <t>/img2/imgda09.jpg</t>
  </si>
  <si>
    <t>www.americanretailsupply.com\64864\777693\Merchandising-Aids\Clear-Bumper-Buttons.html</t>
  </si>
  <si>
    <t>&lt;p&gt;These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&lt;br&gt;&lt;/p&gt;</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</si>
  <si>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</si>
  <si>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</si>
  <si>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</si>
  <si>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/img1/img6c20.jpg</t>
  </si>
  <si>
    <t>www.americanretailsupply.com\64959\37837\Merchandising-Bars\12-x-1-12-Rectangle-Merchandise-Bars.html</t>
  </si>
  <si>
    <t>&lt;p&gt;Merchandising bar accessories make your system usable and designed just for you. &lt;/p&gt;</t>
  </si>
  <si>
    <t>Merchandise Bar Accessories</t>
  </si>
  <si>
    <t>/img2/img3b62.jpg</t>
  </si>
  <si>
    <t>www.americanretailsupply.com\64959\37839\Merchandising-Bars\Merchandise-Bar-Accessories.html</t>
  </si>
  <si>
    <t>&lt;p&gt;Glitter Star Bows Price per case.&lt;br&gt;Bows available in red, silver, and gold for your retail store.&lt;br&gt;  &lt;/p&gt;</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</si>
  <si>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</si>
  <si>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</si>
  <si>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</si>
  <si>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/img2/imge54a.jpg</t>
  </si>
  <si>
    <t>www.americanretailsupply.com\64739\19682\Metallic-Bows--Ribbon\Glitter-Star-Bows.html</t>
  </si>
  <si>
    <t>&lt;p&gt;Glitter Ribbon - Metallic Finish Ribbon is a wonderful way to add some glamour to any packaging. Glitter laminated polypropylene ribbon available in 3 widths. Priced per roll, in 100 yards or 250 yards per roll.&lt;br&gt;&lt;/p&gt;</t>
  </si>
  <si>
    <t>Metallic Ribbon &amp; Bows, Glitter Ribbon</t>
  </si>
  <si>
    <t>glitter ribbon metallic ribbons bows</t>
  </si>
  <si>
    <t>Glitter ribbon for sale online, order gift wrap supplies including metallic ribbon and bows for your retail store's gift wrapping needs.</t>
  </si>
  <si>
    <t>/img2/img34df.jpg</t>
  </si>
  <si>
    <t>www.americanretailsupply.com\64739\19864\Metallic-Bows--Ribbon\Glitter-Ribbon.html</t>
  </si>
  <si>
    <t>&lt;p&gt;Glitter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&lt;/p&gt;</t>
  </si>
  <si>
    <t>Perfect ribbon bows</t>
  </si>
  <si>
    <t>perfect bows, flat pack bows, instant bows, decorative big bows, ribbon bows, pull bows, magic bows</t>
  </si>
  <si>
    <t>perfect ribbon bows</t>
  </si>
  <si>
    <t>/img3/img5ca8.jpg</t>
  </si>
  <si>
    <t>www.americanretailsupply.com\64739\19923\Metallic-Bows--Ribbon\Glitter-Perfect-Bows.html</t>
  </si>
  <si>
    <t>&lt;p&gt;Herringbone Tinsel Ribbon&lt;br&gt;3/16" x 50 yds.&lt;/p&gt;</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</si>
  <si>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</si>
  <si>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</si>
  <si>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</si>
  <si>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/img1/imgb8a7.jpg</t>
  </si>
  <si>
    <t>www.americanretailsupply.com\64739\172822\Metallic-Bows--Ribbon\Herringbone-Tinsel-Ribbon.html</t>
  </si>
  <si>
    <t>&lt;p&gt;Meto 1600 Series 5 digit Character count, One line, Regular Character Size &lt;br&gt;&lt;a href="http://yoosh.co/ars_files/rs6.eporia.com/company_8/Meto%201522-622-526.html"&gt;Loading Instructions&lt;/p&gt;</t>
  </si>
  <si>
    <t>Meto 1600 1 Line Price Gun</t>
  </si>
  <si>
    <t>/img1/img529c.jpg</t>
  </si>
  <si>
    <t>www.americanretailsupply.com\64930\1437\Meto-1--2-Line-Price-Guns\Meto-1600-1-Line-Price-Gun.html</t>
  </si>
  <si>
    <t>&lt;p&gt;Labels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&lt;/p&gt;</t>
  </si>
  <si>
    <t>Meto 1600 Series Labels</t>
  </si>
  <si>
    <t>/img2/imga073.jpg</t>
  </si>
  <si>
    <t>www.americanretailsupply.com\64930\1558\Meto-1--2-Line-Price-Guns\Meto-1600-Series-Labels.html</t>
  </si>
  <si>
    <t>&lt;p&gt;The Meto Ink Rollers fits all Meto Series Labelers.&lt;/p&gt;</t>
  </si>
  <si>
    <t>Meto Ink Rollers, Meto Label Price Gun Ink</t>
  </si>
  <si>
    <t>meto ink roller meto label gun ink price gun ink rollers</t>
  </si>
  <si>
    <t>Meto ink rollers for sale online, buy ink rollers for Meto price label guns for your retail store price marking needs.</t>
  </si>
  <si>
    <t>/img1/img8a11.jpg</t>
  </si>
  <si>
    <t>www.americanretailsupply.com\64930\1559\Meto-1--2-Line-Price-Guns\Meto-Ink-Rollers.html</t>
  </si>
  <si>
    <t>&lt;p&gt;This Holster fits the Meto 1600 Series Labeler.&lt;/p&gt;</t>
  </si>
  <si>
    <t>Meto Labeler Holster</t>
  </si>
  <si>
    <t>/img3/img942b.jpg</t>
  </si>
  <si>
    <t>www.americanretailsupply.com\64930\1560\Meto-1--2-Line-Price-Guns\Meto-Labeler-Holster.html</t>
  </si>
  <si>
    <t>&lt;p&gt;Labels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&lt;/p&gt;</t>
  </si>
  <si>
    <t>Meto 2200 Series Labels</t>
  </si>
  <si>
    <t>/img2/imgb6e5-2.jpg</t>
  </si>
  <si>
    <t>www.americanretailsupply.com\64930\1570\Meto-1--2-Line-Price-Guns\Meto-2200-Series-Labels.html</t>
  </si>
  <si>
    <t>&lt;p&gt;Labels are for your Meto 2600 Series one line labeler. They come in your choice of white or colored labels. Call us if you would like to have your name printed on your labels. &lt;br&gt;Order labels by the box.&lt;br&gt;Each box has 12 rolls (1,500 labels per roll) = 18,000 labels per box &lt;/p&gt;</t>
  </si>
  <si>
    <t>Meto 2600 Series Labels</t>
  </si>
  <si>
    <t>/img3/imgdf2d.jpg</t>
  </si>
  <si>
    <t>www.americanretailsupply.com\64930\1574\Meto-1--2-Line-Price-Guns\Meto-2600-Series-Labels.html</t>
  </si>
  <si>
    <t>&lt;p&gt;Meto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&lt;/p&gt;</t>
  </si>
  <si>
    <t>Meto 2200/2 Series Labels</t>
  </si>
  <si>
    <t>/img1/imgfc90.jpg</t>
  </si>
  <si>
    <t>www.americanretailsupply.com\64930\1585\Meto-1--2-Line-Price-Guns\Meto-22002-Series-Labels.html</t>
  </si>
  <si>
    <t>&lt;p&gt;Meto 2200 Series, 6 to 22 Labeler, 6 digit Character count, One Line, Regular Size Character &lt;br&gt;&lt;a href="http://yoosh.co/ars_files/rs6.eporia.com/company_8/Meto%201522-622-526.html"&gt;Loading Instructions&lt;/p&gt;</t>
  </si>
  <si>
    <t>Meto 2200 1 Line Price Gun</t>
  </si>
  <si>
    <t>www.americanretailsupply.com\64930\48171\Meto-1--2-Line-Price-Guns\Meto-2200-1-Line-Price-Gun.html</t>
  </si>
  <si>
    <t>&lt;p&gt;Meto 2600, One Line Printing&lt;br&gt;&lt;a href="http://yoosh.co/ars_files/rs6.eporia.com/company_8/Meto%201522-622-526.html"&gt;Loading Instructions&lt;/p&gt;</t>
  </si>
  <si>
    <t>Meto 2600 1 Line Price Gun</t>
  </si>
  <si>
    <t>/img2/imgb7ec.jpg</t>
  </si>
  <si>
    <t>www.americanretailsupply.com\64930\48172\Meto-1--2-Line-Price-Guns\Meto-2600-1-Line-Price-Gun.html</t>
  </si>
  <si>
    <t>&lt;p&gt;Meto 2200/2 Series is a 15 to 22 Labeler, Top Row: 8 Numbers, Bottom Row 7 Numbers&lt;br&gt;&lt;a href="http://yoosh.co/ars_files/rs6.eporia.com/company_8/Meto%201522-622-526.html"&gt;Loading Instructions&lt;/p&gt;</t>
  </si>
  <si>
    <t>Meto 2200/2 2 Line Price Gun</t>
  </si>
  <si>
    <t>www.americanretailsupply.com\64930\48173\Meto-1--2-Line-Price-Guns\Meto-22002-2-Line-Price-Gun.html</t>
  </si>
  <si>
    <t>&lt;p&gt;Mini Grid comes in 14" x 14" squares and can be used to make a variety of display cases for your retail store.  Available in Black, White, Red, or Chrome. (Gridwall attachments may not be used on mini grid)&lt;/p&gt;</t>
  </si>
  <si>
    <t>Mini Grid</t>
  </si>
  <si>
    <t>/img1/img3146.jpg</t>
  </si>
  <si>
    <t>www.americanretailsupply.com\64826\3993\Mini-Grid\Mini-Grid.html</t>
  </si>
  <si>
    <t>&lt;p&gt;Clear Acrylic Shelf Squares are for wire mini grid cubes and Slatwall &amp;amp; Gridwall wire shelves.&lt;br&gt;These plates are made of 1/8" clear acrylic. Two sizes are available. &lt;br&gt;    701351 is 14" x 14" Fits mini grid squares&lt;br&gt;    701352 is 24" x 12" Fits wire shelves&lt;/p&gt;</t>
  </si>
  <si>
    <t>Acrylic Shelves with Flat Squares no Attachment</t>
  </si>
  <si>
    <t>www.americanretailsupply.com\64826\41124\Mini-Grid\Acrylic-Shelves-with-Flat-Squares-no-Attachment.html</t>
  </si>
  <si>
    <t>&lt;p&gt;Use the 8 way connector to fully utilize your mini grid.&lt;/p&gt;</t>
  </si>
  <si>
    <t>Mini Grid, 8 way Connectors</t>
  </si>
  <si>
    <t>/img2/imgf5c7.jpg</t>
  </si>
  <si>
    <t>www.americanretailsupply.com\64826\47244\Mini-Grid\Mini-Grid-8-way-Connectors.html</t>
  </si>
  <si>
    <t>&lt;p&gt;Use the 12 Way Connector to fully utilize&lt;br&gt;your mini grid. &lt;br&gt;LIMITED TO STOCK ON HAND&lt;/p&gt;</t>
  </si>
  <si>
    <t>Mini Grid, 12 way Connectors</t>
  </si>
  <si>
    <t>www.americanretailsupply.com\64826\47245\Mini-Grid\Mini-Grid-12-way-Connectors.html</t>
  </si>
  <si>
    <t>&lt;p&gt;This spray cleans without scratching or crazing, and it helps to repel dust by decreasing static. 8 oz. Bottle.&lt;/p&gt;</t>
  </si>
  <si>
    <t>Acrylic Cleaner - Repel Dust</t>
  </si>
  <si>
    <t>Acrylic Cleaner, Dust repellent, clean counter</t>
  </si>
  <si>
    <t>8 oz. Acrylic Cleaner Bottle. Doesn't Scratch The Surface when Wiping. Shop Online Today or Call For More Info!</t>
  </si>
  <si>
    <t>/img2/img5d9d.jpg</t>
  </si>
  <si>
    <t>www.americanretailsupply.com\64785\34263\Misc-Acrylic-Products\Acrylic-Cleaner.html</t>
  </si>
  <si>
    <t>Acrylic Electric Turntable</t>
  </si>
  <si>
    <t>Acrylic Electric Turntable, lazy susan, rotating display, electric turntable</t>
  </si>
  <si>
    <t>/img1/img012d.jpg</t>
  </si>
  <si>
    <t>www.americanretailsupply.com\64785\34264\Misc-Acrylic-Products\Acrylic-Electric-Turntable.html</t>
  </si>
  <si>
    <t>Acrylic Beveled Mirror</t>
  </si>
  <si>
    <t>Acrylic Beveled Mirror, countertop mirror, beveled mirror, table top mirror</t>
  </si>
  <si>
    <t>/img2/img896c.jpg</t>
  </si>
  <si>
    <t>www.americanretailsupply.com\64785\34265\Misc-Acrylic-Products\Acrylic-Beveled-Mirror.html</t>
  </si>
  <si>
    <t>Acrylic Pen Display - Holds 24 &amp; 36 Pens</t>
  </si>
  <si>
    <t>Acrylic Pen Display, pen holder, writing utensil display</t>
  </si>
  <si>
    <t>Dimensions: 4 1/2</t>
  </si>
  <si>
    <t>/img1/img27ca.jpg</t>
  </si>
  <si>
    <t>www.americanretailsupply.com\64785\34268\Misc-Acrylic-Products\Acrylic-Pen-Display.html</t>
  </si>
  <si>
    <t>&lt;p&gt;2" x 1000 yrds Clear&lt;/p&gt;</t>
  </si>
  <si>
    <t>Acrylic Tape</t>
  </si>
  <si>
    <t>/img3/img7f6b.jpg</t>
  </si>
  <si>
    <t>www.americanretailsupply.com\64905\236804\Miscellaneous-Closeout\Acrylic-Tape.html</t>
  </si>
  <si>
    <t>&lt;p&gt;  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hand.&lt;/p&gt;</t>
  </si>
  <si>
    <t>Lift Off # 2, 22oz. Pump Spray</t>
  </si>
  <si>
    <t>www.americanretailsupply.com\64905\236819\Miscellaneous-Closeout\Lift-Off--2-22oz-Pump-Spray.html</t>
  </si>
  <si>
    <t>Lift Off # 2 Gallon Refill</t>
  </si>
  <si>
    <t>www.americanretailsupply.com\64905\236820\Miscellaneous-Closeout\Lift-Off--2-Gallon-Refill.html</t>
  </si>
  <si>
    <t>&lt;p&gt;&amp;#8226; 3 popular sizes. Water based pigment ink, water and fade resistant when dry. Use on paper, glass, plastic, metal and rubber.&lt;/p&gt;</t>
  </si>
  <si>
    <t>Artline Tempera Markers</t>
  </si>
  <si>
    <t>/img2/imgbd60.jpg</t>
  </si>
  <si>
    <t>www.americanretailsupply.com\64905\239178\Miscellaneous-Closeout\Artline-Tempera-Markers.html</t>
  </si>
  <si>
    <t>&lt;p&gt;&amp;#8226; Exceptionally brilliant.&lt;/p&gt;</t>
  </si>
  <si>
    <t>Artline Aquafast Markers</t>
  </si>
  <si>
    <t>/img2/img7bdf-2.jpg</t>
  </si>
  <si>
    <t>www.americanretailsupply.com\64905\239179\Miscellaneous-Closeout\Artline-Aquafast-Markers.html</t>
  </si>
  <si>
    <t>&lt;p&gt;&amp;#8226; Easily Erased Alcohol based ink.&lt;/p&gt;</t>
  </si>
  <si>
    <t>Artline Whiteboard Markers</t>
  </si>
  <si>
    <t>/img3/img5f02.jpg</t>
  </si>
  <si>
    <t>www.americanretailsupply.com\64905\239182\Miscellaneous-Closeout\Artline-Whiteboard-Markers.html</t>
  </si>
  <si>
    <t>&lt;p&gt;The Card Frame with Base 11 x 14 Horizontal Only Frame is mounted on (2) 4" stems with 3 1/2"x5" felt bottom base.&lt;/p&gt;</t>
  </si>
  <si>
    <t>Card Frame Miter with Base 11x14</t>
  </si>
  <si>
    <t>www.americanretailsupply.com\64905\239218\Miscellaneous-Closeout\Card-Frame-Miter-with-Base-11x14.html</t>
  </si>
  <si>
    <t>Economy SlantbackSign Holder</t>
  </si>
  <si>
    <t>/img2/img6e63.jpg</t>
  </si>
  <si>
    <t>www.americanretailsupply.com\64905\241272\Miscellaneous-Closeout\Economy-SlantbackSign-Holder.html</t>
  </si>
  <si>
    <t>Economy Tent Style Sign Holder</t>
  </si>
  <si>
    <t>/img3/imgac74.jpg</t>
  </si>
  <si>
    <t>www.americanretailsupply.com\64905\241273\Miscellaneous-Closeout\Economy-Tent-Style-Sign-Holder.html</t>
  </si>
  <si>
    <t>&lt;p&gt;Counter Top Frame with Soft Felt Base&lt;/p&gt;</t>
  </si>
  <si>
    <t>Counter Top Frame</t>
  </si>
  <si>
    <t>www.americanretailsupply.com\64905\243054\Miscellaneous-Closeout\Counter-Top-Frame.html</t>
  </si>
  <si>
    <t>&lt;p&gt;&lt;br&gt;Minimum order quantity is $35.00.&lt;/p&gt;</t>
  </si>
  <si>
    <t>Price Channel Numbers</t>
  </si>
  <si>
    <t>/img2/imgc364.jpg</t>
  </si>
  <si>
    <t>www.americanretailsupply.com\64905\243708\Miscellaneous-Closeout\Price-Channel-Numbers.html</t>
  </si>
  <si>
    <t>&lt;p&gt;The contest box is 11 x 11 x 14" when assembled.  The red on white attention getting boxes generate excitement for your contest.  Made of sturdy white cardboard. The one piece design assembles easily in seconds without tape. Pricing limited to quantity on hand.&lt;/p&gt;</t>
  </si>
  <si>
    <t>Corrugated Contest Boxes</t>
  </si>
  <si>
    <t>www.americanretailsupply.com\64905\244591\Miscellaneous-Closeout\Corrugated-Contest-Boxes.html</t>
  </si>
  <si>
    <t>&lt;p&gt;'500 per box, White and or Manila, 3 1/8 x 6 1/4.  Pricing limited to quantity on hand.&lt;/p&gt;</t>
  </si>
  <si>
    <t>Inventory Tag 2 Part, Carbonless</t>
  </si>
  <si>
    <t>/img2/img22e4.jpg</t>
  </si>
  <si>
    <t>www.americanretailsupply.com\64905\244695\Miscellaneous-Closeout\Inventory-Tag-2-Part-Carbonless.html</t>
  </si>
  <si>
    <t>&lt;p&gt;Priced per package of 25&lt;/p&gt;</t>
  </si>
  <si>
    <t>Wire Fixture Sign Holder Clear PVC Plastic</t>
  </si>
  <si>
    <t>/img3/img597c.jpg</t>
  </si>
  <si>
    <t>www.americanretailsupply.com\64905\246267\Miscellaneous-Closeout\Wire-Fixture-Sign-Holder-Clear-PVC-Plastic.html</t>
  </si>
  <si>
    <t>&lt;p&gt;Deluxe Clip  100 per case&lt;/p&gt;</t>
  </si>
  <si>
    <t>Deluxe Clip</t>
  </si>
  <si>
    <t>/img3/imgc052.jpg</t>
  </si>
  <si>
    <t>www.americanretailsupply.com\64905\434067\Miscellaneous-Closeout\Deluxe-Clip.html</t>
  </si>
  <si>
    <t>Standard Clip</t>
  </si>
  <si>
    <t>www.americanretailsupply.com\64905\434403\Miscellaneous-Closeout\Standard-Clip.html</t>
  </si>
  <si>
    <t>&lt;p&gt;1" x 5 1/2" Black&lt;br&gt;These can be used on Gridwall or Slatgrid.&lt;/p&gt;</t>
  </si>
  <si>
    <t>Pig Tail Card Holder Closeout</t>
  </si>
  <si>
    <t>www.americanretailsupply.com\64905\437273\Miscellaneous-Closeout\Pig-Tail-Card-Holder-Closeout.html</t>
  </si>
  <si>
    <t>&lt;p&gt;Heavy 10 pt stock, Pricing limited to quantity on hand - when they're gone, they're gone!!!&lt;br&gt;Available in assorted sizes and styles. Purchase cards by the package.&lt;br&gt;100 cards per package.&lt;/p&gt;</t>
  </si>
  <si>
    <t>Sign Cards</t>
  </si>
  <si>
    <t>/img2/img1499.jpg</t>
  </si>
  <si>
    <t>www.americanretailsupply.com\64905\733508\Miscellaneous-Closeout\Sign-Cards.html</t>
  </si>
  <si>
    <t>&lt;p&gt;Single clear spring clamp connected with ball and socket joint to a clear sign clip&lt;br&gt;Clamp designed to hold up to 1" thick material.  Sign clip designed to hold up to .25" thick material&lt;br&gt;Individual spring clamp is 1" W x 2 1/4" H.  Sign clip. Dimensions are 3.125" x 1" &lt;/p&gt;</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</si>
  <si>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</si>
  <si>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</si>
  <si>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</si>
  <si>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/img3/imgf2be.jpg</t>
  </si>
  <si>
    <t>www.americanretailsupply.com\64981\783043\Miscellaneous-Sign-Holders\Sign-Holder-with-Clamp.html</t>
  </si>
  <si>
    <t>&lt;p&gt;Sign and or Menu Card Holder that is 1 1/2" Tall Harp, Stainless Steel clip.  Sold per each clip&lt;br&gt;&lt;/p&gt;</t>
  </si>
  <si>
    <t>Sign and or Menu Card Holder</t>
  </si>
  <si>
    <t>/img1/imgd306.jpg</t>
  </si>
  <si>
    <t>www.americanretailsupply.com\64981\783044\Miscellaneous-Sign-Holders\Sign-and-or-Menu-Card-Holder.html</t>
  </si>
  <si>
    <t>&lt;p&gt;Showcase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9".&lt;/p&gt;</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</si>
  <si>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</si>
  <si>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</si>
  <si>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</si>
  <si>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/img2/imgd737.jpg</t>
  </si>
  <si>
    <t>www.americanretailsupply.com\65209\586734\Modular-Birch-Displays\Spinning-Tower-Displays.html</t>
  </si>
  <si>
    <t>&lt;p&gt;These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Ex.&lt;/p&gt;</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</si>
  <si>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</si>
  <si>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</si>
  <si>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</si>
  <si>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/img2/img505c.jpg</t>
  </si>
  <si>
    <t>www.americanretailsupply.com\65209\586836\Modular-Birch-Displays\Display-Pedestals.html</t>
  </si>
  <si>
    <t>&lt;p&gt;The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assemble.&lt;/p&gt;</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</si>
  <si>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</si>
  <si>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</si>
  <si>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</si>
  <si>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/img2/img5130.jpg</t>
  </si>
  <si>
    <t>www.americanretailsupply.com\65209\586837\Modular-Birch-Displays\Modular-Shelving-Units.html</t>
  </si>
  <si>
    <t>&lt;p&gt;These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&lt;/p&gt;</t>
  </si>
  <si>
    <t>Complete Units</t>
  </si>
  <si>
    <t>/img3/img6b00.jpg</t>
  </si>
  <si>
    <t>www.americanretailsupply.com\65357\785883\Modular-Display-Shelving\Complete-Units.html</t>
  </si>
  <si>
    <t>&lt;p&gt;Build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1-800-426-5708.&lt;/p&gt;</t>
  </si>
  <si>
    <t>Modular Display Uprights</t>
  </si>
  <si>
    <t>/img3/img0149.jpg</t>
  </si>
  <si>
    <t>www.americanretailsupply.com\65357\785884\Modular-Display-Shelving\Modular-Display-Uprights.html</t>
  </si>
  <si>
    <t>&lt;p&gt;Solid edge glue pine shelves are 11/16" thick and have aluminum end supports and pins to be sturdy and long lasting. Shelves are available in 3, 3 and 4 foot lengths and a variety of widths to match with uprights.&lt;/p&gt;</t>
  </si>
  <si>
    <t>Modular Display Shelves</t>
  </si>
  <si>
    <t>/img3/imgcbb5.jpg</t>
  </si>
  <si>
    <t>www.americanretailsupply.com\65357\785885\Modular-Display-Shelving\Modular-Display-Shelves.html</t>
  </si>
  <si>
    <t>&lt;p&gt;Cross pieces shown in the back of the display picture are a vital component of stability for your modular shelving units. These cross pieces are available in 48", 60" and 72" pieces and they are 3/4" galvanized flat 18 gauge metal.&lt;/p&gt;</t>
  </si>
  <si>
    <t>Modular Display Cross Pieces</t>
  </si>
  <si>
    <t>/img1/img015e.jpg</t>
  </si>
  <si>
    <t>www.americanretailsupply.com\65357\785886\Modular-Display-Shelving\Modular-Display-Cross-Pieces.html</t>
  </si>
  <si>
    <t>&lt;p&gt;Cross rails, hangrod supports and additional shelf pins are available for your modular shelving units. If you have any questions please call 1-800-426-5708 and a sales representative can assist you. &lt;/p&gt;</t>
  </si>
  <si>
    <t>Modular Display Accessories</t>
  </si>
  <si>
    <t>/img2/img87eb.jpg</t>
  </si>
  <si>
    <t>www.americanretailsupply.com\65357\785887\Modular-Display-Shelving\Modular-Display-Accessories.html</t>
  </si>
  <si>
    <t>&lt;p&gt;These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N.Y.&lt;/p&gt;</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</si>
  <si>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</si>
  <si>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</si>
  <si>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</si>
  <si>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/img1/img5e2f.jpg</t>
  </si>
  <si>
    <t>www.americanretailsupply.com\65153\17039\Molded-Forms\Soft-Silhouette-Forms.html</t>
  </si>
  <si>
    <t>&lt;p&gt;Use the Junior Size Molded Form size 5-9 to display the outfits so customers can view them.&lt;/p&gt;</t>
  </si>
  <si>
    <t>Junior Size Molded Forms</t>
  </si>
  <si>
    <t>/img3/imgb80f.jpg</t>
  </si>
  <si>
    <t>www.americanretailsupply.com\65153\36391\Molded-Forms\Junior-Size-Molded-Forms.html</t>
  </si>
  <si>
    <t>&lt;p&gt;These Junior Swimwear Molded Forms with Swivel Hook size 5-9 for showing off the swimwear in the spring and summer months.&lt;/p&gt;</t>
  </si>
  <si>
    <t>Junior Swimwear Molded Forms</t>
  </si>
  <si>
    <t>/img3/img8de8.jpg</t>
  </si>
  <si>
    <t>www.americanretailsupply.com\65153\36393\Molded-Forms\Junior-Swimwear-Molded-Forms.html</t>
  </si>
  <si>
    <t>&lt;p&gt;Show more variety and use these Misses Molded Forms with Swivel Hook size 12-16.&lt;/p&gt;</t>
  </si>
  <si>
    <t>Misses Molded Forms</t>
  </si>
  <si>
    <t>/img2/img7d07.jpg</t>
  </si>
  <si>
    <t>www.americanretailsupply.com\65153\36394\Molded-Forms\Misses-Molded-Forms.html</t>
  </si>
  <si>
    <t>&lt;p&gt;Display things for the men to wear by using this Male Full Torso Molded Form with Swivel Hook size S-M. It's a great way to show off the new fashion line.&lt;/p&gt;</t>
  </si>
  <si>
    <t>Male Full Torso Molded Forms</t>
  </si>
  <si>
    <t>/img3/img2293-2.jpg</t>
  </si>
  <si>
    <t>www.americanretailsupply.com\65153\36395\Molded-Forms\Male-Full-Torso-Molded-Forms.html</t>
  </si>
  <si>
    <t>&lt;p&gt;  Ladies Full Round 5/8" Flange Black - made of Fiberglass construction. Contains 5/8" flange for base and upright. Foam rubber strip around recessed bottom for easy pinning.&lt;br&gt;Product Dimensions: 25"H&lt;br&gt; &lt;/p&gt;</t>
  </si>
  <si>
    <t>Ladies Full Round 5/8" Flange Black</t>
  </si>
  <si>
    <t>/img2/img5964.jpg</t>
  </si>
  <si>
    <t>www.americanretailsupply.com\65153\156945\Molded-Forms\Ladies-Full-Round-58-Flange-Black.html</t>
  </si>
  <si>
    <t>&lt;p&gt;  Men's Full Round 5/8" Flange Black made of Fiberglass construction. Contains 5/8" flange for base and upright. Foam rubber strip around recessed bottom for easy pinning.&lt;br&gt;Product Dimensions: 27"H&lt;br&gt;&lt;/p&gt;</t>
  </si>
  <si>
    <t>Men's Full Round 5/8" Flange Black</t>
  </si>
  <si>
    <t>/img1/img6b4f.jpg</t>
  </si>
  <si>
    <t>www.americanretailsupply.com\65153\156946\Molded-Forms\Mens-Full-Round-58-Flange-Black.html</t>
  </si>
  <si>
    <t>&lt;p&gt;  Female Full Round Butt Form - Self standing; fiberglass construction; realistic look, shape and feel.  Available in Flesh tone and White.&lt;br&gt;Product Dimensions: Hip 37", Waist 25-1/2"; 15"H&lt;/p&gt;</t>
  </si>
  <si>
    <t>Female Full Round Butt Form</t>
  </si>
  <si>
    <t>/img1/imgcf36.jpg</t>
  </si>
  <si>
    <t>www.americanretailsupply.com\65153\156947\Molded-Forms\Female-Full-Round-Butt-Form.html</t>
  </si>
  <si>
    <t>&lt;p&gt;  Full Round Active War Cameo - Forms with Fiberglass construction athletically posed - perfect for swimwear. Self standing.&lt;br&gt;Male Form Product Dimensions: 36"H, 42" Chest&lt;br&gt;Female Form Product Dimensions: 30"H, 34 " Chest&lt;br&gt;&lt;br&gt; &lt;/p&gt;</t>
  </si>
  <si>
    <t>Full Round Active Wear Cameo</t>
  </si>
  <si>
    <t>/img3/img6ed1.jpg</t>
  </si>
  <si>
    <t>www.americanretailsupply.com\65153\156948\Molded-Forms\Full-Round-Active-Wear-Cameo.html</t>
  </si>
  <si>
    <t>&lt;p&gt;  Male Full Round Butt Form - Self standing and made of fiberglass construction with a realistic look, shape and feel.  Available in Fleshtone and White.&lt;br&gt;Product Dimensions: 15"H; 32" Waist; 38" Hip&lt;/p&gt;</t>
  </si>
  <si>
    <t>Male Full Round Butt Form</t>
  </si>
  <si>
    <t>/img2/imgd66b.jpg</t>
  </si>
  <si>
    <t>www.americanretailsupply.com\65153\156949\Molded-Forms\Male-Full-Round-Butt-Form.html</t>
  </si>
  <si>
    <t>&lt;p&gt;Our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90".&lt;br&gt;&lt;/p&gt;</t>
  </si>
  <si>
    <t>Contemporary Design Metal Dress Forms</t>
  </si>
  <si>
    <t>/img2/imgb501.jpg</t>
  </si>
  <si>
    <t>www.americanretailsupply.com\65153\253861\Molded-Forms\Contemporary-Design-Metal-Dress-Forms.html</t>
  </si>
  <si>
    <t>&lt;p&gt;This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length&lt;/p&gt;</t>
  </si>
  <si>
    <t>Ladies' Torso</t>
  </si>
  <si>
    <t>/img1/imgd996.jpg</t>
  </si>
  <si>
    <t>www.americanretailsupply.com\65153\741246\Molded-Forms\Ladies-Torso.html</t>
  </si>
  <si>
    <t>&lt;p&gt;A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length&lt;/p&gt;</t>
  </si>
  <si>
    <t>Mens' Torso</t>
  </si>
  <si>
    <t>/img3/img4018.jpg</t>
  </si>
  <si>
    <t>www.americanretailsupply.com\65153\741247\Molded-Forms\Mens-Torso.html</t>
  </si>
  <si>
    <t>&lt;p&gt;Ribbon Slitters can be used with Splendorette and Cotton Ribbons.&lt;br&gt;Slits 1/8" x 1/16"  &lt;/p&gt;</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</si>
  <si>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</si>
  <si>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</si>
  <si>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</si>
  <si>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/img1/imgb0db.jpg</t>
  </si>
  <si>
    <t>www.americanretailsupply.com\64734\19772\Natural-Curling-Ribbon\Ribbon-Slitters.html</t>
  </si>
  <si>
    <t>&lt;p&gt;&lt;br&gt;&lt;br&gt;&lt;br&gt;Solid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&lt;/p&gt;</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</si>
  <si>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</si>
  <si>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</si>
  <si>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</si>
  <si>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/img1/img450a.jpg</t>
  </si>
  <si>
    <t>www.americanretailsupply.com\64734\19643\Natural-Curling-Ribbon\Solid-Natural-Curling-Ribbon.html</t>
  </si>
  <si>
    <t>&lt;p&gt;Hot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&lt;/p&gt;</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</si>
  <si>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</si>
  <si>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</si>
  <si>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</si>
  <si>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/img1/img5128.jpg</t>
  </si>
  <si>
    <t>www.americanretailsupply.com\64734\172812\Natural-Curling-Ribbon\Hot-Dots-Natural-Curling-Ribbon.html</t>
  </si>
  <si>
    <t>&lt;p&gt;Chambray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&lt;/p&gt;</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</si>
  <si>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</si>
  <si>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</si>
  <si>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</si>
  <si>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/img1/img3a64.jpg</t>
  </si>
  <si>
    <t>www.americanretailsupply.com\64734\172813\Natural-Curling-Ribbon\Chambray-Natural-Curling-Ribbon.html</t>
  </si>
  <si>
    <t>&lt;p&gt;Metallic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&lt;/p&gt;</t>
  </si>
  <si>
    <t>metallic curling ribbon, metallic crimped ribbon</t>
  </si>
  <si>
    <t>Metallic Curling Ribbon, Retail Store Gift Wrapping Supplies, Solid and Natural Curling Ribbon</t>
  </si>
  <si>
    <t>/img1/img9863.jpg</t>
  </si>
  <si>
    <t>www.americanretailsupply.com\64734\172814\Natural-Curling-Ribbon\Metallic-Crimped-Natural-Curling-Ribbon.html</t>
  </si>
  <si>
    <t>&lt;p&gt;Stripe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&lt;/p&gt;</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</si>
  <si>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</si>
  <si>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</si>
  <si>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</si>
  <si>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/img2/img83a5.jpg</t>
  </si>
  <si>
    <t>www.americanretailsupply.com\64734\172815\Natural-Curling-Ribbon\Stripe-Natural-Curling-Ribbon.html</t>
  </si>
  <si>
    <t>&lt;p&gt;Animal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&lt;/p&gt;</t>
  </si>
  <si>
    <t>/img3/imgc48c.jpg</t>
  </si>
  <si>
    <t>www.americanretailsupply.com\64734\745607\Natural-Curling-Ribbon\Animal-Prints-Natural-Curling-Ribbon.html</t>
  </si>
  <si>
    <t>&lt;p&gt;The T-Bar 2 Bar Oval bracelet displayer has a classic look to it. This T-Bar 2 Bar Oval is easy to place bracelets on and off of it. 7 1/2" x 7"&lt;/p&gt;</t>
  </si>
  <si>
    <t>Bracelet Oval 2 Bar T-Bar</t>
  </si>
  <si>
    <t>/img3/img4943.jpg</t>
  </si>
  <si>
    <t>www.americanretailsupply.com\64787\37280\Necklace--Bracelet-Displays\Bracelet-Oval-2-Bar-T--Bar.html</t>
  </si>
  <si>
    <t>&lt;p&gt;The T-Bar 1 Bar Oval will feature bracelets in an appealing way. It comes in black velvet or faux white leather. This is a beautiful way to display any bracelet. 7 1/4" X 6 1/4"&lt;/p&gt;</t>
  </si>
  <si>
    <t>Oval Single T-Bar for Bracelets</t>
  </si>
  <si>
    <t>/img1/img25da.jpg</t>
  </si>
  <si>
    <t>www.americanretailsupply.com\64787\37281\Necklace--Bracelet-Displays\Oval-Single-T--Bar-for-Bracelets.html</t>
  </si>
  <si>
    <t>&lt;p&gt;Display your bracelets by laying them out. It gives your customer the full effect of the bracelet. It has an allotted space for 9 bracelets&lt;br&gt;&lt;br&gt;8" x 8 3/4" x 1 3/4" Available in Black Velvet or White Faux Leather.&lt;br&gt;&lt;br&gt;&lt;/p&gt;</t>
  </si>
  <si>
    <t>Slotted Bracelet Ramp</t>
  </si>
  <si>
    <t>/img2/img5e0e.jpg</t>
  </si>
  <si>
    <t>www.americanretailsupply.com\64787\37282\Necklace--Bracelet-Displays\Slotted-Bracelet-Ramp.html</t>
  </si>
  <si>
    <t>&lt;p&gt;Be able to display your necklaces and earrings with the Venus Bust. It can come in black, white, or a frosty clear. A beautiful addition to your display area. 6" x 2 3/4" x 9"&lt;/p&gt;</t>
  </si>
  <si>
    <t>Venus Figure Jewelry Display</t>
  </si>
  <si>
    <t>/img3/img29bc.jpg</t>
  </si>
  <si>
    <t>www.americanretailsupply.com\64787\37785\Necklace--Bracelet-Displays\Venus-Figure-Jewelry-Display.html</t>
  </si>
  <si>
    <t>&lt;p&gt;Hang multiple necklaces with the T-Bar Necklace Displays.&lt;/p&gt;</t>
  </si>
  <si>
    <t>Round T Bar Necklace Display</t>
  </si>
  <si>
    <t>/img3/img91c6.jpg</t>
  </si>
  <si>
    <t>www.americanretailsupply.com\64787\37787\Necklace--Bracelet-Displays\Round-T-Bar-Necklace-Display.html</t>
  </si>
  <si>
    <t>&lt;p&gt;Add some class to your necklace presentation with these decorative Flat Necklace Display with Easel. 9 1/4" x 9 1/2". Holds up to 5 necklaces.&lt;/p&gt;</t>
  </si>
  <si>
    <t>Flat Multi-Necklace Display with Easel</t>
  </si>
  <si>
    <t>/img3/img6082.jpg</t>
  </si>
  <si>
    <t>www.americanretailsupply.com\64787\47218\Necklace--Bracelet-Displays\Flat-Multi--Necklace-Display-with-Easel.html</t>
  </si>
  <si>
    <t>&lt;p&gt;Add class to your Necklaces and Bracelets with this decorative display. Overall size - 9 3/8" x 10 7/8" &lt;/p&gt;</t>
  </si>
  <si>
    <t>Round 2 Level T Bar Necklace/Bracelet Stand</t>
  </si>
  <si>
    <t>/img2/imgf538.jpg</t>
  </si>
  <si>
    <t>www.americanretailsupply.com\64787\47219\Necklace--Bracelet-Displays\Round-2-Level-T-Bar-NecklaceBracelet-Stand.html</t>
  </si>
  <si>
    <t>&lt;p&gt;Easily adds class to your necklace with these Necklace Padded Display with Easel. Very decorative.&lt;br&gt;8 5/8" x 10 7/8"&lt;/p&gt;</t>
  </si>
  <si>
    <t>Necklace Padded Display with Easel</t>
  </si>
  <si>
    <t>/img1/img621c.jpg</t>
  </si>
  <si>
    <t>www.americanretailsupply.com\64787\47220\Necklace--Bracelet-Displays\Necklace-Padded-Display-with-Easel.html</t>
  </si>
  <si>
    <t>&lt;p&gt;Use to display the necklaces that you feature at your store. Overall size -1/2" x 6 1/4" x 5 3/8"&lt;/p&gt;</t>
  </si>
  <si>
    <t>Small Necklace Bust Display</t>
  </si>
  <si>
    <t>/img2/img10aa.jpg</t>
  </si>
  <si>
    <t>www.americanretailsupply.com\64787\47870\Necklace--Bracelet-Displays\Small-Necklace-Bust-Display.html</t>
  </si>
  <si>
    <t>&lt;p&gt;Use this Necklace Bust Display to use for feature select items at your store. With some of the busts you can display earrings as well. 7 1/2" x 5 1/2" x 9"&lt;/p&gt;</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</si>
  <si>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</si>
  <si>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</si>
  <si>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</si>
  <si>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/img3/imga42f.jpg</t>
  </si>
  <si>
    <t>www.americanretailsupply.com\64787\47871\Necklace--Bracelet-Displays\Necklace-Bust-Display.html</t>
  </si>
  <si>
    <t>&lt;p&gt;Use a bust to display the necklaces that you feature at your store. With some of the busts you can display earrings as well.&lt;br&gt;6 3/4" x 8" x 8"&lt;/p&gt;</t>
  </si>
  <si>
    <t>Neck Form Necklace Display with Adjustable Stand</t>
  </si>
  <si>
    <t>/img1/img2b1d.jpg</t>
  </si>
  <si>
    <t>www.americanretailsupply.com\64787\47872\Necklace--Bracelet-Displays\Neck-Form-Necklace-Display-with-Adjustable-Stand.html</t>
  </si>
  <si>
    <t>&lt;p&gt;Available in Black Velvet or White Faux Leather. 2" x 4 1/4".&lt;/p&gt;</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</si>
  <si>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</si>
  <si>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</si>
  <si>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</si>
  <si>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/img1/img8d8d.jpg</t>
  </si>
  <si>
    <t>www.americanretailsupply.com\64787\231607\Necklace--Bracelet-Displays\Vertical-Single-Watch-Display.html</t>
  </si>
  <si>
    <t>&lt;p&gt;The T-Bar&amp;#160;3 Bar Oval will feature bracelets in an appealing way. It comes in black velvet or faux white leather. This is a beautiful way to display any bracelet. 10 1/4" x 10 1/4"&lt;/p&gt;</t>
  </si>
  <si>
    <t>Bracelet  Oval T-Bar 3 Bar</t>
  </si>
  <si>
    <t>/img2/img57b5.jpg</t>
  </si>
  <si>
    <t>www.americanretailsupply.com\64787\255318\Necklace--Bracelet-Displays\Bracelet--Oval-T--Bar-3-Bar.html</t>
  </si>
  <si>
    <t>&lt;p&gt;This tall display is available in Black Velvet or White Faux Leather.  Perfect for displaying your large necklaces or pendants. Overall size - 6 1/2" x 4 1/8" x 11 7/8"&lt;/p&gt;</t>
  </si>
  <si>
    <t>Tall Bust Necklace Display</t>
  </si>
  <si>
    <t>/img3/imgadbe.jpg</t>
  </si>
  <si>
    <t>www.americanretailsupply.com\64787\746245\Necklace--Bracelet-Displays\Tall-Bust-Necklace-Display.html</t>
  </si>
  <si>
    <t>&lt;p&gt;Padded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color.&lt;/p&gt;</t>
  </si>
  <si>
    <t>Padded Necklace Stand with Easel</t>
  </si>
  <si>
    <t>/img1/img9e67.jpg</t>
  </si>
  <si>
    <t>www.americanretailsupply.com\64787\746246\Necklace--Bracelet-Displays\Padded-Necklace-Stand-with-Easel.html</t>
  </si>
  <si>
    <t>&lt;p&gt;Tall display available in Black Velvet or White Faux Leather.  Perfect for displaying your large necklaces or pendants. Overall size - 8 1/4" x 6 3/4" x 14 1/2".  &lt;/p&gt;</t>
  </si>
  <si>
    <t>Tall Contoured Necklace Display Forms</t>
  </si>
  <si>
    <t>/img2/img6345.jpg</t>
  </si>
  <si>
    <t>www.americanretailsupply.com\64787\746289\Necklace--Bracelet-Displays\Tall-Contoured-Necklace-Display-Forms.html</t>
  </si>
  <si>
    <t>&lt;p&gt;This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&lt;br&gt;&lt;/p&gt;</t>
  </si>
  <si>
    <t>/img2/imgf6e3.jpg</t>
  </si>
  <si>
    <t>www.americanretailsupply.com\64787\756144\Necklace--Bracelet-Displays\Countertop-Bracelet-Display.html</t>
  </si>
  <si>
    <t>&lt;p&gt;Look at this easy 1/2 Round Bracelet Display to really make your bracelets pop.&lt;br&gt;Comes in Black Velvet or White Faux Leather.&lt;br&gt;Sold individually.&lt;br&gt;&lt;br&gt;&lt;/p&gt;</t>
  </si>
  <si>
    <t>1/2 Round Bracelet Display</t>
  </si>
  <si>
    <t>/img1/img060b.jpg</t>
  </si>
  <si>
    <t>www.americanretailsupply.com\64787\773582\Necklace--Bracelet-Displays\12-Round-Bracelet-Display.html</t>
  </si>
  <si>
    <t>&lt;p&gt;    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 &lt;/p&gt;</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</si>
  <si>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</si>
  <si>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</si>
  <si>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</si>
  <si>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/img1/imge1af.jpg</t>
  </si>
  <si>
    <t>www.americanretailsupply.com\64595\792833\New-Arrivals\Ready-to-Assemble-Wall-Case.html</t>
  </si>
  <si>
    <t>&lt;p&gt;The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&lt;/p&gt;</t>
  </si>
  <si>
    <t>Pipeline Garment Racks</t>
  </si>
  <si>
    <t>Garment Racks, Stylish Garment Racks, Pipeline Collection</t>
  </si>
  <si>
    <t>These unique and stylish garment racks from the Pipeline collection are sure to enhance and complement your existing store displays!</t>
  </si>
  <si>
    <t>/img3/img97fc.jpg</t>
  </si>
  <si>
    <t>www.americanretailsupply.com\64595\792840\New-Arrivals\Pipeline-Garment-Racks.html</t>
  </si>
  <si>
    <t>&lt;p&gt;Dark Brown wood grain table top compliments our Double Ballet Bar Frame. Works great for an eye level vignette displaying merchandise. Top measures 28" x 60" 1.5".&lt;/p&gt;</t>
  </si>
  <si>
    <t>Pipeline Wood Top</t>
  </si>
  <si>
    <t>Pipeline collection, wood shelf</t>
  </si>
  <si>
    <t>Get the wood shelf base for ballet rack in Pipeline Collection from American Retail Supply!</t>
  </si>
  <si>
    <t>/img1/imgc92e.jpg</t>
  </si>
  <si>
    <t>www.americanretailsupply.com\64595\792841\New-Arrivals\Pipeline-Wood-Top.html</t>
  </si>
  <si>
    <t>&lt;p&gt;Get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thick.&lt;/p&gt;</t>
  </si>
  <si>
    <t>Pipeline Counter Displays</t>
  </si>
  <si>
    <t>Counter top mirror, triple accessory merchandiser, small tiered accessory, counter displays, pipeline collection</t>
  </si>
  <si>
    <t>Unique and stylish counter displays from the Pipeline Collection!</t>
  </si>
  <si>
    <t>/img2/img9a2f.jpg</t>
  </si>
  <si>
    <t>www.americanretailsupply.com\64595\792842\New-Arrivals\Pipeline-Counter-Displays.html</t>
  </si>
  <si>
    <t>&lt;p&gt;Get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 Constructed of heavy duty 1 1/4" diameter plumbing pipe in anthracite grey finish. Comes packed 2/case.&lt;br&gt;&lt;br&gt;Most items will be shipped VIA common carrier. Freight will be quoted separately. You will be notified of the freight amount.&lt;/p&gt;</t>
  </si>
  <si>
    <t>Pipeline Brackets and Outriggers</t>
  </si>
  <si>
    <t>Outrigger Wall Unit, Hang Rail, Shelf Brackets, Pipeline</t>
  </si>
  <si>
    <t>Get this stylish and unique line of outriggers and brackets from American Retail Supply!</t>
  </si>
  <si>
    <t>/img1/img41fd.jpg</t>
  </si>
  <si>
    <t>www.americanretailsupply.com\64595\792843\New-Arrivals\Pipeline-Brackets-and-Outriggers.html</t>
  </si>
  <si>
    <t>&lt;p&gt;This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showcase:&lt;br&gt;&lt;/p&gt;</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</si>
  <si>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</si>
  <si>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</si>
  <si>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</si>
  <si>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/img3/imgc53f.jpg</t>
  </si>
  <si>
    <t>www.americanretailsupply.com\64595\792973\New-Arrivals\Ready-to-Assemble-Combo-Showcase.html</t>
  </si>
  <si>
    <t>&lt;p&gt;These designer pipe &amp;amp; panel fixtures are perfect for pairing with our &lt;a href="../../../65349/3D-Textured-Slatwall.html"&gt;3D Textured Slatwall.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 &lt;br&gt;&lt;br&gt;See our entire catalog of Textured Slatwall products &lt;a href="../../../../gallery.mailchimp.com/5263ee5fad261831ecc963425/files/Textured_Slatwall_Catalog_2016.pdf" target=_blank&gt;here.&lt;br&gt;&lt;br&gt;  This product will be shipped VIA common carrier. Freight will be quoted separately. You will be notified of the freight amount.&lt;/p&gt;</t>
  </si>
  <si>
    <t>Pipe &amp; Panel Fixtures - Designer Textured Salwall</t>
  </si>
  <si>
    <t>textured slatwall, 3d textured slatwall, 3d textured fixture, dimensional impact fixtures</t>
  </si>
  <si>
    <t>/img2/img49e0.jpg</t>
  </si>
  <si>
    <t>www.americanretailsupply.com\64595\792999\New-Arrivals\Pipe--Panel-Fixtures.html</t>
  </si>
  <si>
    <t>&lt;p&gt;Priced per case with 10 bags per case.&lt;/p&gt;</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</si>
  <si>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</si>
  <si>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</si>
  <si>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</si>
  <si>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/img1/img2ad1.jpg</t>
  </si>
  <si>
    <t>www.americanretailsupply.com\64749\19620\Organza--Velvet-Bags\Flat-Organza-Bags.html</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</si>
  <si>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</si>
  <si>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</si>
  <si>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</si>
  <si>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/img3/img4368.jpg</t>
  </si>
  <si>
    <t>www.americanretailsupply.com\64749\29141\Organza--Velvet-Bags\Velvet-Bags.html</t>
  </si>
  <si>
    <t>&lt;p&gt;Gusseted Organza Bags are priced per case with 10 bags per case.&lt;/p&gt;</t>
  </si>
  <si>
    <t>Organza Bags - Gusseted Organza Bags &amp; Retail Packaging Supplies</t>
  </si>
  <si>
    <t>organza bags, gusseted bags, retail packaging supplies, organza bag</t>
  </si>
  <si>
    <t>Organza bags, buy gusseted organza bags and packaging supplies for your retail store online.</t>
  </si>
  <si>
    <t>/img2/img3c7c.jpg</t>
  </si>
  <si>
    <t>www.americanretailsupply.com\64749\172736\Organza--Velvet-Bags\Gusseted-Organza-Bags.html</t>
  </si>
  <si>
    <t>&lt;p&gt; &lt;br&gt;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&lt;/p&gt;</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</si>
  <si>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</si>
  <si>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</si>
  <si>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</si>
  <si>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/img3/img6a70.jpg</t>
  </si>
  <si>
    <t>www.americanretailsupply.com\65071\20021\Paper-Merchandise-Bags\White-or-Natural-Kraft-Paper-Merchandise-Bags.html</t>
  </si>
  <si>
    <t>&lt;p&gt;   &lt;br&gt;             &lt;br&gt;&lt;br&gt;&lt;br&gt;&lt;br&gt;Square Opening Sacks (SOS)&lt;br&gt;Order bags by the case.  Each case has 500 bags unless otherwise listed. &lt;br&gt;Made in the U.S.A.&lt;br&gt;&lt;br&gt;&lt;/p&gt;</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</si>
  <si>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</si>
  <si>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</si>
  <si>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</si>
  <si>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/img2/img2c2e.jpg</t>
  </si>
  <si>
    <t>www.americanretailsupply.com\65071\20023\Paper-Merchandise-Bags\SOS-Paper-Bags.html</t>
  </si>
  <si>
    <t>&lt;p&gt;               &lt;br&gt;&lt;br&gt;&lt;br&gt;&lt;br&gt; &lt;br&gt;Mix or match these great colors to create impact. Perhaps use colors that match your store's logo or trademark.&lt;br&gt;Order bags by the package.  Made in the U.S.A.&lt;br&gt;&lt;br&gt;&lt;br&gt;&lt;/p&gt;</t>
  </si>
  <si>
    <t>paper bags paper merchandise bag recycled paper bags unprinted natural kraft white, recyclable</t>
  </si>
  <si>
    <t>/img3/imgb9c1.jpg</t>
  </si>
  <si>
    <t>www.americanretailsupply.com\65071\234663\Paper-Merchandise-Bags\Colored-Paper-Merchandise-Bags.html</t>
  </si>
  <si>
    <t>&lt;p&gt;             Natural Kraft Paper Liquor Bags are available in Pint or Quart sizes. &lt;br&gt;1000 bags is case minimum&lt;br&gt;    &lt;/p&gt;</t>
  </si>
  <si>
    <t>Paper Liquor Bags, Retail Bags &amp; Packaging Supplies</t>
  </si>
  <si>
    <t>liquor bags paper bag retail packaging supplies</t>
  </si>
  <si>
    <t>Paper liquor bags for sale online, order retail bags and packaging supplies for your store at American Retail Supply.</t>
  </si>
  <si>
    <t>/img3/img1171.jpg</t>
  </si>
  <si>
    <t>www.americanretailsupply.com\65071\754551\Paper-Merchandise-Bags\Natural-Kraft-Paper-Liquor-Bags.html</t>
  </si>
  <si>
    <t>&lt;p&gt;Glassline lined unprinted bags provide a barrier against grease, stains, and moisture. FDA acceptable&lt;br&gt;for food contact. Packaged by the&lt;br&gt;case of 1000.&lt;br&gt;&lt;br&gt;&lt;/p&gt;</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</si>
  <si>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</si>
  <si>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</si>
  <si>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</si>
  <si>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/img1/img9656.jpg</t>
  </si>
  <si>
    <t>www.americanretailsupply.com\65071\774077\Paper-Merchandise-Bags\Unprinted-Paper-Glassine-Lined-Bags.html</t>
  </si>
  <si>
    <t>&lt;p&gt;             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&lt;/p&gt;</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</si>
  <si>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</si>
  <si>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</si>
  <si>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</si>
  <si>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/img3/imgf663.jpg</t>
  </si>
  <si>
    <t>www.americanretailsupply.com\65070\20194\Paper-Shopping-Bags\Metallic-Colors-on-Brown-Kraft-Shopping-Bags.html</t>
  </si>
  <si>
    <t>&lt;p&gt;                  &lt;/p&gt;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</si>
  <si>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</si>
  <si>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</si>
  <si>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</si>
  <si>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/img1/img0f3a.jpg</t>
  </si>
  <si>
    <t>www.americanretailsupply.com\65070\48842\Paper-Shopping-Bags\Solid-Colored-Paper-Shopping-Bags-on-Brown-Kraft.html</t>
  </si>
  <si>
    <t>&lt;p&gt;               &lt;/p&gt;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</si>
  <si>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</si>
  <si>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</si>
  <si>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</si>
  <si>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/img2/imgcfb7.jpg</t>
  </si>
  <si>
    <t>www.americanretailsupply.com\65070\48855\Paper-Shopping-Bags\Shadow-Stripe-Colored-Shopping-Bags-on-Brown-Kraft.html</t>
  </si>
  <si>
    <t>&lt;p&gt;        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case.&lt;/p&gt;</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</si>
  <si>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</si>
  <si>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</si>
  <si>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</si>
  <si>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/img2/imgbdf9.jpg</t>
  </si>
  <si>
    <t>www.americanretailsupply.com\65070\172695\Paper-Shopping-Bags\Gloss-Paper-Shoppers.html</t>
  </si>
  <si>
    <t>&lt;p&gt;Order Western Patterned Paper Shopping Bags by the package. Be sure to check our coordinating &lt;a href="http://arsv2.eporiaservices.com/64703/27521/Tissue-Paper-V2/Western-Printed-Tissue-Paper.html"&gt;tissue paper and &lt;a href="http://arsv2.eporiaservices.com/64722/Western-Themed-GiftWrap-V2.html"&gt;gift wrap, too!&lt;br&gt;Bag sizes and package quantities are listed below. &lt;/p&gt;</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</si>
  <si>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</si>
  <si>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</si>
  <si>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</si>
  <si>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/img3/img46c7.jpg</t>
  </si>
  <si>
    <t>www.americanretailsupply.com\65070\178194\Paper-Shopping-Bags\Western-Patterned-Paper-Shopping-Bags.html</t>
  </si>
  <si>
    <t>&lt;p&gt;  &lt;br&gt;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</si>
  <si>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Paper Bags, Natural Kraft Paper Shopping Bags</t>
  </si>
  <si>
    <t>paper bag shopping bags wholesale kraft paper bags</t>
  </si>
  <si>
    <t>Paper shopping bags and retail store packaging supplies, buy natural Kraft paper shopping bags and store supplies online.</t>
  </si>
  <si>
    <t>/img2/img6a6b.jpg</t>
  </si>
  <si>
    <t>www.americanretailsupply.com\10418\255424\Paper-Shopping-Bags\Natural-Kraft-Paper-Shopping-Bags.html</t>
  </si>
  <si>
    <t>&lt;p&gt;&lt;br&gt;&lt;br&gt;Wonderful and wintery white bags with silver snowflakes dress up your holiday packaging with sparkle. Match these bags with a silver tissue or dress them up with blue red or green. Made from 50% recycled materials and in the USA. &lt;/p&gt;</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</si>
  <si>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</si>
  <si>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</si>
  <si>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</si>
  <si>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/img3/imgceb4.jpg</t>
  </si>
  <si>
    <t>www.americanretailsupply.com\65070\255452\Paper-Shopping-Bags\White-Kraft-Paper-Shopping-Bags.html</t>
  </si>
  <si>
    <t>&lt;p&gt;Ice Collection Paper Shoppers 100% Recyclable are available in 6 stunning colors.&lt;br&gt;White kraft bag with 100% with Ice Overprint and White Handles, Bronze Coffee has Chocolate handles.&lt;br&gt;Items 5641_, and 5661_ packed 250 per case. Item 5671_ packed 200 per case.&lt;br&gt;&lt;/p&gt;</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</si>
  <si>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</si>
  <si>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</si>
  <si>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</si>
  <si>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/img3/imgb3f1.jpg</t>
  </si>
  <si>
    <t>www.americanretailsupply.com\65070\773532\Paper-Shopping-Bags\Ice-Collection-Paper-Shoppers.html</t>
  </si>
  <si>
    <t>&lt;p&gt;Available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26"H&lt;/p&gt;</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</si>
  <si>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</si>
  <si>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</si>
  <si>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</si>
  <si>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/img3/img3f8d.jpg</t>
  </si>
  <si>
    <t>www.americanretailsupply.com\65210\735556\Pearl-District-Displays\Pearl-District-Nesting-Tables.html</t>
  </si>
  <si>
    <t>&lt;p&gt;These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projection.&lt;/p&gt;</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</si>
  <si>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</si>
  <si>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</si>
  <si>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</si>
  <si>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/img2/img38f6.jpg</t>
  </si>
  <si>
    <t>www.americanretailsupply.com\65210\735569\Pearl-District-Displays\Pearl-District-2-Way-and-3-Way-Frames-and-Accessories.html</t>
  </si>
  <si>
    <t>&lt;p&gt;Displays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projections.&lt;br&gt;&lt;/p&gt;</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</si>
  <si>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</si>
  <si>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</si>
  <si>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</si>
  <si>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/img1/img9a00.jpg</t>
  </si>
  <si>
    <t>www.americanretailsupply.com\65210\735570\Pearl-District-Displays\Pearl-District-Outrigger-Frames-and-Accessories.html</t>
  </si>
  <si>
    <t>&lt;p&gt;Multi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60.&lt;/p&gt;</t>
  </si>
  <si>
    <t>Multi Colored Penants</t>
  </si>
  <si>
    <t>/img3/img601d.jpg</t>
  </si>
  <si>
    <t>www.americanretailsupply.com\64689\47421\Pennants\Multi-Colored-Penants.html</t>
  </si>
  <si>
    <t>&lt;p&gt;Really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18".&lt;/p&gt;</t>
  </si>
  <si>
    <t>Red, White &amp; Blue Pennants</t>
  </si>
  <si>
    <t>/img1/img0e73.jpg</t>
  </si>
  <si>
    <t>www.americanretailsupply.com\64689\47422\Pennants\Red-White--Blue-Pennants.html</t>
  </si>
  <si>
    <t>&lt;p&gt;Blue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18".&lt;/p&gt;</t>
  </si>
  <si>
    <t>Blue and White Penants</t>
  </si>
  <si>
    <t>/img2/imgb85d.jpg</t>
  </si>
  <si>
    <t>www.americanretailsupply.com\64689\173677\Pennants\Blue-and-White-Penants.html</t>
  </si>
  <si>
    <t>&lt;p&gt;Red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18".&lt;/p&gt;</t>
  </si>
  <si>
    <t>Red and Yellow Pennants</t>
  </si>
  <si>
    <t>/img3/imgae4c.jpg</t>
  </si>
  <si>
    <t>www.americanretailsupply.com\64689\173679\Pennants\Red-and-Yellow-Pennants.html</t>
  </si>
  <si>
    <t>&lt;p&gt;&lt;br&gt;&lt;br&gt;Flora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bows.&lt;/p&gt;</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</si>
  <si>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</si>
  <si>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</si>
  <si>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</si>
  <si>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/img1/img2602.jpg</t>
  </si>
  <si>
    <t>www.americanretailsupply.com\64736\19922\Perfect-Bows--Ribbon\Perfect-Bows.html</t>
  </si>
  <si>
    <t>&lt;p&gt;Flora Satin Ribbon&lt;br&gt;&amp;#8226; Embossed to look like cloth&lt;br&gt;&amp;#8226; For Bow Machines&lt;br&gt;&amp;#8226; 7/8" x 250 yds.&lt;/p&gt;</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</si>
  <si>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</si>
  <si>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</si>
  <si>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</si>
  <si>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/img3/img8e27.jpg</t>
  </si>
  <si>
    <t>www.americanretailsupply.com\64736\19926\Perfect-Bows--Ribbon\Flora-Satin-Ribbon.html</t>
  </si>
  <si>
    <t>&lt;p&gt;   &lt;br&gt;            &lt;br&gt;&lt;br&gt;&lt;br&gt;&lt;br&gt;&lt;br&gt;Clear Gusseted Polypropylene Bags for food packaging!  These bags are gusseted, so are able to stand for easier filling.  We have &lt;a href="http://arsv2.eporiaservices.com/64493/Labels--Stickers-V2.html"&gt;labels and &lt;a href="http://arsv2.eporiaservices.com/25203/48315/Polypropylene-Rolls--Bags/Metallic-Twist-Ties.html"&gt;metallic twist ties for that professional looking finish available too. These bags are made from 100% recycled material, and are FDA approved for food contact. Polypropylene Bags are 1.2 Mil thick and come in a variety of sizes.&lt;br&gt;Order bags by the case. Each case has 100 bags.  Made in the U.S.A.&lt;/p&gt;</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</si>
  <si>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</si>
  <si>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</si>
  <si>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</si>
  <si>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/img3/img21c3.jpg</t>
  </si>
  <si>
    <t>www.americanretailsupply.com\65079\48311\Polypropylene-Bags\Clear-Gusseted-Polypropylene-Bags.html</t>
  </si>
  <si>
    <t>&lt;p&gt;  &lt;br&gt;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 that would make for a very attractive finishing touch.  Plus, the bags are Made in the USA and are recycled!&lt;br&gt;    These bags are made from 100% recycled material, and are FDA approved for food contact. Packaged 100 per case. &lt;/p&gt;</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</si>
  <si>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</si>
  <si>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</si>
  <si>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</si>
  <si>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/img2/imge9c4.jpg</t>
  </si>
  <si>
    <t>www.americanretailsupply.com\65079\48313\Polypropylene-Bags\Clear-Flat-Polypropylene-Bags-with-Lip-n-Tape-Closure.html</t>
  </si>
  <si>
    <t>&lt;p&gt;  &lt;br&gt;          &lt;br&gt;&lt;br&gt;&lt;br&gt;&lt;br&gt;Metallic Twist Ties are 4" Ties available in four sparkling colors: Green, Red, Gold, and Silver&lt;br&gt;Packaged 1000 per case. Made in the U.S.A.&lt;/p&gt;</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</si>
  <si>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</si>
  <si>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</si>
  <si>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</si>
  <si>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/img2/img5016.jpg</t>
  </si>
  <si>
    <t>www.americanretailsupply.com\65079\48315\Polypropylene-Bags\Metallic-Twist-Ties.html</t>
  </si>
  <si>
    <t>&lt;p&gt;  &lt;br&gt;            An Environmentally&lt;br&gt;Responsible Choice    &lt;br&gt;&lt;br&gt;&lt;br&gt;&lt;br&gt;&lt;br&gt;These bags would be perfect for selling small baked items for a bake sale, or artisan goodies, for example.  We have some great &lt;a href="http://arsv2.eporiaservices.com/64493/Labels--Stickers-V2.html"&gt;labels or &lt;a href="http://arsv2.eporiaservices.com/25203/48315/Polypropylene-Rolls--Bags/Metallic-Twist-Ties.html"&gt;twist ties for the professional finishing touch!&lt;br&gt;    These bags are made from 100% recycled material, and are FDA approved for food contact.&lt;br&gt;Packaged 100 per case. Made in the U.S.A.&lt;/p&gt;</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</si>
  <si>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</si>
  <si>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</si>
  <si>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</si>
  <si>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/img2/imgd19e.jpg</t>
  </si>
  <si>
    <t>www.americanretailsupply.com\65079\48316\Polypropylene-Bags\Clear-Flat-Polypropylene-Bags.html</t>
  </si>
  <si>
    <t>&lt;p&gt;&lt;br&gt;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 and &lt;a href="http://arsv2.eporiaservices.com/25203/48315/Polypropylene-Rolls--Bags/Metallic-Twist-Ties.html"&gt;metallic twist ties.&lt;br&gt;    These bags are made from 100% recycled material, and are FDA approved for food contact.&lt;br&gt;Order Printed Polypropylene Bags by the case. Each case has 100 bags.  Made in the U.S.A.&lt;/p&gt;</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</si>
  <si>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</si>
  <si>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</si>
  <si>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</si>
  <si>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/img1/imgea27.jpg</t>
  </si>
  <si>
    <t>www.americanretailsupply.com\65079\48319\Polypropylene-Bags\Printed-Polypropylene-Bags.html</t>
  </si>
  <si>
    <t>&lt;p&gt;Heavy Duty Clear Polypropylene Bags are 1.23 Mil. Dress up your bags with our colorful &lt;a href="http://arsv2.eporiaservices.com/25203/48315/Polypropylene-Rolls--Bags/Metallic-Twist-Ties.html"&gt;metallic twist ties. &lt;br&gt;Packaged 500 per case&lt;/p&gt;</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</si>
  <si>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</si>
  <si>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</si>
  <si>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</si>
  <si>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www.americanretailsupply.com\65079\435987\Polypropylene-Bags\Heavy-Duty-Clear-Polypropylene-Bags.html</t>
  </si>
  <si>
    <t>&lt;p&gt;&lt;br&gt;&lt;br&gt;&lt;br&gt;Create beautiful packages for your retail stores with Clear &amp;amp; Colored Clearphane Film Rolls Polypropylene Rolls. Order Clearphane by the roll. Made in the U.S.A.&lt;br&gt;&lt;br&gt; &lt;/p&gt;</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</si>
  <si>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</si>
  <si>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</si>
  <si>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</si>
  <si>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/img1/img3a92.jpg</t>
  </si>
  <si>
    <t>www.americanretailsupply.com\64705\19619\Polypropylene-Rolls--Bags\Clear--Colored-Clearphane-Film-Rolls.html</t>
  </si>
  <si>
    <t>&lt;p&gt;Clear Polypropylene Basket Bags are the perfect solution for packaging gift baskets for sale in your retail store.  Or consider assembling a "gift basket kit" where you combine &lt;a href="http://arsv2.eporiaservices.com/64703/Tissue-Paper-V2.html"&gt;tissue paper, and &lt;a href="http://arsv2.eporiaservices.com/64492/Bows--Ribbon-V2.html"&gt;bows or ribbons&lt;a href="../../../Error12c8.html"&gt;, with the clear basket bag for the customer to assemble their own gift basket.&lt;br&gt;Packaged 100 per case.&lt;/p&gt;</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</si>
  <si>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</si>
  <si>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</si>
  <si>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</si>
  <si>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/img1/imgab2e.jpg</t>
  </si>
  <si>
    <t>www.americanretailsupply.com\25203\48312\Polypropylene-Rolls--Bags\Clear-Polypropylene-Basket-Bags.html</t>
  </si>
  <si>
    <t>&lt;p&gt;  Order Printed Polypropylene by the roll.&lt;br&gt;Roll sizes are listed below. &lt;/p&gt;</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</si>
  <si>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</si>
  <si>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</si>
  <si>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</si>
  <si>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/img2/img0cbe.jpg</t>
  </si>
  <si>
    <t>www.americanretailsupply.com\65086\228051\Polyproylene-Bags--Rolls\Printed-Polypropylene-Rolls.html</t>
  </si>
  <si>
    <t>&lt;p&gt;In 2 Formats from Meto comes a hand held labeling system that really fits in the palm of your hand! The comfortable grip lets you label products for extended periods without fatigue. Change inkers and keep your fingers clean.&lt;/p&gt;</t>
  </si>
  <si>
    <t>Primark P 14 1 Line Price Gun</t>
  </si>
  <si>
    <t>/img1/imge671.jpg</t>
  </si>
  <si>
    <t>www.americanretailsupply.com\64929\1453\Primark-1--2-Line-Price-Guns\Primark-P-14-1-Line-Price-Gun.html</t>
  </si>
  <si>
    <t>&lt;p&gt;These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&lt;/p&gt;</t>
  </si>
  <si>
    <t>Primark P 14 Labels</t>
  </si>
  <si>
    <t>/img1/img4cd9.jpg</t>
  </si>
  <si>
    <t>www.americanretailsupply.com\64929\1554\Primark-1--2-Line-Price-Guns\Primark-P-14-Labels.html</t>
  </si>
  <si>
    <t>&lt;p&gt;For the Primark Labeler.&lt;/p&gt;</t>
  </si>
  <si>
    <t>Primark P 14 Ink Roller</t>
  </si>
  <si>
    <t>/img1/imge43e.jpg</t>
  </si>
  <si>
    <t>www.americanretailsupply.com\64929\1557\Primark-1--2-Line-Price-Guns\Primark-P-14-Ink-Roller.html</t>
  </si>
  <si>
    <t>&lt;p&gt;Labels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box.&lt;br&gt;12M/box&lt;/p&gt;</t>
  </si>
  <si>
    <t>Primark P 16 Labels</t>
  </si>
  <si>
    <t>/img2/imgda04.jpg</t>
  </si>
  <si>
    <t>www.americanretailsupply.com\64929\1586\Primark-1--2-Line-Price-Guns\Primark-P-16-Labels.html</t>
  </si>
  <si>
    <t>&lt;p&gt;This is a lower cost 2 line labeler that is easy to use and reliable. Same technology as the one line P 14 labeler. Available in 8 over 8 format. We can add full alpha designation or number 1 to 12 bands where you need them. Change the ink roller without getting your hands messy.&lt;/p&gt;</t>
  </si>
  <si>
    <t>Primark P 16 2 Line Price Gun</t>
  </si>
  <si>
    <t>/img3/imgfcbc.jpg</t>
  </si>
  <si>
    <t>www.americanretailsupply.com\64929\48179\Primark-1--2-Line-Price-Guns\Primark-P-16-2-Line-Price-Gun.html</t>
  </si>
  <si>
    <t>&lt;p&gt;Primark P 16 Ink Roller cartridge for the Primark Labeler.&lt;/p&gt;</t>
  </si>
  <si>
    <t>Primark P 16 Ink Roller</t>
  </si>
  <si>
    <t>/img2/imgcc07.jpg</t>
  </si>
  <si>
    <t>www.americanretailsupply.com\64929\48285\Primark-1--2-Line-Price-Guns\Primark-P-16-Ink-Roller.html</t>
  </si>
  <si>
    <t>&lt;p&gt;Choose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labels.&lt;/p&gt;</t>
  </si>
  <si>
    <t>Thermal Transfer Labels and Ribbon</t>
  </si>
  <si>
    <t>/img3/imgd1e5-2.jpg</t>
  </si>
  <si>
    <t>www.americanretailsupply.com\64856\22349\Printer-Labels\Thermal-Transfer-Labels-and-Ribbon.html</t>
  </si>
  <si>
    <t>&lt;p&gt;Choose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&lt;/p&gt;</t>
  </si>
  <si>
    <t>Direct Thermal Labels</t>
  </si>
  <si>
    <t>www.americanretailsupply.com\64856\173888\Printer-Labels\Direct-Thermal-Labels.html</t>
  </si>
  <si>
    <t>&lt;p&gt;All labels: white paper with permanent adhesive. Inkjet and Laser compatible. All rectangle labels have rounded corners unless indicated otherwise.&lt;br&gt;100 Sheets/Box.  Sold per box.&lt;/p&gt;</t>
  </si>
  <si>
    <t>Paper Laser Labels</t>
  </si>
  <si>
    <t>/img1/imgc290.jpg</t>
  </si>
  <si>
    <t>www.americanretailsupply.com\64856\173893\Printer-Labels\Paper-Laser-Labels.html</t>
  </si>
  <si>
    <t>&lt;p&gt;Knife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</si>
  <si>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Standard Brackets</t>
  </si>
  <si>
    <t>/img3/img25db.jpg</t>
  </si>
  <si>
    <t>www.americanretailsupply.com\64969\37868\Quantum-Extra-HD-Brackets\Quantum-Standard-Brackets.html</t>
  </si>
  <si>
    <t>&lt;p&gt;Knife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standards&lt;/p&gt;</t>
  </si>
  <si>
    <t>Quantum Standard Brackets with Pin</t>
  </si>
  <si>
    <t>/img1/img9e02.jpg</t>
  </si>
  <si>
    <t>www.americanretailsupply.com\64969\37869\Quantum-Extra-HD-Brackets\Quantum-Standard-Brackets-with-Pin.html</t>
  </si>
  <si>
    <t>&lt;p&gt;Quantum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</si>
  <si>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Heavy Duty Brackets</t>
  </si>
  <si>
    <t>/img2/img1a3a.jpg</t>
  </si>
  <si>
    <t>www.americanretailsupply.com\64969\37870\Quantum-Extra-HD-Brackets\Quantum-Heavy-Duty-Brackets.html</t>
  </si>
  <si>
    <t>&lt;p&gt;Use with Surface Mounted and Concealed Standards. It has four downward adjustments of 15&amp;#186;, 30&amp;#186;, 40&amp;#186;, and 50&amp;#186;.&lt;/p&gt;</t>
  </si>
  <si>
    <t>Quantum Adjustable Brackets</t>
  </si>
  <si>
    <t>www.americanretailsupply.com\64969\37871\Quantum-Extra-HD-Brackets\Quantum-Adjustable-Brackets.html</t>
  </si>
  <si>
    <t>&lt;p&gt;Flange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Left.&lt;/p&gt;</t>
  </si>
  <si>
    <t>Quantum Flange Brackets, Chrome</t>
  </si>
  <si>
    <t>www.americanretailsupply.com\64969\37872\Quantum-Extra-HD-Brackets\Quantum-Flange-Brackets-Chrome.html</t>
  </si>
  <si>
    <t>&lt;p&gt;Quantum System Straight Faceouts For heavy loads.&lt;br&gt;    When to use:  The QUANTUM SYSTEM is recommended for the most severe loads and where traffic conditions demand a more durable line of hardware.  .125" steel thickness. Made with 1/2" x 1 1/2" rectangular tubing   &lt;/p&gt;</t>
  </si>
  <si>
    <t>Quantum Straight Faceouts</t>
  </si>
  <si>
    <t>/img3/img1ed5.jpg</t>
  </si>
  <si>
    <t>www.americanretailsupply.com\64969\37873\Quantum-Extra-HD-Brackets\Quantum-Straight-Faceouts.html</t>
  </si>
  <si>
    <t>&lt;p&gt;Waterfall with Ball Stops for your Quantum System &lt;br&gt;For heavy loads.&lt;br&gt;    When to use:  The QUANTUM SYSTEM is recommended for the most severe loads and where traffic conditions demand a more durable line of hardware.  .125" steel thickness. Made with 1/2" x 1 1/2" rectangular tubing.&lt;/p&gt;</t>
  </si>
  <si>
    <t>Quantum Waterfall with Ball Stops</t>
  </si>
  <si>
    <t>/img1/img95ee.jpg</t>
  </si>
  <si>
    <t>www.americanretailsupply.com\64969\37874\Quantum-Extra-HD-Brackets\Quantum-Waterfall-with-Ball-Stops.html</t>
  </si>
  <si>
    <t>&lt;p&gt;Quantum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options&lt;/p&gt;</t>
  </si>
  <si>
    <t>Quantum Bracket for Merchandising Bar</t>
  </si>
  <si>
    <t>/img2/img15fa.jpg</t>
  </si>
  <si>
    <t>www.americanretailsupply.com\64969\37876\Quantum-Extra-HD-Brackets\Quantum-Bracket-for-Merchandising-Bar.html</t>
  </si>
  <si>
    <t>&lt;p&gt;Heavy Duty Brackets with Lock Nut use for stability with your Quantum system.  The lock nut prevents side to side sway.  Use with Surface Mounted Standards.&lt;/p&gt;</t>
  </si>
  <si>
    <t>Quantum Heavy Duty Brackets with Lock Nut</t>
  </si>
  <si>
    <t>/img3/img78bb.jpg</t>
  </si>
  <si>
    <t>www.americanretailsupply.com\64969\173813\Quantum-Extra-HD-Brackets\Quantum-Heavy-Duty-Brackets-with-Lock-Nut.html</t>
  </si>
  <si>
    <t>&lt;p&gt;Waterfall Hooks for your Quantum System is made with 1/2" x 1 1/2" rectangular tubing in .125" thick metal.&lt;/p&gt;</t>
  </si>
  <si>
    <t>Quantum Waterfall with Hooks</t>
  </si>
  <si>
    <t>/img2/img1838.jpg</t>
  </si>
  <si>
    <t>www.americanretailsupply.com\64969\173814\Quantum-Extra-HD-Brackets\Quantum-Waterfall-with-Hooks.html</t>
  </si>
  <si>
    <t>&lt;p&gt;  30" to 40" to use with Surface Mounted or Concealed Standards. &lt;/p&gt;</t>
  </si>
  <si>
    <t>Quantum Bracket Adjustable Facia 30" to 40"</t>
  </si>
  <si>
    <t>/img3/img12c1.jpg</t>
  </si>
  <si>
    <t>www.americanretailsupply.com\64969\244551\Quantum-Extra-HD-Brackets\Quantum-Bracket-Adjustable-Facia-30-to-40.html</t>
  </si>
  <si>
    <t>&lt;p&gt;Flange Brackets for Quantum System &lt;br&gt;Bracket is made of .085" thick medium duty material for use with wood shelves.  The finish is Satin Zinc.&lt;br&gt;    The Flange Bracket has screw holes so a wood shelf can be secured to the bracket. Use with the Surface Mounted Standards. &lt;/p&gt;</t>
  </si>
  <si>
    <t>Quantum Flange Brackets, Zinc</t>
  </si>
  <si>
    <t>www.americanretailsupply.com\64969\734159\Quantum-Extra-HD-Brackets\Quantum-Flange-Brackets-Zinc.html</t>
  </si>
  <si>
    <t>&lt;p&gt;The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 &lt;/p&gt;</t>
  </si>
  <si>
    <t>Quantum Single Slotted Standards</t>
  </si>
  <si>
    <t>/img1/img5330.jpg</t>
  </si>
  <si>
    <t>www.americanretailsupply.com\64970\37877\Quantum-Extra-HD-Wall-Standards\Quantum-Single-Slotted-Standards.html</t>
  </si>
  <si>
    <t>&lt;p&gt;Used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 &lt;/p&gt;</t>
  </si>
  <si>
    <t>Quantum "T" Concealed Standards</t>
  </si>
  <si>
    <t>/img3/img34e4.jpg</t>
  </si>
  <si>
    <t>www.americanretailsupply.com\64970\37878\Quantum-Extra-HD-Wall-Standards\Quantum-T-Concealed-Standards.html</t>
  </si>
  <si>
    <t>&lt;p&gt;Store a variety of items in the Collapsible 3 Tier Round Bin Display.&lt;br&gt;Round bin 18" Diameter x 32" H.&lt;br&gt;Available in Black or White.&lt;/p&gt;</t>
  </si>
  <si>
    <t>Collapsible Round Bin Display</t>
  </si>
  <si>
    <t>/img3/img9617.jpg</t>
  </si>
  <si>
    <t>www.americanretailsupply.com\64806\44182\Racks-Spinners-Dump-Bins\Collapsible-Round-Bin-Display.html</t>
  </si>
  <si>
    <t>&lt;p&gt;The Round Bin displays items on three different tiers. Appeal to your clients by putting things in all three levels.&lt;br&gt;18" Diameter x 46" H&lt;br&gt;&lt;a href="http://yoosh.co/ars_files/rs6.eporia.com/company_8/3%20tier%20dump%20bin%20-%206581966.pdf"&gt;Click here for assembly instructions.&lt;/p&gt;</t>
  </si>
  <si>
    <t>3 Tier Round Bin</t>
  </si>
  <si>
    <t>/img3/img5284.jpg</t>
  </si>
  <si>
    <t>www.americanretailsupply.com\64806\44184\Racks-Spinners-Dump-Bins\3-Tier-Round-Bin.html</t>
  </si>
  <si>
    <t>&lt;p&gt;The Dump Bin comes in Black, has 3 Tiers: 19" Wide, 19" Deep, and 47" High. Baskets are 6" Deep.&lt;br&gt;Casters are sold separately.&lt;/p&gt;</t>
  </si>
  <si>
    <t>3 Tier Dump Bin</t>
  </si>
  <si>
    <t>/img2/imgc587.jpg</t>
  </si>
  <si>
    <t>www.americanretailsupply.com\64806\44185\Racks-Spinners-Dump-Bins\3-Tier-Dump-Bin.html</t>
  </si>
  <si>
    <t>&lt;p&gt;Impulse Table Features&lt;br&gt;&lt;br&gt;Size: 34"H x 42"L x 24"W&lt;br&gt;Color: White, Red, Black, or Hammertone &lt;br&gt;&lt;br&gt;Features:&lt;br&gt;&amp;#8226; Base Measures: 28"H x 36"L x 19"W&lt;br&gt;&amp;#8226; Top Measures: 6"H x 42"L x 24"W&lt;br&gt;&amp;#8226; Versatile Design  &lt;br&gt;&amp;#8226; Mobile Display&lt;/p&gt;</t>
  </si>
  <si>
    <t>Impulse Table</t>
  </si>
  <si>
    <t>/img1/imgc971.jpg</t>
  </si>
  <si>
    <t>www.americanretailsupply.com\64806\560461\Racks-Spinners-Dump-Bins\Impulse-Table.html</t>
  </si>
  <si>
    <t>&lt;p&gt;Folding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 &lt;/p&gt;</t>
  </si>
  <si>
    <t>Folding Mobile Dump Table</t>
  </si>
  <si>
    <t>/img2/imga10a.jpg</t>
  </si>
  <si>
    <t>www.americanretailsupply.com\64806\560534\Racks-Spinners-Dump-Bins\Folding-Mobile-Dump-Table.html</t>
  </si>
  <si>
    <t>&lt;p&gt;Square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&lt;br&gt;&lt;br&gt;&lt;/p&gt;</t>
  </si>
  <si>
    <t>Square Dump Bin</t>
  </si>
  <si>
    <t>/img1/imgcbca.jpg</t>
  </si>
  <si>
    <t>www.americanretailsupply.com\64806\560535\Racks-Spinners-Dump-Bins\Square-Dump-Bin.html</t>
  </si>
  <si>
    <t>&lt;p&gt;Rolling Dump Cube  &lt;br&gt;&lt;br&gt;Size: 33"H x 24"W x 24"D &lt;br&gt;Color: White &lt;br&gt;&lt;br&gt;Features:&lt;br&gt;&amp;#8226; Use as a dump table or dump bin&lt;br&gt;&amp;#8226; Adjustable shelf levels&lt;br&gt;&amp;#8226; Locking casters&lt;br&gt;&amp;#8226; Assembles in minutes&lt;br&gt;&amp;#8226; Ships flat &lt;/p&gt;</t>
  </si>
  <si>
    <t>Rolling Dump Cube</t>
  </si>
  <si>
    <t>/img1/imgc446.jpg</t>
  </si>
  <si>
    <t>www.americanretailsupply.com\64806\561799\Racks-Spinners-Dump-Bins\Rolling-Dump-Cube.html</t>
  </si>
  <si>
    <t>&lt;p&gt;3 tiers to display your graphics with this stand.&lt;br&gt;Size: 86" H x 22" W x 24" D &lt;br&gt;Color: Black &lt;br&gt; &lt;br&gt;Features:&lt;br&gt;&amp;#8226; Pocket size: 22"W x 28"H&lt;br&gt;&amp;#8226; Side loading design&lt;br&gt;&amp;#8226; Lightweight, easy to move&lt;br&gt;&amp;#8226; Signs not included &lt;/p&gt;</t>
  </si>
  <si>
    <t>3 Tier Graphics Stand</t>
  </si>
  <si>
    <t>/img1/img9c5d.jpg</t>
  </si>
  <si>
    <t>www.americanretailsupply.com\64806\561800\Racks-Spinners-Dump-Bins\3-Tier-Graphics-Stand.html</t>
  </si>
  <si>
    <t>&lt;p&gt;Decorative Rack with 3 Tiers&lt;br&gt;Size: 24" x w x 42"h x 13"d &lt;br&gt;Color: Antique Bronze &lt;br&gt; &lt;br&gt;Features:&lt;br&gt;&amp;#8226; 3 Tiers high &lt;br&gt;&amp;#8226; Lightweight &lt;br&gt;&amp;#8226; Folding shelves &lt;br&gt;&amp;#8226; Assemble in seconds &lt;br&gt;&amp;#8226; No tools required &lt;/p&gt;</t>
  </si>
  <si>
    <t>Retail Store Display Racks, 3-Tier Decorative Display Rack</t>
  </si>
  <si>
    <t>retail store display rack decorative display racks</t>
  </si>
  <si>
    <t>Retail store display racks, order retail store fixture and display racks including decorative display racks in antique bronze finish.</t>
  </si>
  <si>
    <t>/img3/img1172.jpg</t>
  </si>
  <si>
    <t>www.americanretailsupply.com\64806\561821\Racks-Spinners-Dump-Bins\3-Tier-Decorative-Rack.html</t>
  </si>
  <si>
    <t>&lt;p&gt;Corner Rack with 4 Tiers&lt;br&gt;Size: 54"H x 12"D &lt;br&gt;Color: Antique Bronze &lt;br&gt; &lt;br&gt;Features:&lt;br&gt;&amp;#8226; Floral design &lt;br&gt;&amp;#8226; 4 Tiers high &lt;br&gt;&amp;#8226; Corner design &lt;br&gt;&amp;#8226; Folding shelves &lt;br&gt;&amp;#8226; Assemble in seconds &lt;br&gt;&amp;#8226; No tools required &lt;/p&gt;</t>
  </si>
  <si>
    <t>Retail Store Displays and Racks, 4-Tier Corner Display Rack</t>
  </si>
  <si>
    <t>retail store displays corner display rack</t>
  </si>
  <si>
    <t>Retail store displays, fixtures and racks, order decorative corner display racks to display merchandise in your retail store.</t>
  </si>
  <si>
    <t>/img3/imgf05d.jpg</t>
  </si>
  <si>
    <t>www.americanretailsupply.com\64806\561822\Racks-Spinners-Dump-Bins\4-Tier-Corner-Rack.html</t>
  </si>
  <si>
    <t>&lt;p&gt;What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&lt;/p&gt;</t>
  </si>
  <si>
    <t>5 Tier Adjustable Merchandiser</t>
  </si>
  <si>
    <t>/img3/imga0e2.jpg</t>
  </si>
  <si>
    <t>www.americanretailsupply.com\64806\561826\Racks-Spinners-Dump-Bins\5-Tier-Adjustable-Merchandiser.html</t>
  </si>
  <si>
    <t>&lt;p&gt;Lots of ways to accommodate your products with this adjustable wire shelves.&lt;br&gt;Size: 52"H x 24 1/2" W x 12 1/2" D  &lt;br&gt;Color: Black, or White&lt;br&gt; &lt;br&gt;Features:&lt;br&gt;&amp;#8226; Adjustable shelves &lt;br&gt;&amp;#8226; 5 stacking baskets &lt;br&gt;&amp;#8226; 15 basket dividers &lt;br&gt;&lt;/p&gt;</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</si>
  <si>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</si>
  <si>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</si>
  <si>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</si>
  <si>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/img2/img066a.jpg</t>
  </si>
  <si>
    <t>www.americanretailsupply.com\64806\561827\Racks-Spinners-Dump-Bins\5-Tier-Adjustable-Wire-Shelf-Rack.html</t>
  </si>
  <si>
    <t>&lt;p&gt;Wire Bin Display, Low Rider &lt;br&gt;Size: 56"W x 20"H x 12"D  &lt;br&gt;Color: White  &lt;br&gt; &lt;br&gt;Features:&lt;br&gt;&amp;#8226; Use below existing merchandising areas &lt;br&gt;&amp;#8226; Includes: (3) panels, (4) shelves (6) casters &lt;br&gt;&amp;#8226; Mobile design &lt;br&gt;&amp;#8226; 10 shelf clearance between shelves &lt;/p&gt;</t>
  </si>
  <si>
    <t>Low Rider Wire Bin Display</t>
  </si>
  <si>
    <t>/img2/img0664.jpg</t>
  </si>
  <si>
    <t>www.americanretailsupply.com\64806\561828\Racks-Spinners-Dump-Bins\Low-Rider-Wire-Bin-Display.html</t>
  </si>
  <si>
    <t>&lt;p&gt;Mobile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aisle&lt;br&gt;&lt;/p&gt;</t>
  </si>
  <si>
    <t>Mobile Wire Grid Risers</t>
  </si>
  <si>
    <t>/img3/imgd53f-2.jpg</t>
  </si>
  <si>
    <t>www.americanretailsupply.com\64806\561829\Racks-Spinners-Dump-Bins\Mobile-Wire-Grid-Risers.html</t>
  </si>
  <si>
    <t>&lt;p&gt;Great way to display your merchandiser bags.&lt;br&gt;Size: 52"H x 25 1/2"W x 20"D  &lt;br&gt;Color: Antique Bronze Finish  &lt;br&gt; &lt;br&gt;Features:&lt;br&gt;&amp;#8226; 4 arms&lt;br&gt;&amp;#8226; Adjustable to accommodate any bag size &lt;br&gt;&amp;#8226; Sturdy base&lt;br&gt;&amp;#8226; Easy assembly&lt;br&gt;&lt;/p&gt;</t>
  </si>
  <si>
    <t>4-Way Bag Merchandiser, Bag Display Racks</t>
  </si>
  <si>
    <t>bag display racks bag merchandising displays</t>
  </si>
  <si>
    <t>4-way bag merchandiser for retail stores, order store fixtures and displays including this 4-way bag display rack at American Retail Supply.</t>
  </si>
  <si>
    <t>/img1/img1da4.jpg</t>
  </si>
  <si>
    <t>www.americanretailsupply.com\64806\561832\Racks-Spinners-Dump-Bins\4-Way-Bag-Merchandiser.html</t>
  </si>
  <si>
    <t>&lt;p&gt;Wood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casters&lt;/p&gt;</t>
  </si>
  <si>
    <t>Double Wide Wood Merchandisers</t>
  </si>
  <si>
    <t>/img1/imgbe8c.jpg</t>
  </si>
  <si>
    <t>www.americanretailsupply.com\64806\561834\Racks-Spinners-Dump-Bins\Double-Wide-Wood-Merchandisers.html</t>
  </si>
  <si>
    <t>&lt;p&gt;Wood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casters&lt;/p&gt;</t>
  </si>
  <si>
    <t>Single Wide Wood Merchandisers</t>
  </si>
  <si>
    <t>/img3/img9a41.jpg</t>
  </si>
  <si>
    <t>www.americanretailsupply.com\64806\561835\Racks-Spinners-Dump-Bins\Single-Wide-Wood-Merchandisers.html</t>
  </si>
  <si>
    <t>&lt;p&gt;Floor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assembly&lt;br&gt;&lt;/p&gt;</t>
  </si>
  <si>
    <t>6 Tier Floor Spinner</t>
  </si>
  <si>
    <t>/img1/imge451.jpg</t>
  </si>
  <si>
    <t>www.americanretailsupply.com\64806\734989\Racks-Spinners-Dump-Bins\6-Tier-Floor-Spinner.html</t>
  </si>
  <si>
    <t>&lt;p&gt;Environmentally safe, water based Trio Pen Set &amp;amp; Canister w/32oz Ink. Works well on regular or glossy paper, and vinyl banners. Not flammable, fade resistant. Will not run or spot when sprayed with water!&lt;br&gt;3 pen sizes (1/4", 5/8", and 1 x 2") &lt;br&gt;&lt;br&gt;&lt;br&gt;&lt;/p&gt;</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</si>
  <si>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</si>
  <si>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</si>
  <si>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</si>
  <si>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/img3/imgb09d.jpg</t>
  </si>
  <si>
    <t>www.americanretailsupply.com\64693\47434\Ready-Flow-Pen-Sets\Trio-Pen-Set--Cannister-w32oz-Ink.html</t>
  </si>
  <si>
    <t>&lt;p&gt;Environmentally safe, water based Partner Pen Set w/8oz Ink. Works well on regular or glossy paper, and vinyl banners. Not flammable, fade resistant. Will not run or spot when sprayed with water!&lt;br&gt;2 Pen sizes (1/4" and 5/8")&lt;br&gt;&lt;br&gt;&lt;br&gt;&lt;/p&gt;</t>
  </si>
  <si>
    <t>Partner Pen Set with Ink</t>
  </si>
  <si>
    <t>environmentally safe ink, water based ink, glossy paper ink, banner ink, fade resistant ink</t>
  </si>
  <si>
    <t>Red|Yellow|Green|Black. Environmentally safe, water based Partner Pen Set w/8oz Ink. Two Pen and 8oz Ink. Shop Online!</t>
  </si>
  <si>
    <t>/img2/img73e7.jpg</t>
  </si>
  <si>
    <t>www.americanretailsupply.com\64693\47437\Ready-Flow-Pen-Sets\Partner-Pen-Set-w8oz-Ink.html</t>
  </si>
  <si>
    <t>&lt;p&gt;Special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Ink.&lt;br&gt;&lt;/p&gt;</t>
  </si>
  <si>
    <t>Special Performance Ink</t>
  </si>
  <si>
    <t>Red|Yellow|Green|Blue|Black. Environmentally Safe and Works Well on Regular or Glossy Paper. 32oz Bottles. Shop Here Online</t>
  </si>
  <si>
    <t>/img2/img3718.jpg</t>
  </si>
  <si>
    <t>www.americanretailsupply.com\64693\173630\Ready-Flow-Pen-Sets\32oz-Special-Performance-Ink.html</t>
  </si>
  <si>
    <t>&lt;p&gt;Refill Pens, Felt, and Cans items are 2" refill Pen Complete, 2" Nib only, 5/8" and 1/4" Refill Pen Complete, Partner &amp;amp; Jr/Trio Filler Felts, Jr/Trio Lid Only, Partner &amp;amp; JR/Trio Cannister - No Lid.&lt;br&gt;Sold individually.&lt;/p&gt;</t>
  </si>
  <si>
    <t>Refill Pens, Felt, and Cans</t>
  </si>
  <si>
    <t>refill pen, filler felt pen, nib refill pen</t>
  </si>
  <si>
    <t>/img1/imgacf2.jpg</t>
  </si>
  <si>
    <t>www.americanretailsupply.com\64693\173631\Ready-Flow-Pen-Sets\Refill-Pens-Felt-and-Cans.html</t>
  </si>
  <si>
    <t>&lt;p&gt;Ready-to-Assemble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18"&lt;br&gt;&lt;/p&gt;</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</si>
  <si>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</si>
  <si>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</si>
  <si>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</si>
  <si>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/img2/img9b67.jpg</t>
  </si>
  <si>
    <t>www.americanretailsupply.com\64829\47236\Ready-To-Assemble-Showcases\Ready-To-Assemble-Corner-Unit-Display-Case.html</t>
  </si>
  <si>
    <t>&lt;p&gt;Ready-to-Assemble Display Wrap Counter - Each case comes with a 4" kick plate and features 3 adjustable shelves. This knockdown ready-to-assemble retail store counter fixture is available in White, Maple or Black. &lt;/p&gt;</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</si>
  <si>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</si>
  <si>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</si>
  <si>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</si>
  <si>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/img2/imgf94e.jpg</t>
  </si>
  <si>
    <t>www.americanretailsupply.com\64829\47237\Ready-To-Assemble-Showcases\Ready-To-Assemble-Wrap-Counter.html</t>
  </si>
  <si>
    <t>&lt;p&gt;Ready-To-Assemble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 &lt;br&gt;&lt;/p&gt;</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</si>
  <si>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</si>
  <si>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</si>
  <si>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</si>
  <si>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/img1/img3f24.jpg</t>
  </si>
  <si>
    <t>www.americanretailsupply.com\64829\47238\Ready-To-Assemble-Showcases\Ready-To-Assemble-Cash-Register-Stand.html</t>
  </si>
  <si>
    <t>&lt;p&gt;  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 &lt;/p&gt;</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</si>
  <si>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</si>
  <si>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</si>
  <si>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</si>
  <si>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/img1/img3253.jpg</t>
  </si>
  <si>
    <t>www.americanretailsupply.com\64829\47239\Ready-To-Assemble-Showcases\Ready-To-Assemble-Waterfall-Table.html</t>
  </si>
  <si>
    <t>&lt;p&gt;Knockdown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instructions&lt;/p&gt;</t>
  </si>
  <si>
    <t>Ready To Assemble Top Vision Showcases - Black | Maple, Top Vision Showcases - Black | Maple, Ready To Assemble Top Vision Showcases</t>
  </si>
  <si>
    <t>Top Vision Showcase, Showcase, Display Case, Ready to Assemble showcase, maple showcase, black showcase</t>
  </si>
  <si>
    <t>/img2/img1e8c.jpg</t>
  </si>
  <si>
    <t>www.americanretailsupply.com\64829\783964\Ready-To-Assemble-Showcases\Ready-To-Assemble-Top-Vision-Showcases.html</t>
  </si>
  <si>
    <t>&lt;p&gt;Knockdown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instructions&lt;/p&gt;</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</si>
  <si>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</si>
  <si>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</si>
  <si>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</si>
  <si>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/img1/img96a8-2.jpg</t>
  </si>
  <si>
    <t>www.americanretailsupply.com\64829\47235\ReadyTo-Assemble-Showcases\Ready-To-Assemble-Full-Vision-Showcase.html</t>
  </si>
  <si>
    <t>&lt;p&gt;This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&lt;/p&gt;</t>
  </si>
  <si>
    <t>Round Weighted Base</t>
  </si>
  <si>
    <t>/img1/imgf0e9.jpg</t>
  </si>
  <si>
    <t>www.americanretailsupply.com\25486\156623\Realistic-Mannequin-System\Round-Weighted-Base.html</t>
  </si>
  <si>
    <t>&lt;p&gt;This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tenants.&lt;br&gt;&lt;br&gt;&lt;/p&gt;</t>
  </si>
  <si>
    <t>WAYMISH</t>
  </si>
  <si>
    <t>/img3/img4fcc.jpg</t>
  </si>
  <si>
    <t>www.americanretailsupply.com\12903\130400\Retail-Resources\WAYMISH.html</t>
  </si>
  <si>
    <t>&lt;p&gt;Review by Keith Lee&lt;br&gt;President American Retail Supply &lt;br&gt;"Customer Satisfaction is Worthless&lt;br&gt; Customer Loyalty is Priceless"&lt;br&gt;How to make customers love you,&lt;br&gt;keep them coming back, and tell everyone they know. &lt;/p&gt;</t>
  </si>
  <si>
    <t>Jeffrey Gitomer Book - Customer Satisfaction is Worthless Customer Loyalty is Priceless</t>
  </si>
  <si>
    <t>jeffrey gitomer customer satisfaction worthless customer loyalty priceless jeffrey gitomer book</t>
  </si>
  <si>
    <t>Jeffrey Gitomer's Customer Satisfaction is Worthless Customer Loyalty is Priceless book is a must read for any retail store owner that is serious about providing outstanding customer service.</t>
  </si>
  <si>
    <t>/img2/img9cc3.jpg</t>
  </si>
  <si>
    <t>www.americanretailsupply.com\12903\130402\Retail-Resources\Customer-Satisfaction-is-Worthless-Customer-Loyalty-is-Priceless.html</t>
  </si>
  <si>
    <t>&lt;p&gt;...My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members.&lt;br&gt;&lt;/p&gt;</t>
  </si>
  <si>
    <t>Business Books, Customer Service Book: Simple Truths of Service</t>
  </si>
  <si>
    <t>customer service book business books simple truths service book</t>
  </si>
  <si>
    <t>Customer service book, Simple Truths of Service for sale online, order this business book to learn to improve your retail store management and employee customer service.</t>
  </si>
  <si>
    <t>/img1/img2b40.jpg</t>
  </si>
  <si>
    <t>www.americanretailsupply.com\12903\174437\Retail-Resources\Simple-Truths-of-Service.html</t>
  </si>
  <si>
    <t>&lt;p&gt;"Do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&lt;/p&gt;</t>
  </si>
  <si>
    <t>Inside The Magic Kingdom Book, Customer Service &amp; Business Management Books</t>
  </si>
  <si>
    <t>inside magic kingdom book customer service books business management book</t>
  </si>
  <si>
    <t>Tom Connellan's book, Inside the Magic Kingdom - Seven Keys to Disney's Success is a must read book for any retail store owner that is serious about improving their store management and customer service.</t>
  </si>
  <si>
    <t>/img1/img5cdb.jpg</t>
  </si>
  <si>
    <t>www.americanretailsupply.com\12903\174680\Retail-Resources\Inside-The-Magic-Kingdom.html</t>
  </si>
  <si>
    <t>&lt;p&gt;"Out-Nordstrom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store(s).&lt;/p&gt;</t>
  </si>
  <si>
    <t>Out-Nordstrom Nordstrom</t>
  </si>
  <si>
    <t>/img3/img28a6.jpg</t>
  </si>
  <si>
    <t>www.americanretailsupply.com\12903\635579\Retail-Resources\Out--Nordstrom-Nordstrom.html</t>
  </si>
  <si>
    <t>&lt;p&gt;&lt;br&gt;          &lt;br&gt;&lt;br&gt;&lt;br&gt;&lt;br&gt;Splendorette Printed Curling Ribbon comes in a Zebra print with your choice of Lime Green, Pink or traditional Black. Made in the U.S.A.&lt;br&gt;Order ribbon by the 250 yard roll.&lt;br&gt;&lt;/p&gt;</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</si>
  <si>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</si>
  <si>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</si>
  <si>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</si>
  <si>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/img2/img8f91.jpg</t>
  </si>
  <si>
    <t>www.americanretailsupply.com\65006\742308\Ribbon-in-Animal-Prints\Splendorette-Printed-Curling-Ribbon.html</t>
  </si>
  <si>
    <t>&lt;p&gt;Display 6 pairs (12 slits) of earrings in style with these decorative black velvet or white faux leather. 12"L x 1 5/8"W x 2 5/8"H&lt;/p&gt;</t>
  </si>
  <si>
    <t>Pendant/Earring Angled Display</t>
  </si>
  <si>
    <t>/img3/img4a46.jpg</t>
  </si>
  <si>
    <t>www.americanretailsupply.com\64795\37285\Ring--Earring-Displays\PendantEarring-Angled-Display.html</t>
  </si>
  <si>
    <t>&lt;p&gt;The Pendent/Earring Bar, has enough space to display a pair of earrings. In this Pendent/Earring Bar it is easy to place the earrings in the slits and also easy to remove. This displayer can be featured in many different areas of your store.  2 1/2"L x 1 3/4"W x 3 1/4"H&lt;/p&gt;</t>
  </si>
  <si>
    <t>Single Pendant/Earring Angled Display</t>
  </si>
  <si>
    <t>/img3/img86db.jpg</t>
  </si>
  <si>
    <t>www.americanretailsupply.com\64795\37286\Ring--Earring-Displays\Single-PendantEarring-Angled-Display.html</t>
  </si>
  <si>
    <t>&lt;p&gt;The Earring Slant w/ Flap is made to make a pair of earrings really stand out. They are featured alone on this displayer and the flap is what draws attention to the merchandise. This is a great way to display earrings for your store. 2 1/2"L x 1 1/2"W x 3 3/8"H&lt;/p&gt;</t>
  </si>
  <si>
    <t>Clip On Earring Slant Display</t>
  </si>
  <si>
    <t>/img1/imgb31b.jpg</t>
  </si>
  <si>
    <t>www.americanretailsupply.com\64795\37287\Ring--Earring-Displays\Clip-On-Earring-Slant-Display.html</t>
  </si>
  <si>
    <t>&lt;p&gt;Display 10 pairs of earrings in a new and unique way with the Winged displayer!  The displayer is in the shape of wings, which is a creative way to show off your earrings. Five pairs per each wing. Overall size - 12 1/2"L x 6 1/2"H&lt;/p&gt;</t>
  </si>
  <si>
    <t>Earring Winged Display Stand</t>
  </si>
  <si>
    <t>/img2/img3371.jpg</t>
  </si>
  <si>
    <t>www.americanretailsupply.com\64795\37288\Ring--Earring-Displays\Earring-Winged-Display-Stand.html</t>
  </si>
  <si>
    <t>&lt;p&gt;Show your earrings with the T-Bar, it can display up to four pairs. This particular style shows the earrings in a hanging fashion, very nice for dangling earrings.&lt;/p&gt;</t>
  </si>
  <si>
    <t>Earring T-Bar Display</t>
  </si>
  <si>
    <t>/img2/img5e0d.jpg</t>
  </si>
  <si>
    <t>www.americanretailsupply.com\64795\37290\Ring--Earring-Displays\Earring-T--Bar-Display.html</t>
  </si>
  <si>
    <t>&lt;p&gt;This beautiful 1 Finger display for rings comes in black vevet or white faux leather.&lt;/p&gt;</t>
  </si>
  <si>
    <t>1 Finger Ring Display</t>
  </si>
  <si>
    <t>/img1/img670d.jpg</t>
  </si>
  <si>
    <t>www.americanretailsupply.com\64795\37793\Ring--Earring-Displays\1-Finger-Ring-Display.html</t>
  </si>
  <si>
    <t>&lt;p&gt;Display two rings on the beautiful black velvet or the white faux leather display.&lt;/p&gt;</t>
  </si>
  <si>
    <t>2 finger</t>
  </si>
  <si>
    <t>2 finger ring display, presentation</t>
  </si>
  <si>
    <t>/img1/img7a03.jpg</t>
  </si>
  <si>
    <t>www.americanretailsupply.com\64795\37795\Ring--Earring-Displays\2-Finger-Ring-Display.html</t>
  </si>
  <si>
    <t>&lt;p&gt;Rings are made for all fingers, so display the rings of your choice on the 5 finger ring display. Show your client some options!&lt;/p&gt;</t>
  </si>
  <si>
    <t>5 Finger</t>
  </si>
  <si>
    <t>5 Finger ring display, presentation</t>
  </si>
  <si>
    <t>/img1/img9dc8.jpg</t>
  </si>
  <si>
    <t>www.americanretailsupply.com\64795\37796\Ring--Earring-Displays\5-Finger-Ring-Displays.html</t>
  </si>
  <si>
    <t>&lt;p&gt;Keep your jewelry merchandise organized and catergorized with different types of trays. The Trays make displaying jewelry easy to do!&lt;/p&gt;</t>
  </si>
  <si>
    <t>18 Slot Ring Tray</t>
  </si>
  <si>
    <t>/img3/img2eab.jpg</t>
  </si>
  <si>
    <t>www.americanretailsupply.com\64795\231608\Ring--Earring-Displays\18-Slot-Ring-Tray.html</t>
  </si>
  <si>
    <t>&lt;p&gt;Rudy is the most affordable male mannequin. Attractive, youthful looking male with sculpted brown hair and makeup. Includes tempered glass base.&lt;br&gt;&lt;/p&gt;</t>
  </si>
  <si>
    <t>Rudy</t>
  </si>
  <si>
    <t>/img2/imgd0db.jpg</t>
  </si>
  <si>
    <t>www.americanretailsupply.com\65158\154741\Rudy--Judy-Mannequins\Rudy.html</t>
  </si>
  <si>
    <t>&lt;p&gt;Headless Rudy and Judy mannequins.&lt;br&gt;Only available in cameo white.&lt;br&gt;&lt;/p&gt;</t>
  </si>
  <si>
    <t>Headless Rudy and Judy</t>
  </si>
  <si>
    <t>/img3/img6321.jpg</t>
  </si>
  <si>
    <t>www.americanretailsupply.com\65158\154743\Rudy--Judy-Mannequins\Headless-Rudy-and-Judy.html</t>
  </si>
  <si>
    <t>&lt;p&gt;Label your Heavy Duty or Medium Duty areas with the 1 and 2 Piece Scanner Hooks. These are sold 100 per package.&lt;/p&gt;</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</si>
  <si>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</si>
  <si>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</si>
  <si>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</si>
  <si>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/img2/img6c75.jpg</t>
  </si>
  <si>
    <t>www.americanretailsupply.com\65037\41138\Scanner-Hooks\1-and-2-Piece-Scanner-Hooks.html</t>
  </si>
  <si>
    <t>&lt;p&gt;Use any type of label to draw attention to the areas in your retail store you wish to label with Label Holders for Paper &amp;amp; Adhesive labels.  Packed 100/pack. Most hold 2 1/2" x 1 1/4" labels. Quad Wire holders are only for adhesive 2" x 1 1/4 labels. &lt;/p&gt;</t>
  </si>
  <si>
    <t>Label Holders for Paper &amp; Adhesive Labels | Pegboard Hooks &amp; Attachments</t>
  </si>
  <si>
    <t>Pegboard hooks and attachments for retail stores, order pegboard supplies and accessories including snap lock label holders for paper and adhesive labels.</t>
  </si>
  <si>
    <t>/img3/img4427.jpg</t>
  </si>
  <si>
    <t>www.americanretailsupply.com\65037\41139\Scanner-Hooks\Scanner-Hook-Label-Holders.html</t>
  </si>
  <si>
    <t>&lt;p&gt;Paper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 &lt;/p&gt;</t>
  </si>
  <si>
    <t>Paper Rack Tower</t>
  </si>
  <si>
    <t>/img2/img4da3.jpg</t>
  </si>
  <si>
    <t>www.americanretailsupply.com\64800\560455\Scrapbooking-Racks\Paper-Rack-Tower.html</t>
  </si>
  <si>
    <t>&lt;p&gt;Convenient Scrapbook Display for Paper 8 1/2 x 11 Stock paper&lt;br&gt;This display which can be used on a countertop or table top has 15 tiers with 45 (8 1/2" x 11") Slots.  Each slot holds up to 100 (8 1/2" x 11") sheets &lt;br&gt; &lt;br&gt;Size: 33 1/2"H x 27"W x 10 1/2"D &lt;br&gt;Color: White &lt;/p&gt;</t>
  </si>
  <si>
    <t>Paper Rack for 8 1/2 x 11 Stock</t>
  </si>
  <si>
    <t>/img3/imgb1a3.jpg</t>
  </si>
  <si>
    <t>www.americanretailsupply.com\64800\560456\Scrapbooking-Racks\Paper-Rack-for-8-12-x-11-Stock.html</t>
  </si>
  <si>
    <t>&lt;p&gt;Paper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&lt;br&gt;&lt;/p&gt;</t>
  </si>
  <si>
    <t>Paper Rack for 12x 12 Stock</t>
  </si>
  <si>
    <t>/img2/img5503.jpg</t>
  </si>
  <si>
    <t>www.americanretailsupply.com\64800\560457\Scrapbooking-Racks\Paper-Rack-for-12x-12-Stock.html</t>
  </si>
  <si>
    <t>&lt;p&gt;Entry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included)&lt;/p&gt;</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</si>
  <si>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</si>
  <si>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</si>
  <si>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</si>
  <si>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/img2/imga566.jpg</t>
  </si>
  <si>
    <t>www.americanretailsupply.com\64894\13364\Security-Locks-Announcers-Detectors-Mirrors\Entry-Alert-Motion-Sensor-Door-Chime.html</t>
  </si>
  <si>
    <t>&lt;p&gt;Wireless Entrance Motion Detector. Place receiver up to 200 ft away. Choice of two pleasing tones with volume control. Transmitter uses 9V Battery (not included)&lt;/p&gt;</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</si>
  <si>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</si>
  <si>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</si>
  <si>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</si>
  <si>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/img2/img202c.jpg</t>
  </si>
  <si>
    <t>www.americanretailsupply.com\64894\173921\Security-Locks-Announcers-Detectors-Mirrors\Wireless-Entrance-Motion-Detector.html</t>
  </si>
  <si>
    <t>&lt;p&gt;Wired Entrance Motion Detector that is easy to install. Unaffected by sunlight, headlights &amp;amp; reflections.&lt;/p&gt;</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</si>
  <si>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</si>
  <si>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</si>
  <si>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</si>
  <si>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/img1/img52b9.jpg</t>
  </si>
  <si>
    <t>www.americanretailsupply.com\64894\173922\Security-Locks-Announcers-Detectors-Mirrors\Wired-Entrance-Motion-Detector.html</t>
  </si>
  <si>
    <t>&lt;p&gt;Self Contained Entrance Door Announcer. No wiring needed! Light Sensitive Motion Activated. 2 pleasant tones with volume control. Mount above or beside door. Uses 9V battery (not included).&lt;/p&gt;</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</si>
  <si>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</si>
  <si>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</si>
  <si>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</si>
  <si>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/img3/img57a8.jpg</t>
  </si>
  <si>
    <t>www.americanretailsupply.com\64894\173923\Security-Locks-Announcers-Detectors-Mirrors\Self-Contained-Entrance-Door-Announcer.html</t>
  </si>
  <si>
    <t>&lt;p&gt;Available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us.)&lt;br&gt;&lt;/p&gt;</t>
  </si>
  <si>
    <t>Anti Shoplifting Convex Glass Mirrors</t>
  </si>
  <si>
    <t>/img1/img2688.jpg</t>
  </si>
  <si>
    <t>www.americanretailsupply.com\64894\775072\Security-Locks-Announcers-Detectors-Mirrors\Anti-Shoplifting-Convex-Glass-Mirrors.html</t>
  </si>
  <si>
    <t>&lt;p&gt;Use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&lt;br&gt;&lt;/p&gt;</t>
  </si>
  <si>
    <t>Security Peg Hook Locks</t>
  </si>
  <si>
    <t>/img1/img0b5a.jpg</t>
  </si>
  <si>
    <t>www.americanretailsupply.com\64894\779398\Security-Locks-Announcers-Detectors-Mirrors\Security-Peg-Hook-Locks.html</t>
  </si>
  <si>
    <t>&lt;p&gt;Secur A Tach is the perfect solution for tagging hard goods! (not for use with tagger). Available in 3", 5" or 9" loops.&lt;br&gt;Order fasteners by the box.&lt;br&gt;Each box has 5000 fasteners. &lt;/p&gt;</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</si>
  <si>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</si>
  <si>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</si>
  <si>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</si>
  <si>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/img3/imgda10.jpg</t>
  </si>
  <si>
    <t>www.americanretailsupply.com\64685\1499\Security-Loops\Secur-A-Tach.html</t>
  </si>
  <si>
    <t>&lt;p&gt;TG Tacher Security Loops the perfect solution for tagging hard goods! (not for use with tagger) Choose from 3", 5" or 9" loops.&lt;br&gt;Order fasteners by the box.&lt;br&gt;Each box has 5000 fasteners. &lt;/p&gt;</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</si>
  <si>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</si>
  <si>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</si>
  <si>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</si>
  <si>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/img2/imgafda.jpg</t>
  </si>
  <si>
    <t>www.americanretailsupply.com\64685\1528\Security-Loops\TG-Tacher-Security-Loops.html</t>
  </si>
  <si>
    <t>&lt;p&gt;StringTach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&lt;/p&gt;</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</si>
  <si>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</si>
  <si>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</si>
  <si>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</si>
  <si>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/img1/img5cae.jpg</t>
  </si>
  <si>
    <t>www.americanretailsupply.com\64685\48135\Security-Loops\StringTach.html</t>
  </si>
  <si>
    <t>&lt;p&gt;Secur A Tie Adjustable is not for use with tagger&lt;/p&gt;</t>
  </si>
  <si>
    <t>Security Loop Fasteners, Secur-A-Tie Adjustable Fasteners</t>
  </si>
  <si>
    <t>security loop fasteners adjustable fastener ties</t>
  </si>
  <si>
    <t>Security loop fasteners for sale online, order Secur-A-Tie adjustable security loop fasteners and price marking supplies for your retail store.</t>
  </si>
  <si>
    <t>/img2/img55a2.jpg</t>
  </si>
  <si>
    <t>www.americanretailsupply.com\64685\48296\Security-Loops\Secur-A-Tie-Adjustable.html</t>
  </si>
  <si>
    <t>&lt;p&gt;   &lt;br&gt;&lt;br&gt;&lt;br&gt;     &amp;#8226; High quality rotogravure and flexographic&lt;br&gt;      printed gift wrap in a variety of beautiful&lt;br&gt;      paper stocks.       &amp;#8226; Fast and accurate order shipment.&lt;/p&gt;</t>
  </si>
  <si>
    <t>Baby and Juvenile Giftwrap</t>
  </si>
  <si>
    <t>/img2/img8db7.jpg</t>
  </si>
  <si>
    <t>www.americanretailsupply.com\65799\788867\Shamrock\Baby-and-Juvenile-Giftwrap.html</t>
  </si>
  <si>
    <t>&lt;p&gt;  &lt;br&gt;&lt;br&gt;&lt;br&gt;     &amp;#8226; High quality rotogravure and flexographic&lt;br&gt;      printed gift wrap in a variety of beautiful&lt;br&gt;      paper stocks.&lt;/p&gt;</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</si>
  <si>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</si>
  <si>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</si>
  <si>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</si>
  <si>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/img1/img439e.jpg</t>
  </si>
  <si>
    <t>www.americanretailsupply.com\65799\788868\Shamrock\Celebrate-Giftwrap.html</t>
  </si>
  <si>
    <t>&lt;p&gt;&lt;br&gt;&lt;br&gt;&lt;br&gt;Shamrock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&lt;/p&gt;</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</si>
  <si>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</si>
  <si>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</si>
  <si>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</si>
  <si>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/img2/img05eb.jpg</t>
  </si>
  <si>
    <t>www.americanretailsupply.com\65799\788869\Shamrock\Christmas-and-Holiday-Giftwrap-5.html</t>
  </si>
  <si>
    <t>&lt;p&gt;&lt;br&gt;&lt;br&gt;&lt;br&gt;Shamrock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U.S.A.&lt;br&gt;&lt;/p&gt;</t>
  </si>
  <si>
    <t>Christmas Gift Wrap, Holiday Gift Wrapping Paper, Retail Store Packaging Supplies</t>
  </si>
  <si>
    <t>Christmas and holiday gift wrap paper, order Christmas gift wrapping paper and holiday packaging supplies for your retail store online.</t>
  </si>
  <si>
    <t>/img2/img223b.jpg</t>
  </si>
  <si>
    <t>www.americanretailsupply.com\65799\788870\Shamrock\Christmas-and-Holiday-Giftwrap-6.html</t>
  </si>
  <si>
    <t>&lt;p&gt;    &lt;br&gt;&lt;br&gt;&lt;br&gt;    &amp;#8226; high quality rotogravure and fiexographic&lt;br&gt;       printed gift wrap in a variety of beautiful&lt;br&gt;       paper stocks.&lt;/p&gt;</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</si>
  <si>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</si>
  <si>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</si>
  <si>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</si>
  <si>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/img1/img9a77.jpg</t>
  </si>
  <si>
    <t>www.americanretailsupply.com\65799\788871\Shamrock\Feminine-and-Floral-Giftwrap.html</t>
  </si>
  <si>
    <t>&lt;p&gt;&lt;br&gt;&lt;br&gt;&lt;br&gt;Shamrock has many finishes such as Solids, Foils, and Specialty Krafts Giftwrap to choose from.&lt;/p&gt;</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</si>
  <si>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</si>
  <si>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</si>
  <si>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</si>
  <si>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/img2/imga721.jpg</t>
  </si>
  <si>
    <t>www.americanretailsupply.com\65799\788874\Shamrock\Special-Finishes-Solids-Foils--Specialty-Krafts-Giftwrap.html</t>
  </si>
  <si>
    <t>&lt;p&gt;  &lt;br&gt;&lt;br&gt;&lt;br&gt;    &amp;#8226; high quality rotogravure and fiexographic printed gift wrap in a variety of beautiful paper stocks.&lt;/p&gt;</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</si>
  <si>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</si>
  <si>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</si>
  <si>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</si>
  <si>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/img3/img1777.jpg</t>
  </si>
  <si>
    <t>www.americanretailsupply.com\65799\788875\Shamrock\Wedding-and-Valentine-Giftwrap.html</t>
  </si>
  <si>
    <t>&lt;p&gt;  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below.&lt;/p&gt;</t>
  </si>
  <si>
    <t>Jiffy Mailing Envelopes</t>
  </si>
  <si>
    <t>/img1/img65ba.jpg</t>
  </si>
  <si>
    <t>www.americanretailsupply.com\64865\22330\Shipping-Envelopes\Jiffy-Mailing-Envelopes.html</t>
  </si>
  <si>
    <t>&lt;p&gt;Eco-Shippers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&lt;br&gt;&lt;/p&gt;</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</si>
  <si>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</si>
  <si>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</si>
  <si>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</si>
  <si>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/img1/imge86c.jpg</t>
  </si>
  <si>
    <t>www.americanretailsupply.com\64865\639444\Shipping-Envelopes\Eco--Shipper-Peel--Seal-Mailers.html</t>
  </si>
  <si>
    <t>&lt;p&gt;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costs.&lt;/p&gt;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</si>
  <si>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</si>
  <si>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</si>
  <si>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</si>
  <si>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/img2/img913f.jpg</t>
  </si>
  <si>
    <t>www.americanretailsupply.com\64865\639445\Shipping-Envelopes\Dura-Bag-Peel--Seal-Mailers-80-basis-weight.html</t>
  </si>
  <si>
    <t>&lt;p&gt;Single Face Corrugated Rolls  "B" Flute&lt;br&gt;24" x 250' brown&lt;/p&gt;</t>
  </si>
  <si>
    <t>Single Face Corrugated Rolls "B" Flute</t>
  </si>
  <si>
    <t>/img1/img8feb.jpg</t>
  </si>
  <si>
    <t>www.americanretailsupply.com\64859\48215\Shipping-Supplies\Single-Face-Corrugated-Rolls-B-Flute.html</t>
  </si>
  <si>
    <t>&lt;p&gt;Order Kraft Paper Rolls for your retail packaging supply needs in your choice of brown or white Kraft paper.&lt;/p&gt;</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</si>
  <si>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</si>
  <si>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</si>
  <si>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</si>
  <si>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/img2/imgdc97.jpg</t>
  </si>
  <si>
    <t>www.americanretailsupply.com\64859\48217\Shipping-Supplies\Kraft-Paper-Rolls.html</t>
  </si>
  <si>
    <t>&lt;p&gt;Protect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(US)&lt;/p&gt;</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</si>
  <si>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</si>
  <si>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</si>
  <si>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</si>
  <si>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/img3/img7635.jpg</t>
  </si>
  <si>
    <t>www.americanretailsupply.com\64859\48220\Shipping-Supplies\Bubble-Wrap-Packing-Rolls.html</t>
  </si>
  <si>
    <t>&lt;p&gt;Packaging Peanuts in Green for retail packing and shipping.&lt;br&gt;14 Cubic Feet&lt;/p&gt;</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</si>
  <si>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</si>
  <si>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</si>
  <si>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</si>
  <si>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/img1/img604d.jpg</t>
  </si>
  <si>
    <t>www.americanretailsupply.com\64859\48221\Shipping-Supplies\Packaging-Peanuts-Green.html</t>
  </si>
  <si>
    <t>&lt;p&gt;Edge Protectors are Molded Polystyrene Foam. Packaged 8 per corrugated carton. No set up necessary&lt;br&gt;Used for edge protection when cushioning is required.  Inside Dimensions Length x Width x Depth. Sold 100 per case.&lt;/p&gt;</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</si>
  <si>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</si>
  <si>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</si>
  <si>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</si>
  <si>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/img3/img5301.jpg</t>
  </si>
  <si>
    <t>www.americanretailsupply.com\64859\176650\Shipping-Supplies\Polystyrene-Edge-Protectors.html</t>
  </si>
  <si>
    <t>&lt;p&gt;Corrugated Corner Pads (Die Cut)&lt;br&gt;125# Test #3 White Outside, Furnished flat&lt;br&gt;50 per bundle Inside Dimensions- Length x Width x Depth&lt;/p&gt;</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</si>
  <si>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</si>
  <si>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</si>
  <si>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</si>
  <si>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/img3/img33d2.jpg</t>
  </si>
  <si>
    <t>www.americanretailsupply.com\64859\176652\Shipping-Supplies\Corrugated-Corner-Protection-Pads.html</t>
  </si>
  <si>
    <t>&lt;p&gt;Pads, White&lt;br&gt;200# Test, Singlewall C Flute, #3 White 1 side&lt;br&gt;First dimension listed indicates the direction of corrugation     Sold by the bundle as indicated.&lt;br&gt;Inside Dimensions&lt;/p&gt;</t>
  </si>
  <si>
    <t>Shipping Pads, Buy Retail Packaging Shipping Boxes &amp; Pads Online</t>
  </si>
  <si>
    <t>shipping pads shipping boxes packaging shipping pads</t>
  </si>
  <si>
    <t>Shipping pads for sale online, buy shipping pads and boxes for all of your retail store's shipping and packaging needs</t>
  </si>
  <si>
    <t>/img1/img195b.jpg</t>
  </si>
  <si>
    <t>www.americanretailsupply.com\64859\176661\Shipping-Supplies\Flat-Corrugated-White-Pads.html</t>
  </si>
  <si>
    <t>&lt;p&gt;Five Panel Folders 32 ECT #3 White outside with Self Locking ends&lt;br&gt;Furnished flat, 50 boxes per bundle.  Inside Dimensions: Length x Width x Depth&lt;/p&gt;</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</si>
  <si>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</si>
  <si>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</si>
  <si>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</si>
  <si>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/img3/imge1e2.jpg</t>
  </si>
  <si>
    <t>www.americanretailsupply.com\64859\176664\Shipping-Supplies\Five-Panel-Tube-Folders.html</t>
  </si>
  <si>
    <t>&lt;p&gt;Triangle Tubes&lt;br&gt;32 ECT #3 White outside&lt;br&gt;Self Locking ends&lt;br&gt;Furnished flat&lt;br&gt;Brown Exterior.&lt;br&gt;50 boxes per bundle.     Inside Dimensions&lt;/p&gt;</t>
  </si>
  <si>
    <t>Triangle Tubes, Retail Packaging Supplies &amp; Shipping Boxes</t>
  </si>
  <si>
    <t>triangle tube shipping boxes packaging triangle tubes</t>
  </si>
  <si>
    <t>Triangle tubes for sale online, buy shipping boxes and packaging supplies for your retail business including triangle shipping tubes.</t>
  </si>
  <si>
    <t>www.americanretailsupply.com\64859\176666\Shipping-Supplies\Triangle-Mailing-Tubes.html</t>
  </si>
  <si>
    <t>&lt;p&gt;Pads, Brown Singlewall C Flute, 32 ECT Material&lt;br&gt;First dimension listed indicates the direction of corrugation     Sold by bundle as indicated. &lt;/p&gt;</t>
  </si>
  <si>
    <t>Shipping pads for sale online, buy shipping pads and boxes for all of your retail store's shipping and packaging needs.</t>
  </si>
  <si>
    <t>/img3/img5433.jpg</t>
  </si>
  <si>
    <t>www.americanretailsupply.com\64859\177729\Shipping-Supplies\Flat-Corrugated-Brown-Pads.html</t>
  </si>
  <si>
    <t>&lt;p&gt;Easy to apply Packing List Enclosure Envelopes. Just insert your packing list with the address exposed, apply to your shipping box and you are ready to ship.&lt;br&gt;&lt;/p&gt;</t>
  </si>
  <si>
    <t>Packing List Enclosure Envelopes</t>
  </si>
  <si>
    <t>/img3/img2213.jpg</t>
  </si>
  <si>
    <t>www.americanretailsupply.com\64859\778399\Shipping-Supplies\Packing-List-Enclosure-Envelopes.html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</si>
  <si>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baskets.&lt;/p&gt;</t>
  </si>
  <si>
    <t>Shopping Baskets, Hand Carry Baskets for Retail Stores</t>
  </si>
  <si>
    <t>shopping baskets hand carry baskets shopping basket</t>
  </si>
  <si>
    <t>Shopping baskets for sale online, order hand carry shopping baskets for your retail store that can be printed with your business logo.</t>
  </si>
  <si>
    <t>/img3/img4f07.jpg</t>
  </si>
  <si>
    <t>www.americanretailsupply.com\64855\12529\Shopping-Baskets\Shopping-Baskets.html</t>
  </si>
  <si>
    <t>&lt;p&gt;Wire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 &lt;/p&gt;</t>
  </si>
  <si>
    <t>Shopping Baskets - Black Wire Mesh Shopping Baskets &amp; Stand</t>
  </si>
  <si>
    <t>shopping baskets hand carry black wire mesh shopping basket stand</t>
  </si>
  <si>
    <t>Shopping baskets for sale online, order black wire mesh shopping baskets and stands for your retail store.</t>
  </si>
  <si>
    <t>/img1/img5217.jpg</t>
  </si>
  <si>
    <t>www.americanretailsupply.com\64855\48204\Shopping-Baskets\Hand-Carry-Wire-Mesh-Shopping-Baskets.html</t>
  </si>
  <si>
    <t>&lt;p&gt;Order by the case of 5 or 25 pounds as indicated.&lt;/p&gt;</t>
  </si>
  <si>
    <t>Wood Shred, Natural Wood Excelsior Shred for Retail Packaging &amp; Displays</t>
  </si>
  <si>
    <t>wood shred natural wood shred packaging</t>
  </si>
  <si>
    <t>Wood shred, natural wood shred for your retail packaging and display needs. Order wood shred and retail packaging supplies online.</t>
  </si>
  <si>
    <t>/img2/imgcf26.jpg</t>
  </si>
  <si>
    <t>www.americanretailsupply.com\64704\19622\Shreds\Natural-Wood-Excelsior-Shred.html</t>
  </si>
  <si>
    <t>&lt;p&gt;              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&lt;/p&gt;</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</si>
  <si>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</si>
  <si>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</si>
  <si>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</si>
  <si>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/img2/img26bf.jpg</t>
  </si>
  <si>
    <t>www.americanretailsupply.com\64704\19927\Shreds\Crinkle-Cut-Shred.html</t>
  </si>
  <si>
    <t>&lt;p&gt;              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   &lt;/p&gt;</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</si>
  <si>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</si>
  <si>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</si>
  <si>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</si>
  <si>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/img2/img225f.jpg</t>
  </si>
  <si>
    <t>www.americanretailsupply.com\25199\19928\Shreds\Very-Fine-Cut-Shred.html</t>
  </si>
  <si>
    <t>&lt;p&gt;'QLA&amp;#169;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instructions.&lt;br&gt;&lt;br&gt;&lt;a href="http://yoosh.co/ars_files/rs6.eporia.com/company_8/sidewalk%20sign-message.pdf"&gt;Click here for the Message Board assembly instructions.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&lt;br&gt;&lt;br&gt;&lt;br&gt;&lt;/p&gt;</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</si>
  <si>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</si>
  <si>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</si>
  <si>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</si>
  <si>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/img1/img8861.jpg</t>
  </si>
  <si>
    <t>www.americanretailsupply.com\64691\647269\Sidewalk-Signs\QLA-Quick-Load-Rolling-A-Frame-Sidewalk-Signs.html</t>
  </si>
  <si>
    <t>&lt;p&gt;SWINGER&amp;#169;*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 href="http://yoosh.co/ars_files/rs6.eporia.com/company_8/sidewalk%20sign-swinger.pdf"&gt;&lt;br&gt;&lt;a href="http://yoosh.co/ars_files/rs6.eporia.com/company_8/sidewalk%20sign-swingerWOWO.pdf"&gt;&lt;a href="http://yoosh.co/ars_files/rs6.eporia.com/company_8/sidewalk%20sign-swingerWOWO.pdf"&gt;Click on this link for Swinger WO/WO sign assembly instructions.&lt;br&gt;&lt;br&gt;Swinger&amp;#169;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copy&lt;br&gt;&lt;/p&gt;</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</si>
  <si>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</si>
  <si>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</si>
  <si>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</si>
  <si>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/img2/img28e7.jpg</t>
  </si>
  <si>
    <t>www.americanretailsupply.com\64691\647270\Sidewalk-Signs\Swinger-Sidewalk--Roadside-Signs.html</t>
  </si>
  <si>
    <t>&lt;p&gt;Springer&amp;#169;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instructions.&lt;br&gt;Click here for Message Board sign assembly instructions.&lt;br&gt;&lt;br&gt;SPRINGER&amp;#169;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copy.&lt;br&gt;&lt;/p&gt;</t>
  </si>
  <si>
    <t>Springer Sidewalk Signs</t>
  </si>
  <si>
    <t>/img3/img37c2.jpg</t>
  </si>
  <si>
    <t>www.americanretailsupply.com\64691\753853\Sidewalk-Signs\Springer-Sidewalk-Signs.html</t>
  </si>
  <si>
    <t>&lt;p&gt;Tip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included&lt;br&gt;&lt;/p&gt;</t>
  </si>
  <si>
    <t>Tip 'N Roll Sidewalk Signs</t>
  </si>
  <si>
    <t>/img1/img8eaf.jpg</t>
  </si>
  <si>
    <t>www.americanretailsupply.com\64691\753995\Sidewalk-Signs\Tip-N-Roll-Sidewalk-Signs.html</t>
  </si>
  <si>
    <t>&lt;p&gt;Open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Panel&lt;br&gt;&lt;/p&gt;</t>
  </si>
  <si>
    <t>Open Signs, Open Closed Window Sign for Sale Online</t>
  </si>
  <si>
    <t>open closed sign window open signs</t>
  </si>
  <si>
    <t>Open closed window sign for sale online, buy an open sign for your business with a message board to post your business hours.</t>
  </si>
  <si>
    <t>/img1/img44aa.jpg</t>
  </si>
  <si>
    <t>www.americanretailsupply.com\64687\1608\Sign-Cards\Open-Closed-Sign.html</t>
  </si>
  <si>
    <t>&lt;p&gt;Call attention to your special featured merchandise with these bright and bold Sign Cards, Paper. All are printed on high quality 10 point card stock. Purchase Cards by the Package, 100 cards per package&lt;/p&gt;</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</si>
  <si>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</si>
  <si>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</si>
  <si>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</si>
  <si>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/img2/img9e9b.jpg</t>
  </si>
  <si>
    <t>www.americanretailsupply.com\64687\48119\Sign-Cards\Sign-Cards-with-Printed-Message.html</t>
  </si>
  <si>
    <t>&lt;p&gt;Call attention to your special featured merchandise with these bright and bold Sign Cards, Laser Print Ready. All are printed on high quality 10 point card stock. Printer Ready.&lt;br&gt;Purchase cards by the package. 100 cards per package, unless otherwise noted.&lt;br&gt;&lt;br&gt;&lt;br&gt;&lt;br&gt;&lt;/p&gt;</t>
  </si>
  <si>
    <t>Sign Cards, Laser Print Ready Sign Cards for Retail Stores</t>
  </si>
  <si>
    <t>sign cards laser print sign cards sale</t>
  </si>
  <si>
    <t>Sign cards for retail stores for sale online, buy sign cards including As Advertised, Sale, and Everyday Low Price, laser print ready sign cards.</t>
  </si>
  <si>
    <t>/img3/img1db0.jpg</t>
  </si>
  <si>
    <t>www.americanretailsupply.com\64687\173720\Sign-Cards\Sign-Cards-Laser-Print-Ready.html</t>
  </si>
  <si>
    <t>&lt;p&gt;Seasonal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sheet&lt;/p&gt;</t>
  </si>
  <si>
    <t>/img2/imgd901.jpg</t>
  </si>
  <si>
    <t>www.americanretailsupply.com\64687\730332\Sign-Cards\Seasonal-Sign-Cards-Laser-Print-Ready.html</t>
  </si>
  <si>
    <t>&lt;p&gt;All fluorescent bursts are Rainbow packed with 25 each of 4 different color combinations as shown.&lt;br&gt;Purchase cards by the package.  100 cards per package.&lt;/p&gt;</t>
  </si>
  <si>
    <t>Sign Cards, Fluorescent</t>
  </si>
  <si>
    <t>sign cards fluorescent sign cards sale</t>
  </si>
  <si>
    <t>Sign cards for retail stores for sale online, fluorescent sign cards</t>
  </si>
  <si>
    <t>/img2/imgebdc.jpg</t>
  </si>
  <si>
    <t>www.americanretailsupply.com\64687\733219\Sign-Cards\Burst-Blank-Fluorescent-Sign-Cards.html</t>
  </si>
  <si>
    <t>&lt;p&gt; The Assorted Rainbow Packs of blank fluorescent sign cards consist of Green, Yellow, Pink, and Red/Orange.&lt;br&gt; Cards are 8 point stock.  Purchase cards by the package.  100 cards per package.&lt;/p&gt;</t>
  </si>
  <si>
    <t>/img3/img19fa.jpg</t>
  </si>
  <si>
    <t>www.americanretailsupply.com\64687\733435\Sign-Cards\Rectangle-Blank-Fluorescent-Sign-Cards.html</t>
  </si>
  <si>
    <t>&lt;p&gt;We offer Mini Markers for any size you may need. From 6 months all the way to XXL. Help your customers find the sizes they need easier by purchasing these.&lt;/p&gt;</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</si>
  <si>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</si>
  <si>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</si>
  <si>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</si>
  <si>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/img3/img1151.jpg</t>
  </si>
  <si>
    <t>www.americanretailsupply.com\65196\36357\Sizers-Markers--Size-Labels\Mini-Size-Markers-for-Hangers.html</t>
  </si>
  <si>
    <t>&lt;p&gt;We have a wide range of Regular Size Markers made to help make your retail store more organized!&lt;/p&gt;</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</si>
  <si>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</si>
  <si>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</si>
  <si>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</si>
  <si>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/img2/imge2a3.jpg</t>
  </si>
  <si>
    <t>www.americanretailsupply.com\65196\36358\Sizers-Markers--Size-Labels\Regular-Size-Markers-for-Hangers.html</t>
  </si>
  <si>
    <t>&lt;p&gt;The 1/2" Clear Circle Size Labels with Black Print, are available in the standard sizes. Great for marking apparel by size.&lt;/p&gt;</t>
  </si>
  <si>
    <t>1/2" Clear Circle Size Labels with Black Print</t>
  </si>
  <si>
    <t>/img1/img2fa8.jpg</t>
  </si>
  <si>
    <t>www.americanretailsupply.com\65196\36359\Sizers-Markers--Size-Labels\12-Clear-Circle-Size-Labels-with-Black-Print.html</t>
  </si>
  <si>
    <t>&lt;p&gt;Storage Box for Size Markers for a variety of size markers.&lt;/p&gt;</t>
  </si>
  <si>
    <t>Storage Box for Size Markers</t>
  </si>
  <si>
    <t>/img2/img11a8.jpg</t>
  </si>
  <si>
    <t>www.americanretailsupply.com\65196\36360\Sizers-Markers--Size-Labels\Storage-Box-for-Size-Markers.html</t>
  </si>
  <si>
    <t>&lt;p&gt;Size Dividers Round White with Black Numbers help to keep clothing sizes in the appropriate places. There is a divider for almost any size.  Please note the item "461100 blank" dividers have no printing. Sold in Packages of 5 Each.&lt;/p&gt;</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</si>
  <si>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</si>
  <si>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</si>
  <si>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</si>
  <si>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/img3/img03db.jpg</t>
  </si>
  <si>
    <t>www.americanretailsupply.com\65196\36399\Sizers-Markers--Size-Labels\Size-Dividers-Round-White-with-Black-Numbers.html</t>
  </si>
  <si>
    <t>&lt;p&gt;The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Each.&lt;/p&gt;</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</si>
  <si>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</si>
  <si>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</si>
  <si>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</si>
  <si>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/img1/img488e.jpg</t>
  </si>
  <si>
    <t>www.americanretailsupply.com\65196\36400\Sizers-Markers--Size-Labels\Size-Dividers-Oblong-White-with-Black-Numbers.html</t>
  </si>
  <si>
    <t>&lt;p&gt;These 1-1/4 x 5 Clear Rectangle Size Labels are easily read labels are printed in black ink. The size repeats over and over along the 5" length. Great for arranging garments by size.  &lt;/p&gt;</t>
  </si>
  <si>
    <t>1 1/4" x 5" Clear Rectangle Size Labels</t>
  </si>
  <si>
    <t>/img3/imgcc1f.jpg</t>
  </si>
  <si>
    <t>www.americanretailsupply.com\65196\47339\Sizers-Markers--Size-Labels\1-14-x-5-Clear-Rectangle-Size-Labels.html</t>
  </si>
  <si>
    <t>&lt;p&gt;Rectangle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    &lt;/p&gt;</t>
  </si>
  <si>
    <t>Rectangle Size Label Dispenser Box</t>
  </si>
  <si>
    <t>/img3/imgb2a0.jpg</t>
  </si>
  <si>
    <t>www.americanretailsupply.com\65196\754860\Sizers-Markers--Size-Labels\Rectangle-Size-Label-Dispenser-Box.html</t>
  </si>
  <si>
    <t>&lt;p&gt;Size: 5.11 L x 5.51 W x 3.81 H&lt;br&gt;  Use with Divider A&lt;/p&gt;</t>
  </si>
  <si>
    <t>Storbox Standard Display</t>
  </si>
  <si>
    <t>/img1/img5e4a.jpg</t>
  </si>
  <si>
    <t>www.americanretailsupply.com\64945\239521\Slatbox-Displays\Storbox-Standard-Display.html</t>
  </si>
  <si>
    <t>&lt;p&gt;Size: 11.42 W  x 5.11 L x 3.81 H&lt;br&gt;  Use with Divider A&lt;/p&gt;</t>
  </si>
  <si>
    <t>Storbox Wide Display</t>
  </si>
  <si>
    <t>/img2/img8e2e.jpg</t>
  </si>
  <si>
    <t>www.americanretailsupply.com\64945\239522\Slatbox-Displays\Storbox-Wide-Display.html</t>
  </si>
  <si>
    <t>&lt;p&gt;Durable,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white.&lt;/p&gt;</t>
  </si>
  <si>
    <t>Storbox Cube Display</t>
  </si>
  <si>
    <t>/img1/img3ba2.jpg</t>
  </si>
  <si>
    <t>www.americanretailsupply.com\64945\239523\Slatbox-Displays\Storbox-Cube-Display.html</t>
  </si>
  <si>
    <t>&lt;p&gt;Size: 10.83"L x 11"W x 6.7"H&lt;br&gt;  Use with Divider C&lt;/p&gt;</t>
  </si>
  <si>
    <t>Storbox Large Display</t>
  </si>
  <si>
    <t>/img3/imgfdad.jpg</t>
  </si>
  <si>
    <t>www.americanretailsupply.com\64945\239524\Slatbox-Displays\Storbox-Large-Display.html</t>
  </si>
  <si>
    <t>&lt;p&gt;Size: 9.25 L x 5.51 W x 3.74 H&lt;br&gt;  Use with Divider D&lt;/p&gt;</t>
  </si>
  <si>
    <t>Shelfbox Long 200 Display</t>
  </si>
  <si>
    <t>/img2/img05fb.jpg</t>
  </si>
  <si>
    <t>www.americanretailsupply.com\64945\239525\Slatbox-Displays\Shelfbox-Long-200-Display.html</t>
  </si>
  <si>
    <t>&lt;p&gt;Size: 13.18 L x 5.51 W x 3.74 H&lt;br&gt;  Use with Divider D&lt;/p&gt;</t>
  </si>
  <si>
    <t>Shelfbox Long 300 Display</t>
  </si>
  <si>
    <t>/img2/img6b7b.jpg</t>
  </si>
  <si>
    <t>www.americanretailsupply.com\64945\239526\Slatbox-Displays\Shelfbox-Long-300-Display.html</t>
  </si>
  <si>
    <t>&lt;p&gt;Size: 17.12 L x 5.51 W x 3.74 H&lt;br&gt;  Use with Divider D&lt;/p&gt;</t>
  </si>
  <si>
    <t>ShelfBox Long 400 Display</t>
  </si>
  <si>
    <t>/img1/img7d49.jpg</t>
  </si>
  <si>
    <t>www.americanretailsupply.com\64945\239527\Slatbox-Displays\ShelfBox-Long-400-Display.html</t>
  </si>
  <si>
    <t>&lt;p&gt;Slatbox Dividers divides your slatboxes into smaller displays.   Available in clear only.&lt;/p&gt;</t>
  </si>
  <si>
    <t>Slatbox Dividers</t>
  </si>
  <si>
    <t>/img1/img8ce2.jpg</t>
  </si>
  <si>
    <t>www.americanretailsupply.com\64945\239528\Slatbox-Displays\Slatbox-Dividers.html</t>
  </si>
  <si>
    <t>&lt;p&gt;Enjoy the use of these adapters even if you do not have Slatwall fixtures with either Pegboard or Slatgrid adaptors to make a well functioning display.&lt;/p&gt;</t>
  </si>
  <si>
    <t>Slatbox Adaptors</t>
  </si>
  <si>
    <t>/img2/img5872.jpg</t>
  </si>
  <si>
    <t>www.americanretailsupply.com\64945\251992\Slatbox-Displays\Slatbox-Adaptors.html</t>
  </si>
  <si>
    <t>&lt;p&gt;These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visibility.&lt;/p&gt;</t>
  </si>
  <si>
    <t>Slatbox CrateboxTM</t>
  </si>
  <si>
    <t>/img3/img769b.jpg</t>
  </si>
  <si>
    <t>www.americanretailsupply.com\64945\446212\Slatbox-Displays\Slatbox-Cratebox.html</t>
  </si>
  <si>
    <t>&lt;p&gt;When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attention!&lt;/p&gt;</t>
  </si>
  <si>
    <t>Slatbox Popbox</t>
  </si>
  <si>
    <t>/img1/img8e56.jpg</t>
  </si>
  <si>
    <t>www.americanretailsupply.com\64945\446213\Slatbox-Displays\Slatbox-Popbox.html</t>
  </si>
  <si>
    <t>&lt;p&gt;This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Ready-To-Assemble.&lt;/p&gt;</t>
  </si>
  <si>
    <t>Slatwall Spinning Display</t>
  </si>
  <si>
    <t>/img3/imgcf26-2.jpg</t>
  </si>
  <si>
    <t>www.americanretailsupply.com\64946\787599\Slatwall-Free-Standing-Displays\Slatwall-Spinning-Display.html</t>
  </si>
  <si>
    <t>&lt;p&gt;Features 24" wide panels.  Finished measurement 54" (H) x 36" (W) x 36" (D). Available in white or maple.&lt;br&gt;This product will be shipped VIA common carrier. Freight will be quoted separately. You will be notified of the freight amount.&lt;/p&gt;</t>
  </si>
  <si>
    <t>Four Sided Slatwall Display - White | Maple</t>
  </si>
  <si>
    <t>slatwall display, free standing display, fixtures, four-sided</t>
  </si>
  <si>
    <t>Dimensions: 54</t>
  </si>
  <si>
    <t>/img2/imga082.jpg</t>
  </si>
  <si>
    <t>www.americanretailsupply.com\64914\34304\Slatwall-FreeStanding-Displays\Slatwall-Ready-To-Assemble-Four-Sided-Slatwall-Display.html</t>
  </si>
  <si>
    <t>&lt;p&gt;Size: 54"(h) x 24"(d) x 24"(w) is available in a white or maple color. The picture to the right shows it in maple.&lt;br&gt;&lt;a href="http://yoosh.co/ars_files/rs6.eporia.com/company_8/H%20style%20slatwall%20instructions.pdf"&gt;Click here for Assembly Instructions&lt;br&gt;This product will be shipped VIA common carrier. Freight will be quoted separately. You will be notified of the freight amount.&lt;/p&gt;</t>
  </si>
  <si>
    <t>Ready To Assemble Slatwall Display H Unit - White | Maple</t>
  </si>
  <si>
    <t>free standing slatwall, displays, fixtures, four-sided display H-display, h display</t>
  </si>
  <si>
    <t>/img2/img0db0.jpg</t>
  </si>
  <si>
    <t>www.americanretailsupply.com\64914\34307\Slatwall-FreeStanding-Displays\Slatwall-Ready-To-Assemble-H-Unit-Display.html</t>
  </si>
  <si>
    <t>&lt;p&gt;The 4 Sided Tower display 54" x 24" x 24" comes in the color of white or maple. The Slatwall Tower is shown in maple in the picture to the right.&lt;br&gt;This product will be shipped VIA common carrier. Freight will be quoted separately. You will be notified of the freight amount.&lt;/p&gt;</t>
  </si>
  <si>
    <t>Free-Standing Slatwall Display - Four Sided Tower or Cube</t>
  </si>
  <si>
    <t>slatwall display fixture, four-sided, freestanding, free standing, tower, cube</t>
  </si>
  <si>
    <t>/img3/imgbc43.jpg</t>
  </si>
  <si>
    <t>www.americanretailsupply.com\64914\34308\Slatwall-FreeStanding-Displays\Slatwall-Ready-To-Assemble-4-Sided-Tower.html</t>
  </si>
  <si>
    <t>&lt;p&gt;Size: 54"(h) x 24"(w) x 48"(l), is available in either white or maple. Featured in maple in the picture on the right.&lt;/p&gt;</t>
  </si>
  <si>
    <t>Ready To Assemble Slatwall Gondola - White | Maple</t>
  </si>
  <si>
    <t>slatwall displays, four sided, fixtures, free standing, Slatwall Gondola</t>
  </si>
  <si>
    <t>/img3/img1a98.jpg</t>
  </si>
  <si>
    <t>www.americanretailsupply.com\64914\37299\Slatwall-FreeStanding-Displays\Slatwall-Ready-To-Assemble-Gondola.html</t>
  </si>
  <si>
    <t>&lt;p&gt;Available in White, Black or Cherry.&lt;br&gt; The slatwall used to make this display is 2 on Center.  Ships assembled. &lt;br&gt;&lt;/p&gt;</t>
  </si>
  <si>
    <t>Spinning Slatwall Counter Display - Black | White | Cherry</t>
  </si>
  <si>
    <t>Slatwall counter display, spinning pinwheel counter slatwall display, spinning slatwall display, slatwall</t>
  </si>
  <si>
    <t>Dimensions: 17</t>
  </si>
  <si>
    <t>/img3/imgc4b7.jpg</t>
  </si>
  <si>
    <t>www.americanretailsupply.com\64914\759411\Slatwall-FreeStanding-Displays\Slatwall-Spinning-Countertop-Display.html</t>
  </si>
  <si>
    <t>&lt;p&gt;Create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  &lt;/p&gt;</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</si>
  <si>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</si>
  <si>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</si>
  <si>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</si>
  <si>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/img2/img82d0.jpg</t>
  </si>
  <si>
    <t>www.americanretailsupply.com\64942\762388\Slatwall-Panels--Inserts\Textured-Slatwall-Panels.html</t>
  </si>
  <si>
    <t>&lt;p&gt;Star Bows&lt;br&gt;available in 21 colors and&lt;br&gt;made from shiny poly ribbon.&lt;br&gt;Order bows by the box.&lt;br&gt;Each box size is listed below.&lt;br&gt;5SB113, 5SB5122 and 5SB122 ONLY are LIMITED TO STOCK ON HAND &lt;br&gt;&lt;/p&gt;</t>
  </si>
  <si>
    <t>Star Bows</t>
  </si>
  <si>
    <t>/img1/img4d30.jpg</t>
  </si>
  <si>
    <t>www.americanretailsupply.com\64737\19670\Star-Prenotched-Bows-Ribbon\Star-Bows.html</t>
  </si>
  <si>
    <t>&lt;p&gt;&lt;br&gt;&lt;br&gt;&lt;br&gt;Pull Out Pre-Notch Bows&lt;br&gt;makes bow making made easy. &lt;br&gt;Order Bows by the box&lt;br&gt;Each box has 100 bows.&lt;br&gt;&lt;br&gt;&lt;/p&gt;</t>
  </si>
  <si>
    <t>Pull Out Pre-Notch Bows</t>
  </si>
  <si>
    <t>/img1/imgb419.jpg</t>
  </si>
  <si>
    <t>www.americanretailsupply.com\64737\19770\Star-Prenotched-Bows-Ribbon\Pull-Out-Pre--Notch-Bows.html</t>
  </si>
  <si>
    <t>&lt;p&gt;&lt;br&gt;&lt;br&gt;&lt;br&gt;Splendorette Ribbon &lt;br&gt;is a wonderful shiny poly ribbon.&lt;br&gt;Order ribbon per roll.&lt;br&gt;Made in the U.S.A.&lt;br&gt;&lt;br&gt;&lt;/p&gt;</t>
  </si>
  <si>
    <t>Splendorette Ribbon</t>
  </si>
  <si>
    <t>/img2/imge11f.jpg</t>
  </si>
  <si>
    <t>www.americanretailsupply.com\64737\19861\Star-Prenotched-Bows-Ribbon\Splendorette-Ribbon.html</t>
  </si>
  <si>
    <t>&lt;p&gt;Jiffy&amp;#174;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available&lt;br&gt;&lt;br&gt;&lt;/p&gt;</t>
  </si>
  <si>
    <t>J 2 Standard Duty Steamer</t>
  </si>
  <si>
    <t>/img3/img077d.jpg</t>
  </si>
  <si>
    <t>www.americanretailsupply.com\64851\36430\Steamers\J-2-Standard-Duty-Steamer.html</t>
  </si>
  <si>
    <t>&lt;p&gt;  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&lt;/p&gt;</t>
  </si>
  <si>
    <t>J 4000 Heavy Duty Commercial Steamer</t>
  </si>
  <si>
    <t>/img1/img2ca1.jpg</t>
  </si>
  <si>
    <t>www.americanretailsupply.com\64851\36431\Steamers\J-4000-Heavy-Duty-Commercial-Steamer.html</t>
  </si>
  <si>
    <t>&lt;p&gt;  Our unique Steamer Liquid Cleaner removes hard water deposits from Jiffy&amp;#174; Steamers.  Its easy to use and it works on all Jiffy Steamer models. Three 10 ounce bottles per package. Not available for export.  &lt;/p&gt;</t>
  </si>
  <si>
    <t>Jiffy Steamer Liquid Cleaner</t>
  </si>
  <si>
    <t>/img3/imgcd9a.jpg</t>
  </si>
  <si>
    <t>www.americanretailsupply.com\64851\223605\Steamers\Jiffy-Steamer-Liquid-Cleaner.html</t>
  </si>
  <si>
    <t>&lt;p&gt;The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steamers.&lt;/p&gt;</t>
  </si>
  <si>
    <t>G 4 Standard Duty Steamer</t>
  </si>
  <si>
    <t>/img1/img003f.jpg</t>
  </si>
  <si>
    <t>www.americanretailsupply.com\64851\435378\Steamers\G-4-Standard-Duty-Steamer.html</t>
  </si>
  <si>
    <t>&lt;p&gt;We carry many replacement parts for your steamer from handles, hoses and water bottles. If you don't see the part you need here please call 1-800-436-4708 and a helpful sales representative can assist you. &lt;/p&gt;</t>
  </si>
  <si>
    <t>Steamer Replacement Parts</t>
  </si>
  <si>
    <t>/img3/img9498.jpg</t>
  </si>
  <si>
    <t>www.americanretailsupply.com\64851\784084\Steamers\Steamer-Replacement-Parts.html</t>
  </si>
  <si>
    <t>&lt;p&gt;The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filling&lt;/p&gt;</t>
  </si>
  <si>
    <t>Hat Steamer / Model J-4000H</t>
  </si>
  <si>
    <t>/img3/imgb1b0.jpg</t>
  </si>
  <si>
    <t>www.americanretailsupply.com\64851\788322\Steamers\Hat-Steamer--Model-J--4000H.html</t>
  </si>
  <si>
    <t>&lt;p&gt;The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owner&lt;/p&gt;</t>
  </si>
  <si>
    <t>Hat Steamer/Model J1</t>
  </si>
  <si>
    <t>/img1/img72c3.jpg</t>
  </si>
  <si>
    <t>www.americanretailsupply.com\64851\788323\Steamers\Hat-SteamerModel-J1.html</t>
  </si>
  <si>
    <t>&lt;p&gt;Shiny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pack.&lt;/p&gt;</t>
  </si>
  <si>
    <t>Stretch Loop</t>
  </si>
  <si>
    <t>stretch loops</t>
  </si>
  <si>
    <t>These are great for those who don't have a lot of time to add that</t>
  </si>
  <si>
    <t>/img3/imgdaf1.jpg</t>
  </si>
  <si>
    <t>www.americanretailsupply.com\64741\19919\Stretch-Loops--Cord\Stretch-Loops.html</t>
  </si>
  <si>
    <t>&lt;p&gt;Tinsel Cord (doesn't stretch) comes available in Silver, Gold, or Emerald for your retail store. &lt;br&gt;100 yds./roll. &lt;/p&gt;</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</si>
  <si>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</si>
  <si>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</si>
  <si>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</si>
  <si>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/img1/imgbfe4.jpg</t>
  </si>
  <si>
    <t>www.americanretailsupply.com\64741\19921\Stretch-Loops--Cord\Tinsel-Cord.html</t>
  </si>
  <si>
    <t>&lt;p&gt;Metallic 25yrd/roll.&lt;/p&gt;</t>
  </si>
  <si>
    <t>Cleopatra Cord</t>
  </si>
  <si>
    <t>/img2/img82b1.jpg</t>
  </si>
  <si>
    <t>www.americanretailsupply.com\64741\172809\Stretch-Loops--Cord\Cleopatra-Cord.html</t>
  </si>
  <si>
    <t>&lt;p&gt;Stretch Wrap Hand Dispenser&lt;br&gt;Adjustable 11" to 18"&lt;/p&gt;</t>
  </si>
  <si>
    <t>Stretch Wrap Hand Dispenser</t>
  </si>
  <si>
    <t>/img3/img1faf.jpg</t>
  </si>
  <si>
    <t>www.americanretailsupply.com\64866\48218\Stretch-Wrap\Stretch-Wrap-Hand-Dispenser.html</t>
  </si>
  <si>
    <t>&lt;p&gt;Stretch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loads&lt;br&gt;&lt;/p&gt;</t>
  </si>
  <si>
    <t>Stretch Wrap Clear Film</t>
  </si>
  <si>
    <t>/img1/img9856.jpg</t>
  </si>
  <si>
    <t>www.americanretailsupply.com\64866\48219\Stretch-Wrap\Stretch-Wrap-Clear-Film.html</t>
  </si>
  <si>
    <t>&lt;p&gt;Men's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NY)&lt;/p&gt;</t>
  </si>
  <si>
    <t>Mens Suit and Shirt Forms</t>
  </si>
  <si>
    <t>/img2/img2124.jpg</t>
  </si>
  <si>
    <t>www.americanretailsupply.com\25471\36443\Suit-Dress-Blouse--Shirt-Forms\Mens-Suit-and-Shirt-Forms.html</t>
  </si>
  <si>
    <t>&lt;p&gt;Women's Dress &amp;amp; Blouse Form with Metal Base for you to display women's dresses and blouses are available in creme with a metal base.  They are a good alternative to full sized mannequins that are more expensive.  &lt;/p&gt;</t>
  </si>
  <si>
    <t>Womens Dress &amp; Blouse Form with Metal Base</t>
  </si>
  <si>
    <t>/img1/img62ec.jpg</t>
  </si>
  <si>
    <t>www.americanretailsupply.com\65152\756600\Suit-Dress-Forms\Womens-Dress--Blouse-Form-with-Metal-Base.html</t>
  </si>
  <si>
    <t>&lt;p&gt;Men's Dress Suits &amp;amp; Shirt Forms with Metal Base are available in creme with a metal base.  They are a good alternative to full sized mannequins that are more expensive.  &lt;/p&gt;</t>
  </si>
  <si>
    <t>Mens Suit &amp; Shirt Form with Metal Base</t>
  </si>
  <si>
    <t>/img3/imge747.jpg</t>
  </si>
  <si>
    <t>www.americanretailsupply.com\65152\756601\Suit-Dress-Forms\Mens-Suit--Shirt-Form-with-Metal-Base.html</t>
  </si>
  <si>
    <t>&lt;p&gt;Sullivan Ethnic, Animal Prints &amp;amp; Classics Giftwrap paper in a wide range of popular patterns.&lt;br&gt;Available for your retail store packaging needs in full and half ream rolls.&lt;br&gt;Click on the image below to see a larger view.&lt;br&gt;&lt;br&gt;&lt;br&gt;&lt;/p&gt;</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</si>
  <si>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</si>
  <si>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</si>
  <si>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</si>
  <si>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/img1/img3a2d.jpg</t>
  </si>
  <si>
    <t>www.americanretailsupply.com\64719\50116\Sullivan-GiftWrap\Ethnic-Animal-Prints--Classics-Giftwrap.html</t>
  </si>
  <si>
    <t>&lt;p&gt;Sullivan Beautiful Florentines, Florals, Fruits &amp;amp; Tapestry Giftwrap Section 1 paper in a wide range of popular patterns.&lt;br&gt;Available for your retail store packaging needs in full and half ream rolls.&lt;br&gt;&lt;br&gt;&lt;/p&gt;</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</si>
  <si>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</si>
  <si>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</si>
  <si>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</si>
  <si>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/img3/imge5db.jpg</t>
  </si>
  <si>
    <t>www.americanretailsupply.com\64719\50846\Sullivan-GiftWrap\Florentines-Florals-Fruits--Tapestries-Giftwrap-1.html</t>
  </si>
  <si>
    <t>&lt;p&gt;Sullivan - lovely Florentine's, Floral's, Fruit's &amp;amp; Tapestries Giftwrap Section 2 paper in many beautiful patterns. Available in full and half ream rolls.&lt;br&gt;&lt;br&gt;&lt;/p&gt;</t>
  </si>
  <si>
    <t>Gift Wrap and Retail Store Packaging, Store Supplies and Gift Wrap</t>
  </si>
  <si>
    <t>floral gift wrap, fruit wrapping paper</t>
  </si>
  <si>
    <t>/img2/imge099.jpg</t>
  </si>
  <si>
    <t>www.americanretailsupply.com\64719\51636\Sullivan-GiftWrap\Florentines-Florals-Fruits--Tapestries-Gift-Wrap-2.html</t>
  </si>
  <si>
    <t>&lt;p&gt;Choose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view.&lt;br&gt;&lt;/p&gt;</t>
  </si>
  <si>
    <t>wedding gift wrap, wrapping paper, reversible wrapping paper</t>
  </si>
  <si>
    <t>/img2/img6d25.jpg</t>
  </si>
  <si>
    <t>www.americanretailsupply.com\64719\51688\Sullivan-GiftWrap\Wedding--Shower.html</t>
  </si>
  <si>
    <t>&lt;p&gt;Your customer's Valentine will be so happy when they see there gift in one of these lovely Sullivan Valentines Giftwrap. Available in Full and Half Reams.&lt;br&gt;&lt;/p&gt;</t>
  </si>
  <si>
    <t>valentine's day wrapping paper, valentine's gift wrap</t>
  </si>
  <si>
    <t>/img3/imgf69b.jpg</t>
  </si>
  <si>
    <t>www.americanretailsupply.com\64719\51689\Sullivan-GiftWrap\Valentines-Day-Giftwrap.html</t>
  </si>
  <si>
    <t>&lt;p&gt;Sullivan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view.&lt;br&gt;&lt;br&gt;&lt;br&gt;&lt;/p&gt;</t>
  </si>
  <si>
    <t>foil gift wrap, foil wrapping paper</t>
  </si>
  <si>
    <t>/img1/img76c6.jpg</t>
  </si>
  <si>
    <t>www.americanretailsupply.com\64719\51720\Sullivan-GiftWrap\Foils-Metallics-and-Pearlescents-Giftwrap.html</t>
  </si>
  <si>
    <t>&lt;p&gt;These are some really fun cheery patterns from the Sullivan Birthday &amp;amp; Celebration Giftwrap collection.&lt;br&gt;Click on the image below to see a larger view.&lt;br&gt;&lt;/p&gt;</t>
  </si>
  <si>
    <t>Sullivan Birthday &amp; Celebration Gift Wrap</t>
  </si>
  <si>
    <t>birthday wrapping paper gift wrap celebration wrapping paper sullivan bulk wrapping paper retail packaging supplies</t>
  </si>
  <si>
    <t>/img1/img256a.jpg</t>
  </si>
  <si>
    <t>www.americanretailsupply.com\64719\51722\Sullivan-GiftWrap\Birthday-Celebration--Party-Giftwrap.html</t>
  </si>
  <si>
    <t>&lt;p&gt;Look at the large selection we have from the Sullivan Baby &amp;amp; Juvenile Giftwrap collection.&lt;br&gt;Click on the image below to see a larger view.&lt;br&gt;&lt;/p&gt;</t>
  </si>
  <si>
    <t>Sullivan Baby and Kids Gift Wrap</t>
  </si>
  <si>
    <t>gift wrap baby wrapping paper bulk juvenile wrap retail packaging supplies baby shower gift wrapping childrens kids boys girls</t>
  </si>
  <si>
    <t>/img1/img5358.jpg</t>
  </si>
  <si>
    <t>www.americanretailsupply.com\64719\51723\Sullivan-GiftWrap\Baby--Juvenile-Giftwrap.html</t>
  </si>
  <si>
    <t>&lt;p&gt;Sullivan Geometric pattern Giftwrap paper in a wide selection. Available for your retail store packaging needs in full and half ream rolls.&lt;br&gt;Click on the image below to see a larger view.&lt;br&gt;&lt;br&gt;&lt;br&gt;&lt;/p&gt;</t>
  </si>
  <si>
    <t>geometric wrapping paper, geometric gift wrap</t>
  </si>
  <si>
    <t>/img2/img2c01.jpg</t>
  </si>
  <si>
    <t>www.americanretailsupply.com\64719\51748\Sullivan-GiftWrap\Geometrics-Giftwrap.html</t>
  </si>
  <si>
    <t>&lt;p&gt;Sullivan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view.&lt;br&gt;&lt;br&gt;&lt;br&gt;&lt;/p&gt;</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</si>
  <si>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</si>
  <si>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</si>
  <si>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</si>
  <si>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/img1/img71c0.jpg</t>
  </si>
  <si>
    <t>www.americanretailsupply.com\64719\51749\Sullivan-GiftWrap\Dots-Stripes--Miscellaneous-Gift-Wrap.html</t>
  </si>
  <si>
    <t>&lt;p&gt;Sullivan Pastimes, Sports like football, soccer, tennis, hockey, Sailing/Nautical, Marbles, &amp;amp; Masculine Giftwrap are available are Full and Half Reams. Sold per roll.&lt;/p&gt;</t>
  </si>
  <si>
    <t>reversible gift wrap, masculine gift wrap, wrapping paper</t>
  </si>
  <si>
    <t>/img3/img4449.jpg</t>
  </si>
  <si>
    <t>www.americanretailsupply.com\64719\51750\Sullivan-GiftWrap\Pastimes-Sports-Sailing-Marbles--Masculine-Giftwrap.html</t>
  </si>
  <si>
    <t>&lt;p&gt;Sullivan Solid Colored Giftwrap. The creativity you can express with this wide choice of solid colors is endless. Available in Full and Half reams. &lt;/p&gt;</t>
  </si>
  <si>
    <t>solid color gift wrap, wrapping paper</t>
  </si>
  <si>
    <t>/img1/imga5d9.jpg</t>
  </si>
  <si>
    <t>www.americanretailsupply.com\64719\434882\Sullivan-GiftWrap\Solid-Colored-Giftwrap.html</t>
  </si>
  <si>
    <t>&lt;p&gt;You will be amazed at these Sullivan Special Occasions Giftwrap. Take a look at the Holographic ones for sure as they are very unusual. Available in Full and Half reams.&lt;/p&gt;</t>
  </si>
  <si>
    <t>special occasion gift wrap, holiday gift wrap, wrapping paper</t>
  </si>
  <si>
    <t>/img2/img3639.jpg</t>
  </si>
  <si>
    <t>www.americanretailsupply.com\64719\434967\Sullivan-GiftWrap\Special-Occasions-Giftwrap.html</t>
  </si>
  <si>
    <t>&lt;p&gt;Order needles by the box. Each box has 3 needles. Needles come in standard, fine, heavy duty and reinforced. The 5515, 5515H and 5515R are for use in a standard tagging gun. The 5520 and 5520R are for use in a fine tagging gun. &lt;br&gt;&lt;br&gt;&lt;br&gt;Left - Item 5515 box of 3 needles.&lt;/p&gt;</t>
  </si>
  <si>
    <t>Replacement Needles</t>
  </si>
  <si>
    <t>/img2/imgce19.jpg</t>
  </si>
  <si>
    <t>www.americanretailsupply.com\64684\231731\Tach-It-Taggers\Replacement-Needles.html</t>
  </si>
  <si>
    <t>&lt;p&gt;Tach It Tachers are a great value.  Our own brand. An excellent, economical alternative.  Full 1 year warranty!  Satisfaction Guaranteed!&lt;/p&gt;</t>
  </si>
  <si>
    <t>TACH IT Taggers</t>
  </si>
  <si>
    <t>/img2/img4c69.jpg</t>
  </si>
  <si>
    <t>www.americanretailsupply.com\64684\231732\Tach-It-Taggers\TACH-IT-Taggers.html</t>
  </si>
  <si>
    <t>&lt;p&gt;Tachit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&lt;/p&gt;</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</si>
  <si>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</si>
  <si>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</si>
  <si>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</si>
  <si>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/img1/img7275.jpg</t>
  </si>
  <si>
    <t>www.americanretailsupply.com\64684\231735\Tach-It-Taggers\Tach-IT-Fasteners.html</t>
  </si>
  <si>
    <t>&lt;p&gt;Blank Manila Shipping Tags; choose from three sizes.&lt;br&gt;Order tags by the box.&lt;br&gt;Each box has 1000 tags.&lt;/p&gt;</t>
  </si>
  <si>
    <t>Manila Shipping Tags, Retail Store Tags</t>
  </si>
  <si>
    <t>shipping tags retail store tags shipping tag</t>
  </si>
  <si>
    <t>Shipping tags for sale online, order manila shipping tags and shipping supplies for your retail store.</t>
  </si>
  <si>
    <t>/img3/imge0df.jpg</t>
  </si>
  <si>
    <t>www.americanretailsupply.com\64980\1756\Tags\Manila-Blank-Tags.html</t>
  </si>
  <si>
    <t>&lt;p&gt;Blank White Scallop Top Tags come in a variety of sizes. Choose if you would like them with String or No String.&lt;br&gt;Order tags by the box.&lt;br&gt;Each box has 1000 tags.&lt;br&gt;&lt;/p&gt;</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</si>
  <si>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</si>
  <si>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</si>
  <si>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</si>
  <si>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/img1/imgf9bc.jpg</t>
  </si>
  <si>
    <t>www.americanretailsupply.com\64980\1757\Tags\Blank-White-Scallop-Top-Tags.html</t>
  </si>
  <si>
    <t>&lt;p&gt;Clearly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tags&lt;/p&gt;</t>
  </si>
  <si>
    <t>Apparel Tags - Colored with Perforation, Retail Store Tags</t>
  </si>
  <si>
    <t>apparel tags colored tags retail store apparel tags</t>
  </si>
  <si>
    <t>Apparel tags for sale online, order colored apparel tags with perforation for your retail store apparel tagging needs.</t>
  </si>
  <si>
    <t>/img1/imgaa2e.jpg</t>
  </si>
  <si>
    <t>www.americanretailsupply.com\64980\47297\Tags\Apparel-Tags-Colored-with-Perforation.html</t>
  </si>
  <si>
    <t>&lt;p&gt;Clearly mark garments for Alterations with these Manila Service Tags. &lt;br&gt;Order tags by the box.&lt;br&gt;Each box has 500 tags.&lt;/p&gt;</t>
  </si>
  <si>
    <t>Manila Service Tags, Garment &amp; Alteration Tags</t>
  </si>
  <si>
    <t>service tags garment tags alteration tags</t>
  </si>
  <si>
    <t>Service tags for sale online, order manila service tags including garment alteration, repair, and lay-away tags for your retail store.</t>
  </si>
  <si>
    <t>/img1/img0cec.jpg</t>
  </si>
  <si>
    <t>www.americanretailsupply.com\64980\47299\Tags\Manila-Service-Tags.html</t>
  </si>
  <si>
    <t>&lt;p&gt;These high visual impact Sale Price Top Tags are available in 2 sizes 1 1/8 x 1 3/4 or 1 5/8 x 2 3/4 in either strung or unstrung versions. &lt;/p&gt;</t>
  </si>
  <si>
    <t>Sale Price Tags for Retail</t>
  </si>
  <si>
    <t>sale price tags retail store sale tags price tag</t>
  </si>
  <si>
    <t>Sale price tags for retail stores for sale online, order sale price tags including string and slotted price tags.</t>
  </si>
  <si>
    <t>/img2/img9741-2.jpg</t>
  </si>
  <si>
    <t>www.americanretailsupply.com\64980\47307\Tags\Sale-Price-Tags.html</t>
  </si>
  <si>
    <t>&lt;p&gt;Sold &amp;amp; Hold Tags saves so much time for your staff with just a quick glance they can see what is going on with that particular garment.&lt;/p&gt;</t>
  </si>
  <si>
    <t>Red Sold Tags, Blue Retail Hold Tags</t>
  </si>
  <si>
    <t>sold tags hold tags retail red sold tags</t>
  </si>
  <si>
    <t>Sold and hold tags for retail stores, order red sold tags and blue hold tags for your retail store needs online.</t>
  </si>
  <si>
    <t>/img1/img3c7e.jpg</t>
  </si>
  <si>
    <t>www.americanretailsupply.com\64980\173733\Tags\Sold--Hold-Tags.html</t>
  </si>
  <si>
    <t>&lt;p&gt;Clearly mark your retail store's apparel items with these White Rectangle Tags. Choose from a variety of sizes and orientation in either strung or unstrung versions.&lt;br&gt;Order tags by the box.&lt;br&gt;Each box has 1000. &lt;br&gt;&lt;/p&gt;</t>
  </si>
  <si>
    <t>Retail Tags, Blank White Rectangle Tags</t>
  </si>
  <si>
    <t>rectangle tags blank white retail tags</t>
  </si>
  <si>
    <t>Retail tags for sale online, order retail price marking tags including blank white rectangle tags for your retail store.</t>
  </si>
  <si>
    <t>/img1/imgbd5e.jpg</t>
  </si>
  <si>
    <t>www.americanretailsupply.com\64980\226084\Tags\White-Rectangle-Apparel-Tags.html</t>
  </si>
  <si>
    <t>&lt;p&gt;3M Clear Carton Sealing Tape available in 2" x 55 yard and 2" x 110 yard rolls and 3/4" x 72 yards on 3 inch core.&lt;br&gt;Packaged 6 Rolls per case.&lt;/p&gt;</t>
  </si>
  <si>
    <t>Carton Sealing Tape - Retail Packaging &amp; Supplies, Sealing Tape</t>
  </si>
  <si>
    <t>carton sealing tape packaging tape sealing tape</t>
  </si>
  <si>
    <t>Carton sealing tape for sale, order retail packaging supplies including carton sealing tape for your retail store online.</t>
  </si>
  <si>
    <t>/img1/imgf949.jpg</t>
  </si>
  <si>
    <t>www.americanretailsupply.com\64849\48235\Tape\3M-Carton-Sealing-Tape.html</t>
  </si>
  <si>
    <t>&lt;p&gt;Hand Held Tape Dispensers 2" Standard Duty &lt;/p&gt;</t>
  </si>
  <si>
    <t>Hand Held Tape Dispensers</t>
  </si>
  <si>
    <t>/img2/img3fec.jpg</t>
  </si>
  <si>
    <t>www.americanretailsupply.com\64849\48236\Tape\Hand-Held-Tape-Dispensers.html</t>
  </si>
  <si>
    <t>&lt;p&gt;Add a handle to any box for easy carrying.  1 3/8" x 23" long White handles with 30 lb. carrying weight&lt;br&gt;Sold 25 Handles per pad&lt;br&gt;&lt;/p&gt;</t>
  </si>
  <si>
    <t>White Tape Carry Handles</t>
  </si>
  <si>
    <t>/img2/imge26f.jpg</t>
  </si>
  <si>
    <t>www.americanretailsupply.com\64849\777695\Tape\White-Tape-Carry-Handles.html</t>
  </si>
  <si>
    <t>&lt;p&gt;Repair Tape Pocket Pads are easy to use. Clear only.&lt;br&gt;&amp;#8226; 2" x 6" size&lt;br&gt;&amp;#8226; 25 sheets per pad&lt;br&gt;Sold by 200 pads per Case.&lt;br&gt;&lt;/p&gt;</t>
  </si>
  <si>
    <t>Repair Tape Pocket Pads</t>
  </si>
  <si>
    <t>/img3/img6d90.jpg</t>
  </si>
  <si>
    <t>www.americanretailsupply.com\64849\777696\Tape\Repair-Tape-Pocket-Pads.html</t>
  </si>
  <si>
    <t>&lt;p&gt;2" x 6" Double Coated Tape Pads for an easy repair of your shipping boxes.  &lt;br&gt;15 sheets per pad, 150 pads per Case.&lt;br&gt;&lt;/p&gt;</t>
  </si>
  <si>
    <t>Double Coated Tape Pads</t>
  </si>
  <si>
    <t>/img3/img75bb.jpg</t>
  </si>
  <si>
    <t>www.americanretailsupply.com\64849\777697\Tape\Double-Coated-Tape-Pads.html</t>
  </si>
  <si>
    <t>&lt;p&gt;The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amount.&lt;/p&gt;</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</si>
  <si>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</si>
  <si>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</si>
  <si>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</si>
  <si>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/img3/img4403.jpg</t>
  </si>
  <si>
    <t>www.americanretailsupply.com\64765\37205\Tempered-Glass\316-Tempered-Cube-Glass.html</t>
  </si>
  <si>
    <t>&lt;p&gt;Be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   &lt;/p&gt;</t>
  </si>
  <si>
    <t>3/16" Tempered with 2" Radius Corners</t>
  </si>
  <si>
    <t>/img3/imgc879.jpg</t>
  </si>
  <si>
    <t>www.americanretailsupply.com\64765\37254\Tempered-Glass\316-Tempered-with-2-Radius-Corners.html</t>
  </si>
  <si>
    <t>&lt;p&gt;The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amount.&lt;/p&gt;</t>
  </si>
  <si>
    <t>3/16" Tempered Quarter Round</t>
  </si>
  <si>
    <t>/img1/imgb606.jpg</t>
  </si>
  <si>
    <t>www.americanretailsupply.com\64765\37258\Tempered-Glass\316-Tempered-Quarter-Round.html</t>
  </si>
  <si>
    <t>&lt;p&gt;3/8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  &lt;/p&gt;</t>
  </si>
  <si>
    <t>Glass Shelves | 3/8" Tempered Shelf Glass - Square Corners</t>
  </si>
  <si>
    <t>glass shelves tempered shelf glass square corners glass shelf</t>
  </si>
  <si>
    <t>Glass shelves for retail store displays, order 3/8</t>
  </si>
  <si>
    <t>/img2/img4e12.jpg</t>
  </si>
  <si>
    <t>www.americanretailsupply.com\64765\37260\Tempered-Glass\38-Tempered-Shelf-Glass-Square-Corners.html</t>
  </si>
  <si>
    <t>&lt;p&gt;   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  &lt;/p&gt;</t>
  </si>
  <si>
    <t>3/8" Tempered Shelf Glass - Dime Radius Corners</t>
  </si>
  <si>
    <t>/img2/img5849.jpg</t>
  </si>
  <si>
    <t>www.americanretailsupply.com\64765\37261\Tempered-Glass\38-Tempered-Shelf-Glass-with-Dime-Radius-Corners.html</t>
  </si>
  <si>
    <t>&lt;p&gt;Remember: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amount.&lt;br&gt;&lt;/p&gt;</t>
  </si>
  <si>
    <t>Retail Glass Shelves | Tempered Shelf Glass, Square Corners</t>
  </si>
  <si>
    <t>retail glass shelves tempered shelf glass shelves square corners</t>
  </si>
  <si>
    <t>Retail glass shelves for sale online, order 3/16</t>
  </si>
  <si>
    <t>www.americanretailsupply.com\64765\47145\Tempered-Glass\316-Tempered-Shelf-Glass-Square-Corners.html</t>
  </si>
  <si>
    <t>&lt;p&gt;Fits 3/8" Glass, 12" and 14"&lt;/p&gt;</t>
  </si>
  <si>
    <t>Shelf Dividers</t>
  </si>
  <si>
    <t>/img2/imgd71f.jpg</t>
  </si>
  <si>
    <t>www.americanretailsupply.com\64765\174132\Tempered-Glass\Shelf-Dividers.html</t>
  </si>
  <si>
    <t>&lt;p&gt;The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</si>
  <si>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Tower</t>
  </si>
  <si>
    <t>Radius Tower display, fixtures, glass shelving shelves presentation</t>
  </si>
  <si>
    <t>/img1/imgb96d.jpg</t>
  </si>
  <si>
    <t>www.americanretailsupply.com\64766\37267\Tempered-Glass-Tower-Displays\Radius-Tower.html</t>
  </si>
  <si>
    <t>&lt;p&gt;The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</si>
  <si>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Extended Tower</t>
  </si>
  <si>
    <t>Radius Extended Tower, display, presentation, fixtures</t>
  </si>
  <si>
    <t>/img3/imgc3d2.jpg</t>
  </si>
  <si>
    <t>www.americanretailsupply.com\64766\37271\Tempered-Glass-Tower-Displays\Radius-Extended-Tower.html</t>
  </si>
  <si>
    <t>&lt;p&gt;This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Instructions.&lt;br&gt;    A $25.00 glass crating charge will be added to glass orders. Also this product will be shipped VIA common carrier. Freight will be quoted separately. You will be notified of the freight amount.&lt;/p&gt;</t>
  </si>
  <si>
    <t>Retail Store Display, Tier Graduated Glass Tower Displays</t>
  </si>
  <si>
    <t>retail store display glass tower displays</t>
  </si>
  <si>
    <t>Retail store displays in brass and glass or chrome in glass, order three tier graduated glass tower displays for your retail store online.</t>
  </si>
  <si>
    <t>/img2/img6715.jpg</t>
  </si>
  <si>
    <t>www.americanretailsupply.com\64766\37273\Tempered-Glass-Tower-Displays\3-Tier-Graduated-Tower.html</t>
  </si>
  <si>
    <t>&lt;p&gt;The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</si>
  <si>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Extended Tower</t>
  </si>
  <si>
    <t>Quarter Round Extended Tower, glass shelving, display, fixtures, presentation</t>
  </si>
  <si>
    <t>/img1/img78fe.jpg</t>
  </si>
  <si>
    <t>www.americanretailsupply.com\64766\37275\Tempered-Glass-Tower-Displays\Quarter-Round-Extended-Tower.html</t>
  </si>
  <si>
    <t>&lt;p&gt;This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</si>
  <si>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Tower</t>
  </si>
  <si>
    <t>Quarter Round Tower glass shelves, shelving, display, presentation</t>
  </si>
  <si>
    <t>/img3/imgf4f6.jpg</t>
  </si>
  <si>
    <t>www.americanretailsupply.com\64766\37277\Tempered-Glass-Tower-Displays\Quarter-Round-Tower.html</t>
  </si>
  <si>
    <t>&lt;p&gt;TG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&lt;/p&gt;</t>
  </si>
  <si>
    <t>TG Tacher Standard and Fine Fasteners</t>
  </si>
  <si>
    <t>www.americanretailsupply.com\64682\1513\TG-Tacher-Taggers\TG-Tacher-Standard-and-Fine-Fasteners.html</t>
  </si>
  <si>
    <t>&lt;p&gt;TG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instruction.&lt;/p&gt;</t>
  </si>
  <si>
    <t>TG Tacher Taggers</t>
  </si>
  <si>
    <t>/img1/img3383.jpg</t>
  </si>
  <si>
    <t>www.americanretailsupply.com\64682\48132\TG-Tacher-Taggers\TG-Tacher-Taggers.html</t>
  </si>
  <si>
    <t>&lt;p&gt;Start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 &lt;/p&gt;</t>
  </si>
  <si>
    <t>Standard Tagger Package</t>
  </si>
  <si>
    <t>TG Tacher, Standard Tagger Package, Economy Tagger Package</t>
  </si>
  <si>
    <t>Get our most popular tagger package already assembled together for you! Get now at American Retail Supply.</t>
  </si>
  <si>
    <t>/img1/img9c79.jpg</t>
  </si>
  <si>
    <t>www.americanretailsupply.com\64682\792849\TG-Tacher-Taggers\Standard-Tagger-Package.html</t>
  </si>
  <si>
    <t>&lt;p&gt;Looking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below.&lt;/p&gt;</t>
  </si>
  <si>
    <t>CD &amp; DVD Tins - CD &amp; DVD Tin Case Boxes in Round, Square &amp; Rectangular</t>
  </si>
  <si>
    <t>cd tins dvd tin case box cd dvd tins</t>
  </si>
  <si>
    <t>CD &amp; DVD Tins - Order CD &amp; DVD tins by the case including round and square tin cases for CDs and rectangular tins for DVDs.</t>
  </si>
  <si>
    <t>/img2/img1844.jpg</t>
  </si>
  <si>
    <t>www.americanretailsupply.com\64717\172935\Tin-Boxes\CD--DVD-Tins.html</t>
  </si>
  <si>
    <t>&lt;p&gt;Here's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 to complete your packaging.&lt;br&gt;Order tins by the case.&lt;br&gt;Each case has 10 tins.&lt;/p&gt;</t>
  </si>
  <si>
    <t>Retail Packaging Tins, Solid Tins with PET Window for Retail Packaging</t>
  </si>
  <si>
    <t>retail packaging tins solid tins pet window</t>
  </si>
  <si>
    <t>Tins for retail packaging, order retail packaging tins for your retail store packaging needs online.</t>
  </si>
  <si>
    <t>/img3/img5445.jpg</t>
  </si>
  <si>
    <t>www.americanretailsupply.com\64717\172936\Tin-Boxes\Solid-Tins-with-PET-Window.html</t>
  </si>
  <si>
    <t>&lt;p&gt;  &lt;br&gt;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WA&lt;/p&gt;</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</si>
  <si>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</si>
  <si>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</si>
  <si>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</si>
  <si>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/img3/img1123.jpg</t>
  </si>
  <si>
    <t>www.americanretailsupply.com\65005\742516\Tissue-in-Animal-Prints\Wildlife-Printed-Tissue-Paper-Assortment-Pack.html</t>
  </si>
  <si>
    <t>&lt;p&gt; &lt;br&gt;               &lt;br&gt;&lt;br&gt;&lt;br&gt;&lt;br&gt;White and Recycled Kraft Tissue paper are made with 50% Post-Industrial waste, 10% post consumer waste, 40% virgin fiber. Made in the U.S.A.  Order Tissue by the package. Package sizes are two reams of 480 sheets each.  Sheet sizes are as marked. &lt;/p&gt;</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</si>
  <si>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</si>
  <si>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</si>
  <si>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</si>
  <si>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/img2/img26e3.jpg</t>
  </si>
  <si>
    <t>www.americanretailsupply.com\64703\19955\Tissue-Paper\White-and-Recycled-Kraft-Tissue-Paper.html</t>
  </si>
  <si>
    <t>&lt;p&gt;Popular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Assortments.&lt;br&gt;&lt;/p&gt;</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</si>
  <si>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</si>
  <si>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</si>
  <si>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</si>
  <si>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/img2/img9527.jpg</t>
  </si>
  <si>
    <t>www.americanretailsupply.com\64703\19964\Tissue-Paper\Solid-Color-Tissue-Paper-Assortment-Packs.html</t>
  </si>
  <si>
    <t>&lt;p&gt;  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&lt;/p&gt;</t>
  </si>
  <si>
    <t>Printed Tissue Paper, Precious Metals Tissue Paper</t>
  </si>
  <si>
    <t>printed tissue paper</t>
  </si>
  <si>
    <t>Precious metals printed tissue paper is perfect for retail store gift wrapping and displays, order printed tissue paper and retail supplies online.</t>
  </si>
  <si>
    <t>/img1/imgc168.jpg</t>
  </si>
  <si>
    <t>www.americanretailsupply.com\64703\20014\Tissue-Paper\Precious-Metal-Patterns-Printed-Tissue-Paper.html</t>
  </si>
  <si>
    <t>&lt;p&gt;&lt;br&gt;&lt;br&gt;&lt;br&gt;Gift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designs.&lt;/p&gt;</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</si>
  <si>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</si>
  <si>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</si>
  <si>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</si>
  <si>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/img1/imgc233.jpg</t>
  </si>
  <si>
    <t>www.americanretailsupply.com\64703\22984\Tissue-Paper\Shamrock-Printed-Tissue-Paper.html</t>
  </si>
  <si>
    <t>&lt;p&gt;Our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 and &lt;a href="http://arsv2.eporiaservices.com/64722/Western-Themed-GiftWrap-V2.html"&gt;gift wrap!&lt;br&gt;Order Printed Tissue by the package. Package sizes are 200 sheets. Sheets are 20" x 30".&lt;/p&gt;</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</si>
  <si>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</si>
  <si>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</si>
  <si>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</si>
  <si>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/img3/imgd7d5.jpg</t>
  </si>
  <si>
    <t>www.americanretailsupply.com\64703\27521\Tissue-Paper\Western-Printed-Tissue-Paper.html</t>
  </si>
  <si>
    <t>&lt;p&gt;    &lt;br&gt;            &lt;br&gt;&lt;br&gt;&lt;br&gt;&lt;br&gt;Order Printed Tissue by the package.  Packages contain the following sheet numbers:&lt;br&gt;Items that end in A = 240 sheets per pack, B = 200 sheets per pack, D = 100 sheets per pack&lt;br&gt;Sheets measure 20" x 30". Printed with soy-based inks&lt;br&gt;Made in the U.S.A. &lt;/p&gt;</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</si>
  <si>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</si>
  <si>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</si>
  <si>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</si>
  <si>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/img1/img2e89.jpg</t>
  </si>
  <si>
    <t>www.americanretailsupply.com\64703\223360\Tissue-Paper\Botanical-Printed-Tissue-Paper.html</t>
  </si>
  <si>
    <t>&lt;p&gt;    &lt;br&gt;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  &lt;/p&gt;</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</si>
  <si>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</si>
  <si>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</si>
  <si>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</si>
  <si>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/img3/img7729.jpg</t>
  </si>
  <si>
    <t>www.americanretailsupply.com\64703\223361\Tissue-Paper\All-Occasion-Printed-Tissue-Paper.html</t>
  </si>
  <si>
    <t>&lt;p&gt;    &lt;br&gt;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&lt;/p&gt;</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</si>
  <si>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</si>
  <si>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</si>
  <si>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</si>
  <si>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/img2/img9998.jpg</t>
  </si>
  <si>
    <t>www.americanretailsupply.com\64703\223465\Tissue-Paper\Pearlesence-Tissue-Paper.html</t>
  </si>
  <si>
    <t>&lt;p&gt;  Gemstones Patterned Tissue Paper are beautiful sparkling holographic colors and patterns.   Order Gemstone tissue paper by the package.&lt;br&gt;    Tissue is priced per package of 200 sheets. 4 Packages per case. Sheets measure 20" x 30".&lt;br&gt;&lt;/p&gt;</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</si>
  <si>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</si>
  <si>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</si>
  <si>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</si>
  <si>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/img3/imgcbac.jpg</t>
  </si>
  <si>
    <t>www.americanretailsupply.com\64703\223466\Tissue-Paper\Gemstones-Patterned-Tissue-Paper.html</t>
  </si>
  <si>
    <t>&lt;p&gt;Reflections Tissue is made by a unique process that hot stamps flecks of metal onto the tissue.  This creates a truly unique specialty tissue.  &lt;br&gt;Order Reflections Tissue by the package of 200 sheets, unless noted otherwise.  &lt;br&gt;&lt;/p&gt;</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</si>
  <si>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</si>
  <si>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</si>
  <si>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</si>
  <si>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/img2/imge556.jpg</t>
  </si>
  <si>
    <t>www.americanretailsupply.com\64703\443003\Tissue-Paper\Reflections-Tissue-Paper.html</t>
  </si>
  <si>
    <t>&lt;p&gt;    &lt;br&gt;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U.S.A.&lt;/p&gt;</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</si>
  <si>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</si>
  <si>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</si>
  <si>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</si>
  <si>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/img1/img23a1.jpg</t>
  </si>
  <si>
    <t>www.americanretailsupply.com\64703\742518\Tissue-Paper\Animal-Printed-Tissue-Paper.html</t>
  </si>
  <si>
    <t>&lt;p&gt;   &lt;a href="http://www.makeyouhappy.com/Faq_Detail.asp?id=1494"&gt;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 Just click on the link.&lt;br&gt;   &lt;a href="http://yoosh.co/ars_files/rs6.eporia.com/company_8/Slatwall%20Assembly%20Instructions.pdf"&gt;Installation Instructions.&lt;br&gt;This product will be shipped VIA common carrier. Freight will be quoted separately. You will be notified of the freight amount. Additional crating charge will be added to your order. &lt;br&gt;    &lt;/p&gt;</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</si>
  <si>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</si>
  <si>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</si>
  <si>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</si>
  <si>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/img3/img518d.jpg</t>
  </si>
  <si>
    <t>www.americanretailsupply.com\64942\2347\Traditional-Slatwall-Panels--Inserts\Slatwall-Panels.html</t>
  </si>
  <si>
    <t>&lt;p&gt;Some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href="mailto:Info@americanretailsupply.com"&gt;Info@americanretailsupply.com&lt;br&gt;&lt;br&gt;Some of these items will be shipped VIA common carrier. Freight will be quoted separately. You will be notified of the freight amount.&lt;/p&gt;</t>
  </si>
  <si>
    <t>slatwall panel inserts for retail display and fixtures</t>
  </si>
  <si>
    <t>slatwall panel inserts, display, fixtures permanent, reinforcement</t>
  </si>
  <si>
    <t>/img1/img649a.jpg</t>
  </si>
  <si>
    <t>www.americanretailsupply.com\64942\148448\Traditional-Slatwall-Panels--Inserts\Slatwall-Panel-Inserts.html</t>
  </si>
  <si>
    <t>&lt;p&gt;   Tulle Rolls are available in 6" x 25 yards. &lt;br&gt;3" x 25 yards rolls are LIMITED TO STOCK ON HAND.&lt;br&gt;Priced per roll.&lt;br&gt;&lt;/p&gt;</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</si>
  <si>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</si>
  <si>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</si>
  <si>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</si>
  <si>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/img2/imgf1b8.jpg</t>
  </si>
  <si>
    <t>www.americanretailsupply.com\64742\172821\Tulle\Tulle-Rolls.html</t>
  </si>
  <si>
    <t>&lt;p&gt;Give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are located here.&lt;br&gt;&lt;br&gt;There are many more individual components and configurations available. For more Turn-O-Matic options, just give us a call at 800-426-5708.&lt;/p&gt;</t>
  </si>
  <si>
    <t>Turn O Matic Systems</t>
  </si>
  <si>
    <t>/img3/img4778.jpg</t>
  </si>
  <si>
    <t>www.americanretailsupply.com\64854\12530\Turn--O--Matic-Systems\Turn-O-Matic-Systems.html</t>
  </si>
  <si>
    <t>&lt;p&gt;Turn-O-Matic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800-426-5708.&lt;/p&gt;</t>
  </si>
  <si>
    <t>Turn O Matic Tickets</t>
  </si>
  <si>
    <t>/img3/img1438.jpg</t>
  </si>
  <si>
    <t>www.americanretailsupply.com\64854\148404\Turn--O--Matic-Systems\Turn-O-Matic-Tickets.html</t>
  </si>
  <si>
    <t>&lt;p&gt;The Unbreakables Female Hanging Torso Form with No Arms. Female Torso form with wire loop for hanging. 7/8" plastic flange.&lt;br&gt;Use display stand &lt;a href="http://arsv2.eporiaservices.com/25486/156623/Realistic-Mannequin-System/Round-Weighted-Base.html"&gt;42VBASERD7 -Round Weighted Base to hang form.&lt;br&gt;Chest - 34"&lt;br&gt;Waist - 27"&lt;br&gt;Hips - 38"&lt;/p&gt;</t>
  </si>
  <si>
    <t>Female Hanging Torso Form with No Arms</t>
  </si>
  <si>
    <t>/img2/imgbab2.jpg</t>
  </si>
  <si>
    <t>www.americanretailsupply.com\65155\741086\Unbreakable-Forms\Female-Hanging-Torso-Form-with-No-Arms.html</t>
  </si>
  <si>
    <t>&lt;p&gt;The Unbreakables Female Torso Form with Arms. Self-standing form for countertop's,&lt;br&gt;tabletop's or shelves. &lt;br&gt;Includes arms with articulated fingers.Height - 35"&lt;br&gt;Chest - 34"&lt;br&gt;Waist - 27"&lt;br&gt;Hips - 37"&lt;/p&gt;</t>
  </si>
  <si>
    <t>Female Torso Form with Arms</t>
  </si>
  <si>
    <t>/img2/imgce4c.jpg</t>
  </si>
  <si>
    <t>www.americanretailsupply.com\65155\741088\Unbreakable-Forms\Female-Torso-Form-with-Arms.html</t>
  </si>
  <si>
    <t>&lt;p&gt;The Unbreakables Female Torso Form with No Arms. Self-standing form for countertop's,&lt;br&gt;tabletop's or shelves. &lt;br&gt;Height - 35"&lt;br&gt;Chest - 34"&lt;br&gt;Waist - 27"&lt;br&gt;Hips - 37"&lt;/p&gt;</t>
  </si>
  <si>
    <t>Female Torso Form with No Arms</t>
  </si>
  <si>
    <t>/img1/img9493.jpg</t>
  </si>
  <si>
    <t>www.americanretailsupply.com\65155\741089\Unbreakable-Forms\Female-Torso-Form-with-No-Arms.html</t>
  </si>
  <si>
    <t>&lt;p&gt;The Unbreakables Male Hanging Torso Form with No Arms. Male torso form with wire loop for hanging. 7/8" plastic flange.&lt;br&gt;Use display stand &lt;a href="../../../25486/156623/Realistic-Mannequin-System/Round-Weighted-Base.html"&gt;42VBASERD7 -Round Weighted Base to hang form.&lt;br&gt;Neck - 14"&lt;br&gt;Chest - 38"&lt;br&gt;Waist - 30"&lt;/p&gt;</t>
  </si>
  <si>
    <t>Male Hanging Torso Form with No Arms</t>
  </si>
  <si>
    <t>/img1/imga20b.jpg</t>
  </si>
  <si>
    <t>www.americanretailsupply.com\65155\741093\Unbreakable-Forms\Male-Hanging-Torso-Form-with-No-Arms.html</t>
  </si>
  <si>
    <t>&lt;p&gt;The Unbreakables self-standing Male Torso Form with Arms.  Self-standing form for countertop's, tabletop's or shelves. Includes arms with articulated fingers.&lt;br&gt;Neck - 14"&lt;br&gt;Chest - 38"&lt;br&gt;Waist - 30"&lt;/p&gt;</t>
  </si>
  <si>
    <t>Male Torso Form with Arms</t>
  </si>
  <si>
    <t>/img3/img1e6b.jpg</t>
  </si>
  <si>
    <t>www.americanretailsupply.com\65155\741095\Unbreakable-Forms\Male-Torso-Form-with-Arms.html</t>
  </si>
  <si>
    <t>&lt;p&gt;The Unbreakables self-standing Male Torso Form with No Arms.  For countertop's, tabletop's &lt;br&gt;or shelves. Neck - 14"&lt;br&gt;Chest - 38"&lt;br&gt;Waist - 30"&lt;/p&gt;</t>
  </si>
  <si>
    <t>Male Torso Form with No Arms</t>
  </si>
  <si>
    <t>/img2/imgd16a.jpg</t>
  </si>
  <si>
    <t>www.americanretailsupply.com\65155\741096\Unbreakable-Forms\Male-Torso-Form-with-No-Arms.html</t>
  </si>
  <si>
    <t>&lt;p&gt;The Unbreakables Female with Oval Head mannequin with straight legs and arms. &lt;br&gt;Includes 14" square white metal base.&lt;br&gt;Height - 72"&lt;br&gt;Chest - 34"&lt;br&gt;Waist - 27"&lt;br&gt;Hips - 38"&lt;/p&gt;</t>
  </si>
  <si>
    <t>Female with Oval Head</t>
  </si>
  <si>
    <t>/img1/imgf7ee.jpg</t>
  </si>
  <si>
    <t>www.americanretailsupply.com\65155\741098\Unbreakable-Forms\Female-with-Oval-Head.html</t>
  </si>
  <si>
    <t>&lt;p&gt;The Unbreakables Female Headless with Straight Legs &amp;amp; Arms mannequin. &lt;br&gt;Includes 14" square white metal base. &lt;br&gt;Height - 65"&lt;br&gt;Chest - 34"&lt;br&gt;Waist - 27"&lt;br&gt;Hips - 38"&lt;/p&gt;</t>
  </si>
  <si>
    <t>Female Headless with Straight Legs &amp; Arms</t>
  </si>
  <si>
    <t>/img2/imgc084.jpg</t>
  </si>
  <si>
    <t>www.americanretailsupply.com\65155\741100\Unbreakable-Forms\Female-Headless-with-Straight-Legs--Arms.html</t>
  </si>
  <si>
    <t>&lt;p&gt;The Unbreakables Male Headless with Straight Legs and Arms mannequin. &lt;br&gt;Includes 14" square white metal base.&lt;br&gt;Height - 68"&lt;br&gt;Neck - 14"&lt;br&gt;Chest - 38"&lt;br&gt;Sleeve - 34"&lt;br&gt;Waist - 30"&lt;br&gt;Inseam - 34"&lt;br&gt;Shoe size 11&lt;/p&gt;</t>
  </si>
  <si>
    <t>Male Headless with Straight Legs and Arms</t>
  </si>
  <si>
    <t>/img3/imgb655.jpg</t>
  </si>
  <si>
    <t>www.americanretailsupply.com\65155\741103\Unbreakable-Forms\Male-Headless-with-Straight-Legs-and-Arms.html</t>
  </si>
  <si>
    <t>&lt;p&gt;Unbreakables Female Leg Form.&lt;br&gt;Height - 48"&lt;br&gt;Waist - 27"&lt;br&gt;Hips - 38"&lt;/p&gt;</t>
  </si>
  <si>
    <t>Female Leg Form</t>
  </si>
  <si>
    <t>/img1/img8a01.jpg</t>
  </si>
  <si>
    <t>www.americanretailsupply.com\65155\741105\Unbreakable-Forms\Female-Leg-Form.html</t>
  </si>
  <si>
    <t>&lt;p&gt;The Unbreakables Male Leg Form. &lt;br&gt;Height - 46"&lt;br&gt;Waist - 30"&lt;br&gt;Inseam - 34"&lt;/p&gt;</t>
  </si>
  <si>
    <t>Male Leg Form</t>
  </si>
  <si>
    <t>/img3/img7908.jpg</t>
  </si>
  <si>
    <t>www.americanretailsupply.com\65155\741106\Unbreakable-Forms\Male-Leg-Form.html</t>
  </si>
  <si>
    <t>&lt;p&gt;Unbreakables Female Hip Form.&lt;br&gt;Waist - 27"&lt;br&gt;Hips - 38"&lt;/p&gt;</t>
  </si>
  <si>
    <t>Female Hip Form</t>
  </si>
  <si>
    <t>/img2/imgd3a4.jpg</t>
  </si>
  <si>
    <t>www.americanretailsupply.com\65155\741108\Unbreakable-Forms\Female-Hip-Form.html</t>
  </si>
  <si>
    <t>&lt;p&gt;The Unbreakables Male Hip Form  Waste 30&lt;br&gt;&lt;/p&gt;</t>
  </si>
  <si>
    <t>Male Hip Form</t>
  </si>
  <si>
    <t>/img3/img9926.jpg</t>
  </si>
  <si>
    <t>www.americanretailsupply.com\65155\741109\Unbreakable-Forms\Male-Hip-Form.html</t>
  </si>
  <si>
    <t>&lt;p&gt;The Universal System is recommended for moderate loads and normal traffic conditions. Use any of the Knife Edge Bracket style of Universal Systems for those types of loads.&lt;br&gt;&lt;/p&gt;</t>
  </si>
  <si>
    <t>Universal Brackets</t>
  </si>
  <si>
    <t>/img2/img5087.jpg</t>
  </si>
  <si>
    <t>www.americanretailsupply.com\64966\41105\Universal-HD-Brackets\Universal-Brackets.html</t>
  </si>
  <si>
    <t>&lt;p&gt;The Universal System is recommended for moderate loads and normal traffic conditions. Universal Flange Brackets are made to be used with wood shelves. The Flange has screw holes so that you can attach a wood shelf to the bracket.&lt;/p&gt;</t>
  </si>
  <si>
    <t>Universal Flange Brackets</t>
  </si>
  <si>
    <t>/img3/img1e30-2.jpg</t>
  </si>
  <si>
    <t>www.americanretailsupply.com\64966\41106\Universal-HD-Brackets\Universal-Flange-Brackets.html</t>
  </si>
  <si>
    <t>&lt;p&gt;Flange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conditions.&lt;br&gt;&lt;/p&gt;</t>
  </si>
  <si>
    <t>Universal Adjustable Flange Brackets</t>
  </si>
  <si>
    <t>/img3/img6998.jpg</t>
  </si>
  <si>
    <t>www.americanretailsupply.com\64966\41107\Universal-HD-Brackets\Universal-Adjustable-Flange-Brackets.html</t>
  </si>
  <si>
    <t>&lt;p&gt;Universal System Straight Faceout with Metal Lock Nut  is 12" long x 3/4" square&lt;br&gt;Mirror Polished Chrome Brackets, Faceouts.&lt;br&gt;For moderate loads. &lt;/p&gt;</t>
  </si>
  <si>
    <t>Universal Straight Faceout with Metal Lock Nut</t>
  </si>
  <si>
    <t>/img2/imgde4a.jpg</t>
  </si>
  <si>
    <t>www.americanretailsupply.com\64966\41108\Universal-HD-Brackets\Universal-Straight-Faceout-with-Metal-Lock-Nut.html</t>
  </si>
  <si>
    <t>&lt;p&gt;Universal System Ball Waterfall with Metal Lock Nut&lt;br&gt;Mirror Polished Chrome Brackets, Faceouts&lt;br&gt;For moderate loads. Waterfall is made with 3/4" square tubing.     &lt;br&gt;.&lt;/p&gt;</t>
  </si>
  <si>
    <t>Waterfall Ball with Metal Lock Nut</t>
  </si>
  <si>
    <t>/img3/img056c.jpg</t>
  </si>
  <si>
    <t>www.americanretailsupply.com\64966\41109\Universal-HD-Brackets\Waterfall-Ball-with-Metal-Lock-Nut.html</t>
  </si>
  <si>
    <t>&lt;p&gt;Universal System Waterfall Hook is made with 3/4" square tubing&lt;br&gt;Mirror Polished Chrome Brackets, Faceouts&lt;br&gt;For moderate loads.&lt;br&gt;1/2" slots, 1 in on center for 1" adjustments.   &lt;/p&gt;</t>
  </si>
  <si>
    <t>Waterfall Hook with Metal Lock Nut</t>
  </si>
  <si>
    <t>/img1/imgac35.jpg</t>
  </si>
  <si>
    <t>www.americanretailsupply.com\64966\41110\Universal-HD-Brackets\Waterfall-Hook-with-Metal-Lock-Nut.html</t>
  </si>
  <si>
    <t>&lt;p&gt;Universal Brackets for Merchandise Bar with Lock Nuts,  The bracket end is centered. Mirror Polished Chrome Brackets, Faceouts for moderate loads.&lt;br&gt;&lt;br&gt;&lt;a href="http://arsv2.eporiaservices.com/64939/Merchandising-Bars-Hangrod-Crossbars-V2.html"&gt;Click here for Merchandise Bar options&lt;/p&gt;</t>
  </si>
  <si>
    <t>Universal Brackets for Merchandise Bar with Lock Nuts</t>
  </si>
  <si>
    <t>/img3/img4a88.jpg</t>
  </si>
  <si>
    <t>www.americanretailsupply.com\64966\41111\Universal-HD-Brackets\Universal-Brackets-for-Merchandise-Bar-with-Lock-Nuts.html</t>
  </si>
  <si>
    <t>&lt;p&gt;Universal System Hangrod End Mount Bracket comes with a thumb lock Mirror Polished Chrome Brackets, Faceouts. The Universal System is recommended for moderate loads and normal traffic conditions.&lt;br&gt;&lt;/p&gt;</t>
  </si>
  <si>
    <t>Universal Hangrod End Mount Bracket</t>
  </si>
  <si>
    <t>/img2/img6156.jpg</t>
  </si>
  <si>
    <t>www.americanretailsupply.com\64966\41112\Universal-HD-Brackets\Universal-Hangrod-End-Mount-Bracket.html</t>
  </si>
  <si>
    <t>&lt;p&gt;Universal Hangrod Brackets with Spring Clamp are made for both 1" and 1 1/4" hangrod.  These brackets fit Double Slotted Standards only,  may not be used with concealed wall standards. The Universal System is recommended for moderate loads and normal traffic conditions.&lt;br&gt;&lt;/p&gt;</t>
  </si>
  <si>
    <t>Universal Hangrod Brackets with Spring Clamp</t>
  </si>
  <si>
    <t>/img3/imga0b7.jpg</t>
  </si>
  <si>
    <t>www.americanretailsupply.com\64966\41113\Universal-HD-Brackets\Universal-Hangrod-Brackets-with-Spring-Clamp.html</t>
  </si>
  <si>
    <t>Universal Brackets with Plastic Thumb Lock</t>
  </si>
  <si>
    <t>/img1/img2b4c.jpg</t>
  </si>
  <si>
    <t>www.americanretailsupply.com\64966\47132\Universal-HD-Brackets\Universal-Brackets-with-Plastic-Thumb-Lock.html</t>
  </si>
  <si>
    <t>&lt;p&gt;Universal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loads.&lt;br&gt;&lt;/p&gt;</t>
  </si>
  <si>
    <t>Universal Brackets w/Upturn at Standard</t>
  </si>
  <si>
    <t>/img2/img586a.jpg</t>
  </si>
  <si>
    <t>www.americanretailsupply.com\64966\47133\Universal-HD-Brackets\Universal-Brackets-wUpturn-at-Standard.html</t>
  </si>
  <si>
    <t>Universal Adjustable Brackets</t>
  </si>
  <si>
    <t>/img3/img2e5f.jpg</t>
  </si>
  <si>
    <t>www.americanretailsupply.com\64966\47134\Universal-HD-Brackets\Universal-Adjustable-Brackets.html</t>
  </si>
  <si>
    <t>&lt;p&gt;Heavy duty Brackets are for your heaviest loads and with merchandising bar snap on bracket. The Universal System is recommended for moderate loads and normal traffic conditions. Use any of the Knife Edge Bracket style of Universal Systems for those types of loads.&lt;br&gt;&lt;/p&gt;</t>
  </si>
  <si>
    <t>Universal Heavy Duty Bracket</t>
  </si>
  <si>
    <t>/img2/imgae85.jpg</t>
  </si>
  <si>
    <t>www.americanretailsupply.com\64966\47135\Universal-HD-Brackets\Universal-Heavy-Duty-Bracket.html</t>
  </si>
  <si>
    <t>&lt;p&gt;Replacement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&lt;/p&gt;</t>
  </si>
  <si>
    <t>Replacement Rubber Buttons</t>
  </si>
  <si>
    <t>/img2/imgfe95.jpg</t>
  </si>
  <si>
    <t>www.americanretailsupply.com\64966\228809\Universal-HD-Brackets\Replacement-Rubber-Buttons.html</t>
  </si>
  <si>
    <t>&lt;p&gt;Universal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amount.&lt;br&gt;&lt;/p&gt;</t>
  </si>
  <si>
    <t>Universal Single Slotted Standards</t>
  </si>
  <si>
    <t>/img3/img97bb.jpg</t>
  </si>
  <si>
    <t>www.americanretailsupply.com\64965\41114\Universal-HD-Wall-Standards\Universal-Single-Slotted-Standards.html</t>
  </si>
  <si>
    <t>&lt;p&gt;Universal System Showcase Mounting Brackets are for use with single slotted standard only.&lt;br&gt;&lt;br&gt;These are mirror polished chrome.&lt;br&gt;&lt;br&gt;Intended for moderate loads. &lt;br&gt;&lt;/p&gt;</t>
  </si>
  <si>
    <t>Showcase Mounting Brackets for Universal Standards</t>
  </si>
  <si>
    <t>/img1/img006b.jpg</t>
  </si>
  <si>
    <t>www.americanretailsupply.com\64965\41115\Universal-HD-Wall-Standards\Showcase-Mounting-Brackets-for-Universal-Standards.html</t>
  </si>
  <si>
    <t>&lt;p&gt;Universal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amount.&lt;/p&gt;</t>
  </si>
  <si>
    <t>Universal "T" Concealed Standard</t>
  </si>
  <si>
    <t>/img3/img6f69.jpg</t>
  </si>
  <si>
    <t>www.americanretailsupply.com\64965\41116\Universal-HD-Wall-Standards\Universal-T-Concealed-Standard.html</t>
  </si>
  <si>
    <t>&lt;p&gt;1/2"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amount.&lt;br&gt;&lt;/p&gt;</t>
  </si>
  <si>
    <t>Universal Double Slotted Standards</t>
  </si>
  <si>
    <t>/img1/imgc23f.jpg</t>
  </si>
  <si>
    <t>www.americanretailsupply.com\64965\41117\Universal-HD-Wall-Standards\Universal-Double-Slotted-Standards.html</t>
  </si>
  <si>
    <t>&lt;p&gt;Slimline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amount.&lt;/p&gt;</t>
  </si>
  <si>
    <t>Universal Slimline Single Slotted Standards</t>
  </si>
  <si>
    <t>/img2/imgb97c.jpg</t>
  </si>
  <si>
    <t>www.americanretailsupply.com\64965\41118\Universal-HD-Wall-Standards\Universal-Slimline-Single-Slotted-Standards.html</t>
  </si>
  <si>
    <t>&lt;p&gt; &lt;br&gt;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 &lt;/p&gt;</t>
  </si>
  <si>
    <t>Gift Wrap, Celebration Wrapping Paper, Recycled Gift Wrap</t>
  </si>
  <si>
    <t>Recycled, recycled retail supplies, recycled paper, recycled wrapping paper</t>
  </si>
  <si>
    <t>Recycled Gift Wrap and Retail Store Packaging, Retail Store Supplies and Gift Wrap</t>
  </si>
  <si>
    <t>/img2/img1449.jpg</t>
  </si>
  <si>
    <t>www.americanretailsupply.com\64721\709419\VantagePOINT-GiftWrap\Recycled-Paper-Everyday-Patterns-Giftwrap.html</t>
  </si>
  <si>
    <t>&lt;p&gt;Made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  They're open at the top, sealed on the bottom and sides, so information is easy to see and won't fall out.  11 vertical and 3 horizontal sizes.&lt;/p&gt;</t>
  </si>
  <si>
    <t>Vinyl Sign Envelopes</t>
  </si>
  <si>
    <t>/img2/img3b52.jpg</t>
  </si>
  <si>
    <t>www.americanretailsupply.com\64982\783305\Vinyl-Envelope--Sign-Holders\Vinyl-Sign-Envelopes.html</t>
  </si>
  <si>
    <t>&lt;p&gt;Keep your store and dressing rooms in order by using wall mounted hooks. Hooks come in straight and waterfall styles and mount easily into wall studs or drywall with screws.  &lt;/p&gt;</t>
  </si>
  <si>
    <t>Chrome Wallmount Hooks</t>
  </si>
  <si>
    <t>Retail store fixtures for sale online including chrome dressing room hooks and more retail store fixtures and wallmount brackets.</t>
  </si>
  <si>
    <t>/img3/img1c29.jpg</t>
  </si>
  <si>
    <t>www.americanretailsupply.com\64940\44174\Wallmount-Brackets\Chrome-Wallmount-Hooks.html</t>
  </si>
  <si>
    <t>&lt;p&gt;These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1/2"&lt;/p&gt;</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</si>
  <si>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</si>
  <si>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</si>
  <si>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</si>
  <si>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/img1/imgaa3d.jpg</t>
  </si>
  <si>
    <t>www.americanretailsupply.com\64940\253862\Wallmount-Brackets\Contemporary-Design-Wallmount-Fixtures.html</t>
  </si>
  <si>
    <t>&lt;p&gt;Order Western Christmas Bags printed paper bags and are sold by the package.&lt;br&gt;Be sure to check out our Christmas &lt;a href="http://arsv2.eporiaservices.com/64703/27521/Tissue-Paper-V2/Western-Printed-Tissue-Paper.html"&gt;coordinating tissue paper and &lt;a href="http://arsv2.eporiaservices.com/64722/Western-Themed-GiftWrap-V2.html"&gt;giftwrap too!&lt;br&gt;Bag sizes and package quantities are listed below.&lt;br&gt;&lt;br&gt;&lt;/p&gt;</t>
  </si>
  <si>
    <t>/img1/imgb628.jpg</t>
  </si>
  <si>
    <t>www.americanretailsupply.com\65003\734721\Western-Themed-Christmas-Bags\Western-Christmas-Bags.html</t>
  </si>
  <si>
    <t>&lt;p&gt;Our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color.&lt;br&gt;&lt;/p&gt;</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</si>
  <si>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</si>
  <si>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</si>
  <si>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</si>
  <si>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/img3/img172b.jpg</t>
  </si>
  <si>
    <t>www.americanretailsupply.com\64722\27519\Western-Themed-GiftWrap\Everyday-Western--English-Gift-Wrap.html</t>
  </si>
  <si>
    <t>&lt;p&gt;Our Christmas Western and English giftwrap designs were created with an eye for detail. Samples are available upon request. Some of the actual designs may vary in size and color.&lt;br&gt;&lt;/p&gt;</t>
  </si>
  <si>
    <t>Christmas Western Gift Wrap, Retail Packaging Giftwrap</t>
  </si>
  <si>
    <t>western christmas gift wrap retail giftwrap packaging</t>
  </si>
  <si>
    <t>Western themed Christmas gift wrap, order giftwrapping paper and retail packaging supplies online at American Retail Supply.</t>
  </si>
  <si>
    <t>/img3/img5b23.jpg</t>
  </si>
  <si>
    <t>www.americanretailsupply.com\64722\224448\Western-Themed-GiftWrap\Christmas-Western-Giftwrap.html</t>
  </si>
  <si>
    <t>&lt;p&gt;Plate holder is an 1/8 thick acrylic display. This easel is available in three sizes.&lt;/p&gt;</t>
  </si>
  <si>
    <t>Acrylic Dinnerware - Plate Holder</t>
  </si>
  <si>
    <t>Acrylic Dinnerware - Plate Holder, display</t>
  </si>
  <si>
    <t>/img3/imgf137.jpg</t>
  </si>
  <si>
    <t>www.americanretailsupply.com\64665\2087\Wire--Acylic-Easels\Acrylic-Dinnerware-Plate-Holder.html</t>
  </si>
  <si>
    <t>&lt;p&gt;Display your merchandise on one of these many varieties of easels.&lt;/p&gt;</t>
  </si>
  <si>
    <t>Wire Vinyl Coated Easels</t>
  </si>
  <si>
    <t>Wire Vinyl Coated Easels, presentation, display</t>
  </si>
  <si>
    <t>/img2/imgc2b9.jpg</t>
  </si>
  <si>
    <t>www.americanretailsupply.com\64665\17056\Wire--Acylic-Easels\Wire-Vinyl-Coated-Easels.html</t>
  </si>
  <si>
    <t>&lt;p&gt;These Clear Acrylic Countertop Display Easels have a 1" deep opening making them perfect for displaying narrow books, videos, or CD's. These easels are made from 1/8" thick acrylic. &lt;/p&gt;</t>
  </si>
  <si>
    <t>Acrylic Countertop 1" Opening Easels</t>
  </si>
  <si>
    <t>Acrylic Countertop 1</t>
  </si>
  <si>
    <t>/img1/img81a1.jpg</t>
  </si>
  <si>
    <t>www.americanretailsupply.com\64665\34059\Wire--Acylic-Easels\Acrylic-Countertop-1-Opening-Easels.html</t>
  </si>
  <si>
    <t>&lt;p&gt;This Acrylic Display Easel is the perfect choice for displaying cellphone and GPS systems items.&lt;/p&gt;</t>
  </si>
  <si>
    <t>Acrylic Cellphone/GPS Easels</t>
  </si>
  <si>
    <t>Acrylic Cellphone/GPS Easels, display, presentation</t>
  </si>
  <si>
    <t>/img3/imgb3d9.jpg</t>
  </si>
  <si>
    <t>www.americanretailsupply.com\64665\476305\Wire--Acylic-Easels\Acrylic-Cellphone-and-GPS-Easels.html</t>
  </si>
  <si>
    <t>&lt;p&gt;Twisted wire easels are available in three sizes in your choice of Black, Brass, or Silver.&lt;br&gt;&lt;br&gt;    &lt;br&gt;    Left: 79510_&lt;br&gt;    Silver color&lt;/p&gt;</t>
  </si>
  <si>
    <t>/img2/img20dd.jpg</t>
  </si>
  <si>
    <t>www.americanretailsupply.com\64665\476693\Wire--Acylic-Easels\Twisted-Wire-Easels.html</t>
  </si>
  <si>
    <t>&lt;p&gt;Wooden Hinged Easels are available in 4 sizes and in your choice of black or walnut.&lt;/p&gt;</t>
  </si>
  <si>
    <t>Wooden Hinged Easels</t>
  </si>
  <si>
    <t>Wooden Hinged Easels, display for books, presentation, plates, pictures</t>
  </si>
  <si>
    <t>/img1/img9fc4.jpg</t>
  </si>
  <si>
    <t>www.americanretailsupply.com\64665\476694\Wire--Acylic-Easels\Wooden-Hinged-Easels.html</t>
  </si>
  <si>
    <t>&lt;p&gt;The Counter Rack Metal Base is an 8" square.&lt;/p&gt;</t>
  </si>
  <si>
    <t>Counter Rack Metal Base</t>
  </si>
  <si>
    <t>/img2/img2435.jpg</t>
  </si>
  <si>
    <t>www.americanretailsupply.com\64799\47248\Wire-Rack-Components\Counter-Rack-Metal-Base.html</t>
  </si>
  <si>
    <t>&lt;p&gt;The Tubular Steel Floor Base has a 24" diameter.&lt;/p&gt;</t>
  </si>
  <si>
    <t>Tubular Steel Floor Base</t>
  </si>
  <si>
    <t>/img1/imgbfb1.jpg</t>
  </si>
  <si>
    <t>www.americanretailsupply.com\64799\47250\Wire-Rack-Components\Tubular-Steel-Floor-Base.html</t>
  </si>
  <si>
    <t>&lt;p&gt;Use these poles to make your own Wire Rack Display the length you want.&lt;br&gt;&lt;br&gt;The Counter Top Pole is 17" x 1".&lt;br&gt; &lt;br&gt;&lt;br&gt;The Floor Rack Pole set is 20" x 1".&lt;br&gt;&lt;br&gt;  The Pole Add On's are 15 1/2" x 1".&lt;br&gt;&lt;br&gt;&lt;br&gt;Cotter pin holes every 3.&lt;br&gt;&lt;/p&gt;</t>
  </si>
  <si>
    <t>Poles for Wire Racks</t>
  </si>
  <si>
    <t>/img2/imgb2c8.jpg</t>
  </si>
  <si>
    <t>www.americanretailsupply.com\64799\47252\Wire-Rack-Components\Poles-for-Wire-Racks.html</t>
  </si>
  <si>
    <t>&lt;p&gt;The 6 Hook Tiers have either 6" or 8" tiers and a 6 gauge.&lt;/p&gt;</t>
  </si>
  <si>
    <t>6 Hook Tiers</t>
  </si>
  <si>
    <t>/img2/imgd832.jpg</t>
  </si>
  <si>
    <t>www.americanretailsupply.com\64799\47261\Wire-Rack-Components\6-Hook-Tiers.html</t>
  </si>
  <si>
    <t>&lt;p&gt;The 4 Hook Tiers have either 6" or 8" tiers and a 6 gauge.&lt;/p&gt;</t>
  </si>
  <si>
    <t>4 Hook Tiers</t>
  </si>
  <si>
    <t>/img1/imgce04.jpg</t>
  </si>
  <si>
    <t>www.americanretailsupply.com\64799\47263\Wire-Rack-Components\4-Hook-Tiers.html</t>
  </si>
  <si>
    <t>&lt;p&gt;The 18 Hook Tier has 6" hooks and a gauge of 9.&lt;/p&gt;</t>
  </si>
  <si>
    <t>18 Hook Tier</t>
  </si>
  <si>
    <t>/img1/imgdf2e.jpg</t>
  </si>
  <si>
    <t>www.americanretailsupply.com\64799\47264\Wire-Rack-Components\18-Hook-Tier.html</t>
  </si>
  <si>
    <t>&lt;p&gt;The Plastic Counter Base has an 11 counter base and 18 floor base.&lt;/p&gt;</t>
  </si>
  <si>
    <t>Plastic Base</t>
  </si>
  <si>
    <t>/img3/imgea3c.jpg</t>
  </si>
  <si>
    <t>www.americanretailsupply.com\64799\47276\Wire-Rack-Components\Plastic-Base.html</t>
  </si>
  <si>
    <t>&lt;p&gt;Video tier has 4 pockets. 5 1/4" wide x 4" deep x 6 1/2" high. 9 ga.&lt;/p&gt;</t>
  </si>
  <si>
    <t>Video Tier</t>
  </si>
  <si>
    <t>/img3/imgf6eb.jpg</t>
  </si>
  <si>
    <t>www.americanretailsupply.com\64799\225890\Wire-Rack-Components\Video-Tier.html</t>
  </si>
  <si>
    <t>&lt;p&gt;The&amp;#160;24 Hook Tier has 6" hooks. 21" diameter. 9ga.&lt;/p&gt;</t>
  </si>
  <si>
    <t>24 Hook Tier</t>
  </si>
  <si>
    <t>/img3/img38b9.jpg</t>
  </si>
  <si>
    <t>www.americanretailsupply.com\64799\225891\Wire-Rack-Components\24-Hook-Tier.html</t>
  </si>
  <si>
    <t>&lt;p&gt;&lt;br&gt;Slatwall wire shelves have 5 gauge edges, 5 gauge long wires, and 12 gauge cross wires &lt;br&gt;unless otherwise listed.&lt;/p&gt;</t>
  </si>
  <si>
    <t>wire shelves for slatwall, display, fixtures, hanging display</t>
  </si>
  <si>
    <t>/img1/imgbf7a.jpg</t>
  </si>
  <si>
    <t>www.americanretailsupply.com\64814\224468\Wire-Shelves\Slatwall-Flat-Wire-Shelves.html</t>
  </si>
  <si>
    <t>&lt;p&gt;  Flat Wire Shelves for Gridwall have 5 gauge edges, 5 gauge long wires, and 12 gauge cross wires unless otherwise listed. &lt;br&gt;&lt;/p&gt;</t>
  </si>
  <si>
    <t>Gridwall and Slatwall fixtures and displays - flat wire shelves</t>
  </si>
  <si>
    <t>flat wire shelves, gridwire, gridwall, display, fixtures, shelving, shelves, wire shelf, flat wire shelf</t>
  </si>
  <si>
    <t>/img3/imgfe9d.jpg</t>
  </si>
  <si>
    <t>www.americanretailsupply.com\64814\225136\Wire-Shelves\Gridwall-Flat-Wire-Shelves.html</t>
  </si>
  <si>
    <t>&lt;p&gt;Raffia - Natural or colors imported from Madagascar, Ideal for trimming for your retail store's boxes and bags. &lt;br&gt;Colors: Natural Kraft, Basil, Red, Orange, and Hunter Green.&lt;br&gt;Comes in a 6 oz. bag.&lt;/p&gt;</t>
  </si>
  <si>
    <t>Raffia, Retail Packaging Supplies</t>
  </si>
  <si>
    <t>raffia kraft red orange green raffia</t>
  </si>
  <si>
    <t>Retail packaging supplies for sale online including decorative raffia in blue, red, orange, green, natural kraft and more.</t>
  </si>
  <si>
    <t>/img1/img4c95.jpg</t>
  </si>
  <si>
    <t>www.americanretailsupply.com\64740\19623\Wraphia-Raffia-Excelsior\Raffia.html</t>
  </si>
  <si>
    <t>&lt;p&gt;Wraphia in Matte Colors is a synthetic alternative to natural raffia for your retail store. Colorfast and gentler on the hands. Continuous 100 yard roll is easy to use, reducing mess and waste. &lt;br&gt;Order wraphia by the roll. Each roll is 100 yards. &lt;/p&gt;</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</si>
  <si>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</si>
  <si>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</si>
  <si>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</si>
  <si>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/img1/imga4c3.jpg</t>
  </si>
  <si>
    <t>www.americanretailsupply.com\64740\19642\Wraphia-Raffia-Excelsior\Wraphia-in-Matte-Colors.html</t>
  </si>
  <si>
    <t>&lt;p&gt;Wraphia in Pearlized Colors is a synthetic alternative to natural raffia. Colorfast and gentler on the hands. Continuous 100 yard roll is easy to use, reducing mess and waste. &lt;br&gt;Order wraphia by the roll.&lt;br&gt;Each roll is 100 yards. &lt;/p&gt;</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</si>
  <si>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</si>
  <si>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</si>
  <si>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</si>
  <si>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/img2/imga23e.jpg</t>
  </si>
  <si>
    <t>www.americanretailsupply.com\64740\50120\Wraphia-Raffia-Excelsior\Wraphia-in-Pearlized-Colors.html</t>
  </si>
  <si>
    <t>&lt;p&gt;Now these are great since you can easily use as a riser and you have a ready to use sign holder built into this product. Works wonderfully for advertising and displaying your products.&lt;/p&gt;</t>
  </si>
  <si>
    <t>Acrylic Risers with Sign Holders - 1.5" - 3.5" Wide</t>
  </si>
  <si>
    <t>Acrylic Risers with Built in Sign Holders, display, Acrylic riser, Acrylic sign holder,</t>
  </si>
  <si>
    <t>A Great Two in One with the Built In Sign Holder. Risers Bring Products Closer To Your Customer. Shop Here Now!</t>
  </si>
  <si>
    <t>/img1/imga83b.jpg</t>
  </si>
  <si>
    <t>www.americanretailsupply.com\64769\575979\Acrylic-Risers--Cubes\-Acrylic-Risers-with-Built-in-Sign-Holders.html</t>
  </si>
  <si>
    <t>&lt;p&gt;Children's forms come in cream jersey fabric with a natural wood dome! Choose the appropriate age range to get the right size form for your apparel. &lt;/p&gt;</t>
  </si>
  <si>
    <t>Child Jersey Forms</t>
  </si>
  <si>
    <t>childrens jersey forms, child jersey forms, clothing forms for children, childrens forms, child dress form, jersey forms for children</t>
  </si>
  <si>
    <t>Children's forms come in cream jersey fabric with a natural wood dome!</t>
  </si>
  <si>
    <t>/img2/img7e96.jpg</t>
  </si>
  <si>
    <t>www.americanretailsupply.com\66235\793244\Adult--Child-Jersey-Forms\Child-Jersey-Form.html</t>
  </si>
  <si>
    <t>&lt;p&gt;Crossbars are used with cross bar brackets which attach to Universal System standards.&lt;br&gt;Dimensions 3/16" x 1"&lt;br&gt;Crossbars over 7 feet are shipped common carrier.&lt;/p&gt;</t>
  </si>
  <si>
    <t>www.americanretailsupply.com\64960\243029\Cross-Bars\Crossbars.html</t>
  </si>
  <si>
    <t>&lt;p&gt;These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 Or you can find a great recycled option &lt;a href="../../437246/Paper-Shopping-Bags/Recycled-Natural-Kraft-Paper-Shopping-Bags.html"&gt;here.&lt;br&gt;&lt;br&gt;Order bags by the case. All items are packed 250/case except item 5628I, which is packed 200/case.&lt;/p&gt;</t>
  </si>
  <si>
    <t>Economy Kraft Shopping Bags - Great Price!</t>
  </si>
  <si>
    <t>paper bag, shopping bags, wholesale kraft paper bags, paper shopping bags, cheap paper bags, cheap paper shopping bags, white kraft paper shopping bags, natural kraft paper shopping bags</t>
  </si>
  <si>
    <t>Paper shopping bags and retail store packaging supplies, buy natural or white kraft paper shopping bags and store supplies online.</t>
  </si>
  <si>
    <t>/img2/img6e83.jpg</t>
  </si>
  <si>
    <t>www.americanretailsupply.com\65070\793279\Paper-Shopping-Bags\Economy-Kraft-Shopping-Bags.html</t>
  </si>
  <si>
    <t>&lt;p&gt;Permanent adhesive, pressure sensitive fluorescent specialty labels that help prevent price switching and increase impulse buys. Bold text stands out and is easy to read. 500 labels/pack.&lt;/p&gt;</t>
  </si>
  <si>
    <t>Fluorescent Specialty Labels</t>
  </si>
  <si>
    <t>/img3/imga8eb.jpg</t>
  </si>
  <si>
    <t>www.americanretailsupply.com\64692\793297\Fluorescent-Labels\Fluorescent-Specialty-Labels.html</t>
  </si>
  <si>
    <t>&lt;p&gt;White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case.&lt;/p&gt;</t>
  </si>
  <si>
    <t>Hanger Clips with Chrome Hook</t>
  </si>
  <si>
    <t>hanger, clothes, hangers, clips, clip, white, black, hook, accessories, wholesale, accessory</t>
  </si>
  <si>
    <t>American Retail Supply's hanger clips let you display all your merchandise from a hangrail or rack. In stock and can ship immediately!</t>
  </si>
  <si>
    <t>/img2/img2dfa.jpg</t>
  </si>
  <si>
    <t>www.americanretailsupply.com\65195\793289\Hangers\Hanger-Clips.html</t>
  </si>
  <si>
    <t>&lt;p&gt;&lt;br&gt;&lt;br&gt;&lt;br&gt;Shamrock Masculine Giftwrap&lt;/p&gt;</t>
  </si>
  <si>
    <t>Masculine Gift Wrap, Shamrock Masculine Gift Wrapping Paper &amp; Retail Packaging Supplies</t>
  </si>
  <si>
    <t>masculine gift wrap shamrock gift wrap paper retail packaging</t>
  </si>
  <si>
    <t>Masculine gift wrap paper for retail store and gift shop gift wrapping. Order masculine gift wrap in a wide selection of prints including maps, outdoor themes, golf, stripes and more.</t>
  </si>
  <si>
    <t>/img2/img0844.jpg</t>
  </si>
  <si>
    <t>www.americanretailsupply.com\65799\788873\Shamrock\Masculine-Giftwrap.html</t>
  </si>
  <si>
    <t>&lt;p&gt;These men's jacket forms come in sophisticated black or cream jersey with a wood base and neck block.&lt;/p&gt;</t>
  </si>
  <si>
    <t>Mens Jersey Jacket Forms</t>
  </si>
  <si>
    <t>Adult jersey forms, adult jersey form, jersey forms, male forms, female forms, male jersey forms, female jersey forms, flexible forms, dressmaker forms, dress form, dress forms, clothing form, clothing forms, forms and mannequins, mannequins and forms</t>
  </si>
  <si>
    <t>Great selection of adult mens jersey forms. Call today for best pricing and shipping quote!</t>
  </si>
  <si>
    <t>/img2/img9741.jpg</t>
  </si>
  <si>
    <t>www.americanretailsupply.com\66235\793243\Adult--Child-Jersey-Forms\Mens-Jersey-Jacket-Form.html</t>
  </si>
  <si>
    <t>&lt;p&gt;Get these mens jersey shirt forms in black or cream. Comes with a stylish neck block and base.&lt;/p&gt;</t>
  </si>
  <si>
    <t>Mens Adult Jersy Shirt Forms</t>
  </si>
  <si>
    <t>Adult jersey shirt forms, adult jersey form, male forms, female forms, male jersey forms, jersey forms, flexible forms, dressmaker forms, dress form, dress forms, clothing form, clothing forms, forms and mannequins, mannequins and forms</t>
  </si>
  <si>
    <t>Great selection of adult jersey forms. Call 800-426-5708 today for best pricing and shipping quote!</t>
  </si>
  <si>
    <t>/img1/img9283.jpg</t>
  </si>
  <si>
    <t>www.americanretailsupply.com\66235\793242\Adult--Child-Jersey-Forms\Mens-Jersey-Shirt-Form.html</t>
  </si>
  <si>
    <t>&lt;p&gt;Pillow Packs &lt;br&gt;Really quick and easy to use.&lt;br&gt;Order Pillow Packs by the case.&lt;br&gt;Each case has 25 pillow packs.&lt;/p&gt;</t>
  </si>
  <si>
    <t>Pillow Packs - Pillow Pack Packaging Boxes, Retail Gift Boxes</t>
  </si>
  <si>
    <t>pillow packs pillow pack packaging pillow pack boxes gift boxes retail packaging</t>
  </si>
  <si>
    <t>Pillow packs for sale online, buy pillow pack packaging gift boxes and more gift packaging supplies for your retail store at AmericanRetailSupply.com.</t>
  </si>
  <si>
    <t>/img1/imgcf93.jpg</t>
  </si>
  <si>
    <t>www.americanretailsupply.com\64715\172945\E--Flute-Decorative-Boxes\Pillow-Packs.html</t>
  </si>
  <si>
    <t>&lt;p&gt;Get these women's dress forms in black or cream. Elevate the look of your new apparel collections by grouping different styles of these jersey forms together in various locations of your store.&lt;/p&gt;</t>
  </si>
  <si>
    <t>Womens Dress Form</t>
  </si>
  <si>
    <t>Adult jersey forms, adult jersey form, jersey forms, female forms, female jersey forms, flexible forms, dressmaker forms, dress form, dress forms, clothing form, clothing forms, forms and mannequins, mannequins and forms</t>
  </si>
  <si>
    <t>Great selection! Call us at 800-426-5708 to get a shipping quote and best pricing!</t>
  </si>
  <si>
    <t>/img1/img4cc8.jpg</t>
  </si>
  <si>
    <t>www.americanretailsupply.com\66235\793240\Adult--Child-Jersey-Forms\Womens-Dress-Form.html</t>
  </si>
  <si>
    <t>&lt;p&gt;These cream and black jersey blouse forms bring your apparel collections to life! Each women's form comes with a neck block and base.&lt;/p&gt;</t>
  </si>
  <si>
    <t>Womens Jersey Blouse Forms</t>
  </si>
  <si>
    <t>Great Selection! Call us at 800-426-5708 for best prices and shipping quotes!</t>
  </si>
  <si>
    <t>/img1/img9d52.jpg</t>
  </si>
  <si>
    <t>www.americanretailsupply.com\66235\793241\Adult--Child-Jersey-Forms\Womens-Jersey-Blouse-Forms.html</t>
  </si>
  <si>
    <t>&lt;p&gt;These designer pipe hangers with shelves are perfect for pairing with our &lt;a href="../../../65349/3D-Textured-Slatwall.html"&gt;3D Textured Slatwall.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target=_blank&gt;here.&lt;/p&gt;</t>
  </si>
  <si>
    <t>Slatwall Pipe Hangrail - Designer Slatwall Hang Rod</t>
  </si>
  <si>
    <t>slatwall pipe accessories, slatwall pipe hangrail, slatwall pipe hang rod, slatwall pipe displays, slatwall pipe hangers, pipe fixtures</t>
  </si>
  <si>
    <t>Slatwall Pipe Hangrail - Designer Slatwall Pipe Hangers with Shelves</t>
  </si>
  <si>
    <t>/img3/img264b.jpg</t>
  </si>
  <si>
    <t>www.americanretailsupply.com\64595\793002\New-Arrivals\-Pipe-Hangers-with-Shelves.html</t>
  </si>
  <si>
    <t>&lt;p&gt;&lt;br&gt;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        &lt;/p&gt;</t>
  </si>
  <si>
    <t>/img1/img23cb.jpg</t>
  </si>
  <si>
    <t>www.americanretailsupply.com\66198\744107\Eco-Friendly-Plastic-Bags\Gloss-Heavy-Duty-Merchandise-Bags.html</t>
  </si>
  <si>
    <t>&lt;p&gt;These designer pipe hangers are perfect for pairing with our &lt;a href="../../../65349/3D-Textured-Slatwall.html"&gt;3D Textured Slatwall.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 to purchase hangers WITH shelves.&lt;br&gt;&lt;br&gt;See our entire catalog of Textured Slatwall products &lt;a href="../../../../gallery.mailchimp.com/5263ee5fad261831ecc963425/files/Textured_Slatwall_Catalog_2016.pdf" target=_blank&gt;here.&lt;/p&gt;</t>
  </si>
  <si>
    <t>Slatwall Pipe Hangrail - Designer Slatwall Pipe Hangers without Shelves</t>
  </si>
  <si>
    <t>/img3/imgfe76.jpg</t>
  </si>
  <si>
    <t>www.americanretailsupply.com\66192\793001\Pipe--Panel-Displays\Pipe-Hangers-without-Shelves.html</t>
  </si>
  <si>
    <t>&lt;p&gt;This Adjustable Easel can be used for either Slatwall or Slatgrid are white or black and available in two sizes.  Use for displaying plates, books or other flat items.  Sold per case of 12 easels.&lt;br&gt;&lt;/p&gt;</t>
  </si>
  <si>
    <t>slatwall adjustable easel, display easel, hanging easel</t>
  </si>
  <si>
    <t>/img1/imgee77.jpg</t>
  </si>
  <si>
    <t>www.americanretailsupply.com\64665\34340\Wire--Acylic-Easels\Adjustable-Easel-for-Slatwall-or-Slatgrid.html</t>
  </si>
  <si>
    <t>&lt;p&gt;These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velvet.&lt;/p&gt;</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</si>
  <si>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</si>
  <si>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</si>
  <si>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</si>
  <si>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/img2/img4509.jpg</t>
  </si>
  <si>
    <t>www.americanretailsupply.com\64787\640355\Necklace--Bracelet-Displays\Jewelry-Displays-for-Slatwall-or-Slatgrid.html</t>
  </si>
  <si>
    <t>&lt;p&gt;Showcase 16" Square Display&lt;br&gt;4 shelves w/light&lt;br&gt;16" x 16" x 75"&lt;br&gt;&lt;br&gt;This product will be shipped VIA common carrier. Freight will be quoted separately. You will be notified of the freight amount.&lt;br&gt;&lt;/p&gt;</t>
  </si>
  <si>
    <t>Showcase 16" Square Display</t>
  </si>
  <si>
    <t>/img2/imge6c1.jpg</t>
  </si>
  <si>
    <t>www.americanretailsupply.com\64829\793986\Ready-To-Assemble-Showcases\Showcase-16-Square-Display.html</t>
  </si>
  <si>
    <t>&lt;p&gt;Here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amount.&lt;br&gt;&lt;br&gt;&lt;/p&gt;</t>
  </si>
  <si>
    <t>Showcase Queen Anne Jewelry</t>
  </si>
  <si>
    <t>/img1/imgdbd7.jpg</t>
  </si>
  <si>
    <t>www.americanretailsupply.com\64898\763796\Closeout-Display-Cases-and-Racks\-Showcase-Queen-Anne-Jewelry.html</t>
  </si>
  <si>
    <t>&lt;p&gt;   Floor Standing Bulletin Sign Holder have a vertical frame that holds 22"W x 28"H sign&lt;/p&gt;</t>
  </si>
  <si>
    <t>Floor Standing Sign Frame</t>
  </si>
  <si>
    <t>/img3/img0ac1.jpg</t>
  </si>
  <si>
    <t>www.americanretailsupply.com\64898\785445\Closeout-Display-Cases-and-Racks\Floor-Standing-Sign-Frame.html</t>
  </si>
  <si>
    <t>Curling Ribbon</t>
  </si>
  <si>
    <t>/img3/img2c9f.jpg</t>
  </si>
  <si>
    <t>www.americanretailsupply.com\64899\244866\Closeout-Packaging\Curling-Ribbon.html</t>
  </si>
  <si>
    <t>Glitter Ribbon</t>
  </si>
  <si>
    <t>/img2/img8e1f.jpg</t>
  </si>
  <si>
    <t>www.americanretailsupply.com\64899\245005\Closeout-Packaging\Glitter-Ribbon.html</t>
  </si>
  <si>
    <t>/img1/imgb7a7.jpg</t>
  </si>
  <si>
    <t>www.americanretailsupply.com\64899\245006\Closeout-Packaging\Splendorette-Ribbon.html</t>
  </si>
  <si>
    <t>&lt;p&gt;  Gridwall Knife Edge Brackets can come in chrome, black or white. The Knife Edge Brackets range in size from 4" to 16".     Pricing limited to quantity on hand  &lt;/p&gt;</t>
  </si>
  <si>
    <t>www.americanretailsupply.com\64901\240560\Closeout-Brackets-Hooks-Standards\Gridwall-Standard-Brackets.html</t>
  </si>
  <si>
    <t>&lt;p&gt;Gridwall Heavy Duty Hook 1/4" Diameter 90o tip. Closeout is available in 1" length and color is chrome. Other sizes and colors are available in gridwall accessories. If you have any questions please call 1-800-426-5708.&lt;br&gt;&lt;br&gt;&lt;br&gt;&lt;/p&gt;</t>
  </si>
  <si>
    <t>Gridwall Heavy Duty Hook 1/4" Diameter 90o tip, 1" Chrome</t>
  </si>
  <si>
    <t>/img2/img6e4c.jpg</t>
  </si>
  <si>
    <t>www.americanretailsupply.com\64901\793612\Closeout-Brackets-Hooks-Standards\Gridwall-Heavy-Duty-Hook-14-Diameter-90-tip-1-Chrome.html</t>
  </si>
  <si>
    <t>&lt;p&gt;Finally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Roll.&lt;br&gt;&lt;/p&gt;</t>
  </si>
  <si>
    <t>www.americanretailsupply.com\64905\434399\Miscellaneous-Closeout\Adhesive-Label-Release.html</t>
  </si>
  <si>
    <t>&lt;p&gt;"Do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support.&lt;br&gt;&lt;/p&gt;</t>
  </si>
  <si>
    <t>Inside The Magic Kingdom</t>
  </si>
  <si>
    <t>/img1/img0362.jpg</t>
  </si>
  <si>
    <t>www.americanretailsupply.com\64905\434405\Miscellaneous-Closeout\Inside-The-Magic-Kingdom.html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</si>
  <si>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Kent&lt;/p&gt;</t>
  </si>
  <si>
    <t>Shopping Baskets</t>
  </si>
  <si>
    <t>/img1/imgd71e.jpg</t>
  </si>
  <si>
    <t>www.americanretailsupply.com\64905\788053\Miscellaneous-Closeout\Shopping-Baskets.html</t>
  </si>
  <si>
    <t>&lt;p&gt;These brackets (Knife Edge) lengths range from 4" to 16" and are available in either mirror polished chrome, black, or white.&lt;/p&gt;</t>
  </si>
  <si>
    <t>brackets, hanging, slatwall, fixtures, display, standard brackets, shelf, shelving brackets</t>
  </si>
  <si>
    <t>Shop for Standard Brackets for Slatwall or Slatgrid in your retail space available in a variety of sizes and colors from American Retail Supply.</t>
  </si>
  <si>
    <t>/img3/img4eb4.jpg</t>
  </si>
  <si>
    <t>www.americanretailsupply.com\64943\2333\Slatwall-Accessories\Standard-Brackets-for-Slatwall-or-Slatgrid.html</t>
  </si>
  <si>
    <t>&lt;p&gt;This item is available in your choice of chrome, black, or white.&lt;/p&gt;</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</si>
  <si>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</si>
  <si>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</si>
  <si>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/img3/img8f2b.jpg</t>
  </si>
  <si>
    <t>www.americanretailsupply.com\64943\34098\Slatwall-Accessories\Picture-Hanger-for-Slatwall-or-Slatgrid.html</t>
  </si>
  <si>
    <t>&lt;p&gt;This utility hook comes in your choice of either chrome, black, or white.   &lt;/p&gt;</t>
  </si>
  <si>
    <t>hooks, hanging display, slatwall display, utility hooks, fixtures</t>
  </si>
  <si>
    <t>Find Utility Hooks for a slatwall or slatgrid in chrome, black or white great for any retail space and available from American Retail Supply.</t>
  </si>
  <si>
    <t>/img3/imgacfc.jpg</t>
  </si>
  <si>
    <t>www.americanretailsupply.com\64943\34099\Slatwall-Accessories\Utility-Hook-for-Slatwall-or-Slatgrid.html</t>
  </si>
  <si>
    <t>&lt;p&gt;This bracket is 12" in length. Color choice in either chrome, black, or white.   &lt;/p&gt;</t>
  </si>
  <si>
    <t>faceout, brackets, slatwall, display, accessories, ballend brace, slatwall hangers</t>
  </si>
  <si>
    <t>Find straight faced brackets for your retail space slatwall or slatgrid, 12 inch in length the brackets are available in chrome, black or white from American Retail Supply.</t>
  </si>
  <si>
    <t>/img2/img0d59.jpg</t>
  </si>
  <si>
    <t>www.americanretailsupply.com\64943\34100\Slatwall-Accessories\Straight-Faceout-Bracket-for-Slatwall-or-Slatgrid.html</t>
  </si>
  <si>
    <t>&lt;p&gt;This waterfall bracket is 16" in length and available in chrome, black, or white.      &lt;/p&gt;</t>
  </si>
  <si>
    <t>hanging display, hanging fixtures, waterfall with balls, angled hanging display</t>
  </si>
  <si>
    <t>Shop for Waterfall brackets with ball stops for slatwall and slatgrid displays in your retail store available in chrome, black or white from american retail supply.</t>
  </si>
  <si>
    <t>/img3/imgd4ec.jpg</t>
  </si>
  <si>
    <t>www.americanretailsupply.com\64943\34101\Slatwall-Accessories\Slatwall-or-Slatgrid-Waterfall-Brackets.html</t>
  </si>
  <si>
    <t>&lt;p&gt;This 16" waterfall bracket has hooks and comes in your choice chrome, black, or white.      &lt;/p&gt;</t>
  </si>
  <si>
    <t>Waterfall Bracket with Hooks for Slatwall or Slatgrid</t>
  </si>
  <si>
    <t>/img2/imga685.jpg</t>
  </si>
  <si>
    <t>www.americanretailsupply.com\64943\34102\Slatwall-Accessories\Waterfall-Bracket-with-Hooks-for-Slatwall-or-Slatgrid.html</t>
  </si>
  <si>
    <t>&lt;p&gt;Hangrod bracket is 12" long and available in chrome only.  This bracket holds 1" diameter Hangrod. Recommended use only with reinforced slatwall.&lt;br&gt; &lt;/p&gt;</t>
  </si>
  <si>
    <t>Hangrod Bracket with Spring Clamp for Slatwall</t>
  </si>
  <si>
    <t>hangrod, fixtures, display, brackets, slatwall, attachments</t>
  </si>
  <si>
    <t>Shop for Hangrod brackets with spring clamps for slatwalls in 12</t>
  </si>
  <si>
    <t>/img1/img5868.jpg</t>
  </si>
  <si>
    <t>www.americanretailsupply.com\64943\34103\Slatwall-Accessories\Hangrod-Bracket-with-Spring-Clamp-for-Slatwall.html</t>
  </si>
  <si>
    <t>&lt;p&gt;12" long and available in chrome. This merchandising bar attachment is center mounted.  USE ONLY WITH REINFORCED SLATWALL.&lt;br&gt;&lt;a href="http://arsv2.eporiaservices.com/64939/Merchandising-Bars-Hangrod-Crossbars-V2.html"&gt;Click here for Merchandise Bar options           .&lt;/p&gt;</t>
  </si>
  <si>
    <t>supporting brackets, bar brackets, fixtures, display, accessories, slatwall support</t>
  </si>
  <si>
    <t>The Merchandising Bar attachement for slatwall or slatgrid is center mounted and best used with reinforced slatwall avaialble at American Retail Supply.</t>
  </si>
  <si>
    <t>/img2/img8395.jpg</t>
  </si>
  <si>
    <t>www.americanretailsupply.com\64943\34104\Slatwall-Accessories\Mechandising-Bar-Brackets-for-Slatwall-or-Slatgrid.html</t>
  </si>
  <si>
    <t>&lt;p&gt;The lengths range from 1" to 12" long.  Slatwall Heavy Duty Hooks have a 90&amp;#186; tip and are available in chrome, black, or white. Suitable for either Slatwall or Slatgrid.&lt;/p&gt;</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</si>
  <si>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</si>
  <si>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</si>
  <si>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</si>
  <si>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/img3/imgc1a9.jpg</t>
  </si>
  <si>
    <t>www.americanretailsupply.com\64943\34105\Slatwall-Accessories\Heavy-Duty-Hooks-with-90-degree-Tip-for-Slatwall-or-Slatgrid.html</t>
  </si>
  <si>
    <t>&lt;p&gt;These are Regular Duty 3/16" or Heavy Duty 1/4" and the length is from 1" to 12" long with a 45&amp;#186; tip.  They come in chrome, black, or white.   &lt;/p&gt;</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</si>
  <si>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</si>
  <si>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</si>
  <si>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</si>
  <si>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/img3/img33c1.jpg</t>
  </si>
  <si>
    <t>www.americanretailsupply.com\64943\34106\Slatwall-Accessories\Hooks-with-45-Degree-Tip-for-Slatwall-or-Slatgrid.html</t>
  </si>
  <si>
    <t>&lt;p&gt;The is a 1 1/2" Deep x 6" high adjustable literature holder.  It is sold by the pair only and is available in chrome.&lt;/p&gt;</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</si>
  <si>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</si>
  <si>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</si>
  <si>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</si>
  <si>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/img3/imgd43a.jpg</t>
  </si>
  <si>
    <t>www.americanretailsupply.com\64943\34107\Slatwall-Accessories\Adjustable-Literature-Holder-for-Slatwall-or-Slatgrid.html</t>
  </si>
  <si>
    <t>&lt;p&gt;Available in Chrome or Matte Black and can be used with &lt;a href="http://arsv2.eporiaservices.com/17240/245471/Brackets-Hooks-Standards-Closeouts/Hangrod-Snap-on-Brackets.html"&gt;Hangrod Snap-on Brackets.&lt;/p&gt;</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</si>
  <si>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</si>
  <si>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</si>
  <si>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</si>
  <si>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/img2/imgec89.jpg</t>
  </si>
  <si>
    <t>www.americanretailsupply.com\64943\34301\Slatwall-Accessories\Heavy-Duty-Brackets-for-Slatwall-or-Slatgrid.html</t>
  </si>
  <si>
    <t>&lt;p&gt;These hooks are for Slatwall or Slatgrid use and are a Chrome scanning hooks. Priced 100 per package.  &lt;br&gt; &lt;/p&gt;</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</si>
  <si>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</si>
  <si>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</si>
  <si>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</si>
  <si>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/img1/imga109.jpg</t>
  </si>
  <si>
    <t>www.americanretailsupply.com\64943\443004\Slatwall-Accessories\1-Piece-Scanning-Hooks-for-Slatwall-or-Slatgrid.html</t>
  </si>
  <si>
    <t>&lt;p&gt;A variety of Slatwall hat displays. Choose the one that best fits your store.&lt;br&gt;&lt;br&gt;Items sold separately.&lt;/p&gt;</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</si>
  <si>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</si>
  <si>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</si>
  <si>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</si>
  <si>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/img1/img7bb4.jpg</t>
  </si>
  <si>
    <t>www.americanretailsupply.com\64943\778864\Slatwall-Accessories\Hat-Displayer-for-Slatwall.html</t>
  </si>
  <si>
    <t>&lt;p&gt;These designer pipe faceouts and waterfall brackets are perfect for pairing with our &lt;a href="../../../65349/3D-Textured-Slatwall.html"&gt;3D Textured Slatwall.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target=_blank&gt;here.&lt;/p&gt;</t>
  </si>
  <si>
    <t>Slatwall Pipe Faceouts and Waterfall Brackets - Designer Slatwall Fixtures</t>
  </si>
  <si>
    <t>slatwall pipe accessories, slatwall pipe faceouts, slatwall pipe waterfall brackets, slatwall pipe fixtures</t>
  </si>
  <si>
    <t>/img1/img2347.jpg</t>
  </si>
  <si>
    <t>www.americanretailsupply.com\64943\793000\Slatwall-Accessories\Designer-Faceouts-and-Waterfalls.html</t>
  </si>
  <si>
    <t>&lt;p&gt;    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listed.&lt;br&gt;&lt;br&gt;&lt;/p&gt;</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</si>
  <si>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</si>
  <si>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</si>
  <si>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</si>
  <si>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/img1/img8f3d.jpg</t>
  </si>
  <si>
    <t>www.americanretailsupply.com\65011\226753\Holiday-Boxes\Holly-Berry-Frost-Gift-Boxes.html</t>
  </si>
  <si>
    <t>&lt;p&gt;    What a cheery design that makes up the Merry Dots.&lt;br&gt;Order boxes by the package.&lt;br&gt;Each package has 50 boxes, unless otherwise listed.&lt;br&gt;&lt;br&gt;&lt;/p&gt;</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</si>
  <si>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</si>
  <si>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</si>
  <si>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</si>
  <si>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/img2/img13e5.jpg</t>
  </si>
  <si>
    <t>www.americanretailsupply.com\65011\476530\Holiday-Boxes\Merry-Dots.html</t>
  </si>
  <si>
    <t>&lt;p&gt;    This is a wonderful pattern for gift boxes called Stardust is so fun to use for your customers purchases. &lt;br&gt;Order boxes by the package.&lt;br&gt;Each package has 50 boxes, unless otherwise listed.&lt;br&gt;&lt;br&gt;&lt;/p&gt;</t>
  </si>
  <si>
    <t>Stardust Corrugated Gift Packaging</t>
  </si>
  <si>
    <t>Decorative corrugated gift packaging in Stardust design, order store fixtures and displays including gift boxes at American Retail Supply.</t>
  </si>
  <si>
    <t>/img1/imgc00e.jpg</t>
  </si>
  <si>
    <t>www.americanretailsupply.com\65011\476539\Holiday-Boxes\Stardust.html</t>
  </si>
  <si>
    <t>&lt;p&gt;    This pattern is amazing and called Rainforest, Cranberry.&lt;br&gt;Two bottle divider is item # &lt;a&gt;54P4088 used in 54P3806 (13 1/8" x 7 1/8" x 3 1/2", 50 per pack) available for purchase &lt;a href="http://arsv2.eporiaservices.com/64709/732233/Decorative-Corrugated-Boxes-V2/Inserts-and-Dividers.html"&gt;here.  Three bottle divider is item # &lt;a&gt;54P4067 used in 54P3805 (11 3/4" x 14" x 4 1/4", 25 per pack), please click &lt;a href="http://arsv2.eporiaservices.com/64709/732233/Decorative-Corrugated-Boxes-V2/Inserts-and-Dividers.html"&gt;here.&lt;br&gt;Order boxes by the package.&lt;br&gt;Each package has 50 boxes, unless otherwise listed.&lt;/p&gt;</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</si>
  <si>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</si>
  <si>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</si>
  <si>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</si>
  <si>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/img2/img16bb.jpg</t>
  </si>
  <si>
    <t>www.americanretailsupply.com\65084\226768\Decorative-Corrugated-Boxes\Rainforest-Cranberry.html</t>
  </si>
  <si>
    <t>&lt;p&gt;    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listed.&lt;br&gt;&lt;br&gt;&lt;/p&gt;</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</si>
  <si>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</si>
  <si>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</si>
  <si>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</si>
  <si>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/img2/img7f68.jpg</t>
  </si>
  <si>
    <t>www.americanretailsupply.com\65084\30014\Decorative-Corrugated-Boxes\Arctic-Frost-Gift-Boxes.html</t>
  </si>
  <si>
    <t>&lt;p&gt;  This line of Evergreen corrugated boxes are great.&lt;br&gt;Order boxes by the package.&lt;br&gt;Each package has 50 boxes, unless otherwise listed.&lt;br&gt;&lt;br&gt;&lt;/p&gt;</t>
  </si>
  <si>
    <t>Evergreen Decorative Corrugated Gift Boxes</t>
  </si>
  <si>
    <t>gift boxes gift packaging decorative corrugated boxes holiday bulk box</t>
  </si>
  <si>
    <t>Decorative Evergreen corrugated gift packaging, order store fixtures and displays including gift boxes at American Retail Supply.</t>
  </si>
  <si>
    <t>/img1/imgc175.jpg</t>
  </si>
  <si>
    <t>www.americanretailsupply.com\65084\728270\Decorative-Corrugated-Boxes\Evergreen.html</t>
  </si>
  <si>
    <t>&lt;p&gt;    So cute are these Festive Holiday corrugated boxes.&lt;br&gt;Order boxes by the package.&lt;br&gt;Each package has 50 boxes, unless otherwise listed.&lt;br&gt;&lt;br&gt;&lt;/p&gt;</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</si>
  <si>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</si>
  <si>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</si>
  <si>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</si>
  <si>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/img1/img353d.jpg</t>
  </si>
  <si>
    <t>www.americanretailsupply.com\65084\734400\Decorative-Corrugated-Boxes\Festive-Holiday.html</t>
  </si>
  <si>
    <t>&lt;p&gt;The trend today is Chevron pattern. You will find it right here.&lt;br&gt;Each package has 50 boxes, unless otherwise listed.&lt;/p&gt;</t>
  </si>
  <si>
    <t>Cheerful Chevron</t>
  </si>
  <si>
    <t>/img3/imgdef4.jpg</t>
  </si>
  <si>
    <t>www.americanretailsupply.com\65084\782113\Decorative-Corrugated-Boxes\Cheerful-Chevron.html</t>
  </si>
  <si>
    <t>&lt;p&gt;Literature Racks for countertop use are available in black only. &lt;br&gt;Dimensions: 25 1/2" w x 19" D x 21" H&lt;/p&gt;</t>
  </si>
  <si>
    <t>Countertop Literature Racks</t>
  </si>
  <si>
    <t>/img2/imgcec4.jpg</t>
  </si>
  <si>
    <t>www.americanretailsupply.com\65181\225166\Literature-Racks\Countertop-Literature-Racks.html</t>
  </si>
  <si>
    <t>/img2/img3619.jpg</t>
  </si>
  <si>
    <t>/img2/img6e67.jpg</t>
  </si>
  <si>
    <t>/img1/img49cc.jpg</t>
  </si>
  <si>
    <t>/img1/img1b28.jpg</t>
  </si>
  <si>
    <t>/img1/imgc53b.jpg</t>
  </si>
  <si>
    <t>/img1/img5285.jpg</t>
  </si>
  <si>
    <t>/img1/img9236.jpg</t>
  </si>
  <si>
    <t>/img2/img2421.jpg</t>
  </si>
  <si>
    <t>/img2/img681d.jpg</t>
  </si>
  <si>
    <t>/img2/imgaddf.jpg</t>
  </si>
  <si>
    <t>/img1/img4b67.jpg</t>
  </si>
  <si>
    <t>/img2/img17ce.jpg</t>
  </si>
  <si>
    <t>/img1/imge04e.jpg</t>
  </si>
  <si>
    <t>/img2/imga7c2.jpg</t>
  </si>
  <si>
    <t>/img1/img191a.jpg</t>
  </si>
  <si>
    <t>/img3/img8a85.jpg</t>
  </si>
  <si>
    <t>/img3/img3c43.jpg</t>
  </si>
  <si>
    <t>/img1/imgbbb3.jpg</t>
  </si>
  <si>
    <t>/img1/imgd6bf.jpg</t>
  </si>
  <si>
    <t>/img3/img6967.jpg</t>
  </si>
  <si>
    <t>/img3/img0b27.jpg</t>
  </si>
  <si>
    <t>/img2/img0d01.jpg</t>
  </si>
  <si>
    <t>/img3/img2a8c.jpg</t>
  </si>
  <si>
    <t>/img2/img4a56.jpg</t>
  </si>
  <si>
    <t>/img2/img37ca.jpg</t>
  </si>
  <si>
    <t>/img1/img48bb.jpg</t>
  </si>
  <si>
    <t>/img3/img24de.jpg</t>
  </si>
  <si>
    <t>/img2/imgd80c.jpg</t>
  </si>
  <si>
    <t>/img1/img0a52.jpg</t>
  </si>
  <si>
    <t>/img1/img6f1a.jpg</t>
  </si>
  <si>
    <t>/img1/img85dd.jpg</t>
  </si>
  <si>
    <t>/img1/imgbcbf.jpg</t>
  </si>
  <si>
    <t>/img2/img68b3.jpg</t>
  </si>
  <si>
    <t>/img2/img031e.jpg</t>
  </si>
  <si>
    <t>/img3/imgd0e1.jpg</t>
  </si>
  <si>
    <t>/img2/imgfe72.jpg</t>
  </si>
  <si>
    <t>/img2/img991c.jpg</t>
  </si>
  <si>
    <t>/img3/imgf330.jpg</t>
  </si>
  <si>
    <t>/img1/img415b.jpg</t>
  </si>
  <si>
    <t>/img1/imgf95e.jpg</t>
  </si>
  <si>
    <t>/img3/img86e4.jpg</t>
  </si>
  <si>
    <t>/img1/img0b53.jpg</t>
  </si>
  <si>
    <t>/img3/imgf6b0.jpg</t>
  </si>
  <si>
    <t>/img1/img2f58.jpg</t>
  </si>
  <si>
    <t>/img1/imgda6e.jpg</t>
  </si>
  <si>
    <t>/img1/img1606.jpg</t>
  </si>
  <si>
    <t>/img2/img2be7.jpg</t>
  </si>
  <si>
    <t>/img2/imgbecb.jpg</t>
  </si>
  <si>
    <t>/img2/img1191.jpg</t>
  </si>
  <si>
    <t>/img2/img9dfb.jpg</t>
  </si>
  <si>
    <t>/img2/img1f3b.jpg</t>
  </si>
  <si>
    <t>/img2/imgb80a.jpg</t>
  </si>
  <si>
    <t>/img2/imgc708.jpg</t>
  </si>
  <si>
    <t>/img3/img91b9.jpg</t>
  </si>
  <si>
    <t>/img2/imgc09e.jpg</t>
  </si>
  <si>
    <t>/img3/img6494.jpg</t>
  </si>
  <si>
    <t>/img1/imgbea3.jpg</t>
  </si>
  <si>
    <t>/img1/img97f2.jpg</t>
  </si>
  <si>
    <t>/img1/imgaf80.jpg</t>
  </si>
  <si>
    <t>/img1/img28a8.jpg</t>
  </si>
  <si>
    <t>/img2/img69b2.jpg</t>
  </si>
  <si>
    <t>/img2/img572e.jpg</t>
  </si>
  <si>
    <t>/img2/img287e.jpg</t>
  </si>
  <si>
    <t>/img3/imgd266.jpg</t>
  </si>
  <si>
    <t>/img3/imgd3fa.jpg</t>
  </si>
  <si>
    <t>/img2/img55bd.jpg</t>
  </si>
  <si>
    <t>/img2/img7c80.jpg</t>
  </si>
  <si>
    <t>/img1/imgd7bf.jpg</t>
  </si>
  <si>
    <t>/img3/imgc5b3.jpg</t>
  </si>
  <si>
    <t>/img2/img424e.jpg</t>
  </si>
  <si>
    <t>/img1/img9c37.jpg</t>
  </si>
  <si>
    <t>/img2/imgcf5f.jpg</t>
  </si>
  <si>
    <t>/img1/img561c.jpg</t>
  </si>
  <si>
    <t>/img2/imgd85c.jpg</t>
  </si>
  <si>
    <t>/img2/imgb298.jpg</t>
  </si>
  <si>
    <t>/img2/img5590.jpg</t>
  </si>
  <si>
    <t>/img2/imgb414.jpg</t>
  </si>
  <si>
    <t>/img3/img22de.jpg</t>
  </si>
  <si>
    <t>/img3/imga6e1.jpg</t>
  </si>
  <si>
    <t>/img3/imgc7a2.jpg</t>
  </si>
  <si>
    <t>/img3/img8654.jpg</t>
  </si>
  <si>
    <t>/img3/img366d.jpg</t>
  </si>
  <si>
    <t>/img1/imgb035.jpg</t>
  </si>
  <si>
    <t>/img1/img5168.jpg</t>
  </si>
  <si>
    <t>/img2/img7f19.jpg</t>
  </si>
  <si>
    <t>/img2/img712a.jpg</t>
  </si>
  <si>
    <t>/img2/img380b.jpg</t>
  </si>
  <si>
    <t>/img2/imgf8e6.jpg</t>
  </si>
  <si>
    <t>/img3/img2c63.jpg</t>
  </si>
  <si>
    <t>/img1/img816a.jpg</t>
  </si>
  <si>
    <t>/img2/imgbfe3.jpg</t>
  </si>
  <si>
    <t>/img3/img73af.jpg</t>
  </si>
  <si>
    <t>/img1/imgb953.jpg</t>
  </si>
  <si>
    <t>/img2/img1fff.jpg</t>
  </si>
  <si>
    <t>/img2/img2760.jpg</t>
  </si>
  <si>
    <t>/img3/imgdfd0.jpg</t>
  </si>
  <si>
    <t>/img3/imgb8f2.jpg</t>
  </si>
  <si>
    <t>/img3/img0598.jpg</t>
  </si>
  <si>
    <t>/img1/imgc84e.jpg</t>
  </si>
  <si>
    <t>/img1/img7e21.jpg</t>
  </si>
  <si>
    <t>/img1/img717c.jpg</t>
  </si>
  <si>
    <t>/img1/img2996.jpg</t>
  </si>
  <si>
    <t>/img2/imgdc6b.jpg</t>
  </si>
  <si>
    <t>/img1/img84b3.jpg</t>
  </si>
  <si>
    <t>/img1/imge448.jpg</t>
  </si>
  <si>
    <t>/img3/img1dc7.jpg</t>
  </si>
  <si>
    <t>/img2/img8f41.jpg</t>
  </si>
  <si>
    <t>/img2/imge028.jpg</t>
  </si>
  <si>
    <t>/img3/imgcacc.jpg</t>
  </si>
  <si>
    <t>/img2/img8ce6.jpg</t>
  </si>
  <si>
    <t>/img1/img460f.jpg</t>
  </si>
  <si>
    <t>/img3/imgead6.jpg</t>
  </si>
  <si>
    <t>/img1/imga660.jpg</t>
  </si>
  <si>
    <t>/img3/imgc5dd.jpg</t>
  </si>
  <si>
    <t>/img3/imga87a.jpg</t>
  </si>
  <si>
    <t>/img1/imgd945.jpg</t>
  </si>
  <si>
    <t>/img2/img8f7e.jpg</t>
  </si>
  <si>
    <t>/img3/img9531.jpg</t>
  </si>
  <si>
    <t>/img1/imgd01a.jpg</t>
  </si>
  <si>
    <t>/img2/img22f5.jpg</t>
  </si>
  <si>
    <t>/img3/img2773.jpg</t>
  </si>
  <si>
    <t>/img1/imgcd31.jpg</t>
  </si>
  <si>
    <t>/img2/img3c0b.jpg</t>
  </si>
  <si>
    <t>/img2/img30e0.jpg</t>
  </si>
  <si>
    <t>/img1/img7803.jpg</t>
  </si>
  <si>
    <t>/img3/img12c2.jpg</t>
  </si>
  <si>
    <t>/img2/img470d.jpg</t>
  </si>
  <si>
    <t>/img2/img65a0.jpg</t>
  </si>
  <si>
    <t>/img3/img06be.jpg</t>
  </si>
  <si>
    <t>/img3/img57df.jpg</t>
  </si>
  <si>
    <t>/img3/imgf5cd.jpg</t>
  </si>
  <si>
    <t>/img2/img1070.jpg</t>
  </si>
  <si>
    <t>/img3/imgefee.jpg</t>
  </si>
  <si>
    <t>/img2/img4809.jpg</t>
  </si>
  <si>
    <t>/img2/img7a65.jpg</t>
  </si>
  <si>
    <t>/img2/img194f.jpg</t>
  </si>
  <si>
    <t>/img3/img985d.jpg</t>
  </si>
  <si>
    <t>/img1/imgea71.jpg</t>
  </si>
  <si>
    <t>/img3/imgaf45.jpg</t>
  </si>
  <si>
    <t>/img1/imgfec7.jpg</t>
  </si>
  <si>
    <t>/img2/img1e6d.jpg</t>
  </si>
  <si>
    <t>/img3/img9f1f.jpg</t>
  </si>
  <si>
    <t>/img3/imgeeb9.jpg</t>
  </si>
  <si>
    <t>/img3/img4eba.jpg</t>
  </si>
  <si>
    <t>/img3/imgce6b.jpg</t>
  </si>
  <si>
    <t>/img3/img5b2f.jpg</t>
  </si>
  <si>
    <t>/img2/imgfefb.jpg</t>
  </si>
  <si>
    <t>/img1/img3c40.jpg</t>
  </si>
  <si>
    <t>/img1/img0c59.jpg</t>
  </si>
  <si>
    <t>/img2/img9411.jpg</t>
  </si>
  <si>
    <t>/img1/imgee12.jpg</t>
  </si>
  <si>
    <t>/img3/img1b06.jpg</t>
  </si>
  <si>
    <t>/img1/imgf1e4.jpg</t>
  </si>
  <si>
    <t>/img3/imgf63f.jpg</t>
  </si>
  <si>
    <t>/img2/img7e59.jpg</t>
  </si>
  <si>
    <t>/img1/img803e.jpg</t>
  </si>
  <si>
    <t>entity_id</t>
  </si>
  <si>
    <t>DELETE FROM  `catalog_category_entity_varchar` WHERE attribute_id=48 AND entity_id &lt; 1445;</t>
  </si>
  <si>
    <t>item_count</t>
  </si>
  <si>
    <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t>
  </si>
  <si>
    <t>/img3/img5512.jpg</t>
  </si>
  <si>
    <t>Use Contest Boxes to Increase Store Traffic and Build Sales!</t>
  </si>
  <si>
    <t>/img1/img1f5e.jpg</t>
  </si>
  <si>
    <t>Blank Fluorescent Multi Use Labels that come in brilliant colors attract attention and hold it!</t>
  </si>
  <si>
    <t>/img2/imge649.jpg</t>
  </si>
  <si>
    <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t>
  </si>
  <si>
    <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t>
  </si>
  <si>
    <t>Ready Flow Pen Sets - canister pen set. Special performance ink.  Environmentally safe, water based. Works well on regular or glossy paper, and vinyl banners. Not flammable, fade resistant. Will not run or spot when sprayed with water!</t>
  </si>
  <si>
    <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t>
  </si>
  <si>
    <t>Display signs professionally in these crystal clear acrylic rigid holders.  Place these in display cases, on counters, and in key locations.</t>
  </si>
  <si>
    <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t>
  </si>
  <si>
    <t>Menu card holders or Sign clip holders we have what you need. Please call 1-800-426-5708 if you have any questions.</t>
  </si>
  <si>
    <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t>
  </si>
  <si>
    <t>Sign Cards improve sales and increase profits of your retail store with these bright and colorful in store sign card.</t>
  </si>
  <si>
    <t>/img3/img8d3d.jpg</t>
  </si>
  <si>
    <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t>
  </si>
  <si>
    <t>A variety of products for displaying your products including glass shelving, jewelry and acrylic displays. Glass shelving will require a crating fee for shipment. Please call 1-800-426-5708 if you have any questions.</t>
  </si>
  <si>
    <t>This is the right place to find Apparel Accessories at big savings. Come back often to this page as items change often.</t>
  </si>
  <si>
    <t>Slatwall, gridwall, pegboard and wall-mounted fixtures that have been discontinued or are overstocked can help you display your products to their best advantage. There are many to chose from in various finishes. Stock is limited to on hand quantities.</t>
  </si>
  <si>
    <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t>
  </si>
  <si>
    <t>We have many packaging items at great prices for your retail store. We list new items often and all purchases are limited to stock on hand.</t>
  </si>
  <si>
    <t>Labelers, labels, fasteners, and accessories deeply discounted. If you have questions about if these products will work with items you already have or we sell please call 1-800-426-5708 and one of our sales reps will be happy to assist you.</t>
  </si>
  <si>
    <t>Pens, sign holders, tags, tape and many other varied items to help you run your business at peak efficency reduced due to overstock and/or manufacturer discontinue.</t>
  </si>
  <si>
    <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t>
  </si>
  <si>
    <t>Chrome Metal Sign Card Frames holders include Vinyl Sign Card Holders and Acrylic Sign Card Holders. Let your sign to do the work for you.</t>
  </si>
  <si>
    <t>Here are many accessories you can use when selling apparel products in your store.  Call us if you don't see what you are looking for 800-426-5708. Or email us at info@americanretailsupply.com.</t>
  </si>
  <si>
    <t>/img3/img8adf.jpg</t>
  </si>
  <si>
    <t>Are you always looking for Box Cutters? You can get a case of 12 at a time from American Retail Supply for the same price you would pay for 2 at the local hardware store. What if you only need the blades well we carry those in packs of 100.</t>
  </si>
  <si>
    <t>/img1/img46a1.jpg</t>
  </si>
  <si>
    <t>Great tools to make cutting ribbon, or holding tissue or giftwrap so much easier.  From single roll and multi roll paper cutters to ribbon dispensers and tissue racks, you can find it here.</t>
  </si>
  <si>
    <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t>
  </si>
  <si>
    <t>LED Strip lights for your store.  Use them under shelves and or around products.  These will help draw attention to your display.</t>
  </si>
  <si>
    <t>/img1/img0504.jpg</t>
  </si>
  <si>
    <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t>
  </si>
  <si>
    <t>/img2/img8309.jpg</t>
  </si>
  <si>
    <t>Choose from a variety of Electronic Printer Labels are a Thermal Transfer labels to mark your merchandise in your retail store.  You can print labels that are either designed to be Direct Thermal or Thermal Transfer.</t>
  </si>
  <si>
    <t>/img2/imge7b1.jpg</t>
  </si>
  <si>
    <t>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t>
  </si>
  <si>
    <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t>
  </si>
  <si>
    <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t>
  </si>
  <si>
    <t>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t>
  </si>
  <si>
    <t>/img1/img6f1c.jpg</t>
  </si>
  <si>
    <t>These Steamers are available in standard duty or heavy duty commercial steamers. We do carry some replacement parts as well, call 1-800-426-5708 to inquire.</t>
  </si>
  <si>
    <t>/img3/imge237.jpg</t>
  </si>
  <si>
    <t>Sealing tape and dispensers, perfect for use at your retail store to meet all your packaging needs.</t>
  </si>
  <si>
    <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t>
  </si>
  <si>
    <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t>
  </si>
  <si>
    <t>Here are curling ribbons in a rainbow of colors and textures, including natural, crimped and metallic so that you can find the perfect colors to accent your wrapped gifts!</t>
  </si>
  <si>
    <t>Add that special touch in style with fabric ribbon! Here are ribbons available in sheer and satin fabrics in a variety of colors.</t>
  </si>
  <si>
    <t>Add Shimmer to your retail store's packaging with Metallic and Glitter - Ribbon and Bows.</t>
  </si>
  <si>
    <t>/img1/imgfd6e.jpg</t>
  </si>
  <si>
    <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t>
  </si>
  <si>
    <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t>
  </si>
  <si>
    <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t>
  </si>
  <si>
    <t>Stretch Loops and Cords are a popular, attractive and easy way to secure gift boxes and add an eye catching finishing touch to your gift wrapping.</t>
  </si>
  <si>
    <t>Tulle makes an elegant finish to your retail store's packaging or as an accent to your display.  This is the perfect tulle for making pew bows, tying packages, or creating wedding favors.</t>
  </si>
  <si>
    <t>Wraphia, Raffia, Excelsior is a great way to add a natural look to your packages. Ideal for trimming your retail store's boxes and bags. Simple to use and looks great on any package.</t>
  </si>
  <si>
    <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t>
  </si>
  <si>
    <t>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t>
  </si>
  <si>
    <t>Conveniently eliminate the need for gift wrap with our attractive Decorative Corrugated Shipping Boxes! The boxes come in a range of sizes and patterns.</t>
  </si>
  <si>
    <t>Use colorful E Flute Boxes as a classy and fun way to package your retail store's product!</t>
  </si>
  <si>
    <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t>
  </si>
  <si>
    <t>Choose from Natural Kraft Pinstripe, White, Gift Boxes for your Retail Store.&lt;br&gt;</t>
  </si>
  <si>
    <t>/img2/imgba3d.jpg</t>
  </si>
  <si>
    <t>Gift cards are a wonderful way to market your store, help your customers and provide a way to boost holiday sales - The boxes and totes help you wrap them up for any occasion. All items can be personalized, please call 1-800-426-5708 for more information.</t>
  </si>
  <si>
    <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t>
  </si>
  <si>
    <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t>
  </si>
  <si>
    <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t>
  </si>
  <si>
    <t>/img1/imgc891.jpg</t>
  </si>
  <si>
    <t>Display your jewelry in style with these beautiful hinged Jewelry Boxes.  Price is per each.</t>
  </si>
  <si>
    <t>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t>
  </si>
  <si>
    <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t>
  </si>
  <si>
    <t>Many patterns are available for your Coordinated Packaging for Food entire look.  These are not just for food packaging either, you can use for many gift items that you want to creatively package.</t>
  </si>
  <si>
    <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t>
  </si>
  <si>
    <t>We have many one and two pieces boxes with inserts or windows in our Boxes for Food Packaging department and are ideal. These are in either white or kraft paper with many sizes of cupcake inserts.   Boxes and inserts are sold separately.</t>
  </si>
  <si>
    <t>Clear or printed Polypropylene Rolls and Bags are an inexpensive way to package your products.  You can use the rolls to cover baskets and the bags to individually package loose items.  Many color and prints are available.</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</si>
  <si>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</si>
  <si>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t>
  </si>
  <si>
    <t>We maintain one of the widest selections of label and tag stock for your enclosure cards.</t>
  </si>
  <si>
    <t>/img1/imgf8ce.jpg</t>
  </si>
  <si>
    <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t>
  </si>
  <si>
    <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t>
  </si>
  <si>
    <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t>
  </si>
  <si>
    <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t>
  </si>
  <si>
    <t>Shamrock Giftwrap for every occasion!  Perfect for any type of retail store. Don't forget to top off your Giftwrap with the perfect &lt;a href="../64492/Bows--Ribbon.html"&gt;Bows and Ribbons&lt;/a&gt;!&lt;br&gt;&lt;br&gt;&lt;a href="../64492/Bows--Ribbon.html"&gt;&lt;/a&gt;</t>
  </si>
  <si>
    <t>/img1/imge5ed.jpg</t>
  </si>
  <si>
    <t>Truly these Sullivan Giftwrap selections come in amazing colors and designs all found on these European look gift wraps.  Giftwrap for every occasion!  Perfect for any type of retail store.</t>
  </si>
  <si>
    <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t>
  </si>
  <si>
    <t>Fun Western Giftwrap for everything Western! Themes range from rodeo and spurs to horses and dressage. Be sure to check out our &lt;a href="../65003/Western-Themed-Christmas-Bags.html"&gt;coordinating paper shopping bags &lt;/a&gt;and &lt;a href="../64703/27521/Tissue-Paper/Western-Printed-Tissue-Paper.html"&gt;tissue&lt;/a&gt;!</t>
  </si>
  <si>
    <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t>
  </si>
  <si>
    <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t>
  </si>
  <si>
    <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t>
  </si>
  <si>
    <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t>
  </si>
  <si>
    <t>Choose from more than 40 colors and mixes of crinkle cut shred, very fine shred and excelsior. These are a great filler for our corrugated boxes or basket boxes.</t>
  </si>
  <si>
    <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t>
  </si>
  <si>
    <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t>
  </si>
  <si>
    <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t>
  </si>
  <si>
    <t>/img2/imgeb32.jpg</t>
  </si>
  <si>
    <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t>
  </si>
  <si>
    <t>/img2/imgb5cd.jpg</t>
  </si>
  <si>
    <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t>
  </si>
  <si>
    <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href="https://americanretailsupply.wordpress.com/2016/05/03/top-12-loss-prevention-strategies/"&gt;here&lt;/a&gt;.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t>
  </si>
  <si>
    <t>Look here for the newest arrivals to the American Retail Supply website. &lt;br&gt;&lt;br&gt;If you don't see what you're looking for here, call 800-426-5708 and let us know what you are trying to find. We have many more product options that are not currently displayed online!&lt;br&gt;</t>
  </si>
  <si>
    <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t>
  </si>
  <si>
    <t>/img3/img2fd4.jpg</t>
  </si>
  <si>
    <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here&lt;/a&gt; to see our NEW website with everything we have to offer!</t>
  </si>
  <si>
    <t>Avery Dennison Labelers &amp;amp; Labels are a top quality at an affordable price.  No new tools here, just great labelers that have withstood the test of time!</t>
  </si>
  <si>
    <t>/img3/imgddb8.jpg</t>
  </si>
  <si>
    <t>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</si>
  <si>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Garvey 22, 1 Line Labelers and Labels</t>
  </si>
  <si>
    <t>Garvey 22, 2 Line Labeler and Labels</t>
  </si>
  <si>
    <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t>
  </si>
  <si>
    <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t>
  </si>
  <si>
    <t>In 2 formats from Meto comes a hand held labeling system that really fits in the palm of your hand! The comfortable grip lets you label products for extended periods without fatigue. The new inker exchange system keeps your fingers clean. Choose 6 or 8 digit format.</t>
  </si>
  <si>
    <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t>
  </si>
  <si>
    <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t>
  </si>
  <si>
    <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t>
  </si>
  <si>
    <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t>
  </si>
  <si>
    <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t>
  </si>
  <si>
    <t>Lift off, scrapers and holders help you mark your products and change pricing quickly when neccasary.</t>
  </si>
  <si>
    <t>/img3/img6c2b.jpg</t>
  </si>
  <si>
    <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t>
  </si>
  <si>
    <t>/img1/imgecf0.jpg</t>
  </si>
  <si>
    <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t>
  </si>
  <si>
    <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t>
  </si>
  <si>
    <t>/img2/img71b1.jpg</t>
  </si>
  <si>
    <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</si>
  <si>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t>
  </si>
  <si>
    <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t>
  </si>
  <si>
    <t>You see Animal Prints everywhere - in the clothes you wear, in home furnishings... and now in retail store packaging. Combine and coordinate your animal print bags, gift wrap, tissue paper, boxes and ribbon. Most items can also be customized with your name on them.</t>
  </si>
  <si>
    <t>Bags are just one type of animal print patterns available.  Give your packaging a coordinated look.</t>
  </si>
  <si>
    <t>Animal print boxes coordinate with bags and tissues. The colors are truly vibrant.</t>
  </si>
  <si>
    <t>Shamrock Animal Print Patterns Giftwrap can be combined with any number of coordinating ribbons to make your in store wrap complete.</t>
  </si>
  <si>
    <t>Whether you use Ribbon to tie onto shopping bags, your colorfully giftwrapped packages, or other types of packaging and you will love these animal prints.  They will for sure spice up your packaging.</t>
  </si>
  <si>
    <t>Animal print Tissue in your favorite animal pattern is a favorite to add to any of your packaging.  You will stand out when you offer packages using these prints. Coordinate the prints with your favorite solid color tissue.</t>
  </si>
  <si>
    <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t>
  </si>
  <si>
    <t>Here are hundreds of designs of Christmas giftwrap paper,&lt;br&gt;Chanukah gift wrap and holiday gift wrap in full ream&lt;br&gt;rolls, 1/2 ream rolls and cutter boxes.&lt;br&gt;</t>
  </si>
  <si>
    <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t>
  </si>
  <si>
    <t>Fun and festive designed packaging for the holidays available in a variety of sizes, patterns and materials. These items can be used as your holiday store packaging or resold for your customers gift giving needs.  If you have questions please call 1-800-426-5708.</t>
  </si>
  <si>
    <t>/img1/img1b18.jpg</t>
  </si>
  <si>
    <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t>
  </si>
  <si>
    <t>/img1/img0d76.jpg</t>
  </si>
  <si>
    <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t>
  </si>
  <si>
    <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t>
  </si>
  <si>
    <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t>
  </si>
  <si>
    <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t>
  </si>
  <si>
    <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t>
  </si>
  <si>
    <t>Non-woven polypropylene bags are some of the hottest retail packaging products on the market. Benefits include:&lt;br&gt;      Eco Friendly Design  Durable  Reuse over and over  Machine Washable  Recyclable  Place Custom Logo on any bag so your stand out from the rest!&lt;br&gt;&lt;br&gt;</t>
  </si>
  <si>
    <t>/img1/img5fb6.jpg</t>
  </si>
  <si>
    <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t>
  </si>
  <si>
    <t>Clear or printed Polypropylene Rolls and Bags are an inexpensive way to package your products.  You can use the rolls to cover baskets and the bags to individually package loose items.  Many colors and prints are available.  &lt;br&gt;</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</si>
  <si>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</si>
  <si>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t>
  </si>
  <si>
    <t>/img3/img0acb.jpg</t>
  </si>
  <si>
    <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t>
  </si>
  <si>
    <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t>
  </si>
  <si>
    <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t>
  </si>
  <si>
    <t>/img3/img87fa.jpg</t>
  </si>
  <si>
    <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t>
  </si>
  <si>
    <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t>
  </si>
  <si>
    <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t>
  </si>
  <si>
    <t>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t>
  </si>
  <si>
    <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t>
  </si>
  <si>
    <t>/img3/imgb1e0.jpg</t>
  </si>
  <si>
    <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t>
  </si>
  <si>
    <t>Hi Density Plastic bags are light-weight, inexpensive, and water resistant so they are perfect for just about anything you sell in your store. Many of these bags are made in the USA.</t>
  </si>
  <si>
    <t>/img3/imgcdd3.jpg</t>
  </si>
  <si>
    <t>Low Density Plastic Bags have a classy gloss feel and look, and they're strong. Low density plastic bags have a soft feel as opposed to the crinkly feel of high density bags. Give us a call at 800-426-5708 if you're interested in custom printed bags.</t>
  </si>
  <si>
    <t>/img1/img9ef8.jpg</t>
  </si>
  <si>
    <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t>
  </si>
  <si>
    <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t>
  </si>
  <si>
    <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t>
  </si>
  <si>
    <t>/img1/imgd6be.jpg</t>
  </si>
  <si>
    <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t>
  </si>
  <si>
    <t>/img3/img218e.jpg</t>
  </si>
  <si>
    <t>CalHANGERS hold your sample swatches so that you can show them to your clients easily.</t>
  </si>
  <si>
    <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t>
  </si>
  <si>
    <t>/img2/img5c3a.jpg</t>
  </si>
  <si>
    <t>These unique track systems eliminate the need to install pegboard or slatwall. Use can use your available display space efficiently. Choose the system that works best for you.</t>
  </si>
  <si>
    <t>Sample Management for the Drapery and Interior Design Industry. The CalHOOK name has been synonymous with options to store, displays and organize your samples.  You can find lots of ideas or if you can't find exactly what you are looking for, please call us at 800-426-5708.</t>
  </si>
  <si>
    <t>Acrylic Attachments and Accessories are perfect for showing your product and isn't that what you want to do? Clear acrylic displays will highlight your product rather than the display itself.</t>
  </si>
  <si>
    <t>/img2/imgc771.jpg</t>
  </si>
  <si>
    <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t>
  </si>
  <si>
    <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t>
  </si>
  <si>
    <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t>
  </si>
  <si>
    <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t>
  </si>
  <si>
    <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t>
  </si>
  <si>
    <t>These crossbars may be used with any wall system, Slatwall, Gridwall, Universal Aristocrat, or Quantum.</t>
  </si>
  <si>
    <t>Hangrod are not just for store displays but are useful for your home closet.  Strong 1" or 1 1/4" round Metal rods.  If using with slatwall recommended that you only use with metal reinforced slatwall.</t>
  </si>
  <si>
    <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t>
  </si>
  <si>
    <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t>
  </si>
  <si>
    <t>Galvanized Ball Tip PegHooks are available in standard duty, medium duty and heavy duty. They are available in lengths from 2" - 12" depending on type and are case packed in 100 pieces.</t>
  </si>
  <si>
    <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t>
  </si>
  <si>
    <t>Pegboard hooks, scanner hooks, label holders and wire baskets we have a great selection to choose from. Some hooks available in standard duty, medium duty and heavy duty.</t>
  </si>
  <si>
    <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here&lt;/a&gt;.&lt;br&gt;&lt;br&gt;See our entire catalog of Textured Slatwall products &lt;a href="../../gallery.mailchimp.com/5263ee5fad261831ecc963425/files/Textured_Slatwall_Catalog_2016.pdf" target=_blank&gt;here&lt;/a&gt;.</t>
  </si>
  <si>
    <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t>
  </si>
  <si>
    <t>/img3/imgf048.jpg</t>
  </si>
  <si>
    <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t>
  </si>
  <si>
    <t>Slatwall Ready To Assemble Free-Standing Displays are ready and easy to assemble as permanent or semi-permanent fixtures for display in white or Maple.  &lt;br&gt;Additional Freight charges will be required,  you will be notified of costs before shipping.</t>
  </si>
  <si>
    <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Slatwall&lt;/a&gt;.</t>
  </si>
  <si>
    <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t>
  </si>
  <si>
    <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t>
  </si>
  <si>
    <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t>
  </si>
  <si>
    <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t>
  </si>
  <si>
    <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t>
  </si>
  <si>
    <t>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t>
  </si>
  <si>
    <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t>
  </si>
  <si>
    <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t>
  </si>
  <si>
    <t>Wallmount brackets are made to attach directly to your wall surface.  It is recommened that you attach to a stud or use Molly bolts for a more secure hold.</t>
  </si>
  <si>
    <t>/img2/imgb35e.jpg</t>
  </si>
  <si>
    <t>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t>
  </si>
  <si>
    <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t>
  </si>
  <si>
    <t>/img1/imgde32.jpg</t>
  </si>
  <si>
    <t>Tiered, multilevel displays which come in a variety of shapes and styles for your retail store's different display needs. If you don't see what you want, contact us and we will either find it for you or have it made to your specifications.</t>
  </si>
  <si>
    <t>/img2/img3461.jpg</t>
  </si>
  <si>
    <t>Convenient, clear acrylic display that customers can easily see your E-Cig's for sale. These have a small footprint for your countertop or shelves.</t>
  </si>
  <si>
    <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t>
  </si>
  <si>
    <t>/img1/imga339.jpg</t>
  </si>
  <si>
    <t>Perfect for displaying jewelry items. Made with clear acrylic for displaying eyewear and jewelry that will highlight your product rather than the display itself. &lt;br&gt;    Yes, we design and produce custom acrylic eyewear and jewelry displays.</t>
  </si>
  <si>
    <t>/img1/imgcd04.jpg</t>
  </si>
  <si>
    <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t>
  </si>
  <si>
    <t>/img3/img4575.jpg</t>
  </si>
  <si>
    <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t>
  </si>
  <si>
    <t>/img2/imgb152.jpg</t>
  </si>
  <si>
    <t>Self standing wire counter top racks utilize empty space and increase impulse sales.</t>
  </si>
  <si>
    <t>/img1/img4dd0.jpg</t>
  </si>
  <si>
    <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t>
  </si>
  <si>
    <t>/img3/img049b.jpg</t>
  </si>
  <si>
    <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t>
  </si>
  <si>
    <t>/img1/imgadc0.jpg</t>
  </si>
  <si>
    <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t>
  </si>
  <si>
    <t>These Pipe &amp;amp; Panel displays work perfectly with our line of &lt;a href="../65349/3D-Textured-Slatwall.html"&gt;3D Textured Slatwall&lt;/a&gt;.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target=_blank&gt;here&lt;/a&gt;.</t>
  </si>
  <si>
    <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t>
  </si>
  <si>
    <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t>
  </si>
  <si>
    <t>/img2/imga126.jpg</t>
  </si>
  <si>
    <t>Scrapbooking Racks for supplies used in Scrapbooking is a way of keeping these supplies in an attractive neat display.  These displays will keep your supplies organized and not use a ton of space in your store.</t>
  </si>
  <si>
    <t>/img2/imgedc5.jpg</t>
  </si>
  <si>
    <t>Rack Components so you can make your own floor or counter rack display for your retail store. If you need more options let us know.</t>
  </si>
  <si>
    <t>/img2/img9907.jpg</t>
  </si>
  <si>
    <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t>
  </si>
  <si>
    <t>/img1/img26c7.jpg</t>
  </si>
  <si>
    <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t>
  </si>
  <si>
    <t>These point of purchase displays are unique, beautiful and functional! We use Baltic birch wood with a lacquer finish, but we can modify these to fit your needs, including upgrading them with various wood stains. If you want a custom stain applied, please call us at 800-426-5708!</t>
  </si>
  <si>
    <t>High quality leatherete and velveteen draw string pouches at low prices.  Quality inside and out.  Great for enhancing your jewelry, gemstones, gifts, promotions and wedding favors.&lt;br&gt;</t>
  </si>
  <si>
    <t>Be sure to check out our new Jewelry Riser Sets.</t>
  </si>
  <si>
    <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t>
  </si>
  <si>
    <t>Jewelry Display Pads are available in Circles, Triangles, and Rectangles and covered with Black Velvet.</t>
  </si>
  <si>
    <t>Looking for something different to display your jewelry on.  These Linen look and bamboo are so popular now.  They are elegant and show off your jewelry very well.</t>
  </si>
  <si>
    <t>So many Necklace and Bracelet Countertop Displays to choose from! All these options give you the ability to mix and match your jewelry displays and show off your necklace and bracelet merchandise in elegant style.</t>
  </si>
  <si>
    <t>/img2/img86ef.jpg</t>
  </si>
  <si>
    <t>Attractive Earring and Ring Displays make your jewelry standout.</t>
  </si>
  <si>
    <t>Apollo and Athena Forms with ainted Wooden Base used for displaying slacks, sweaters blouses. Also used to display sportswear, shorts, swimwear, boxers or briefs.</t>
  </si>
  <si>
    <t>/img2/imgbc36.jpg</t>
  </si>
  <si>
    <t>Choose from a wide selection of costumer's. Any questions please call us at 1-800-426-5708 or email info@americanretailsupply.com</t>
  </si>
  <si>
    <t>Contemporary Crystalline Series mannequins are made of translucent fiberglass/cast resin for decades of durable display.</t>
  </si>
  <si>
    <t>/img1/img6ee1.jpg</t>
  </si>
  <si>
    <t>Ladies or men's head forms in Styrofoam or Abstract Fiberglass .  Great way to display scarves, Hats, caps. Self standing.&lt;br&gt;</t>
  </si>
  <si>
    <t>/img2/img3a91.jpg</t>
  </si>
  <si>
    <t>/img3/imgbe6d-2.jpg</t>
  </si>
  <si>
    <t>Kidz Klub series offers a cost effective way to display a complete line of children's clothing. Flesh tone color, modeled hair and makeup. Fiberglass construction.</t>
  </si>
  <si>
    <t>/img1/imgb1e8.jpg</t>
  </si>
  <si>
    <t>When you are looking for a more contemporary look for displaying your clothing these Molded Forms are a great choice.&lt;br&gt;Have any questions or need help please call us at 1-800-426-5708. We would be happy to help.&lt;br&gt;</t>
  </si>
  <si>
    <t>/img2/img8592.jpg</t>
  </si>
  <si>
    <t>The Rudy and Judy Series are the most affordable mannequin. Attractive, youthful looking with sculpted brown hair - Flesh tone. Includes tempered glass base.&lt;br&gt;</t>
  </si>
  <si>
    <t>/img3/imga596.jpg</t>
  </si>
  <si>
    <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t>
  </si>
  <si>
    <t>/img1/img5c7c.jpg</t>
  </si>
  <si>
    <t>The Unbreakable forms are specially made with polyethylene rather than traditional fiberglass. This makes them tougher over the long haul, and ensures that your displays always look fresh and saves retailers money. Milky-white in color.&lt;br&gt;</t>
  </si>
  <si>
    <t>/img2/img3ceb.jpg</t>
  </si>
  <si>
    <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t>
  </si>
  <si>
    <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t>
  </si>
  <si>
    <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t>
  </si>
  <si>
    <t>The best quality pencil polished tempered glass in the industry at great prices. Glass will ship via Common Carrier and will have a $25.00 crating charge added to orders.</t>
  </si>
  <si>
    <t>Slatwall and Gridwall wire shelving.  Available with or without lip.</t>
  </si>
  <si>
    <t>Choose from tempered glass, acrylic, wire, bullnose shelving, melamine, and gondola shelving.</t>
  </si>
  <si>
    <t>/img2/imge011.jpg</t>
  </si>
  <si>
    <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t>
  </si>
  <si>
    <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t>
  </si>
  <si>
    <t>/img3/imgd090.jpg</t>
  </si>
  <si>
    <t>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t>
  </si>
  <si>
    <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t>
  </si>
  <si>
    <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t>
  </si>
  <si>
    <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t>
  </si>
  <si>
    <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t>
  </si>
  <si>
    <t>/img3/img4438.jpg</t>
  </si>
  <si>
    <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t>
  </si>
  <si>
    <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t>
  </si>
  <si>
    <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t>
  </si>
  <si>
    <t>/img3/img8e6a.jpg</t>
  </si>
  <si>
    <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t>
  </si>
  <si>
    <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Labeler.&lt;/a&gt;&lt;br&gt;Or &lt;a href="http://yoosh.co/ars_files/rs6.eporia.com/company_8/Monarch%201103-1110.pdf"&gt;written loading instructions.&lt;/a&gt;</t>
  </si>
  <si>
    <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t>
  </si>
  <si>
    <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t>
  </si>
  <si>
    <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t>
  </si>
  <si>
    <t>Monarch 1110 Inkers for labelers.</t>
  </si>
  <si>
    <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Instructions&lt;/a&gt;</t>
  </si>
  <si>
    <t>Genuine inkers for your Monarch 1130 Series Inker 1131, 1135, and 1136 Labeler.</t>
  </si>
  <si>
    <t>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Instructions&lt;/a&gt;</t>
  </si>
  <si>
    <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t>
  </si>
  <si>
    <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t>
  </si>
  <si>
    <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t>
  </si>
  <si>
    <t>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Instructions&lt;/a&gt;</t>
  </si>
  <si>
    <t>The Monarch 1135 Price Gun is easy to use and easy to load. Its 2 lines of 6 characters make it great for price comparisons, SKU codes, dates, etc.&lt;br&gt;&lt;a href="http://yoosh.co/ars_files/resources.myeporia.com/Company_8/Paxar%20-%20Loading%20Labels.pdf" target=_blank&gt;Loading Instructions&lt;/a&gt;</t>
  </si>
  <si>
    <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Instructions&lt;/a&gt;</t>
  </si>
  <si>
    <t>Inker cartridges for Monarch 1115 Labelers.</t>
  </si>
  <si>
    <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t>
  </si>
  <si>
    <t>This Monarch 1151 has 7 Characters available on 1 Line, All Numeric use for promotional or sale pricing.</t>
  </si>
  <si>
    <t>Monarch 1152 promotional labeling when you need to have an item numbers listed as well as the price.&lt;br&gt;Top has 12 Print Positions</t>
  </si>
  <si>
    <t>Inker cartridges for Monarch 1150 Series Labelers</t>
  </si>
  <si>
    <t>This is a 3 Line Labeler when you need to put a lot of information on a label.</t>
  </si>
  <si>
    <t>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t>
  </si>
  <si>
    <t>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t>
  </si>
  <si>
    <t>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</si>
  <si>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</si>
  <si>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</si>
  <si>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</si>
  <si>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</si>
  <si>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</si>
  <si>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</si>
  <si>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</si>
  <si>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t>
  </si>
  <si>
    <t>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</si>
  <si>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</si>
  <si>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</si>
  <si>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</si>
  <si>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</si>
  <si>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</si>
  <si>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t>
  </si>
  <si>
    <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t>
  </si>
  <si>
    <t>Really great choice of Bags and boxes for take out, box lunches, and other specialty food uses at your store.&lt;br&gt;Order bags by the case.  Case sizes are listed below. Call 1-800-426-5708 for samples.&lt;br&gt;</t>
  </si>
  <si>
    <t>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t>
  </si>
  <si>
    <t>Fruit Bowl Wine Packaging for Specialty Food Bags are gorgeous bags for take-out and other specialty food uses at your retail store.&lt;br&gt;Order boxes by the case.&lt;br&gt;Case sizes are listed below.&lt;br&gt;Call (800) 426-5708 for samples.&lt;br&gt;*Made with up to 30% recycled content.&lt;br&gt;</t>
  </si>
  <si>
    <t>Great for wine bottles and other specialty food uses at your store.&lt;br&gt;Order bags by the case.&lt;br&gt;Case sizes are listed below. &lt;br&gt;*Bags are made with up to 40% recycled Natural Kraft bags.&lt;br&gt;Call 1-800-426-5708 to talk to a sales representative for samples.</t>
  </si>
  <si>
    <t>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t>
  </si>
  <si>
    <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t>
  </si>
  <si>
    <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t>
  </si>
  <si>
    <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t>
  </si>
  <si>
    <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t>
  </si>
  <si>
    <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t>
  </si>
  <si>
    <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t>
  </si>
  <si>
    <t>These bags and boxes offer a nice organic look for all your food gift packaging. Pair the bags with a nice green tissue paper for a complete look.</t>
  </si>
  <si>
    <t>This tiny easel works when you want to display very small items.  At only 2' wide, it's a convenient display piece.  It is sold in a package of 12 easels for one low price.</t>
  </si>
  <si>
    <t>These easels are perfect for holding a packaged folded shirt and is clear acrylic.  The slant allows you to display your shirts so that they are a featured item.</t>
  </si>
  <si>
    <t>Plate Easels made with wire and acrylic base can be used for different sizes of plates. Just adjust the wire and you can adjust the position of your plate that you are displaying. Sold in packages of a dozen.  &lt;br&gt;</t>
  </si>
  <si>
    <t>This Rounded Front Opening easel is the perfect choice for displaying purses, clutch bags, or other soft goods.  The 3" deep opening allows you to display thicker items and made of clear acrylic.</t>
  </si>
  <si>
    <t>Made with 3/16" clear Acrylic to hold your retail store's heavier items, along with hard to display items like plates or games. They are designed with 2 legs that will hold and balance your merchandise. &lt;br&gt;</t>
  </si>
  <si>
    <t>These are hinged easels for easy storage and shipping. They open up to display books, purses, or greeting cards effectively. Made of 1/8" molded acrylic.</t>
  </si>
  <si>
    <t>Use as boxes for selling small items as these are clear, 5 sided open cube or used as a riser for displaying items at a variety of heights.  These cubes are made from 3 /16" acrylic. &lt;br&gt;</t>
  </si>
  <si>
    <t>This Dinnerware Holder will display a 5 piece place setting compactly and safely.  Use several of these on a shelf to showcase your dinnerware patterns.</t>
  </si>
  <si>
    <t>Cell Phone Easels that you Choose the right size for your cell phone line. Also available the Slanted Cellular Phone Holder is at a perfect slant for displaying cell phones inside showcases.</t>
  </si>
  <si>
    <t>These are commonly used for books, magazines, pictures, frames and collectibles.  The 3" deep "J" opening allows you to display thicker items.</t>
  </si>
  <si>
    <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t>
  </si>
  <si>
    <t>These are deluxe Acrylic Display Trays and are perfect for countertop displaying and showcasing merchandise and collectibles in your retail store.</t>
  </si>
  <si>
    <t>Small Acrylic Easels available in 5 sizes in acrylic. Sold in packages of 12 easels</t>
  </si>
  <si>
    <t>These easels are available in 5 sizes in acrylic. Sold per package of dozen</t>
  </si>
  <si>
    <t>This clear acrylic mirror is one of our more popular styles. 8" x 10" glass mirror, 11 1/2" H. acrylic base and frame with adjustable tilt. Available with a single mirror or a double mirror. Has chrome trim with chrome knobs that allow you to turn the mirror.  Easy assembly.</t>
  </si>
  <si>
    <t>This is compact and will take very little space.  The mirror is beveled and has polished edges.</t>
  </si>
  <si>
    <t>These counter size acrylic mirrors are inexpensive.  The mirror is slanted for easier viewing.</t>
  </si>
  <si>
    <t>These are flat and available for Gridwall (slatwall image showing). They come in 3 sizes, choose the one that will fit your retail store's display. &lt;br&gt;</t>
  </si>
  <si>
    <t>This single sided mirror features a black acrylic frame and base with chrome trim.&amp;#160;</t>
  </si>
  <si>
    <t>Made with an all Glass Mirror.  It is an economical answer to your counter mirror needs.</t>
  </si>
  <si>
    <t>This shelf may be just the answer to display a variety of items on your slatwall. 2 Size options available.</t>
  </si>
  <si>
    <t>Comes unassembled for easy shipping. It can be used on the countertop or can be mounted on the wall.</t>
  </si>
  <si>
    <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t>
  </si>
  <si>
    <t>Perfect step display so customers can see all the products.  They won't take up a lot of room on your shelf or showcase and you are still able to display lots of items in an orderly manner.  Legs to these display attach with stainless steel screws.  This item assembles easily.</t>
  </si>
  <si>
    <t>This countertop display can be used two ways by turning the unit to its other side to allow for 2" or 3" deep shelves. Great for mugs, candles, glasses or statues. Ships assembled.</t>
  </si>
  <si>
    <t>Includes 3 trays at 16" long. &lt;br&gt;You may choose any 3 trays from the following list:</t>
  </si>
  <si>
    <t>Comes in 3 sizes. Choose your size depending upon the number of items you want to display. The tallest one is only 6 &amp;#189;" tall for a very compact display.  &lt;br&gt;</t>
  </si>
  <si>
    <t>Showcases in many sizes that show your products not the display.</t>
  </si>
  <si>
    <t>The perfect flat display for your countertop.&amp;#160; This display comes complete a hinged door and knob for easy opening.</t>
  </si>
  <si>
    <t>These are for Slatwall and are a nice addition to your slatwall display.  Add one or more to show off your jewelry, or other items that you need to have locked for security.</t>
  </si>
  <si>
    <t>This is a great countertop display for candles, glasses or statues in your retail store. &lt;br&gt;Has a 3/4" front lip on each tear.&lt;br&gt;Dimensions: 15 3/8" W x 12 1/2" H x 11 1/4" D&lt;br&gt;Ships assembled.</t>
  </si>
  <si>
    <t>This is available as one two tiers. Each having 5 1/2" deep shelves.</t>
  </si>
  <si>
    <t>Clear acrylic display that allows customers to easily see your E-Cig's for sale.&lt;br&gt;Item 70AC8922 has a total of 22 round spaces 11 per shelve, to display your E-Cig's. Item 70AC8330 has 5 tiers of shelves that will accommodate about 25 round E-Cig products.&lt;br&gt;</t>
  </si>
  <si>
    <t>These are made of 1/8" Acrylic.</t>
  </si>
  <si>
    <t>Holds 7" wide packaged hose, and 4 1/2" deep 4 1/2" Front Lip.&lt;br&gt;Dimensions: Double 15 3/8" &lt;br&gt;</t>
  </si>
  <si>
    <t>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t>
  </si>
  <si>
    <t>Clear acrylic pocket brochure holders are to be use with Slatwall, Wallmount, or Gridwall.&lt;br&gt;Styles available for 4" x 9" brochures and 8 1/2" x 11" brochures.&lt;br&gt;</t>
  </si>
  <si>
    <t>Deluxe 1/4" Acrylic Shelves come in a variety of lengths ready for Slatgrid, Gridwall, or pegboard to display merchandise in your retail store.</t>
  </si>
  <si>
    <t>Trays you can use for Slatwall or Gridwall for holding your merchandising apparel accessories, gift items, or candy in your retail store.  Made of 3/16" Acrylic.</t>
  </si>
  <si>
    <t>Use with 1/8" thick J Racks to divide your J Rack into compartments.</t>
  </si>
  <si>
    <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t>
  </si>
  <si>
    <t>Available in wallmount styles for 4" x 9" brochures and 8 1/2" x 11" brochures.</t>
  </si>
  <si>
    <t>Show off your apparel in your Retail Store with these clear apparel hangers.</t>
  </si>
  <si>
    <t>Molded Acrylic Brochure Holder for countertop use, or use with pegboard, slatwall, gridwall or wallmount. For 8 1/2" x 11" brochures or 4" x 9" brochures with pegboard.&lt;br&gt;701080E pictured top right.&lt;br&gt;&lt;br&gt; Model 702115E&lt;br&gt;                          at the left</t>
  </si>
  <si>
    <t>This book displayer is made for displaying multiple books in a small area.</t>
  </si>
  <si>
    <t>Use for displaying your merchandise in your retail store facing out for easy viewing. Choose from a variety of sizes that work best for you. Each of these easels have a 1" Front Lip and are made with a 50&amp;#186; tilt and made from 3/16" acrylic.</t>
  </si>
  <si>
    <t>This clear watch display will allow you to highlight individual watch designs in your display to their best advantage.</t>
  </si>
  <si>
    <t>Display holds either 1, 3, or 6 pairs of glasses.</t>
  </si>
  <si>
    <t>Acrylic 1/8 shelves are made of clear acrylic for Slatwall or Slatgrid and are useful for lightweight products. These shelves are made of economical 1/8" clear acrylic and Made in USA.</t>
  </si>
  <si>
    <t>Acrylic 90&amp;#186; shelves for Slatwall, or Slatgrid are ideal for heavier items that you need to display like electronic items. These shelves are made of 1/4" flat acrylic and have an additional clear acrylic brace added for additional support.</t>
  </si>
  <si>
    <t>Clear Acrylic Standard Shelves for Slatwall are good general purpose shelves for Slatwall. These shelves are made of 3/16" clear acrylic. &lt;br&gt;</t>
  </si>
  <si>
    <t>Maxi Length Shelves for Slatwall are made for those displays that you need a longer continuous shelf. These shelves are made of extra thick 1/4" acrylic.</t>
  </si>
  <si>
    <t>Acrylic 4" deep shelves for Slatwall or Slatgrid. These 4" deep shelves display small items like mugs or cups very effectively. Choose from 2 different lengths and Open or Closed ends.</t>
  </si>
  <si>
    <t>Clear molded shelves for Slatwall are an economical choice for displaying your merchandise. Options include front lip or even the ability to display pricing.</t>
  </si>
  <si>
    <t>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t>
  </si>
  <si>
    <t>These are perfect for displaying Books, Videos and Software. &lt;br&gt;702170 holds items 7/8" to  1 1/4" thick for thin books or videos.&lt;br&gt;702174 holds items 1 1/4" to 2" thick for those thick novels and software packages. &lt;br&gt;Both are made of 1/8" acrylic for Slatwall.</t>
  </si>
  <si>
    <t>These are acrylic 45&amp;#186; shelves have braced ends suitable to hold your heavier items. These shelves are made from heavy weight 3/16" acrylic.</t>
  </si>
  <si>
    <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t>
  </si>
  <si>
    <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t>
  </si>
  <si>
    <t>Acrylic Hook for Slatwall, Slatgrid</t>
  </si>
  <si>
    <t>Available either as a single hook or a strip of 5 or 6 hooks.</t>
  </si>
  <si>
    <t>Made of White Reinforced Nylon hookd. Sold as 25 per pack.</t>
  </si>
  <si>
    <t>For use with Slatwall display this small bar has a with a 3 7/8" Acrylic Faceout.</t>
  </si>
  <si>
    <t>The brackets can be used on Slatwall or Slatgrid and range in length from 8" to 14".&lt;br&gt;&lt;br&gt;</t>
  </si>
  <si>
    <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</si>
  <si>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Made of 1/8" Acrylic,  8"L x 13"W, 3" Front lip, 20 1/2 tilt for folded shirts, blouses, etc.</t>
  </si>
  <si>
    <t>Extruded from 1/8" acrylic for light weight items.</t>
  </si>
  <si>
    <t>Using this shelf will show customers right away what is available. Showing your product on this shelving provides a quick view to attract buyers.&lt;br&gt;</t>
  </si>
  <si>
    <t>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</si>
  <si>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</si>
  <si>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These work great for business cards, gift cards and envelopes that are sold in a lot of retail stores.</t>
  </si>
  <si>
    <t>These shelf displays face out at a 45&amp;#186; angle for easy view and 1" lip deluxe. Available in 3 sizes.</t>
  </si>
  <si>
    <t>These flat mirrors come in 3 shapes and sizes such as Round, Rectangle and oval, choose the one that will fit your retail store's display. &lt;br&gt;</t>
  </si>
  <si>
    <t>1/8" sign holders are listed as Width by Height.</t>
  </si>
  <si>
    <t>Single, double, triple tiered for 4" x 9" brochures, 7 1/2" x 9" brochures, or 8 1/2" x 11" brochures. Use on your countertop.</t>
  </si>
  <si>
    <t>Like the one on the right pictured to the right. For 4" x 9" brochures on your countertop.</t>
  </si>
  <si>
    <t>Offered as a countertop literature holder with a 6" base or a 14" base for two different sizes of brochures. Easily revolves to see all 3 sides.</t>
  </si>
  <si>
    <t>Molded Acrylic Counter Top Business Card Holders.</t>
  </si>
  <si>
    <t>Clear Acrylic with 1 1/2" deep pockets.&lt;br&gt;701257 sold 50 per pack.</t>
  </si>
  <si>
    <t>This economy brochure holder ships flat and snaps together easily</t>
  </si>
  <si>
    <t>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t>
  </si>
  <si>
    <t>Our deluxe "Hold It" Literature Holders are perfect for sheet papers and flyers that typically want to fall forward. Holds sheets flat with a snug fit! Pocket is 1 1/2" deep.</t>
  </si>
  <si>
    <t>Large Wallmount and Countertop literature Holders are perfect for large magazines and catalogs. Dimensions: 10 7/8"W x 11 3/4"H x 2"D</t>
  </si>
  <si>
    <t>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</si>
  <si>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t>
  </si>
  <si>
    <t>Holds up to 300, 8.5" x 11" flyers. All clear box with black lid. The lid protects literature from the outdoor elements. Hardware included.</t>
  </si>
  <si>
    <t>Multi use 4"x 9" and 8 1/2" x 11" acrylic holder for brochures. Comes with holes for wall mount, slatwall and gridwall hooks to attach for your particular need. Pricing for tiered units includes hardware set.  Extra hardware sets can be purchased separately.&lt;br&gt;</t>
  </si>
  <si>
    <t>Available as 4" x 9" or 8 1/2" x 11" single or double for brochures.</t>
  </si>
  <si>
    <t>These are perfect for displaying your fine carvings, jewelry, or ceramics as these are mirrored open cubes.</t>
  </si>
  <si>
    <t>This makes a beautiful addition to your displays.  These 1/4" risers will sit nicely on any shelf. Purchase these affordable risers as sets or individually.</t>
  </si>
  <si>
    <t>Beautiful clear Acrylic Risers are suitable for most light to medium weight merchandise. Purchase these very affordable risers as sets or individually.</t>
  </si>
  <si>
    <t>Clear acrylic 1/4" thick risers are our most versatile pieces. Select from a large variety of sizes or as sets of 3, 4, or 5 risers. These work very well when you need a range of sizes for your retail store's display. Purchase these affordable risers as sets or individually.&lt;br&gt;</t>
  </si>
  <si>
    <t>Contemporary in look these solid pedestals will dress up your showcase. Solid clear acrylic, 2" in diameter. You can purchase individually or in a set of three.  Great for displaying jewelry and small novelty items.&lt;br&gt;</t>
  </si>
  <si>
    <t>These Clear Acrylic Molded Small Riser set is an economical answer for your riser needs. The risers are sold as a set of three.  Get several sets to use as you need them.</t>
  </si>
  <si>
    <t>This set of Mirrored Acrylic Riser is made of 1/8 acrylic. This set is made up of 3 popular sizes. Includes a 5" x 4" x 2", 6" x 4" x 4",&lt;br&gt;and 6 1/2" x 4" x 6" (LxWxH).</t>
  </si>
  <si>
    <t>This has a  beautiful upscale look.  Use these risers when you really want to show off your merchandise. This set has 3 convenient sizes of risers. Includes 5&amp;#189;" x 4" x 2&amp;#189;", 6&amp;#189;" x 4" x 3&amp;#189;", 7&amp;#189; "x 4" x 4&amp;#189;" (LxWxH).</t>
  </si>
  <si>
    <t>Made of 1/2 acrylic and has beveled edges. May be purchased as a set or available individually.&lt;br&gt;</t>
  </si>
  <si>
    <t>This is a great selection of a 6 Piece Clear Acrylic Risers and is one of our most popular sets. You get 6 risers for one low price.  You can add a variety of heights to highlight your retail store's display.</t>
  </si>
  <si>
    <t>Frosted acrylic beveled edge risers are a beautiful addition to your displays.  These &amp;#188;" risers will sit nicely on any shelf.  They are sold individually or as a set of 3.</t>
  </si>
  <si>
    <t>This Mirrored Acrylic Riser Set is made of 1/2 acrylic. These risers may be purchased as a set of 3 or individually.</t>
  </si>
  <si>
    <t>Stands 14" High x 14 1/4" Wide x 7" Deep. This display can be assembled for left or right spiral. Ships unassembled.</t>
  </si>
  <si>
    <t>Beautiful configuration of clear acrylic riser stands at 12 3/8" High x 12 1/4" Wide x 12 1/4" Deep. Ships unassembled.</t>
  </si>
  <si>
    <t>This vertical Acrylic shelf Tower Stands 21" High x 10" Diameter. The 5 round platforms make a compact vertical display to highlight your merchandise. Ships unassembled.</t>
  </si>
  <si>
    <t>Wall mount or hang from the ceiling extra large sign holders. Great for poster size signage. Sold individually.</t>
  </si>
  <si>
    <t>These countertop sign holders are slanted back and made from 1/16" acrylic and very economical to use. Sizes listed as Width by Height. Sold individually.</t>
  </si>
  <si>
    <t>This chrome channel on these holders gives an upgraded look to your acrylic holder. End of stem is finished with a 3/8 threaded fitting for attaching to a metal base or garment rack.</t>
  </si>
  <si>
    <t>Great specialty Acrylic Sign Holders which comes with screw holes for use on wood counters or perfect for most gondola tops. Large screw mount sign holder uses screws or double sided tape to attach.</t>
  </si>
  <si>
    <t>Countertop Sign Holders for 8 1/2" x 11" sign and a single pocket w/ 3 5/8" x 3/4" acrylic business card holder attached to the front. Literature Sign Holders is 13 1/8" x 11" sign while there is a 4"W x 1 1/2"D with a 4" lip Literature Holder attached to the front.&lt;br&gt;Sold individually.</t>
  </si>
  <si>
    <t>Countertop use for 13 1/8" x 11" sign while there is a 4"W x 1 1/2"D with a 4" lip Literature Holder attached to the front.</t>
  </si>
  <si>
    <t>The Slant Back Acrylic Sign Holders for your Countertops come in many sizes. Sold individually.</t>
  </si>
  <si>
    <t>The Two Sided, Top Loading Acrylic Sign Holders get customer's attention in either direction. Many sizes. Sold individually.</t>
  </si>
  <si>
    <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t>
  </si>
  <si>
    <t>Economy Two Sided, Bottom loading sign holders get your customer's attention in both directions. You can use each side as the same message or use two different signs back to back. &lt;br&gt;Sold individually.</t>
  </si>
  <si>
    <t>Athena Miss Size Full Torso Form is great for displaying bathing suits, lingerie, and sportswear. Matching painted wooden base included.</t>
  </si>
  <si>
    <t>Athena Ladies Blouse Form includes concealed 5/8" flange for use with a base. May also be used as a self-standing counter display.&lt;br&gt;Product Dimensions: 23 1/2" Height, 34" Bust, 24 1/2" Waist. Comes in flesh tone and black.</t>
  </si>
  <si>
    <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t>
  </si>
  <si>
    <t>Apollo Muscular Shirt Form with concealed 5/8" flange. For use with #&lt;a href="../../../25490/235905/Apollo-and-Athena-Series-Mannequins/Base-for-Apollo--Athena-Forms.html"&gt;8 Base&lt;/a&gt; and #&lt;a href="../../../25490/235906/Apollo-and-Athena-Series-Mannequins/Upright-for-Apollo--Athena-Forms.html"&gt;9U Upright&lt;/a&gt;.&lt;br&gt;  Product Dimensions: 24 1/2" Height, 39" Chest, 14 1/2" Neck</t>
  </si>
  <si>
    <t>A two-part Adjustable Sweater and Jacket Form - each part has a concealed 5/8" flange for adjusting to any length garment. Base and upright (#&lt;a href="../../../25490/235905/Apollo-and-Athena-Series-Mannequins/Base-for-Apollo--Athena-Forms.html"&gt;8B base &lt;/a&gt;and #&lt;a href="../../../25490/235906/Apollo-and-Athena-Series-Mannequins/Upright-for-Apollo--Athena-Forms.html"&gt;9u upright&lt;/a&gt;) must be ordered separately.</t>
  </si>
  <si>
    <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t>
  </si>
  <si>
    <t>Base for Apollo and Athena Forms are 8" Round Chrome Base with 5/8" threading.  Heavy duty weighted 8" base accepts upright with 7/8" threading. Used primarily to display a full round form or shell form on the floor.&lt;br&gt;</t>
  </si>
  <si>
    <t>Upright for Apollo and Athena Forms are a 30" Non-adjustable Upright w/ 5/8" fitting on both ends.&lt;br&gt;Must be used with economy style &lt;a href="http://www.makeyouhappy.com/product.asp?Product_Id=235905&amp;amp;d_Id=15413&amp;amp;l1=173&amp;amp;l2=15413"&gt;8" weighted base&lt;/a&gt;. Creates heavy duty display stand that can hold Athena or Apollo plastic form that has a 5/8" fitting.&lt;br&gt;Base sold separately.&lt;br&gt;</t>
  </si>
  <si>
    <t>Organize your products with ease using these Display It Hooks and holders.&lt;br&gt;Order per package.  Each Package has 2M (2000) hooks.</t>
  </si>
  <si>
    <t>These Safety Pins are brass plated, 3/4".</t>
  </si>
  <si>
    <t>The Cosmetic Stain Remover comes in two sizes and are great to get the remains of make-up out of clothing or anything else it may stain.</t>
  </si>
  <si>
    <t>The Lint Pickup Roller can be purchased as a whole, the individual handle, or refill rolls.</t>
  </si>
  <si>
    <t>All Try-Ons are one size.  The Mask, Panty Jr. Thong and Panty Missy are white. The socks are tan. Order any Try-Ons by the package.&lt;br&gt;The Mask, Panty Jr. Thong and Panty Missy have 20 try-ons per package. Socks have 144 per package. Sold per package.&lt;br&gt;</t>
  </si>
  <si>
    <t>Organize your retail store's products with ease using these Neck Tie Holders and display hooks.</t>
  </si>
  <si>
    <t>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t>
  </si>
  <si>
    <t>Silicone Lubricant 5 oz.&lt;br&gt;</t>
  </si>
  <si>
    <t>Plastic Label Scrapers&lt;br&gt;10/package</t>
  </si>
  <si>
    <t>Steel Bank Pins are a heavier gauge steel straight pin. One pound box of pins offered in two popular sizes - # 24 at 1-1/2 long and 1 1/4" long. They will help to display your retail stores apparel without bending.</t>
  </si>
  <si>
    <t>A great value for your retail store available in 8 sizes of White apparel boxes are in stock!&lt;br&gt;Priced 100 per case - unless otherwise stated.&lt;br&gt;</t>
  </si>
  <si>
    <t>A great value for your retail store available in 7 sizes of Kraft apparel boxes are in stock!&lt;br&gt;Priced 100 per case - unless otherwise stated.&lt;br&gt;</t>
  </si>
  <si>
    <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t>
  </si>
  <si>
    <t>Upturn Standard for Aristocrat helps secure the bracket in case the user forgets to tap in bracket.  Note all brackets should be tapped in.  Use for the most severe loads and where traffic conditions demand a more durable line of hardware. &lt;br&gt;</t>
  </si>
  <si>
    <t>Aristocrat System Knife Edge Brackets to use with surface mounted and concealed standards.&lt;br&gt;    &amp;#8226; For heavy loads.&lt;br&gt;    &amp;#8226; Heavy Duty Mirror Polished Chrome Standards &amp;amp; Hardware Wall System  &lt;br&gt;</t>
  </si>
  <si>
    <t>Use the Shelf Rest with Rubber Buttons on Aristocrat Brackets for glass shelves.&lt;br&gt;</t>
  </si>
  <si>
    <t>Use with surface mounted and concealed standards. The Adjustable Knife Edge Bracket can adjust in four downward movements 15*, 30*, 45*, and 50*.</t>
  </si>
  <si>
    <t>Use the Facia Bracket with Standard Mounts and Concealed Standards. The concealed standard design gives an attractive and distinguished look to any store. Use with surface mounted and concealed standards: 28" to 40" Adjustable bracket.</t>
  </si>
  <si>
    <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t>
  </si>
  <si>
    <t>Aristocrat System Ball Waterfall for heavy loads.&lt;br&gt;&amp;#8226; Heavy Duty Mirror Polished Chrome Standards &amp;amp; Hardware Wall System  &lt;br&gt;The Ball Waterfall is made with 1/2" x 1 1/2" rectangular tubing.</t>
  </si>
  <si>
    <t>The upturn creates the most secure bracket in case user doesn't tap the cracket into place. Note all brackets should be tapped in.</t>
  </si>
  <si>
    <t>Merchandising Bar Brackets for Aristocrat System 1/2" x 1 1/2" is designed to fit Surface Mounted and Concealed Standards. &lt;a href="../../../64939/Merchandising-Bars-Hangrod-Crossbars.html"&gt;Click here for Merchandise Bar options&lt;/a&gt;&lt;br&gt;</t>
  </si>
  <si>
    <t>Universal System Mounting Screws.&lt;br&gt;&lt;br&gt;Intended for moderate loads.  Sold in package of 12.&lt;br&gt;</t>
  </si>
  <si>
    <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t>
  </si>
  <si>
    <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t>
  </si>
  <si>
    <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t>
  </si>
  <si>
    <t>Avery PB 210 Labeler &lt;br&gt;Two Line Labeler, 10 Characters per Line&lt;br&gt;&lt;a href="http://yoosh.co/ars_files/rs6.eporia.com/company_8/Avery%20Dennison%20PB%20216-210.pdf"&gt;Loading Instructions&lt;/a&gt;</t>
  </si>
  <si>
    <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t>
  </si>
  <si>
    <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t>
  </si>
  <si>
    <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t>
  </si>
  <si>
    <t>PB 1 Inkers for Avery Dennison PB 1 line Labelers</t>
  </si>
  <si>
    <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Instructions&lt;br&gt;&lt;/a&gt;</t>
  </si>
  <si>
    <t>&lt;a id="Avery PB 216" name="Avery PB 216"&gt;Avery PB 216&lt;/a&gt; Labeler&lt;br&gt;Two lines, 8 Characters per Line&lt;br&gt;&lt;a href="http://yoosh.co/ars_files/rs6.eporia.com/company_8/Avery%20Dennison%20PB%20216-210.pdf"&gt;Loading Instructions&lt;/a&gt;</t>
  </si>
  <si>
    <t>PB 210 or 216 Inkers for Avery Dennison Labelers</t>
  </si>
  <si>
    <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t>
  </si>
  <si>
    <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t>
  </si>
  <si>
    <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t>
  </si>
  <si>
    <t>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t>
  </si>
  <si>
    <t>These popular Frosted Animal print shoppers with Tri Fold Handles are available in 4 different patterns in Zebra, Leopard, Crocodile, and Rattler.&lt;br&gt;Bags are packed 100 per case.</t>
  </si>
  <si>
    <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t>
  </si>
  <si>
    <t>Stop Messy Taping with Miracle Sticks&lt;br&gt;&amp;#8226; Low cost solution to unsightly taping of signs&lt;br&gt;&amp;#8226; Double sided tape sticks come in convenient rolls that peel off and apply easily.&lt;br&gt;500 miracle sticks per roll.&lt;br&gt;&lt;br&gt;</t>
  </si>
  <si>
    <t>Great indoor Posters and Pennants to grab your customers attention and increase foot traffic and sales.&lt;br&gt;Sold per pack.</t>
  </si>
  <si>
    <t>Great Indoor Ceiling Danglers and Ceiling Arrows to get your customers attention.&lt;br&gt;Sold per pack.</t>
  </si>
  <si>
    <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</si>
  <si>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t>
  </si>
  <si>
    <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</si>
  <si>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t>
  </si>
  <si>
    <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t>
  </si>
  <si>
    <t>Use the Peg Board Hooks to hang items on your retail store's wall. The J Hook is very useful in that way.&lt;br&gt;Sold 100 per package.</t>
  </si>
  <si>
    <t>The Control Clip, is molded inventory Peg Hooks are for use in 1/8" &amp;amp; 1/4" pegboard and slatwall. This is a heavy duty hook.&lt;br&gt;Sold 100 per package.</t>
  </si>
  <si>
    <t>The Standard Duty loop hooks offer more area to hang items at your retail store with the loop that forms out off of the peg board. Sold 100 per package.</t>
  </si>
  <si>
    <t>Add in a Multi Wire Basket in White by using the shelf brackets.&lt;br&gt;This retail store display basket comes in white only and priced per basket.&lt;br&gt;5" H x 9" W x 10 1/2" D</t>
  </si>
  <si>
    <t>Add in the Waterfall hooks for your retail store's Pegboard by using the appropriate brackets. Priced per piece.</t>
  </si>
  <si>
    <t>Add shelves to your retail store's Pegboard Wall with these sturdy Knife Edge Brackets. Priced per each.</t>
  </si>
  <si>
    <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t>
  </si>
  <si>
    <t>These rings are chrome plated with secure screw thread fastening and hinged opening. Available in 5" and 6" sizes. These are packaged in 12 piece cases.</t>
  </si>
  <si>
    <t>Book Hangers are designed to hold your heaviest cord-type sample books securely on your rods. They are also useful for holding handbags, belts, or any other product you want to hang on your rods or racks.  May be used on up to 1 1/2" rods.  100 per package/priced per package.</t>
  </si>
  <si>
    <t>Small and lightweight these blades are easy to change out. These box cutters are available in a case of 12.</t>
  </si>
  <si>
    <t>Dull case cutter blades are dangerous. A butcher would never work with a dull blade and you should never work with a dull dangerous box cutter blade.</t>
  </si>
  <si>
    <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t>
  </si>
  <si>
    <t>&lt;br&gt;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t>
  </si>
  <si>
    <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t>
  </si>
  <si>
    <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t>
  </si>
  <si>
    <t>Slanted and Straight brackets for CalTRACK or SlatTRACK make you sample display area very easy to use.  Easily get to the sample book you need quickly. Brackets are sold in packs of 6.</t>
  </si>
  <si>
    <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t>
  </si>
  <si>
    <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t>
  </si>
  <si>
    <t>EZ Move Hand Truck Keeps products stacked and organized.&lt;br&gt;43"H x 14" W&lt;br&gt;Available in Black&lt;br&gt;Features:&lt;br&gt;&amp;#8226; Makes restocking &amp;amp; sorting easier.&lt;br&gt;&amp;#8226; Welded steel construction.&lt;br&gt;&amp;#8226; 150 pound load capacity.</t>
  </si>
  <si>
    <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t>
  </si>
  <si>
    <t>Two Level Gravity Fed Truck &lt;br&gt;43"H x 36"W x 19"D&lt;br&gt;Available in Tan &lt;br&gt;Features: &lt;br&gt;&amp;#8226; Durable 16 gauge, 1" round tubing &lt;br&gt;&amp;#8226; Sturdy 5" casters &lt;br&gt;&amp;#8226; Durable industrial grade construction &lt;br&gt;&amp;#8226; Use as a roll out display</t>
  </si>
  <si>
    <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t>
  </si>
  <si>
    <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t>
  </si>
  <si>
    <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t>
  </si>
  <si>
    <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t>
  </si>
  <si>
    <t>You do not want to run out of cash register paper. Keep your retail store well supplied</t>
  </si>
  <si>
    <t>Keep your retail store well supplied.</t>
  </si>
  <si>
    <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t>
  </si>
  <si>
    <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t>
  </si>
  <si>
    <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t>
  </si>
  <si>
    <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t>
  </si>
  <si>
    <t>30 Pocket DVD Floor Display&lt;br&gt;Contemporary design that assembles in seconds.&lt;br&gt;&lt;br&gt;Size: 70"H x 20"W x 24"D&lt;br&gt;Color: Black &lt;br&gt;&lt;br&gt;Features:&lt;br&gt;&amp;#8226; 30 Pockets&lt;br&gt;&amp;#8226; 10 Tiers &lt;br&gt;&amp;#8226; 5 DVD's per pocket&lt;br&gt;&amp;#8226; 150 DVD's total</t>
  </si>
  <si>
    <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t>
  </si>
  <si>
    <t>Large selection of eco-friendly giftwrap for Holidays and Christmas. Made from 100% post consumer recycled fiber. Beautiful patterns and colors available in 1/4 reams, 1/2 reams and full reams.</t>
  </si>
  <si>
    <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t>
  </si>
  <si>
    <t>The Counter Top Frame with Base is a horizontal only frame is mounted on 2 to 4" stems with 3 1/2"x 5" felt bottom base.</t>
  </si>
  <si>
    <t>Floor Standing Bulletin Sign Holder have a verticle frame that holds 22"W x 28"H sign in either standard or deluxe models.&lt;br&gt;&lt;br&gt;</t>
  </si>
  <si>
    <t>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t>
  </si>
  <si>
    <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t>
  </si>
  <si>
    <t>Sold as 100 bags and are stapled to a header card with a perforated lip for easy tear off.</t>
  </si>
  <si>
    <t>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&lt;/a&gt;to provide security or retain freshness. If you dont see the size you need, call us at 1-800-426-5708 so if you need help finding a size. Priced per case. Case sizes indicated below.</t>
  </si>
  <si>
    <t>Reclosable Zipper Poly Bags with a hanger hole available in 2 mil. these bags are sold in cases of 1000 bags.</t>
  </si>
  <si>
    <t>Keep contents bagged with these convenient Zipper Reclosable clear poly bags with a writing block in 2 mil.&lt;br&gt;Sold per 1,000 per case.&lt;br&gt;</t>
  </si>
  <si>
    <t>Pricing limited to quantity on hand</t>
  </si>
  <si>
    <t>Pricing limited to quantity on hand&lt;br&gt;&lt;br&gt;  Note: There will be an extra charge for glass crating. Standard crating charges start at $25, and larger qty orders may require multiple crates. We will inform you of the crating charge before processing your order.</t>
  </si>
  <si>
    <t>Pricing limited to quantity on hand.</t>
  </si>
  <si>
    <t>Put these Inserts/Tray Liners in your trays. They will keep your jewelry organized with their multiple compartments.</t>
  </si>
  <si>
    <t>Dime Radius Corners are curved the same radius as a dime.  Note: There will be an extra charge for glass crating. Standard crating charges start at $25, and larger qty orders may require multiple crates. We will inform you of the crating charge before processing your order.</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</si>
  <si>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t>
  </si>
  <si>
    <t>Note: There will be an extra charge for glass crating. Standard crating charges start at $25, and larger qty orders may require multiple crates. We will inform you of the crating charge before processing your order.</t>
  </si>
  <si>
    <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t>
  </si>
  <si>
    <t>Black Velveteen Bags come in packs of twelve. Price is per pack&lt;br&gt;  Pricing limited to quantity on hand.</t>
  </si>
  <si>
    <t>Crossbars may be used with any wall system, Slatwall, Gridwall, Universal Aristocrat, or Quantum.&lt;br&gt;3/16" x 1"&lt;br&gt;Crossbars over 7 feet are shipped common carrier.  Pricing limited to quantity on hand</t>
  </si>
  <si>
    <t>Crossbar Bars may be used with any wall system, Slatwall, Gridwall, Universal Aristocrat, or Quantum.&lt;br&gt;Made with 3/4" square tubing.  Pricing limited to quantity on hand</t>
  </si>
  <si>
    <t>Merchandise Bars Help Sell More Product. Discover how a good looking display will attract clients and sell more merchandise.   Pricing limited to quantity on hand</t>
  </si>
  <si>
    <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t>
  </si>
  <si>
    <t>The Heavy Duty Hooks for use in 1/8" &amp;amp; 1/4" pegboard and slatwall. They have a .212 diameter as well.  Pack of 100. &lt;br&gt;Pricing limited to quantity on hand</t>
  </si>
  <si>
    <t>Use with Surface Mounted and Concealed Standards. It has four downward adjustments of 15*, 30*, 40* and 50*.  Pricing limited to quantity on hand.</t>
  </si>
  <si>
    <t>Use with surface mounted and concealed standards.&lt;br&gt;Aristocrat System Knife Edge Brackets are:&lt;br&gt;&amp;#8226; For heavy loads.&lt;br&gt;&amp;#8226; Heavy Duty Mirror Polished Chrome Standards &amp;amp; Hardware Wall System    Pricing limited to quantity on hand.</t>
  </si>
  <si>
    <t>Crossbar Bars may be used with any wall system, Slatwall, Gridwall, Universal Aristocrat, or Quantum.&lt;br&gt;1/4" diameter hook with 90&amp;#186; tip.  Pricing limited to quantity on hand</t>
  </si>
  <si>
    <t>Hangrods may be used with any wall system, Slatwall, Gridwall, Universal Aristocrat, or Quantum.&lt;br&gt;1" or 1 1/4" Round Tubing.  Pricing limited to quantity on hand  &lt;br&gt;</t>
  </si>
  <si>
    <t>Add in the Waterfall hooks for your retail store's Pegboard by using the appropriate brackets.   Pricing limited to quantity on hand</t>
  </si>
  <si>
    <t>We offer two types of Merchandising Bars with the waterfall model: hook and ball. Both will add to your retail store nicely and will attract your client's attention.    Faceout is made with 1/2" x 1 1/2" rectangular tubing.    Pricing limited to quantity on hand</t>
  </si>
  <si>
    <t>Use with Surface Mounted and Concealed Standards.  Pricing limited to quantity on hand.</t>
  </si>
  <si>
    <t>The ARISTOCRAT SYSTEM is recommended for the most severe loads and where traffic conditions demand a more durable line of hardware. &lt;br&gt;General specifications: .125" steel thickness.  Pricing limited to quantity on hand.</t>
  </si>
  <si>
    <t>Hangrods may be used with any wall system, Slatwall, Gridwall, Universal Aristocrat, or Quantum.&lt;br&gt;1" or 1 1/4" Round Tubing.&lt;br&gt;Be sure to check if you need left, right.  Pricing limited to quantity on hand.</t>
  </si>
  <si>
    <t>This Gridwall Heavy Duty 1/4" diameter hook has a 90&amp;#186; tip. 12" length and black finish.</t>
  </si>
  <si>
    <t>Heavy duty 1/4" diameter wire with 90 degree tip for gridwall. Closeout is available in 9" length and color is black. Other sizes and colors are available in gridwall accessories. If you have any questions please call 1-800-426-5708.&lt;br&gt;&lt;br&gt;&lt;br&gt;</t>
  </si>
  <si>
    <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t>
  </si>
  <si>
    <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t>
  </si>
  <si>
    <t>5 Sided Display Cube</t>
  </si>
  <si>
    <t>E'Tagere Pine 6' with clear stain&lt;br&gt;Open Display with No side glass&lt;br&gt;72" x 24" x 24" open Shelf Display&lt;br&gt;Halogen Lights and Storage&lt;br&gt;CLOSEOUT PRICE WAS $1,100.&lt;br&gt;Now $550.00 !    Limit quantity to 1.&lt;br&gt;</t>
  </si>
  <si>
    <t>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t>
  </si>
  <si>
    <t>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t>
  </si>
  <si>
    <t>Hexagon Countertop, Oak&lt;br&gt;Made of Oak with a Medium Stain&lt;br&gt;29"H x 17"side to side&lt;br&gt;20" point to point&lt;br&gt;1 Halogen spot light</t>
  </si>
  <si>
    <t>Custom Countertop, Cedar Humidor&lt;br&gt;Made of Cedar with Cordovan stain lacquer&lt;br&gt;6 sides&lt;br&gt;1 glass shelf&lt;br&gt;20"H x 20"D x 34"L&lt;br&gt;</t>
  </si>
  <si>
    <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t>
  </si>
  <si>
    <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t>
  </si>
  <si>
    <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t>
  </si>
  <si>
    <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t>
  </si>
  <si>
    <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t>
  </si>
  <si>
    <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t>
  </si>
  <si>
    <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t>
  </si>
  <si>
    <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t>
  </si>
  <si>
    <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t>
  </si>
  <si>
    <t>6" x 3 7/8" x 18"</t>
  </si>
  <si>
    <t>5 LB Package&lt;br&gt;Pricing limited to quantity on hand.</t>
  </si>
  <si>
    <t>Shiny Metallic Gold or Silver Stretch Loops with pre tied bows.&lt;br&gt;Price per pack with 50 per pack.  Pricing limited to quantity on hand</t>
  </si>
  <si>
    <t>100 per case.</t>
  </si>
  <si>
    <t>5 Needles per package</t>
  </si>
  <si>
    <t>Priced Per Package of 15m labels</t>
  </si>
  <si>
    <t>Label available in Florescent Red. Pictured here as white.</t>
  </si>
  <si>
    <t>Plastic Fasteners for the Avery Dennison Standard Pistol Grip (5552) and Scissor Grip (5544) Taggers.&lt;br&gt;Fasteners and loops come 50 fasteners per clip and are priced per box of 5000(M) *except for 55562 for 2" Standard Plus which have 100 per clip and are priced per box of 10(M).</t>
  </si>
  <si>
    <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t>
  </si>
  <si>
    <t>22" x 28" Rainbow Pack of blank fluorescent sign cards consist of Green, Yellow, Pink, and Red/Orange. Cards are 8 point stock. 100 cards per package.&lt;br&gt;FOB Kent  Regular Price: $97.37/pack - Clearance Price: $48.68/pack</t>
  </si>
  <si>
    <t>Avery Dennison 1160 labeler white labels at more that 75% off. These come 1250 labels per roll and are packaged 10 rolls per sleeve.&lt;br&gt;FOB Kent  Regular Price: $10.38 per roll - Your Price: $2.59 per roll.</t>
  </si>
  <si>
    <t>Specialized Loop Fasteners for the Avery Dennison Tagger. These are available in 1-1/2" and 3" Closeout price only applies to what we have in stock. FOB Kent.&lt;br&gt;&lt;br&gt;</t>
  </si>
  <si>
    <t>TG Tacher Standard Fasteners may be used with any standard tagger. Standard taggers work best when tagging medium weight fabrics. These clearance fasteners are 1" and pink in color. Order fasteners by the box. Each box has 5000 fasteners. FOB Kent.</t>
  </si>
  <si>
    <t>Use this unique line to add class to your earring display. We offer several styles, all made out of raw steel. This is a very lovely look.&lt;br&gt;7" High.</t>
  </si>
  <si>
    <t>New line of Contemporary fixtures that will complement your retail store. All pieces are made of high quality Raw Steel and are finished in the popular "Pewter" gloss look. Decorative finials and trims make this line unique.</t>
  </si>
  <si>
    <t>Feature 10 watches on the 2 Tier Watch Display. This is a unique line that is very classy.&lt;br&gt;9 1/4" high.</t>
  </si>
  <si>
    <t>Give your blouses a classic look by featuring them on the Blouse Displayer. 19" x 30"</t>
  </si>
  <si>
    <t>These Glass Top Displays are lovely and an asset to any retail store. 17" x 24" x 24".</t>
  </si>
  <si>
    <t>The 2 Sided Floor Mirror for Shoes is a great way for customers to get an accurate view of the shoes they wish to buy.</t>
  </si>
  <si>
    <t>This Hanging Wall Mirror allows a customer to have a full view of the outfit they are trying on. Put this Hanging Wall Mirror in your dressing rooms to add a unique look to the rooms.</t>
  </si>
  <si>
    <t>Contemporary countertop earring card display stand is perfect for displaying earrings in your retail jewelry or gift store. 15" high.</t>
  </si>
  <si>
    <t>15" high.</t>
  </si>
  <si>
    <t>This 2 tier counter top jewelry display stand is perfect for displaying necklaces and bracelets. 12" high.</t>
  </si>
  <si>
    <t>Contemporary counter top necklace or bracelet jewelry display stand. 15" high.</t>
  </si>
  <si>
    <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t>
  </si>
  <si>
    <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t>
  </si>
  <si>
    <t>5 1/2" high.</t>
  </si>
  <si>
    <t>Contemporary steel countertop earring display stand. 16" high.</t>
  </si>
  <si>
    <t>This 3 tier countertop jewelry display is perfect for displaying necklaces and bracelets in your retail store. 12" high.</t>
  </si>
  <si>
    <t>The Collapsible Easel has a divinely classic look about it, giving that look to anything that is displayed on it.</t>
  </si>
  <si>
    <t>Have the ability to display items on your ladders by using the Belt Ladder Attachments. We offer them in several different sizes for your convenience.</t>
  </si>
  <si>
    <t>Here is real value for your money a Million Dollar Bill. Sell your customers a fake million dollar bill for $1.00 each. It is a great stocking stuffer gift for your favorite inlaw or just about anybody else you can think of.</t>
  </si>
  <si>
    <t>The contest box is 11 x 11 x 14" when assembled.  The red on white attention getting boxes generate excitement for your contest.  Made of sturdy white cardboard. The one piece design assembles easily in seconds without tape.&lt;br&gt;</t>
  </si>
  <si>
    <t>Goose Neck Forms - for women's blouses in Black or Chrome - 17" Hangers adjust in height from 19" to 34" on a 5" x 7" weighted base. Includes adjustable waist cinch.</t>
  </si>
  <si>
    <t>This Child Flex Form Plush Black form may be shaped into any position and hung form cord or wire. Form has 3/8" fitting for mounting.</t>
  </si>
  <si>
    <t>Adult Flex Form Plush Black May be shaped into any position and hung form cord or wire. Form has 3/8" fitting for mounting.  #8B base and #7U upright are additional.  Please call for pricing.&lt;br&gt;Product Dimensions: 62" Height, 19" Arms, 41" Legs&lt;br&gt;&lt;br&gt; &lt;br&gt;&lt;br&gt;</t>
  </si>
  <si>
    <t>Affordable Adj Notched Costumer slim-line costumer adjusts every 3" from 49"-78" and accommodates men's, women's and children's garments. Has convenient notch at top to hold hanger. The most cost-effective costumer on the market!&lt;br&gt;</t>
  </si>
  <si>
    <t>Attractive and very affordable Countertop with Shoulder Bar Black is a metal costumer is made of epoxy coated square tubing. Finish in Matte Black. The removable bar allows for easy dressing and undressing. Base is 12" x 15".&lt;br&gt;Product Dimensions: 36"H; Hanger is 19"W &lt;br&gt;</t>
  </si>
  <si>
    <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t>
  </si>
  <si>
    <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t>
  </si>
  <si>
    <t>This Men's Floor Stand displayer has a 15" x 15" base, 19" hanger with decorative ball at top. Is adjustable from 55"-72". Clip waist attachment included.&lt;br&gt;Finished in Matte Black</t>
  </si>
  <si>
    <t>Displayer has a 10" x 10" base, 19" hanger with decorative ball at top. 46" adjustable upright. Clip waist attachment included.&lt;br&gt;Matte Black finish.</t>
  </si>
  <si>
    <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t>
  </si>
  <si>
    <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t>
  </si>
  <si>
    <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t>
  </si>
  <si>
    <t>Dimensions: 21"H x 15"W x 9"D. The shelf depth ranges from 4 1/2" to 8 1/2".  Each tier includes a welded sign channel 14" wide x 1 1/2" high.&lt;br&gt;&lt;br&gt;</t>
  </si>
  <si>
    <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t>
  </si>
  <si>
    <t>Crystalline White Translucent Female fiberglass, mannequin with oval head. This life-size mannequin will draw attention from anywhere in the store.&lt;br&gt;</t>
  </si>
  <si>
    <t>Crystalline White Translucent Male fiberglass mannequin with oval head. This life-size mannequin will draw attention from anywhere in the store.&lt;br&gt;</t>
  </si>
  <si>
    <t>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t>
  </si>
  <si>
    <t>Crimped Metallic Tone Curling Ribbon available in emerald, red, silver, and gold.&lt;br&gt;Order curling ribbon by the roll.&lt;br&gt;Roll sizes are 3/16" x 250 yards.</t>
  </si>
  <si>
    <t>&lt;br&gt;&lt;br&gt;&lt;br&gt;Printed Curling Ribbon with a smooth texture that is Made in the USA of 100% polypropylene.&lt;br&gt;&lt;br&gt;</t>
  </si>
  <si>
    <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t>
  </si>
  <si>
    <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paper&lt;/a&gt;.  Any questions, feel free to call your customer representative at 800-426-5708. Order candy boxes by the case of 250 boxes.</t>
  </si>
  <si>
    <t>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href="http://arsv2.eporiaservices.com/22217/732233/Decorative-Corrugated-Boxes/Inserts-and-Dividers.html"&gt;54P4088&lt;/a&gt; used in 54P3970 (13 1/8" x 7 1/8" x 3 1/2", 50 per pack) available for purchase &lt;a href="http://arsv2.eporiaservices.com/22217/732233/Decorative-Corrugated-Boxes/Inserts-and-Dividers.html"&gt;here&lt;/a&gt;.&lt;br&gt;Order boxes by the package.&lt;br&gt;Each package has 50 boxes, unless otherwise listed.&lt;br&gt;&lt;br&gt;</t>
  </si>
  <si>
    <t>These gift Christmas &amp;amp; Holiday Gift Boxes are perfect for use in your retail store during the Christmas and holiday season!&lt;br&gt;Order boxes by the package.&lt;br&gt;Each package has 50 boxes, unless otherwise listed.&lt;br&gt;&lt;br&gt;</t>
  </si>
  <si>
    <t>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t>
  </si>
  <si>
    <t>Burnished Gold boxes are an elegant, easy way to package your items. Two bottle divider item &lt;a href="http://arsv2.eporiaservices.com/22217/732233/Decorative-Corrugated-Boxes/Inserts-and-Dividers.html"&gt;54P4088&lt;/a&gt; is used in 54P4816 (13 1/8 x 7 1/8 x 3 1/2, 50 per pack). Order boxes by the package.&lt;br&gt;Each package has 50 boxes, unless otherwise listed.</t>
  </si>
  <si>
    <t>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t>
  </si>
  <si>
    <t>Silver Plated look for these boxes is so elegant. Let your creativity go with the possibilities. Three bottle divider is item &lt;a href="http://arsv2.eporiaservices.com/22217/732233/Decorative-Corrugated-Boxes/Inserts-and-Dividers.html"&gt;54P4067&lt;/a&gt; used in 54P3635 (11 3/4" x 14" x 4 1/4", 25 per pack).&lt;br&gt;Order boxes by the package.&lt;br&gt;Each package has 50 boxes, unless otherwise listed.&lt;br&gt;&lt;br&gt;</t>
  </si>
  <si>
    <t>Holstein pattern gift boxes are so fun and easy to use for your customers purchases.&lt;br&gt;Order boxes by the package.&lt;br&gt;Each package has 50 boxes, unless otherwise listed.</t>
  </si>
  <si>
    <t>Kraft gift boxes. Two bottle divider is item # &lt;a href="http://arsv2.eporiaservices.com/64709/732233/Decorative-Corrugated-Boxes-V2/Inserts-and-Dividers.html"&gt;54P4088&lt;/a&gt; used in 54P4694 (13 1/8" x 7 1/8" x 3 1/2", 50 per pack) available for purchase &lt;a href="http://arsv2.eporiaservices.com/64709/732233/Decorative-Corrugated-Boxes-V2/Inserts-and-Dividers.html"&gt;here&lt;/a&gt;.&lt;br&gt;Order boxes by the package.&lt;br&gt;Each package has 50 boxes, unless otherwise listed.</t>
  </si>
  <si>
    <t>Create your own look by using White Kraft gift boxes along with attractive &lt;a href="http://arsv2.eporiaservices.com/64492/Bows--Ribbon-V2.html"&gt;Bows and Ribbons&lt;/a&gt;.&lt;br&gt;Order boxes by the package.&lt;br&gt;Each package has 50 boxes, unless otherwise listed.</t>
  </si>
  <si>
    <t>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t>
  </si>
  <si>
    <t>Black Kraft Boxes are here. Two-bottle divider is item # &lt;a&gt;54P4088&lt;/a&gt; and used in 54P4271 (13 1/8" x 7 1/8" x 3 1/2" - 50 per pack) available for purchase &lt;a href="http://arsv2.eporiaservices.com/64709/732233/Decorative-Corrugated-Boxes-V2/Inserts-and-Dividers.html"&gt;here&lt;/a&gt;.  Three bottle divider is item #&lt;a&gt;54P4067 &lt;/a&gt;and used in 54P4265 (11 3/4" x 14" x 4 1/4" -25 per pack) and available for purchase &lt;a href="http://arsv2.eporiaservices.com/64709/732233/Decorative-Corrugated-Boxes-V2/Inserts-and-Dividers.html"&gt;here&lt;/a&gt;.&lt;br&gt;Order boxes by the pack.&lt;br&gt;Each package has 50 boxes, unless otherwise listed.</t>
  </si>
  <si>
    <t>Chocolate colored boxes. Two-bottle divider (item # &lt;a href="http://arsv2.eporiaservices.com/64709/732233/Decorative-Corrugated-Boxes-V2/Inserts-and-Dividers.html"&gt;54P4088&lt;/a&gt;) used in 54P3643 (13 1/8" x 7 1/8" x 3 1/2", 50 per pack) available for purchase &lt;a href="http://arsv2.eporiaservices.com/64709/732233/Decorative-Corrugated-Boxes-V2/Inserts-and-Dividers.html"&gt;here&lt;/a&gt;.&lt;br&gt;Order boxes by the package.&lt;br&gt;Each package has 50 boxes, unless otherwise listed.</t>
  </si>
  <si>
    <t>Such a beautiful pattern are our White Pine gift boxes.&lt;br&gt;Two bottle divider is item # &lt;a href="http://arsv2.eporiaservices.com/64709/732233/Decorative-Corrugated-Boxes-V2/Inserts-and-Dividers.html"&gt;54P4088&lt;/a&gt; used in 54P3627 (13 1/8" x 7 1/8" x 3 1/2", 50 per pack) available for purchase &lt;a href="http://arsv2.eporiaservices.com/64709/732233/Decorative-Corrugated-Boxes-V2/Inserts-and-Dividers.html"&gt;here&lt;/a&gt;.&lt;br&gt;Order boxes by the package.&lt;br&gt;Each package has 50 boxes, unless otherwise listed.</t>
  </si>
  <si>
    <t>Beautiful Damask, Black &amp;amp; White boxes are so elegant.&lt;br&gt;Order boxes by the package.&lt;br&gt;Each package has 50 boxes, unless otherwise listed.</t>
  </si>
  <si>
    <t>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t>
  </si>
  <si>
    <t>These Stripes gift boxes are perfect for use in your retail store during the Christmas and holiday season!&lt;br&gt;Order boxes by the package.&lt;br&gt;Each package has 50 boxes, unless otherwise listed.&lt;br&gt;&lt;br&gt;</t>
  </si>
  <si>
    <t>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t>
  </si>
  <si>
    <t>Cheery Brilliant Stipe boxes are a great choice.&lt;br&gt;Order boxes by the package.&lt;br&gt;Each package has 50 boxes, unless otherwise listed.</t>
  </si>
  <si>
    <t>Solid color boxes are a great choice to mix and match with our &lt;a href="http://arsv2.eporiaservices.com/64492/Bows--Ribbon-V2.html"&gt;bows &amp;amp; ribbons&lt;/a&gt; or add your own touch with some &lt;a href="http://arsv2.eporiaservices.com/64703/Tissue-Paper-V2.html"&gt;colored tissue&lt;/a&gt;.&lt;br&gt;Order boxes by the package.&lt;br&gt;Each package has 50 boxes, unless otherwise listed.</t>
  </si>
  <si>
    <t>Wonderful print for the holidays or special occasions.&lt;br&gt;Order boxes by the package.&lt;br&gt;Each package has 50 boxes, unless otherwise listed.</t>
  </si>
  <si>
    <t>Bright red bags with a festive snowflake design. These bags, boxes and tins come in a variety of sizes to package up everything in your store for the holidays. Pair these with white or silver tissue for a wonderful finished look. See item descriptions for case sizes. &lt;br&gt;</t>
  </si>
  <si>
    <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t>
  </si>
  <si>
    <t>These classic inspired bags are available in paper and plastic in a variety of popular sizes. The colors work with so many other colors that your options for holiday packaging are endless. See item descriptions for case sizes.</t>
  </si>
  <si>
    <t>Poinsettias are a fun and common sign of the holiday season. These colorful bags match with some many colors and add a festive retro look to your holiday packaging. Available in three sizes.</t>
  </si>
  <si>
    <t>Vintage Santa and reindeer give these bags a nostalgic feel. These bags come in three sizes and are made in the USA. Click on each design to see these warm and homey patterns up close.</t>
  </si>
  <si>
    <t>&lt;br&gt;&lt;br&gt;&lt;br&gt;Wonderful and wintery white bags with silver snowflakes dress up your holiday packaging with sparkle. Match these bags with a silver tissue or dress them up with blue red or green. Made from 50% recycled materials and in the USA.</t>
  </si>
  <si>
    <t>These bags can be used for the holiday season or just as a change for the season bag. Four popular sizes in a 2.50mil plastic bags that is recyclable and biodegradable. Packaged 500 bags per case.</t>
  </si>
  <si>
    <t>Solid Bags&lt;br&gt;Select from colors to set your store apart from others. Try using our decorative &lt;a href="http://arsv2.eporiaservices.com/64492/Bows--Ribbon-V2.html"&gt;Bows &amp;amp; Ribbons&lt;/a&gt;.&lt;br&gt;Priced per case of 25.</t>
  </si>
  <si>
    <t>Heart Bag&lt;br&gt;Really sets the tone for these versatile bags.&lt;br&gt;Priced per case of 25.</t>
  </si>
  <si>
    <t>So very cute are these Bunny Bags.&lt;br&gt;3 3/4" x 2 1/4" x 8"</t>
  </si>
  <si>
    <t>Wonderful color for these Diamond Single Face Bags&lt;br&gt;Priced per case of 25.</t>
  </si>
  <si>
    <t>Star Single Face Bag&lt;br&gt;Are terrific for any customer purchases.&lt;br&gt;Priced per case of 25.</t>
  </si>
  <si>
    <t>Look at these Tree Single Face Gift Bags that are perfect for Christmas, holiday and year round use. These gift bags are available in small and large sizes and also available with a handle.&lt;br&gt;Priced per case of 25.</t>
  </si>
  <si>
    <t>If you want to know more about EAS Labels, call us at 1-800-426-5708 and we can help answer any questions you have.</t>
  </si>
  <si>
    <t>If you want to know more about EAS Hard Tags, call us at 1-800-426-5708 and we can help answer any questions you have.</t>
  </si>
  <si>
    <t>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t>
  </si>
  <si>
    <t>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t>
  </si>
  <si>
    <t>These high density frosted bags are made of 3.5 and 4 mil thick high density plastic. These shopping bags have a TRi fold handle made from 1-1/2". The 14" x 10" x 15" x 10" and 17" x 7" x 18" x 7" are sold 200 per case. All others are packed 250 per case.</t>
  </si>
  <si>
    <t>&lt;br&gt;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t>
  </si>
  <si>
    <t>&lt;br&gt;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t>
  </si>
  <si>
    <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t>
  </si>
  <si>
    <t>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t>
  </si>
  <si>
    <t>They are laminated with the finest quality lacquer over heavy paper.  The top of the bag features a turned edge for strength and added elegance.  The handles are made of high quality rope strung through grommets.  These bags would look great with your name custom printed on them.</t>
  </si>
  <si>
    <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t>
  </si>
  <si>
    <t>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t>
  </si>
  <si>
    <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t>
  </si>
  <si>
    <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t>
  </si>
  <si>
    <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t>
  </si>
  <si>
    <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t>
  </si>
  <si>
    <t>&lt;br&gt;&lt;br&gt;&lt;br&gt;Grosgrain Ribbon is a timeless favorite for packages, gifts, crafts and clothing.&lt;br&gt;Order ribbon by the roll.&lt;br&gt;Each roll is 100 or 50 yards as listed. &lt;br&gt;</t>
  </si>
  <si>
    <t>Single Faced Satin Fabric Ribbon&lt;br&gt;Available in many different color and two different sizes. &lt;br&gt;Also check out Double Faced Satin Ribbon.</t>
  </si>
  <si>
    <t>Wired Encore Ribbon is a very sheer ribbon with a wired edge made from 100% polyester. &lt;br&gt;Available in 5/8" x 25 yds or 1 1/2" x 25 yds.</t>
  </si>
  <si>
    <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t>
  </si>
  <si>
    <t>Double Faced Satin Fabric Ribbon Available in many different color and two different sizes. &lt;br&gt;Also don't miss our Single Faced Satin Ribbon.</t>
  </si>
  <si>
    <t>Many sizes and colors of our Fluorescent Rectangle Labels - Striking, and Bold Blank Self-Stick Labels available as Rectangles in four different sizes and six fluorescent colors.  Please see individual items for specific size and quantity per roll.</t>
  </si>
  <si>
    <t>Great way to capture attention with these Fluorescent Circle Labels - Bold, Blank Self-Stick Labels available as Circles in four sizes and six colors.  Please see individual items for specific size and quantity per roll.</t>
  </si>
  <si>
    <t>Fluorescent Starburst Labels that make a group of items on your selves stand out with a simple label. Really Bold, Blank Self Stick Starbursts Labels available in four colors and one size. Please see individual items for specific size and quantity per roll.</t>
  </si>
  <si>
    <t>People feel good when they buy "Made in the USA" Label.  Put these labels, that cost you less than 1 cent each, on your items that are Made in the USA and watch your sales soar. These labels are 1/2" in diameter, sold 1000 labels per roll.</t>
  </si>
  <si>
    <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t>
  </si>
  <si>
    <t>Menu Tissue Paper is Light Weight 10.5# Paper, Full Wet Strength un-waxed for Sanitary pick up and or Food wrap, 12" x 12" sheets. Used for Dry Food Handling, Packaged in Dispenser Box, 10 packs of 1,000.</t>
  </si>
  <si>
    <t>20# Grease Resistant Paper for Sanitary Food wrap&lt;br&gt;18" x 20" sheets Packaged in Flat Poly Packs; 4 packs of 500 sheets, 2000 per case.&lt;br&gt;Available in White.&lt;br&gt;Sold per case.&lt;br&gt;&lt;br&gt;&lt;br&gt;</t>
  </si>
  <si>
    <t>An Environmentally Responsible Choice White exterior with kraft interior. * Indicates these are Cake Covers (Lock Corner Cover). &lt;br&gt;                         &lt;br&gt;</t>
  </si>
  <si>
    <t>Bakery Boxes-Lock Corner - Two Piece, Full Telescope. Two Piece - Clay Coated Kraft Back. Sold by the bundle as indicated.</t>
  </si>
  <si>
    <t>Donut Trays - 1-PC. 4-corner automatic tray, Recyclable kraft (-501) OR 100% Recycled material with variable coating white outside (-515)</t>
  </si>
  <si>
    <t>Cake Pads - Single and double wall mottled white (MW), White w/grease resistant coating (GR), and gold scalloped.&lt;br&gt;</t>
  </si>
  <si>
    <t>An Environmentally&lt;br&gt;Responsible Choice    Window Cup Cake Boxes - 1-PC. Lock Corner, 100% Recyclable Material&lt;br&gt;</t>
  </si>
  <si>
    <t>Cupcake Inserts - 100% Recycled material with white outside, kraft interior&lt;br&gt;Priced per case of 100.</t>
  </si>
  <si>
    <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t>
  </si>
  <si>
    <t>Take and Bake Pizza Trays - LOCK-Corner trays, ovenable SBS recyclable white, inside poly coated&lt;br&gt;Cooking instructions are printed on the trays.&lt;br&gt;Priced per case, case sizes listed.</t>
  </si>
  <si>
    <t>Gable Boxes - Auto bottom, 100% recycled material with kraft interiors&lt;br&gt;Priced per case. Case sizes listed below.</t>
  </si>
  <si>
    <t>Drink Carriers - 100% recycled material with kraft interiors. NOTE:  Items 668, 739, and 7710 are 1 pc. auto. bottoms w/ handles. Items 962 and 1162 are Beers strap trays.  1052 is a Beers J tray. Priced per case. Case sizes listed below.</t>
  </si>
  <si>
    <t>Snack Pak - 4-corner automatic (1-pc. beers corner glued), 100% recycled material with whiter outside, kraft interiors&lt;br&gt;Priced per case. Case sizes listed below.</t>
  </si>
  <si>
    <t>Deli Boxes are 1-pc automatic bottoms, 100% recycled material with whiter outside, kraft interiors&lt;br&gt;Priced per case. Case sizes listed below.</t>
  </si>
  <si>
    <t>Meat Boxes - Clay coated news back. NOTE: 1055M is a 1-pc. automatic bottom.  105M is a 2-pc. lock corner&lt;br&gt;Priced per case. Case sizes listed below.</t>
  </si>
  <si>
    <t>An Environmentally&lt;br&gt;Responsible Choice                 One Piece - SBS Recyclable&lt;br&gt;Priced per bundle. Bundle sizes listed.                   &lt;br&gt;&lt;br&gt;&lt;br&gt;&lt;br&gt;&lt;br&gt;&lt;br&gt;&lt;br&gt;</t>
  </si>
  <si>
    <t>An Environmentally&lt;br&gt;Responsible Choice One Piece - SBS Recyclable&lt;br&gt;Priced per bundle. Bundle sizes listed.&lt;br&gt;                  &lt;br&gt;&lt;br&gt;&lt;br&gt;&lt;br&gt;&lt;br&gt;&lt;br&gt;&lt;br&gt;&lt;br&gt;&lt;br&gt;</t>
  </si>
  <si>
    <t>An Environmentally &lt;br&gt;Responsible Choice                 100% Recyclable Kraft Boxes, Matching the Classic Kraft Boxes.&lt;br&gt;Priced per bundle. 1000 bags per bundle.&lt;br&gt;&lt;br&gt;&lt;br&gt;&lt;br&gt;&lt;br&gt;</t>
  </si>
  <si>
    <t>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t>
  </si>
  <si>
    <t>&lt;br&gt;             &lt;br&gt;&lt;br&gt;&lt;br&gt;&lt;br&gt;These SuperWave Frosted Bags are translucent, 2.25 mil thick, and packaged 250 per case.  &lt;br&gt;Made with 15% to 25% recycled material. Made in the U.S.A.</t>
  </si>
  <si>
    <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t>
  </si>
  <si>
    <t>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t>
  </si>
  <si>
    <t>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t>
  </si>
  <si>
    <t>These Precious Metals with Tri Fold handle shoppers are exquisite. Available in Gold or Silver.&lt;br&gt;Packed 250 per case. Add more flare to your packaging with these &lt;a href="../../../64703/20014/Tissue-Paper/Precious-Metal-Patterns-Printed-Tissue-Paper.html"&gt;Precious Metal Pattern Printed Tissues&lt;/a&gt;.&lt;br&gt;</t>
  </si>
  <si>
    <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Food&lt;/a&gt; for other gable boxes.&lt;br&gt;Call us at 1-800-426-5708 for more information about how to hot-stamp with your logo!&lt;br&gt;Packed 100 to the case.&lt;br&gt;Please note: pictures are to represent pattern, not relative size.</t>
  </si>
  <si>
    <t>The Standard Duty Peg Board Hooks have a .149 diameter.&lt;br&gt;Sold 100 per package.</t>
  </si>
  <si>
    <t>The Medium Duty Peg Board Hooks have a .177 diameter. A great addition to add to your retail store's peg board.&lt;br&gt;Sold 100 per package.</t>
  </si>
  <si>
    <t>Heavy Duty Pegboard Hooks for use in 1/8" &amp;amp; 1/4" pegboard and slatwall.  Made with 0.212 wire.  &lt;br&gt;Sold 100 per package.&lt;br&gt;</t>
  </si>
  <si>
    <t>2 Way Racks - Mirror polished chrome and Black are available in our Two Arm Racks with Heavy Pan Base.   Two 16" rectangular straight arms with protective chrome strip. &lt;a href="http://yoosh.co/ars_files/rs6.eporia.com/company_8/428201%20garmet%20rack.pdf"&gt;Assembly Instructions here.&lt;/a&gt;</t>
  </si>
  <si>
    <t>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428410.&lt;/a&gt;</t>
  </si>
  <si>
    <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Instructions&lt;/a&gt;</t>
  </si>
  <si>
    <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t>
  </si>
  <si>
    <t>Specialty Racks;&lt;br&gt;&lt;br&gt;Ball Spiral Rack - 29 Ball Stops, 18" weighted base, 67" high. Top is threaded for a card holder.&lt;br&gt;&lt;a href="http://yoosh.co/ars_files/rs6.eporia.com/company_8/assemble%20SpiralRack428110_AssemblyInstructions.pdf"&gt;assembly instructions&lt;/a&gt;&lt;br&gt;&lt;br&gt;Revolving Single Tier Belt Rack - 52 high Rack, Belt tier is a 19" diameter ring with 20 hooks, 18" weighted base. Top is threaded for a card holder.&lt;br&gt;&lt;br&gt;Hat Rack - Revolving 20 Arms w/ Foam Caps included 20" Square Base</t>
  </si>
  <si>
    <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t>
  </si>
  <si>
    <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t>
  </si>
  <si>
    <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t>
  </si>
  <si>
    <t>Protect your clients purchase with these economy clear garment rolls. These bags are similar to the bags you get at a dry cleaner, but are a bit thicker.&lt;br&gt;All Bags: 1500' Roll: 1 Mil Thick 21" wide x 3" Gusset, 30 lbs.&lt;br&gt;40" long bags -  450 per Roll</t>
  </si>
  <si>
    <t>Salesmans Garment Bag in Navy Blue is water-resistant, made out of nylon, and come in the lengths of 48" or 57" long. You can store multiple items in the Salesmans Garment Bag.</t>
  </si>
  <si>
    <t>Garvey Ink Roller for the Garvey 25, 1 line promotional</t>
  </si>
  <si>
    <t>Garvey Starter Kit Includes: Garvey 22, 6 Labeler, 5 rolls white &amp;amp; 5 rolls fluorescent red labels.</t>
  </si>
  <si>
    <t>Garvey 25, 1 Line Labels, Choose from 3 blank labels.&lt;br&gt;Packed 1000 per roll and 8 rolls per pack.</t>
  </si>
  <si>
    <t>Garvey 18, 1 Line Labels available in white and red.&lt;br&gt;Order labels by the box.&lt;br&gt;Each box has 11 rolls (1,273 labels per roll) = 14,000 labels per box &lt;br&gt;</t>
  </si>
  <si>
    <t>Garvey 25, 1 Line Labeler and Labels</t>
  </si>
  <si>
    <t>Garvey 25, 1 Line Labels&lt;br&gt;1250 Labels/Roll, 8 Rolls/Pkg&lt;br&gt;10M per Package, 200M per Case</t>
  </si>
  <si>
    <t>Garvey 22, 2 Line Labelers have big characters on two lines. "Jam Proof" design makes this the absolute easiest labeler ever. All labels are produced with security slits &amp;amp; permanent adhesive. Choose from 4 blank labels. One ink roller is included with each gun purchased.</t>
  </si>
  <si>
    <t>Garvey 22, 2 Line Labels are Packed 1000 per roll and 9 rolls per pack. Choose from many blank labels that fit your needs (Orange is a special order - Call 1-800-426-5708). Free ink roller is included with each label pack.</t>
  </si>
  <si>
    <t>Garvey Starter Kit Includes: Garvey 22 77 Labeler, 5 rolls white &amp;amp; 5 rolls fluorescent red labels.</t>
  </si>
  <si>
    <t>Available in White and Natural Kraft with easy to open ends for a unique packaging ideas.&lt;br&gt;Priced per case. Each case quantity is noted.</t>
  </si>
  <si>
    <t>Tinted Kraft Tuck it gift Boxes are available in Oatmeal, Deep Purple, Black Groove and Cocoa. These boxes are one piece and ship flat for assembly when you need them. If you'd like a custom look these boxes may be hot stamped with your name please call 800-426-5708 for details.</t>
  </si>
  <si>
    <t>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cords&lt;/a&gt; to round out the presentation?&lt;br&gt;</t>
  </si>
  <si>
    <t>Our Two Piece Hat Boxes have a low gloss white finish board with gray interior. Includes polished white cord handle. Order by the case; each case has 25 boxes with the exception of: 54812126 at 12" x 12" x 6" box has 50 boxes per case.&lt;br&gt;</t>
  </si>
  <si>
    <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t>
  </si>
  <si>
    <t>White one piece folding and two piece locking gift boxes. Available in a variety of sizes with recycled content. Most sizes available to ship same day. Packaged by case. Case size is 100 per case unless otherwise noted.</t>
  </si>
  <si>
    <t>Kraft one piece folding and two piece locking gift boxes. Available in a variety of sizes. These boxes are 100% recycled material and are recyclable and compostable.  &lt;br&gt;100 per case unless otherwise marked.</t>
  </si>
  <si>
    <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t>
  </si>
  <si>
    <t>This display holder comes in a convenient size 5 1/4" x 9"</t>
  </si>
  <si>
    <t>Available in two styles plus envelopes available.&lt;br&gt;&amp;#8226; Curved Card Carrier has a half moon front cover, is scored to fold. Has die cut slits to hold gift card.</t>
  </si>
  <si>
    <t>3 Ring Binder with 100 pages in each binder. Use this binder to track your gift cards manually.</t>
  </si>
  <si>
    <t>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t>
  </si>
  <si>
    <t>White envelopes to be used with your enclosure cards.&lt;br&gt;Priced per 100 card pack.&lt;br&gt;    Use with:&lt;br&gt;Folded Card Size 3"x 2"&lt;br&gt;Envelopes 2 3/8" x 3 5/8"</t>
  </si>
  <si>
    <t>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t>
  </si>
  <si>
    <t>&lt;br&gt;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t>
  </si>
  <si>
    <t>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t>
  </si>
  <si>
    <t>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t>
  </si>
  <si>
    <t>Here are lightweight paper cutters for wall mount, countertop or under counter use. The unit holds up to 9" diameter rolls. It is available in various widths from 18 to 36.</t>
  </si>
  <si>
    <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t>
  </si>
  <si>
    <t>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t>
  </si>
  <si>
    <t>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</si>
  <si>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target=_blank&gt;hinge&lt;/a&gt;, &lt;a href="../../37176/Glass-Connectors/Hasp.html" target=_blank&gt;hasp&lt;/a&gt; and &lt;a href="../../47634/Glass-Connectors/Combination-Lock.html"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</si>
  <si>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</si>
  <si>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Securing your displays are easy with this combination lock.</t>
  </si>
  <si>
    <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t>
  </si>
  <si>
    <t>Adjustable and lends itself to the creative and innovative! Use Gridwall for your permanent fixtures and temporary displays. Looking to make your display more stable by adding a base or legs? &lt;a href="../../../64950/Gridwall-Display-Bases.html"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t>
  </si>
  <si>
    <t>Gridwall and Slatgrid Butterfly Joining Clips will add display stability to 2 or more pieces of slatwall or gridwall that need to be connected.  They can be purchased in chrome, black, or white.</t>
  </si>
  <si>
    <t>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t>
  </si>
  <si>
    <t>The Universal Standard Bracket is used to attach your Gridwall display panels to installed Universal standards.  These brackets are available in chrome and are 2" long.</t>
  </si>
  <si>
    <t>This is a 2" bracket that allows you to attach Gridwall panel displays to your installed Slatwall fixtures.  It is recommended that you use reinforced slatwall when using these brackets.  Available in chrome.</t>
  </si>
  <si>
    <t>These ties have a variety of uses including a quick and easy way to connect 2 or more pieces of Gridwall or Slatgrid. &lt;br&gt;Sold 100 per package.</t>
  </si>
  <si>
    <t>Make your own H Shaped display using 4 pieces of Gridwall or Slatgrid and this Gondola Base.  Levelers are included. &lt;a href="http://arsv2.eporiaservices.com/64947/Gridwall--Slatgrid-Panels-V2.html"&gt;Panels&lt;/a&gt; and joining clips are sold separately for assembling your display.  All Gridwall Gondola Bases are available in Chrome, White, and Black.</t>
  </si>
  <si>
    <t>Use this to make your own 4 sided fixture using 4 pieces of Gridwall or Slatgrid.&lt;br&gt;Display &lt;a href="http://arsv2.eporiaservices.com/64947/Gridwall--Slatgrid-Panels-V2.html"&gt;panels&lt;/a&gt; and joining clips are sold separately.  &lt;br&gt;Order Castors separately, see item 4288001B</t>
  </si>
  <si>
    <t>These 24" Legs are used if you need only a single panel or multiple panels to add stability to your Gridwall display.  Available in Chrome, White, or Black. &lt;br&gt;Legs are sold separately and each panel requires two legs.</t>
  </si>
  <si>
    <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href="http://arsv2.eporiaservices.com/64947/Gridwall--Slatgrid-Panels-V2.html"&gt;Panels&lt;/a&gt; and joining clips are sold separately. All Gridwall Triangle Bases are available in Chrome, White, and Black.</t>
  </si>
  <si>
    <t>This is 24"x 24" Flat Wire Shelf. Your color choices are chrome, black, or white. &lt;br&gt;</t>
  </si>
  <si>
    <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&lt;/a&gt;</t>
  </si>
  <si>
    <t>Heavy duty 1/4" diameter wire with 90&amp;#186; tip for Gridwall.  Available in white, chrome or black in 1, 4 6 9 and 12 lengths.</t>
  </si>
  <si>
    <t>Heavy Duty Hook 1/4" Diameter wire with 45&amp;#186; tip for Gridwall. They can be ordered in any length from 2"to 12". They are available in white, black, or chrome.</t>
  </si>
  <si>
    <t>Regular Duty hooks are 3/16" diameter with a 45&amp;#186; tip.  They come in sizes ranging from 2" to 12", and in black, white, or chrome.</t>
  </si>
  <si>
    <t>These are meant to be used to display apparel on hangers, purses or other hanging merchandise.  They are 12" long and come in your choice of black, white, or chrome.</t>
  </si>
  <si>
    <t>Can be used to display your hanging merchandise at an angle to highlight each item.  They are 16" long and are available in black, chrome, or white.</t>
  </si>
  <si>
    <t>Hang several pieces of your merchandise at an angle with this waterfall with hooks.  Easy to retrieve the back item without unloading the whole display.  They are available 16" long and in black, white or chrome.</t>
  </si>
  <si>
    <t>The Hangrod bracket will hang on a single 2' wide piece of gridwall for a compact display.  Available in Chrome.</t>
  </si>
  <si>
    <t>The bracket will be used in a corner with 2 pieces of Gridwall or Slatgrid.  Hang up apparel and use very little valuable floor space.  Available in chrome.</t>
  </si>
  <si>
    <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t>
  </si>
  <si>
    <t>Use this to display pictures or or other items that you do not want to protrude away from the wall.  They are available in chrome, black, or white.</t>
  </si>
  <si>
    <t>Use this shelf with lip for your Gridwall and is 24"x 15". Available in chrome, black, or white. &lt;br&gt;</t>
  </si>
  <si>
    <t>Great wire baskets that come in 2 sizes as either 12" x 12" x 4" or 24" x 12" x 4". &lt;br&gt;Both sizes are available in chrome, black, or white. &lt;br&gt;</t>
  </si>
  <si>
    <t>What a unique way to use and display any of your items on this triangle shelf for Gridwall. Choose from chrome, black, or white.&lt;br&gt;</t>
  </si>
  <si>
    <t>This is a Flat shelf with Lip is 24" x 15" and comes in chrome, black, or white.</t>
  </si>
  <si>
    <t>Easily used wire easel to display lightweight items such as plates, books, cards, or picture frames. These measure 4" x 3 3/4" and are available in white or black. Priced per dozen.</t>
  </si>
  <si>
    <t>(Knife Edge Brackets) brackets can be used with Gridwall or Slatgrid fixtures.  All are available in chrome, black or white. They range in length from 4" to 16". Use melamine shelves, glass, and or wood with these brackets.</t>
  </si>
  <si>
    <t>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options&lt;/a&gt;</t>
  </si>
  <si>
    <t>This bracket is 12" long and will hold 1" diameter hangrod for Gridwall, sold separately. Saddle is centered. Chrome Plated only.</t>
  </si>
  <si>
    <t>Made to be attached at the cross sections of each gridwall panel.</t>
  </si>
  <si>
    <t>These Chrome Finish Hangers are finished in a bright polished chrome.  They are useful as a salesman's sample hangers or on a rack to display apparel in your retail store.  Hangers are sold 100 per Case.</t>
  </si>
  <si>
    <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t>
  </si>
  <si>
    <t>These beautiful Wooden Top Hangers add a classic look to the way you display your retail store's clothing. Hooks are brass.&lt;br&gt;  Hangers are sold 100 per Case.</t>
  </si>
  <si>
    <t>These natural Wooden Contoured Suit Hangers are ideal for hanging both the suit jacket and slacks. The wood hanger themselves add a nice touch to your retail store.   Hangers are sold 100 per Case.</t>
  </si>
  <si>
    <t>These Wooden Pant and Shirt Hangers add a special touch to hanging up those items at your retail store. They come in a walnut or varnish finish.   Hangers are sold 100 per Case.</t>
  </si>
  <si>
    <t>These are the finest quality clothing Top Hangers for shirts and blouses with Metal Swivel Hook made of plastic clothes hangers for shirts and blouses. These hangers are sold 100 per Case.</t>
  </si>
  <si>
    <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t>
  </si>
  <si>
    <t>Suit Hangers are sold 100 per Case.</t>
  </si>
  <si>
    <t>17" Outerwear Hangers with 3 1/4" Metal Hook.&lt;br&gt;    Hangers are sold 100 per Case.</t>
  </si>
  <si>
    <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t>
  </si>
  <si>
    <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t>
  </si>
  <si>
    <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t>
  </si>
  <si>
    <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6812&lt;/a&gt;.&lt;br&gt;&lt;br&gt;FOB - Bend, OR Unless noted ALL cases will ship VIA LTL Common Carrier. A crating charge will be added to all cases being shipped. You will be notified of the freight amount and the crating charges.</t>
  </si>
  <si>
    <t>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t>
  </si>
  <si>
    <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t>
  </si>
  <si>
    <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t>
  </si>
  <si>
    <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t>
  </si>
  <si>
    <t>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t>
  </si>
  <si>
    <t>Pricing on all Cashwrap Including Adjustable Shelves include Adjustable Shelves.&lt;br&gt;Options: Check Writer Top, Drawers, or Hinged Doors for additional charge.&lt;br&gt;</t>
  </si>
  <si>
    <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t>
  </si>
  <si>
    <t>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t>
  </si>
  <si>
    <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t>
  </si>
  <si>
    <t>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t>
  </si>
  <si>
    <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t>
  </si>
  <si>
    <t>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t>
  </si>
  <si>
    <t>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t>
  </si>
  <si>
    <t>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t>
  </si>
  <si>
    <t>Beautiful Queen Anne Jewelry Cases with Cabriole Legs. Adding these antique style wood and glass showcases to you retail store will add a touch of elegance. All display cases are made of solid wood with lacquered finish and are perfect for displaying fine jewelry.&lt;br&gt;</t>
  </si>
  <si>
    <t>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t>
  </si>
  <si>
    <t>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t>
  </si>
  <si>
    <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t>
  </si>
  <si>
    <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t>
  </si>
  <si>
    <t>Ladies Abstract Fiberglass Head is a Sturdy, fiberglass construction minimizes damage. Abstract face allows hats and scarves to be highlighted. Self standing.&lt;br&gt;</t>
  </si>
  <si>
    <t>Mix or match lids with bottoms.&lt;br&gt;&lt;a href="http://yoosh.co/ars_files/rs6.eporia.com/company_8/Hi%20Wall%20Boxes%20suggested%20Uses.pdf"&gt;Click here for the Hi Walls Boxes Suggested Uses list.&lt;/a&gt;&lt;br&gt;Please be sure to order lids separately.</t>
  </si>
  <si>
    <t>&lt;a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href="http://arsv2.eporiaservices.com/64703/Tissue-Paper-V2.html"&gt;tissues&lt;/a&gt; and &lt;a href="http://arsv2.eporiaservices.com/64704/Shreds-V2.html"&gt;shreds&lt;/a&gt;.&lt;br&gt;&lt;br&gt;</t>
  </si>
  <si>
    <t>&lt;a href="http://yoosh.co/ars_files/rs6.eporia.com/company_8/Hi%20Wall%20Boxes%20suggested%20Uses.pdf"&gt;&lt;/a&gt;  Mix or match lids with bottoms.&lt;br&gt;&lt;a href="http://yoosh.co/ars_files/rs6.eporia.com/company_8/Hi%20Wall%20Boxes%20suggested%20Uses.pdf"&gt;&lt;/a&gt;&lt;a href="http://yoosh.co/ars_files/rs6.eporia.com/company_8/Hi%20Wall%20Boxes%20suggested%20Uses.pdf"&gt;Click here for the Hi Walls Boxes Suggested Uses list.&lt;br&gt;&lt;/a&gt;Please be sure to order lids separately.</t>
  </si>
  <si>
    <t>&lt;a href="http://yoosh.co/ars_files/rs6.eporia.com/company_8/Hi%20Wall%20Boxes%20suggested%20Uses.pdf"&gt;&lt;/a&gt;    Mix or match lids with bottoms.&lt;a href="http://yoosh.co/ars_files/rs6.eporia.com/company_8/Hi%20Wall%20Boxes%20suggested%20Uses.pdf"&gt;&lt;br&gt;Click here for the Hi Walls Boxes Suggested Uses list.&lt;br&gt;&lt;/a&gt;Please be sure to order lids separately.</t>
  </si>
  <si>
    <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t>
  </si>
  <si>
    <t>Bag frame holds your t-shirt bag open for quick and easy filling.</t>
  </si>
  <si>
    <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t>
  </si>
  <si>
    <t>&lt;br&gt;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t>
  </si>
  <si>
    <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</si>
  <si>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t>
  </si>
  <si>
    <t>A pre-assembled, Quarter-Vision Corner Jewelry Showcase. Enjoy 4 square feet of elegant space for your products. Shown in pearwood laminate with black anodized aluminum frame.</t>
  </si>
  <si>
    <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t>
  </si>
  <si>
    <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t>
  </si>
  <si>
    <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</si>
  <si>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t>
  </si>
  <si>
    <t>Hexagon free standing jewelry display case. Six sided glass area is 18" high. Shown in cherry laminate with gold anodized aluminum frame. Enjoy 5 square feet respectively of elegant shelf space for your products.</t>
  </si>
  <si>
    <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t>
  </si>
  <si>
    <t>A pre-assembled glass curved wall display case. Shown in cherry laminate optional micro halogen spotlights. Enjoy either 22 square feet of elegant shelf space for your products. The following features come standard on cases.</t>
  </si>
  <si>
    <t>A pre-assembled, stretched hexagon tower display case. Shown in black laminate with black anodized aluminum frame with optional micro halogen spotlights. Enjoy 22 square feet of elegant shelf space for your products.</t>
  </si>
  <si>
    <t>A pre-assembled, hexagon, revolving tower display case with two round 19.75" in diameter adjustable shelves. Shown in pearwood laminate with black anodized aluminum frame. Enjoy 3.5 square feet of elegant shelf space for your products.</t>
  </si>
  <si>
    <t>A pre-assembled, hexagon counter top display case. Shown here on 67VPED6 in black laminate with black anodized aluminum frame. Enjoy 6.5 square feet of elegant shelf space for your products.</t>
  </si>
  <si>
    <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t>
  </si>
  <si>
    <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t>
  </si>
  <si>
    <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t>
  </si>
  <si>
    <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</si>
  <si>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tempered glass, curved tower display case with curved top canopy and curved base cabinet. Shown in brushed silver laminate with flat silver anodized aluminum frame and with optional micro halogen spotlights. The following features come standard on cases.</t>
  </si>
  <si>
    <t>The top portion of a Hexagon, free standing jewelry display case can be used as a countertop case. Tempered Six sided glass area 18high.</t>
  </si>
  <si>
    <t>&lt;br&gt;Fun reindeer dance pattern conveniently eliminates the need for gift wrap with these attractive decorated corrugated gift boxes! The boxes come in a range of sizes and patterns.  Order boxes by the package.  Each package has 50 boxes, unless otherwise listed.</t>
  </si>
  <si>
    <t>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href="http://arsv2.eporiaservices.com/22217/732233/Decorative-Corrugated-Boxes/Inserts-and-Dividers.html"&gt;54P4088&lt;/a&gt; used in 54P3589 (2 Bottle Box 13 1/8"x 7 1/8"x 3 1/2", 50 per pack) available for purchase &lt;a href="http://arsv2.eporiaservices.com/22217/732233/Decorative-Corrugated-Boxes/Inserts-and-Dividers.html"&gt;here&lt;/a&gt;.&lt;br&gt;Order boxes by the package.&lt;br&gt;Each package has 50 boxes, unless otherwise noted.&lt;br&gt;</t>
  </si>
  <si>
    <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t>
  </si>
  <si>
    <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t>
  </si>
  <si>
    <t>Choose from 7 different tissue paper assortments for your store. We also have assortments of our &lt;a href="http://arsv2.eporiaservices.com/64703/19958/Tissue-Paper-V2/Solid-Color-Tissue-Paper.html"&gt;Solid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t>
  </si>
  <si>
    <t>&lt;br&gt;</t>
  </si>
  <si>
    <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t>
  </si>
  <si>
    <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t>
  </si>
  <si>
    <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t>
  </si>
  <si>
    <t>Female Leg - Standing</t>
  </si>
  <si>
    <t>Athletic Men's Sock Display where the Height is mid calf. Made of linear polyethylene plastic. Flesh tone color. Weighted foot for stability.&lt;br&gt;Product Dimensions: Fits sizes 10-13; 12" height&lt;br&gt;</t>
  </si>
  <si>
    <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t>
  </si>
  <si>
    <t>Impulse Sealers in several lengths for many sizes of bags</t>
  </si>
  <si>
    <t>Impulse Sealer Replacement Kit includes 2 element wires, 2 teflon pads.</t>
  </si>
  <si>
    <t>Our Shrink Wrap System is designed for any application from delicate gift baskets to wooden toys to cosmetics. Imagine an industrial heat gun that won't burn film! Use our shock resistant heat gun directly on the film for a perfect package. 2 Year Warranty. FOB Kent, WA</t>
  </si>
  <si>
    <t>Our Shrink Wrap Heat Gun is different than a lot of shrnkwrap in the market. This one is a Low Temperature heat gun that will not burn your products or you.</t>
  </si>
  <si>
    <t>This 6" Hand Crimper and or Sealer is designed so that you can adjust the size of your wrap before shrinking.  If you just need a little clip here or there to make your shrink-wrap bag perfect for the size of your basket,  you will find this handy tool useful.</t>
  </si>
  <si>
    <t>Replacement Kit includes: Element Wire, Insulation, Fuses, "S" Hook</t>
  </si>
  <si>
    <t>Italian style Matte Gold Linen Collection of boxes are available in treasure chest, pillow pack, 2 piece and bottle carrier.&lt;br&gt;Order by the case of 200 pieces per case, unless otherwise noted.</t>
  </si>
  <si>
    <t>Italian style White Gloss Collection boxes are available in treasure chest, pillow pack and 2 piece boxes. &lt;br&gt;Order by the case.&lt;br&gt;Each case has 200 pieces.</t>
  </si>
  <si>
    <t>Chocolate Linen Collection boxes are available in treasure chest, pillow pack and 2 piece boxes. &lt;br&gt;Order by the case packed in 200 per case*&lt;br&gt;*Except for 54453CH and 54464CH are 100 per case.</t>
  </si>
  <si>
    <t>Fold shirts around the board and remove, makes your stacks of merchandise neat.  Made of 1/8" clear acrylic with polished edges and includes a hand slot for easy use.</t>
  </si>
  <si>
    <t>This acrylic slatwall display is perfect for easily displaying the T shirt designs offered in your retail store.</t>
  </si>
  <si>
    <t>Acrylic apparel display bins including slatwall and counter top display bins for your retail store.</t>
  </si>
  <si>
    <t>This has ten 2 1/2"long chrome spokes with ball ends for hanging your belts or ties for display. There is a 2" distance between spokes.</t>
  </si>
  <si>
    <t>This is a lovely display with it's hardwood base is perfect for displaying special items.</t>
  </si>
  <si>
    <t>Clear acrylic locking case for security with black rotating base and top to display 20 pairs of eyewear. Four mirrored panels to allow customer viewing. Ships fully assembled.</t>
  </si>
  <si>
    <t>Acrylic Counter Top Eyewear Displays. 4 styles hold up to 8 pairs of glasses.</t>
  </si>
  <si>
    <t>Acrylic Display Rods&amp;#160;in 4 styles&amp;#160;hold up to&amp;#160;14 pairs of glasses.</t>
  </si>
  <si>
    <t>Four opaque white panels that hold 24 pairs of eyewear. Classic clear view mirror on all 4 panels for the customer's convenience. Hidden revolving plate.</t>
  </si>
  <si>
    <t>Attractive watch displays that hold the watches at a slight angle that invites great viewing, along with it's flexible cuff material that allows for a variety of shapes and sizes.</t>
  </si>
  <si>
    <t>Holds 5 clutch bags in an attractive, orderly fashion.</t>
  </si>
  <si>
    <t>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t>
  </si>
  <si>
    <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t>
  </si>
  <si>
    <t>&lt;br&gt;&lt;br&gt;&lt;br&gt;You will be amazed at the beauty of these White Swirl Jewelry Boxes in Paper. Even customizing with one of our &lt;a href="http://arsv2.eporiaservices.com/64492/Bows--Ribbon-V2.html"&gt;bows and ribbons,&lt;/a&gt; available in many patterns. The possibilities are endless.&lt;br&gt;Sold 100 per case/pack.  Made in USA.</t>
  </si>
  <si>
    <t>&lt;br&gt;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collection&lt;/a&gt;.&lt;br&gt;&lt;br&gt;If you're looking for a cheaper option, take a look at our Economy Line &lt;a href="../../792889/Jewelry-Boxes/Economy-Natural-Kraft-Jewelry-Boxes.html"&gt;here&lt;/a&gt;.  Made in USA.</t>
  </si>
  <si>
    <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ribbons&lt;/a&gt;, or &lt;a href="http://arsv2.eporiaservices.com/64703/Tissue-Paper-V2.html"&gt;tissue&lt;/a&gt;.  &lt;br&gt;All boxes made with 100% Recycled Cardboard - 90% Post&lt;br&gt;Consumer Waste.  &lt;br&gt;Sold in 100|case/pack. Made In USA.</t>
  </si>
  <si>
    <t>&lt;br&gt;&lt;br&gt;&lt;br&gt;Try a different look to your packaging with the View Top Jewelry Boxes - White. This is a great way to show your product.&lt;br&gt;Sold in White Only and 100/per Case. Made in USA.</t>
  </si>
  <si>
    <t>&lt;br&gt;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t>
  </si>
  <si>
    <t>&lt;br&gt;          &lt;br&gt;&lt;br&gt;&lt;br&gt;&lt;br&gt;Chocolate Embossed Jewelry boxes with lid and base made with 100% recycled fibers and 100% green hydroelectricity.&lt;br&gt;Filled with our 100% recycled EcoFiber.&lt;br&gt;Sold 100|case/pk; except 54GCICH Gift Card Inserts 50|case/pk&lt;br&gt;Made in USA</t>
  </si>
  <si>
    <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t>
  </si>
  <si>
    <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t>
  </si>
  <si>
    <t>&lt;br&gt;&lt;br&gt;&lt;br&gt;Many Jewelry Boxes in several different sizes all in Leopard pattern. &lt;br&gt;Sold 100|case/pk; except 54250 sold 50|case/pk&lt;br&gt;Made in USA&lt;br&gt;</t>
  </si>
  <si>
    <t>&lt;br&gt;&lt;br&gt;&lt;br&gt;Many Jewelry Boxes in several different sizes all in a great Zebra pattern. &lt;br&gt;Sold by 100 per case, except 54250 sold 50 per case.  Made in USA.</t>
  </si>
  <si>
    <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here&lt;/a&gt; to compare.</t>
  </si>
  <si>
    <t>Available in Faux White Leather. Sold individually.&lt;br&gt;</t>
  </si>
  <si>
    <t>Black Velvet hinged jewelry boxes. Sold individually.&lt;br&gt;</t>
  </si>
  <si>
    <t>Rosewood Veneer Hinged Jewelry boxes have a beautiful look in any display case. Sold individually.&lt;br&gt;</t>
  </si>
  <si>
    <t>Black Velveteen Drawstring Bags come packaged 12 pouches per case. Priced per case.&lt;br&gt;</t>
  </si>
  <si>
    <t>Leatherette Drawstring Jewelry Pouches are available in Black or White. Pouches come with 12 per case. Priced per case.&lt;br&gt;</t>
  </si>
  <si>
    <t>Our Hexagon Jewelry Riser Set comes in&amp;#160;Black Velvet and Black or White Faux Leather. There are six pieces 4" Diagonally in various heights, that are in the shape of hexagons. Your jewelry is sure to stand out with this set.</t>
  </si>
  <si>
    <t>Our U-Pins are #9, 7/8" long, and offered in brass color or nickel color. They will meet your retail store's needs.</t>
  </si>
  <si>
    <t>Adhesive Backs are made to attach to back of earring cards for easy hanging. Offered in small or large.</t>
  </si>
  <si>
    <t>Allow your displays to stay organized by using the Earring Cards. With the option of having a Puff Pad in plain white you can't go wrong!&lt;br&gt;&lt;br&gt;Order Earring Cards by the case.&lt;br&gt;Each case has 100 cards.</t>
  </si>
  <si>
    <t>Mark your jewelry with the Jewelry Tags w/silk strings. Offered in white in four different sizes.</t>
  </si>
  <si>
    <t>Convenient dumbbell labels will wrap around your jewelry.  Tyvek onces cannot be torn off,  paper labels will tear.</t>
  </si>
  <si>
    <t>Allow your displays to stay organized by using the Earring Cards. With the plain black cards you can't go wrong! 2" x 2"</t>
  </si>
  <si>
    <t>Jewelry Showcase Signs&lt;br&gt;3 1/2" W x 2" H. &lt;br&gt;6 signs per pack</t>
  </si>
  <si>
    <t>Jewelry Polishing Cloth&lt;br&gt;&lt;br&gt;Gently remove tarnish and dirt from your silver, gold, and platinum jewelry by polishing with the white inner cloth.  Finish by buffing to a high luster with the outer cloth.&lt;br&gt;&lt;br&gt;4" x 6" Gray&lt;br&gt;&lt;br&gt;</t>
  </si>
  <si>
    <t>Fold this card around necklaces or bracelets and press the adhesive strip closed to hold the jewelry.&lt;br&gt;&lt;br&gt;Folded size - 1 3/8" x 1 3/4"&lt;br&gt;&lt;br&gt;1000/pk&lt;br&gt;&lt;br&gt;Available in Black or White</t>
  </si>
  <si>
    <t>Many sizes to select from to display your product. Easy to reclose along the bottom flap and comes with top hanger hole.&lt;br&gt;1.2 Mil bags with bottom gusset.&lt;br&gt;</t>
  </si>
  <si>
    <t>The Circle Jewelry Display Pad comes covered in black velvet, making displaying jewelry a beautiful thing.</t>
  </si>
  <si>
    <t>The Rectangle Jewelry Display Pads come in Deluxe Black Velvet, Black Velvet, or White Velvet. These Rectangle Pads will fit in the &lt;a href="http://arsv2.eporiaservices.com/64793/37776/Jewelry-Trays--Inserts-V2/Jewelry-Display-Trays.html"&gt;Jewelry Trays&lt;/a&gt; that we sell . 14 1/8" x 7 5/8"</t>
  </si>
  <si>
    <t>Keep your jewelry merchandise organized and catergorized with different types of trays. We also have &lt;a href="http://arsv2.eporiaservices.com/64793/37340/Jewelry-Trays--Inserts-V2/Jewelry-Rectangle-Display-Pads.html"&gt;Jewelry Tray Pad Inserts &lt;/a&gt;to fit these trays. These Trays make displaying jewelry easy to do! See our &lt;a href="http://arsv2.eporiaservices.com/64779/34255/Acrylic-Countertop-Displays-V2/Acrylic-Countertop-Showcases.html"&gt;locking acrylic jewelry tray display case&lt;/a&gt;&lt;a href="http://arsv2.eporiaservices.com/64779/34255/Acrylic-Countertop-Displays-V2/Acrylic-Countertop-Showcases.html"&gt;s&lt;/a&gt;.</t>
  </si>
  <si>
    <t>Inserts/Tray Liners in your trays. They will keep your jewelry organized with their multiple compartments.</t>
  </si>
  <si>
    <t>Premium Fabric Soft Black Carrying Case - Premium Cloth to tote around jewelry merchandise. It opens from the side so that the items are easy for you to access. Holds 12 - 1" h. trays. It is offered in black. 16" x 9" x 13"</t>
  </si>
  <si>
    <t>New this year are many Giftwraps for Baby.  These are so sweet and cute. We have many &lt;a href="http://arsv2.eporiaservices.com/64719/Sullivan-GiftWrap-V2.html?npp=40"&gt;bows and ribbons &lt;/a&gt;plus our &lt;a href="http://arsv2.eporiaservices.com/64703/Tissue-Paper-V2.html"&gt;tissue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</si>
  <si>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many Birthday &amp;amp; Celebration Giftwrap patterns.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</si>
  <si>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Floral Giftwrap patterns.  This large collection has so many styles to choose from along with our &lt;a href="http://arsv2.eporiaservices.com/64492/Bows--Ribbon-V2.html"&gt;bows and ribbons&lt;/a&gt;, and the large &lt;a href="http://arsv2.eporiaservices.com/64703/Tissue-Paper-V2.html"&gt;tissue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</si>
  <si>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Masculine Giftwrap patterns.  There are so many great patterns to choose from in this gift wrap. Great selection of &lt;a href="../../../64704/Shreds.html"&gt;Shreds,&lt;/a&gt; &lt;a href="../../../64703/Tissue-Paper.html"&gt;Tissue,&lt;/a&gt; &lt;a href="../../../64492/Bows--Ribbon.html"&gt;Bows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</si>
  <si>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Wedding, Bridal and Anniversary Giftwrap patterns.  This beautiful and elegant collection this year that will impress your customers. We have pretty &lt;a href="../../757843/JR-GiftWrap/Floral-Giftwrap.html"&gt;Floral Giftwrap&lt;/a&gt; for that special day.Take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</si>
  <si>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</si>
  <si>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so many Matte Solid Giftwrap patterns that let you be creative with our &lt;a href="http://arsv2.eporiaservices.com/64492/Bows--Ribbon-V2.html"&gt;bows and ribbons&lt;/a&gt;, &lt;a href="http://arsv2.eporiaservices.com/64703/Tissue-Paper-V2.html"&gt;tissue.&lt;/a&gt;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t>
  </si>
  <si>
    <t>Graphic Giftwrap patterns. Fun and different styles to make anyone's giftwrap packages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</si>
  <si>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Many cute Juvenile Giftwrap patterns for boys, girls, or teens.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</si>
  <si>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Romantic and cheerful Valentine Giftwrap patterns. We are introducing this beautiful and elegant new collection this year that will impress your customers. 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</si>
  <si>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Kidz Klub 4-yr old Unisex - White - series offers a cost effective way to display a complete line of children's clothing. Headless, white color. Fiberglass construction.&lt;br&gt;Product Dimensions: 37"H</t>
  </si>
  <si>
    <t>Kidz Klub 6-yr old Unisex - White - series offers a cost effective way to display a complete line of children's clothing. Headless, white color. Fiberglass construction.&lt;br&gt;Product Dimensions: 42"H</t>
  </si>
  <si>
    <t>Kidz Klub 6-yr old Seated Unisex - White - series offers a cost effective way to display a complete line of children's clothing. Headless, white color. Fiberglass construction.&lt;br&gt;Product Dimensions: 23.5"H</t>
  </si>
  <si>
    <t>Kidz Klub 8-yr old Unisex - White - series offers a cost effective way to display a complete line of children's clothing. Headless, white color. Fiberglass construction.&lt;br&gt;Product Dimensions: 45.5"H</t>
  </si>
  <si>
    <t>Kidz Klub 10-yr old Unisex - White - series offers a cost effective way to display a complete line of children's clothing. Headless, white color. Fiberglass construction.&lt;br&gt;Product Dimensions: 50"H</t>
  </si>
  <si>
    <t>Kidz Klub 12-yr old Unisex - White - series offers a cost effective way to display a complete line of children's clothing. Headless, white color. Fiberglass construction.&lt;br&gt;Product Dimensions: 55"H</t>
  </si>
  <si>
    <t>Colorful matching gift wraps that match the &lt;a href="../../../65088/A-La-Carte-Bags--Boxes.html"&gt;A La Carte collection&lt;/a&gt; of bags and boxes. These let you carry a look throughout your store packaging. All patterns are available in full ream, half ream and cutter boxes.</t>
  </si>
  <si>
    <t>Labels for the finishing touches on gift &lt;a href="http://arsv2.eporiaservices.com/64484/Boxes-V2.html"&gt;boxes&lt;/a&gt;, &lt;a href="http://arsv2.eporiaservices.com/64703/Tissue-Paper-V2.html"&gt;tissue&lt;/a&gt;, &lt;a href="http://arsv2.eporiaservices.com/64751/48347/Gift-Enclosure-Cards-V2/Envelopes-for-Gift-Enclosure-Cards.html"&gt;envelopes for gift card enclosures &lt;/a&gt;or giftwrap all ready to apply.&lt;br&gt;Sold by the case. 250 labels per roll.</t>
  </si>
  <si>
    <t>Three full view merchandise levels give you more selling display fixtures per square foot. Top shelf is 8" deep. Second shelf is 10" deep. Two-piece glass shelving is adjustable.</t>
  </si>
  <si>
    <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t>
  </si>
  <si>
    <t>Self-Edge Corner display treatment with HPL available by quote. Cornice treatment available by quote. Slatwall back fixture available by quote.</t>
  </si>
  <si>
    <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t>
  </si>
  <si>
    <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t>
  </si>
  <si>
    <t>18" x 8" x 30" Glass door display, fixture is on custom steel ball-bearing rollers, has recessed finger pulls.</t>
  </si>
  <si>
    <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t>
  </si>
  <si>
    <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t>
  </si>
  <si>
    <t>For More display fixture area combined with a convenient rear storage compartment, our Half Vision Cases are your best choice.</t>
  </si>
  <si>
    <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t>
  </si>
  <si>
    <t>The Extra Vision Showcases have a 32" high glass display area dramatically presents three levels of merchandise in these showcase fixtures which blend with any store decor.</t>
  </si>
  <si>
    <t>Slimline Towers come in stationary hexagonal and square designs. Each has four sturdy acrylic shelves that are infinitely adjustable. If ordered with lights the light column uses a 64" T6 fluorescent tube and operates on 115v AC.</t>
  </si>
  <si>
    <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t>
  </si>
  <si>
    <t>Flexible storage bins in these wrap counters make them versatile. Available in 48", 60" and 70" lengths. All fixtures are 34" high.</t>
  </si>
  <si>
    <t>Both cash register stand fixture models measure 38" high, 20" deep and 24" long. Flat Top model has two storage shelves, one fixed, one adjustable. Well Top model has 6" well and one adjustable storage shelf.</t>
  </si>
  <si>
    <t>LED Light Kits - For display cases. Available in 4' for 48" Full Vision Case or 6' for 70" Full Vision Case or Jewelry Case.&lt;br&gt;&lt;br&gt;Ratchet Lock w/Keys - Secures sliding doors on display cases.</t>
  </si>
  <si>
    <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t>
  </si>
  <si>
    <t>Necklaces stand out on these beautiful linen and bamboo displays.</t>
  </si>
  <si>
    <t>Our new beautiful linen T-bars are the hottest look to show off your jewelry.</t>
  </si>
  <si>
    <t>Attractive Earring Displays on linen fabric make your jewelry standout.&lt;br&gt;Sold as each.</t>
  </si>
  <si>
    <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t>
  </si>
  <si>
    <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t>
  </si>
  <si>
    <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t>
  </si>
  <si>
    <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t>
  </si>
  <si>
    <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t>
  </si>
  <si>
    <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t>
  </si>
  <si>
    <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t>
  </si>
  <si>
    <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t>
  </si>
  <si>
    <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t>
  </si>
  <si>
    <t>&lt;br&gt;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t>
  </si>
  <si>
    <t>&lt;br&gt;             &lt;br&gt;</t>
  </si>
  <si>
    <t>Melamine Shelving Available in White, Black, and Maple.</t>
  </si>
  <si>
    <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t>
  </si>
  <si>
    <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t>
  </si>
  <si>
    <t>This oval base is like the one seen in this picture.  This oval base for your glass display is 30" x 54".  It comes in black or white melamine.  &lt;br&gt;    If this size doesn't work for you please call 800-426-5708 and we will help you find the size you need.</t>
  </si>
  <si>
    <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&lt;/a&gt; (item number &lt;a href="../../../17769/173489/Merchandising-Aids/Hooks-and-Clips.html"&gt;45R242&lt;/a&gt;) that can be used with this heavyweight plastic strip.&lt;br&gt;</t>
  </si>
  <si>
    <t>Front Runners Label Holders for Adhesive Labels Holds 2" Labels. Use with Peg hooks. Fits Wire, Plastic and Plate Hooks.</t>
  </si>
  <si>
    <t>Adhesive Hang Tags&lt;br&gt;&amp;#8226; Perfect for point of purchase displays.&lt;br&gt;&amp;#8226; Fix damaged packaging.&lt;br&gt;&amp;#8226; Use with shrink wrapped products.</t>
  </si>
  <si>
    <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t>
  </si>
  <si>
    <t>Convenient to use Price Channel Molding Plastic Molding that fits on your current shelving. A clear backing with clear window eliminates the need for clear ticket covers.&lt;br&gt;Comes with an Adhesive Back 1 1/4" wide x 48" long.</t>
  </si>
  <si>
    <t>Junior Flip Up Ostrich Feather Duster Retractable&lt;br&gt;</t>
  </si>
  <si>
    <t>Small ticket holders and clips are useful in holding SKU labels and small advertising signs.  Use these in shelf molding, baskets or on a shelf.  If you don't see the type of holder you need,  call us a 800-426-5708 and we will find you what you need.</t>
  </si>
  <si>
    <t>Hang and Display small merchandise easily with Clips and Chain Kits.</t>
  </si>
  <si>
    <t>Hooks and Clips that hang and display all your small merchandise easily.</t>
  </si>
  <si>
    <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t>
  </si>
  <si>
    <t>These clear bumper buttons are Clear Polyurethane and will prevent damage to shelves and other surfaces. Adhesive backed buttons attach to the bottom of displays easily.&lt;br&gt;Sold by 100 per case.</t>
  </si>
  <si>
    <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t>
  </si>
  <si>
    <t>Merchandising bar accessories make your system usable and designed just for you.</t>
  </si>
  <si>
    <t>Glitter Star Bows Price per case.&lt;br&gt;Bows available in red, silver, and gold for your retail store.&lt;br&gt;</t>
  </si>
  <si>
    <t>Glitter Ribbon - Metallic Finish Ribbon is a wonderful way to add some glamour to any packaging. Glitter laminated polypropylene ribbon available in 3 widths. Priced per roll, in 100 yards or 250 yards per roll.&lt;br&gt;</t>
  </si>
  <si>
    <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t>
  </si>
  <si>
    <t>Herringbone Tinsel Ribbon&lt;br&gt;3/16" x 50 yds.</t>
  </si>
  <si>
    <t>Meto 1600 Series 5 digit Character count, One line, Regular Character Size &lt;br&gt;&lt;a href="http://yoosh.co/ars_files/rs6.eporia.com/company_8/Meto%201522-622-526.html"&gt;Loading Instructions&lt;/a&gt;</t>
  </si>
  <si>
    <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t>
  </si>
  <si>
    <t>The Meto Ink Rollers fits all Meto Series Labelers.</t>
  </si>
  <si>
    <t>This Holster fits the Meto 1600 Series Labeler.</t>
  </si>
  <si>
    <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t>
  </si>
  <si>
    <t>Labels are for your Meto 2600 Series one line labeler. They come in your choice of white or colored labels. Call us if you would like to have your name printed on your labels. &lt;br&gt;Order labels by the box.&lt;br&gt;Each box has 12 rolls (1,500 labels per roll) = 18,000 labels per box</t>
  </si>
  <si>
    <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t>
  </si>
  <si>
    <t>Meto 2200 Series, 6 to 22 Labeler, 6 digit Character count, One Line, Regular Size Character &lt;br&gt;&lt;a href="http://yoosh.co/ars_files/rs6.eporia.com/company_8/Meto%201522-622-526.html"&gt;Loading Instructions&lt;/a&gt;</t>
  </si>
  <si>
    <t>Meto 2600, One Line Printing&lt;br&gt;&lt;a href="http://yoosh.co/ars_files/rs6.eporia.com/company_8/Meto%201522-622-526.html"&gt;Loading Instructions&lt;/a&gt;</t>
  </si>
  <si>
    <t>Meto 2200/2 Series is a 15 to 22 Labeler, Top Row: 8 Numbers, Bottom Row 7 Numbers&lt;br&gt;&lt;a href="http://yoosh.co/ars_files/rs6.eporia.com/company_8/Meto%201522-622-526.html"&gt;Loading Instructions&lt;/a&gt;</t>
  </si>
  <si>
    <t>Mini Grid comes in 14" x 14" squares and can be used to make a variety of display cases for your retail store.  Available in Black, White, Red, or Chrome. (Gridwall attachments may not be used on mini grid)</t>
  </si>
  <si>
    <t>Clear Acrylic Shelf Squares are for wire mini grid cubes and Slatwall &amp;amp; Gridwall wire shelves.&lt;br&gt;These plates are made of 1/8" clear acrylic. Two sizes are available. &lt;br&gt;    701351 is 14" x 14" Fits mini grid squares&lt;br&gt;    701352 is 24" x 12" Fits wire shelves</t>
  </si>
  <si>
    <t>Use the 8 way connector to fully utilize your mini grid.</t>
  </si>
  <si>
    <t>Use the 12 Way Connector to fully utilize&lt;br&gt;your mini grid. &lt;br&gt;LIMITED TO STOCK ON HAND</t>
  </si>
  <si>
    <t>This spray cleans without scratching or crazing, and it helps to repel dust by decreasing static. 8 oz. Bottle.</t>
  </si>
  <si>
    <t>2" x 1000 yrds Clear</t>
  </si>
  <si>
    <t>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t>
  </si>
  <si>
    <t>&amp;#8226; 3 popular sizes. Water based pigment ink, water and fade resistant when dry. Use on paper, glass, plastic, metal and rubber.</t>
  </si>
  <si>
    <t>&amp;#8226; Exceptionally brilliant.</t>
  </si>
  <si>
    <t>&amp;#8226; Easily Erased Alcohol based ink.</t>
  </si>
  <si>
    <t>The Card Frame with Base 11 x 14 Horizontal Only Frame is mounted on (2) 4" stems with 3 1/2"x5" felt bottom base.</t>
  </si>
  <si>
    <t>Counter Top Frame with Soft Felt Base</t>
  </si>
  <si>
    <t>&lt;br&gt;Minimum order quantity is $35.00.</t>
  </si>
  <si>
    <t>The contest box is 11 x 11 x 14" when assembled.  The red on white attention getting boxes generate excitement for your contest.  Made of sturdy white cardboard. The one piece design assembles easily in seconds without tape. Pricing limited to quantity on hand.</t>
  </si>
  <si>
    <t>'500 per box, White and or Manila, 3 1/8 x 6 1/4.  Pricing limited to quantity on hand.</t>
  </si>
  <si>
    <t>Priced per package of 25</t>
  </si>
  <si>
    <t>Deluxe Clip  100 per case</t>
  </si>
  <si>
    <t>1" x 5 1/2" Black&lt;br&gt;These can be used on Gridwall or Slatgrid.</t>
  </si>
  <si>
    <t>Heavy 10 pt stock, Pricing limited to quantity on hand - when they're gone, they're gone!!!&lt;br&gt;Available in assorted sizes and styles. Purchase cards by the package.&lt;br&gt;100 cards per package.</t>
  </si>
  <si>
    <t>Single clear spring clamp connected with ball and socket joint to a clear sign clip&lt;br&gt;Clamp designed to hold up to 1" thick material.  Sign clip designed to hold up to .25" thick material&lt;br&gt;Individual spring clamp is 1" W x 2 1/4" H.  Sign clip. Dimensions are 3.125" x 1"</t>
  </si>
  <si>
    <t>Sign and or Menu Card Holder that is 1 1/2" Tall Harp, Stainless Steel clip.  Sold per each clip&lt;br&gt;</t>
  </si>
  <si>
    <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t>
  </si>
  <si>
    <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t>
  </si>
  <si>
    <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t>
  </si>
  <si>
    <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t>
  </si>
  <si>
    <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t>
  </si>
  <si>
    <t>Solid edge glue pine shelves are 11/16" thick and have aluminum end supports and pins to be sturdy and long lasting. Shelves are available in 3, 3 and 4 foot lengths and a variety of widths to match with uprights.</t>
  </si>
  <si>
    <t>Cross pieces shown in the back of the display picture are a vital component of stability for your modular shelving units. These cross pieces are available in 48", 60" and 72" pieces and they are 3/4" galvanized flat 18 gauge metal.</t>
  </si>
  <si>
    <t>Cross rails, hangrod supports and additional shelf pins are available for your modular shelving units. If you have any questions please call 1-800-426-5708 and a sales representative can assist you.</t>
  </si>
  <si>
    <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t>
  </si>
  <si>
    <t>Use the Junior Size Molded Form size 5-9 to display the outfits so customers can view them.</t>
  </si>
  <si>
    <t>These Junior Swimwear Molded Forms with Swivel Hook size 5-9 for showing off the swimwear in the spring and summer months.</t>
  </si>
  <si>
    <t>Show more variety and use these Misses Molded Forms with Swivel Hook size 12-16.</t>
  </si>
  <si>
    <t>Display things for the men to wear by using this Male Full Torso Molded Form with Swivel Hook size S-M. It's a great way to show off the new fashion line.</t>
  </si>
  <si>
    <t>Ladies Full Round 5/8" Flange Black - made of Fiberglass construction. Contains 5/8" flange for base and upright. Foam rubber strip around recessed bottom for easy pinning.&lt;br&gt;Product Dimensions: 25"H&lt;br&gt;</t>
  </si>
  <si>
    <t>Men's Full Round 5/8" Flange Black made of Fiberglass construction. Contains 5/8" flange for base and upright. Foam rubber strip around recessed bottom for easy pinning.&lt;br&gt;Product Dimensions: 27"H&lt;br&gt;</t>
  </si>
  <si>
    <t>Female Full Round Butt Form - Self standing; fiberglass construction; realistic look, shape and feel.  Available in Flesh tone and White.&lt;br&gt;Product Dimensions: Hip 37", Waist 25-1/2"; 15"H</t>
  </si>
  <si>
    <t>Full Round Active War Cameo - Forms with Fiberglass construction athletically posed - perfect for swimwear. Self standing.&lt;br&gt;Male Form Product Dimensions: 36"H, 42" Chest&lt;br&gt;Female Form Product Dimensions: 30"H, 34 " Chest&lt;br&gt;&lt;br&gt;</t>
  </si>
  <si>
    <t>Male Full Round Butt Form - Self standing and made of fiberglass construction with a realistic look, shape and feel.  Available in Fleshtone and White.&lt;br&gt;Product Dimensions: 15"H; 32" Waist; 38" Hip</t>
  </si>
  <si>
    <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t>
  </si>
  <si>
    <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t>
  </si>
  <si>
    <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t>
  </si>
  <si>
    <t>Ribbon Slitters can be used with Splendorette and Cotton Ribbons.&lt;br&gt;Slits 1/8" x 1/16"</t>
  </si>
  <si>
    <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t>
  </si>
  <si>
    <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t>
  </si>
  <si>
    <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t>
  </si>
  <si>
    <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t>
  </si>
  <si>
    <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t>
  </si>
  <si>
    <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t>
  </si>
  <si>
    <t>The T-Bar 2 Bar Oval bracelet displayer has a classic look to it. This T-Bar 2 Bar Oval is easy to place bracelets on and off of it. 7 1/2" x 7"</t>
  </si>
  <si>
    <t>The T-Bar 1 Bar Oval will feature bracelets in an appealing way. It comes in black velvet or faux white leather. This is a beautiful way to display any bracelet. 7 1/4" X 6 1/4"</t>
  </si>
  <si>
    <t>Display your bracelets by laying them out. It gives your customer the full effect of the bracelet. It has an allotted space for 9 bracelets&lt;br&gt;&lt;br&gt;8" x 8 3/4" x 1 3/4" Available in Black Velvet or White Faux Leather.&lt;br&gt;&lt;br&gt;</t>
  </si>
  <si>
    <t>Be able to display your necklaces and earrings with the Venus Bust. It can come in black, white, or a frosty clear. A beautiful addition to your display area. 6" x 2 3/4" x 9"</t>
  </si>
  <si>
    <t>Hang multiple necklaces with the T-Bar Necklace Displays.</t>
  </si>
  <si>
    <t>Add some class to your necklace presentation with these decorative Flat Necklace Display with Easel. 9 1/4" x 9 1/2". Holds up to 5 necklaces.</t>
  </si>
  <si>
    <t>Add class to your Necklaces and Bracelets with this decorative display. Overall size - 9 3/8" x 10 7/8"</t>
  </si>
  <si>
    <t>Easily adds class to your necklace with these Necklace Padded Display with Easel. Very decorative.&lt;br&gt;8 5/8" x 10 7/8"</t>
  </si>
  <si>
    <t>Use to display the necklaces that you feature at your store. Overall size -1/2" x 6 1/4" x 5 3/8"</t>
  </si>
  <si>
    <t>Use this Necklace Bust Display to use for feature select items at your store. With some of the busts you can display earrings as well. 7 1/2" x 5 1/2" x 9"</t>
  </si>
  <si>
    <t>Use a bust to display the necklaces that you feature at your store. With some of the busts you can display earrings as well.&lt;br&gt;6 3/4" x 8" x 8"</t>
  </si>
  <si>
    <t>Available in Black Velvet or White Faux Leather. 2" x 4 1/4".</t>
  </si>
  <si>
    <t>The T-Bar&amp;#160;3 Bar Oval will feature bracelets in an appealing way. It comes in black velvet or faux white leather. This is a beautiful way to display any bracelet. 10 1/4" x 10 1/4"</t>
  </si>
  <si>
    <t>This tall display is available in Black Velvet or White Faux Leather.  Perfect for displaying your large necklaces or pendants. Overall size - 6 1/2" x 4 1/8" x 11 7/8"</t>
  </si>
  <si>
    <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t>
  </si>
  <si>
    <t>Tall display available in Black Velvet or White Faux Leather.  Perfect for displaying your large necklaces or pendants. Overall size - 8 1/4" x 6 3/4" x 14 1/2".</t>
  </si>
  <si>
    <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t>
  </si>
  <si>
    <t>Look at this easy 1/2 Round Bracelet Display to really make your bracelets pop.&lt;br&gt;Comes in Black Velvet or White Faux Leather.&lt;br&gt;Sold individually.&lt;br&gt;&lt;br&gt;</t>
  </si>
  <si>
    <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t>
  </si>
  <si>
    <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t>
  </si>
  <si>
    <t>Dark Brown wood grain table top compliments our Double Ballet Bar Frame. Works great for an eye level vignette displaying merchandise. Top measures 28" x 60" 1.5".</t>
  </si>
  <si>
    <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t>
  </si>
  <si>
    <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Shelf&lt;/a&gt;. Constructed of heavy duty 1 1/4" diameter plumbing pipe in anthracite grey finish. Comes packed 2/case.&lt;br&gt;&lt;br&gt;Most items will be shipped VIA common carrier. Freight will be quoted separately. You will be notified of the freight amount.</t>
  </si>
  <si>
    <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t>
  </si>
  <si>
    <t>These designer pipe &amp;amp; panel fixtures are perfect for pairing with our &lt;a href="../../../65349/3D-Textured-Slatwall.html"&gt;3D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href="../../../65349/3D-Textured-Slatwall.html"&gt;here&lt;/a&gt;. &lt;br&gt;&lt;br&gt;See our entire catalog of Textured Slatwall products &lt;a href="../../../../gallery.mailchimp.com/5263ee5fad261831ecc963425/files/Textured_Slatwall_Catalog_2016.pdf" target=_blank&gt;here&lt;/a&gt;.&lt;br&gt;&lt;br&gt;  This product will be shipped VIA common carrier. Freight will be quoted separately. You will be notified of the freight amount.</t>
  </si>
  <si>
    <t>Priced per case with 10 bags per case.</t>
  </si>
  <si>
    <t>Gusseted Organza Bags are priced per case with 10 bags per case.</t>
  </si>
  <si>
    <t>&lt;br&gt;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t>
  </si>
  <si>
    <t>&lt;br&gt;             &lt;br&gt;&lt;br&gt;&lt;br&gt;&lt;br&gt;Square Opening Sacks (SOS)&lt;br&gt;Order bags by the case.  Each case has 500 bags unless otherwise listed. &lt;br&gt;Made in the U.S.A.&lt;br&gt;&lt;br&gt;</t>
  </si>
  <si>
    <t>&lt;br&gt;&lt;br&gt;&lt;br&gt;&lt;br&gt; &lt;br&gt;Mix or match these great colors to create impact. Perhaps use colors that match your store's logo or trademark.&lt;br&gt;Order bags by the package.  Made in the U.S.A.&lt;br&gt;&lt;br&gt;&lt;br&gt;</t>
  </si>
  <si>
    <t>Natural Kraft Paper Liquor Bags are available in Pint or Quart sizes. &lt;br&gt;1000 bags is case minimum&lt;br&gt;</t>
  </si>
  <si>
    <t>Glassline lined unprinted bags provide a barrier against grease, stains, and moisture. FDA acceptable&lt;br&gt;for food contact. Packaged by the&lt;br&gt;case of 1000.&lt;br&gt;&lt;br&gt;</t>
  </si>
  <si>
    <t>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t>
  </si>
  <si>
    <t>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t>
  </si>
  <si>
    <t>Order Western Patterned Paper Shopping Bags by the package. Be sure to check our coordinating &lt;a href="http://arsv2.eporiaservices.com/64703/27521/Tissue-Paper-V2/Western-Printed-Tissue-Paper.html"&gt;tissue paper&lt;/a&gt; and &lt;a href="http://arsv2.eporiaservices.com/64722/Western-Themed-GiftWrap-V2.html"&gt;gift wrap&lt;/a&gt;, too!&lt;br&gt;Bag sizes and package quantities are listed below.</t>
  </si>
  <si>
    <t>&lt;br&gt;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bags.&lt;br&gt;&lt;br&gt;Order bags by the case. Each case has 250 bags unless otherwise listed.</t>
  </si>
  <si>
    <t>&lt;br&gt;&lt;br&gt;Wonderful and wintery white bags with silver snowflakes dress up your holiday packaging with sparkle. Match these bags with a silver tissue or dress them up with blue red or green. Made from 50% recycled materials and in the USA.</t>
  </si>
  <si>
    <t>Ice Collection Paper Shoppers 100% Recyclable are available in 6 stunning colors.&lt;br&gt;White kraft bag with 100% with Ice Overprint and White Handles, Bronze Coffee has Chocolate handles.&lt;br&gt;Items 5641_, and 5661_ packed 250 per case. Item 5671_ packed 200 per case.&lt;br&gt;</t>
  </si>
  <si>
    <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t>
  </si>
  <si>
    <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t>
  </si>
  <si>
    <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t>
  </si>
  <si>
    <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t>
  </si>
  <si>
    <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t>
  </si>
  <si>
    <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t>
  </si>
  <si>
    <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t>
  </si>
  <si>
    <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t>
  </si>
  <si>
    <t>Flora Satin Ribbon&lt;br&gt;&amp;#8226; Embossed to look like cloth&lt;br&gt;&amp;#8226; For Bow Machines&lt;br&gt;&amp;#8226; 7/8" x 250 yds.</t>
  </si>
  <si>
    <t>&lt;br&gt;            &lt;br&gt;&lt;br&gt;&lt;br&gt;&lt;br&gt;&lt;br&gt;Clear Gusseted Polypropylene Bags for food packaging!  These bags are gusseted, so are able to stand for easier filling.  We have &lt;a href="http://arsv2.eporiaservices.com/64493/Labels--Stickers-V2.html"&gt;labels&lt;/a&gt; and &lt;a href="http://arsv2.eporiaservices.com/25203/48315/Polypropylene-Rolls--Bags/Metallic-Twist-Ties.html"&gt;metallic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t>
  </si>
  <si>
    <t>&lt;br&gt;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href="http://arsv2.eporiaservices.com/64493/Labels--Stickers-V2.html"&gt;labels&lt;/a&gt; that would make for a very attractive finishing touch.  Plus, the bags are Made in the USA and are recycled!&lt;br&gt;    These bags are made from 100% recycled material, and are FDA approved for food contact. Packaged 100 per case.</t>
  </si>
  <si>
    <t>&lt;br&gt;          &lt;br&gt;&lt;br&gt;&lt;br&gt;&lt;br&gt;Metallic Twist Ties are 4" Ties available in four sparkling colors: Green, Red, Gold, and Silver&lt;br&gt;Packaged 1000 per case. Made in the U.S.A.</t>
  </si>
  <si>
    <t>&lt;br&gt;            An Environmentally&lt;br&gt;Responsible Choice    &lt;br&gt;&lt;br&gt;&lt;br&gt;&lt;br&gt;&lt;br&gt;These bags would be perfect for selling small baked items for a bake sale, or artisan goodies, for example.  We have some great &lt;a href="http://arsv2.eporiaservices.com/64493/Labels--Stickers-V2.html"&gt;labels&lt;/a&gt; or &lt;a href="http://arsv2.eporiaservices.com/25203/48315/Polypropylene-Rolls--Bags/Metallic-Twist-Ties.html"&gt;twist ties&lt;/a&gt; for the professional finishing touch!&lt;br&gt;    These bags are made from 100% recycled material, and are FDA approved for food contact.&lt;br&gt;Packaged 100 per case. Made in the U.S.A.</t>
  </si>
  <si>
    <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href="http://arsv2.eporiaservices.com/64493/778892/Labels--Stickers-V2/Special-Occasion-Gift-Labels.html"&gt;seals,&lt;/a&gt; and &lt;a href="http://arsv2.eporiaservices.com/25203/48315/Polypropylene-Rolls--Bags/Metallic-Twist-Ties.html"&gt;metallic twist ties.&lt;/a&gt;&lt;br&gt;    These bags are made from 100% recycled material, and are FDA approved for food contact.&lt;br&gt;Order Printed Polypropylene Bags by the case. Each case has 100 bags.  Made in the U.S.A.</t>
  </si>
  <si>
    <t>Heavy Duty Clear Polypropylene Bags are 1.23 Mil. Dress up your bags with our colorful &lt;a href="http://arsv2.eporiaservices.com/25203/48315/Polypropylene-Rolls--Bags/Metallic-Twist-Ties.html"&gt;metallic twist ties.&lt;/a&gt; &lt;br&gt;Packaged 500 per case</t>
  </si>
  <si>
    <t>&lt;br&gt;&lt;br&gt;&lt;br&gt;Create beautiful packages for your retail stores with Clear &amp;amp; Colored Clearphane Film Rolls Polypropylene Rolls. Order Clearphane by the roll. Made in the U.S.A.&lt;br&gt;&lt;br&gt;</t>
  </si>
  <si>
    <t>Clear Polypropylene Basket Bags are the perfect solution for packaging gift baskets for sale in your retail store.  Or consider assembling a "gift basket kit" where you combine &lt;a href="http://arsv2.eporiaservices.com/64703/Tissue-Paper-V2.html"&gt;tissue paper,&lt;/a&gt; and &lt;a href="http://arsv2.eporiaservices.com/64492/Bows--Ribbon-V2.html"&gt;bows or ribbons&lt;/a&gt;&lt;a href="../../../Error12c8.html"&gt;,&lt;/a&gt; with the clear basket bag for the customer to assemble their own gift basket.&lt;br&gt;Packaged 100 per case.</t>
  </si>
  <si>
    <t>Order Printed Polypropylene by the roll.&lt;br&gt;Roll sizes are listed below.</t>
  </si>
  <si>
    <t>In 2 Formats from Meto comes a hand held labeling system that really fits in the palm of your hand! The comfortable grip lets you label products for extended periods without fatigue. Change inkers and keep your fingers clean.</t>
  </si>
  <si>
    <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t>
  </si>
  <si>
    <t>For the Primark Labeler.</t>
  </si>
  <si>
    <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t>
  </si>
  <si>
    <t>This is a lower cost 2 line labeler that is easy to use and reliable. Same technology as the one line P 14 labeler. Available in 8 over 8 format. We can add full alpha designation or number 1 to 12 bands where you need them. Change the ink roller without getting your hands messy.</t>
  </si>
  <si>
    <t>Primark P 16 Ink Roller cartridge for the Primark Labeler.</t>
  </si>
  <si>
    <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t>
  </si>
  <si>
    <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t>
  </si>
  <si>
    <t>All labels: white paper with permanent adhesive. Inkjet and Laser compatible. All rectangle labels have rounded corners unless indicated otherwise.&lt;br&gt;100 Sheets/Box.  Sold per box.</t>
  </si>
  <si>
    <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</si>
  <si>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t>
  </si>
  <si>
    <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</si>
  <si>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Use with Surface Mounted and Concealed Standards. It has four downward adjustments of 15&amp;#186;, 30&amp;#186;, 40&amp;#186;, and 50&amp;#186;.</t>
  </si>
  <si>
    <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t>
  </si>
  <si>
    <t>Quantum System Straight Faceouts For heavy loads.&lt;br&gt;    When to use:  The QUANTUM SYSTEM is recommended for the most severe loads and where traffic conditions demand a more durable line of hardware.  .125" steel thickness. Made with 1/2" x 1 1/2" rectangular tubing</t>
  </si>
  <si>
    <t>Waterfall with Ball Stops for your Quantum System &lt;br&gt;For heavy loads.&lt;br&gt;    When to use:  The QUANTUM SYSTEM is recommended for the most severe loads and where traffic conditions demand a more durable line of hardware.  .125" steel thickness. Made with 1/2" x 1 1/2" rectangular tubing.</t>
  </si>
  <si>
    <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options&lt;/a&gt;</t>
  </si>
  <si>
    <t>Heavy Duty Brackets with Lock Nut use for stability with your Quantum system.  The lock nut prevents side to side sway.  Use with Surface Mounted Standards.</t>
  </si>
  <si>
    <t>Waterfall Hooks for your Quantum System is made with 1/2" x 1 1/2" rectangular tubing in .125" thick metal.</t>
  </si>
  <si>
    <t>30" to 40" to use with Surface Mounted or Concealed Standards.</t>
  </si>
  <si>
    <t>Flange Brackets for Quantum System &lt;br&gt;Bracket is made of .085" thick medium duty material for use with wood shelves.  The finish is Satin Zinc.&lt;br&gt;    The Flange Bracket has screw holes so a wood shelf can be secured to the bracket. Use with the Surface Mounted Standards.</t>
  </si>
  <si>
    <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t>
  </si>
  <si>
    <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t>
  </si>
  <si>
    <t>Store a variety of items in the Collapsible 3 Tier Round Bin Display.&lt;br&gt;Round bin 18" Diameter x 32" H.&lt;br&gt;Available in Black or White.</t>
  </si>
  <si>
    <t>The Round Bin displays items on three different tiers. Appeal to your clients by putting things in all three levels.&lt;br&gt;18" Diameter x 46" H&lt;br&gt;&lt;a href="http://yoosh.co/ars_files/rs6.eporia.com/company_8/3%20tier%20dump%20bin%20-%206581966.pdf"&gt;Click here for assembly instructions.&lt;/a&gt;</t>
  </si>
  <si>
    <t>The Dump Bin comes in Black, has 3 Tiers: 19" Wide, 19" Deep, and 47" High. Baskets are 6" Deep.&lt;br&gt;Casters are sold separately.</t>
  </si>
  <si>
    <t>Impulse Table Features&lt;br&gt;&lt;br&gt;Size: 34"H x 42"L x 24"W&lt;br&gt;Color: White, Red, Black, or Hammertone &lt;br&gt;&lt;br&gt;Features:&lt;br&gt;&amp;#8226; Base Measures: 28"H x 36"L x 19"W&lt;br&gt;&amp;#8226; Top Measures: 6"H x 42"L x 24"W&lt;br&gt;&amp;#8226; Versatile Design  &lt;br&gt;&amp;#8226; Mobile Display</t>
  </si>
  <si>
    <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t>
  </si>
  <si>
    <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t>
  </si>
  <si>
    <t>Rolling Dump Cube  &lt;br&gt;&lt;br&gt;Size: 33"H x 24"W x 24"D &lt;br&gt;Color: White &lt;br&gt;&lt;br&gt;Features:&lt;br&gt;&amp;#8226; Use as a dump table or dump bin&lt;br&gt;&amp;#8226; Adjustable shelf levels&lt;br&gt;&amp;#8226; Locking casters&lt;br&gt;&amp;#8226; Assembles in minutes&lt;br&gt;&amp;#8226; Ships flat</t>
  </si>
  <si>
    <t>3 tiers to display your graphics with this stand.&lt;br&gt;Size: 86" H x 22" W x 24" D &lt;br&gt;Color: Black &lt;br&gt; &lt;br&gt;Features:&lt;br&gt;&amp;#8226; Pocket size: 22"W x 28"H&lt;br&gt;&amp;#8226; Side loading design&lt;br&gt;&amp;#8226; Lightweight, easy to move&lt;br&gt;&amp;#8226; Signs not included</t>
  </si>
  <si>
    <t>Decorative Rack with 3 Tiers&lt;br&gt;Size: 24" x w x 42"h x 13"d &lt;br&gt;Color: Antique Bronze &lt;br&gt; &lt;br&gt;Features:&lt;br&gt;&amp;#8226; 3 Tiers high &lt;br&gt;&amp;#8226; Lightweight &lt;br&gt;&amp;#8226; Folding shelves &lt;br&gt;&amp;#8226; Assemble in seconds &lt;br&gt;&amp;#8226; No tools required</t>
  </si>
  <si>
    <t>Corner Rack with 4 Tiers&lt;br&gt;Size: 54"H x 12"D &lt;br&gt;Color: Antique Bronze &lt;br&gt; &lt;br&gt;Features:&lt;br&gt;&amp;#8226; Floral design &lt;br&gt;&amp;#8226; 4 Tiers high &lt;br&gt;&amp;#8226; Corner design &lt;br&gt;&amp;#8226; Folding shelves &lt;br&gt;&amp;#8226; Assemble in seconds &lt;br&gt;&amp;#8226; No tools required</t>
  </si>
  <si>
    <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t>
  </si>
  <si>
    <t>Lots of ways to accommodate your products with this adjustable wire shelves.&lt;br&gt;Size: 52"H x 24 1/2" W x 12 1/2" D  &lt;br&gt;Color: Black, or White&lt;br&gt; &lt;br&gt;Features:&lt;br&gt;&amp;#8226; Adjustable shelves &lt;br&gt;&amp;#8226; 5 stacking baskets &lt;br&gt;&amp;#8226; 15 basket dividers &lt;br&gt;</t>
  </si>
  <si>
    <t>Wire Bin Display, Low Rider &lt;br&gt;Size: 56"W x 20"H x 12"D  &lt;br&gt;Color: White  &lt;br&gt; &lt;br&gt;Features:&lt;br&gt;&amp;#8226; Use below existing merchandising areas &lt;br&gt;&amp;#8226; Includes: (3) panels, (4) shelves (6) casters &lt;br&gt;&amp;#8226; Mobile design &lt;br&gt;&amp;#8226; 10 shelf clearance between shelves</t>
  </si>
  <si>
    <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t>
  </si>
  <si>
    <t>Great way to display your merchandiser bags.&lt;br&gt;Size: 52"H x 25 1/2"W x 20"D  &lt;br&gt;Color: Antique Bronze Finish  &lt;br&gt; &lt;br&gt;Features:&lt;br&gt;&amp;#8226; 4 arms&lt;br&gt;&amp;#8226; Adjustable to accommodate any bag size &lt;br&gt;&amp;#8226; Sturdy base&lt;br&gt;&amp;#8226; Easy assembly&lt;br&gt;</t>
  </si>
  <si>
    <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t>
  </si>
  <si>
    <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t>
  </si>
  <si>
    <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t>
  </si>
  <si>
    <t>Environmentally safe, water based Trio Pen Set &amp;amp; Canister w/32oz Ink. Works well on regular or glossy paper, and vinyl banners. Not flammable, fade resistant. Will not run or spot when sprayed with water!&lt;br&gt;3 pen sizes (1/4", 5/8", and 1 x 2") &lt;br&gt;&lt;br&gt;&lt;br&gt;</t>
  </si>
  <si>
    <t>Environmentally safe, water based Partner Pen Set w/8oz Ink. Works well on regular or glossy paper, and vinyl banners. Not flammable, fade resistant. Will not run or spot when sprayed with water!&lt;br&gt;2 Pen sizes (1/4" and 5/8")&lt;br&gt;&lt;br&gt;&lt;br&gt;</t>
  </si>
  <si>
    <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Ink&lt;/a&gt;.&lt;br&gt;</t>
  </si>
  <si>
    <t>Refill Pens, Felt, and Cans items are 2" refill Pen Complete, 2" Nib only, 5/8" and 1/4" Refill Pen Complete, Partner &amp;amp; Jr/Trio Filler Felts, Jr/Trio Lid Only, Partner &amp;amp; JR/Trio Cannister - No Lid.&lt;br&gt;Sold individually.</t>
  </si>
  <si>
    <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t>
  </si>
  <si>
    <t>Ready-to-Assemble Display Wrap Counter - Each case comes with a 4" kick plate and features 3 adjustable shelves. This knockdown ready-to-assemble retail store counter fixture is available in White, Maple or Black.</t>
  </si>
  <si>
    <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href="http://yoosh.co/ars_files/rs6.eporia.com/company_8/rta_registerstand.pdf"&gt;Assembly&lt;/a&gt; &lt;br&gt;</t>
  </si>
  <si>
    <t>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instructions&lt;/a&gt;</t>
  </si>
  <si>
    <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instructions&lt;/a&gt;</t>
  </si>
  <si>
    <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instructions&lt;/a&gt;</t>
  </si>
  <si>
    <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t>
  </si>
  <si>
    <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t>
  </si>
  <si>
    <t>Review by Keith Lee&lt;br&gt;President American Retail Supply &lt;br&gt;"Customer Satisfaction is Worthless&lt;br&gt; Customer Loyalty is Priceless"&lt;br&gt;How to make customers love you,&lt;br&gt;keep them coming back, and tell everyone they know.</t>
  </si>
  <si>
    <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t>
  </si>
  <si>
    <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</si>
  <si>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t>
  </si>
  <si>
    <t>&lt;br&gt;          &lt;br&gt;&lt;br&gt;&lt;br&gt;&lt;br&gt;Splendorette Printed Curling Ribbon comes in a Zebra print with your choice of Lime Green, Pink or traditional Black. Made in the U.S.A.&lt;br&gt;Order ribbon by the 250 yard roll.&lt;br&gt;</t>
  </si>
  <si>
    <t>Display 6 pairs (12 slits) of earrings in style with these decorative black velvet or white faux leather. 12"L x 1 5/8"W x 2 5/8"H</t>
  </si>
  <si>
    <t>The Pendent/Earring Bar, has enough space to display a pair of earrings. In this Pendent/Earring Bar it is easy to place the earrings in the slits and also easy to remove. This displayer can be featured in many different areas of your store.  2 1/2"L x 1 3/4"W x 3 1/4"H</t>
  </si>
  <si>
    <t>The Earring Slant w/ Flap is made to make a pair of earrings really stand out. They are featured alone on this displayer and the flap is what draws attention to the merchandise. This is a great way to display earrings for your store. 2 1/2"L x 1 1/2"W x 3 3/8"H</t>
  </si>
  <si>
    <t>Display 10 pairs of earrings in a new and unique way with the Winged displayer!  The displayer is in the shape of wings, which is a creative way to show off your earrings. Five pairs per each wing. Overall size - 12 1/2"L x 6 1/2"H</t>
  </si>
  <si>
    <t>Show your earrings with the T-Bar, it can display up to four pairs. This particular style shows the earrings in a hanging fashion, very nice for dangling earrings.</t>
  </si>
  <si>
    <t>This beautiful 1 Finger display for rings comes in black vevet or white faux leather.</t>
  </si>
  <si>
    <t>Display two rings on the beautiful black velvet or the white faux leather display.</t>
  </si>
  <si>
    <t>Rings are made for all fingers, so display the rings of your choice on the 5 finger ring display. Show your client some options!</t>
  </si>
  <si>
    <t>Keep your jewelry merchandise organized and catergorized with different types of trays. The Trays make displaying jewelry easy to do!</t>
  </si>
  <si>
    <t>Rudy is the most affordable male mannequin. Attractive, youthful looking male with sculpted brown hair and makeup. Includes tempered glass base.&lt;br&gt;</t>
  </si>
  <si>
    <t>Headless Rudy and Judy mannequins.&lt;br&gt;Only available in cameo white.&lt;br&gt;</t>
  </si>
  <si>
    <t>Label your Heavy Duty or Medium Duty areas with the 1 and 2 Piece Scanner Hooks. These are sold 100 per package.</t>
  </si>
  <si>
    <t>Use any type of label to draw attention to the areas in your retail store you wish to label with Label Holders for Paper &amp;amp; Adhesive labels.  Packed 100/pack. Most hold 2 1/2" x 1 1/4" labels. Quad Wire holders are only for adhesive 2" x 1 1/4 labels.</t>
  </si>
  <si>
    <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t>
  </si>
  <si>
    <t>Convenient Scrapbook Display for Paper 8 1/2 x 11 Stock paper&lt;br&gt;This display which can be used on a countertop or table top has 15 tiers with 45 (8 1/2" x 11") Slots.  Each slot holds up to 100 (8 1/2" x 11") sheets &lt;br&gt; &lt;br&gt;Size: 33 1/2"H x 27"W x 10 1/2"D &lt;br&gt;Color: White</t>
  </si>
  <si>
    <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t>
  </si>
  <si>
    <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t>
  </si>
  <si>
    <t>Wireless Entrance Motion Detector. Place receiver up to 200 ft away. Choice of two pleasing tones with volume control. Transmitter uses 9V Battery (not included)</t>
  </si>
  <si>
    <t>Wired Entrance Motion Detector that is easy to install. Unaffected by sunlight, headlights &amp;amp; reflections.</t>
  </si>
  <si>
    <t>Self Contained Entrance Door Announcer. No wiring needed! Light Sensitive Motion Activated. 2 pleasant tones with volume control. Mount above or beside door. Uses 9V battery (not included).</t>
  </si>
  <si>
    <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t>
  </si>
  <si>
    <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t>
  </si>
  <si>
    <t>Secur A Tach is the perfect solution for tagging hard goods! (not for use with tagger). Available in 3", 5" or 9" loops.&lt;br&gt;Order fasteners by the box.&lt;br&gt;Each box has 5000 fasteners.</t>
  </si>
  <si>
    <t>TG Tacher Security Loops the perfect solution for tagging hard goods! (not for use with tagger) Choose from 3", 5" or 9" loops.&lt;br&gt;Order fasteners by the box.&lt;br&gt;Each box has 5000 fasteners.</t>
  </si>
  <si>
    <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t>
  </si>
  <si>
    <t>Secur A Tie Adjustable is not for use with tagger</t>
  </si>
  <si>
    <t>&lt;br&gt;&lt;br&gt;&lt;br&gt;     &amp;#8226; High quality rotogravure and flexographic&lt;br&gt;      printed gift wrap in a variety of beautiful&lt;br&gt;      paper stocks.       &amp;#8226; Fast and accurate order shipment.</t>
  </si>
  <si>
    <t>&lt;br&gt;&lt;br&gt;&lt;br&gt;     &amp;#8226; High quality rotogravure and flexographic&lt;br&gt;      printed gift wrap in a variety of beautiful&lt;br&gt;      paper stocks.</t>
  </si>
  <si>
    <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t>
  </si>
  <si>
    <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t>
  </si>
  <si>
    <t>&lt;br&gt;&lt;br&gt;&lt;br&gt;    &amp;#8226; high quality rotogravure and fiexographic&lt;br&gt;       printed gift wrap in a variety of beautiful&lt;br&gt;       paper stocks.</t>
  </si>
  <si>
    <t>&lt;br&gt;&lt;br&gt;&lt;br&gt;Shamrock has many finishes such as Solids, Foils, and Specialty Krafts Giftwrap to choose from.</t>
  </si>
  <si>
    <t>&lt;br&gt;&lt;br&gt;&lt;br&gt;    &amp;#8226; high quality rotogravure and fiexographic printed gift wrap in a variety of beautiful paper stocks.</t>
  </si>
  <si>
    <t>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t>
  </si>
  <si>
    <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t>
  </si>
  <si>
    <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t>
  </si>
  <si>
    <t>Single Face Corrugated Rolls  "B" Flute&lt;br&gt;24" x 250' brown</t>
  </si>
  <si>
    <t>Order Kraft Paper Rolls for your retail packaging supply needs in your choice of brown or white Kraft paper.</t>
  </si>
  <si>
    <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t>
  </si>
  <si>
    <t>Packaging Peanuts in Green for retail packing and shipping.&lt;br&gt;14 Cubic Feet</t>
  </si>
  <si>
    <t>Edge Protectors are Molded Polystyrene Foam. Packaged 8 per corrugated carton. No set up necessary&lt;br&gt;Used for edge protection when cushioning is required.  Inside Dimensions Length x Width x Depth. Sold 100 per case.</t>
  </si>
  <si>
    <t>Corrugated Corner Pads (Die Cut)&lt;br&gt;125# Test #3 White Outside, Furnished flat&lt;br&gt;50 per bundle Inside Dimensions- Length x Width x Depth</t>
  </si>
  <si>
    <t>Pads, White&lt;br&gt;200# Test, Singlewall C Flute, #3 White 1 side&lt;br&gt;First dimension listed indicates the direction of corrugation     Sold by the bundle as indicated.&lt;br&gt;Inside Dimensions</t>
  </si>
  <si>
    <t>Five Panel Folders 32 ECT #3 White outside with Self Locking ends&lt;br&gt;Furnished flat, 50 boxes per bundle.  Inside Dimensions: Length x Width x Depth</t>
  </si>
  <si>
    <t>Triangle Tubes&lt;br&gt;32 ECT #3 White outside&lt;br&gt;Self Locking ends&lt;br&gt;Furnished flat&lt;br&gt;Brown Exterior.&lt;br&gt;50 boxes per bundle.     Inside Dimensions</t>
  </si>
  <si>
    <t>Pads, Brown Singlewall C Flute, 32 ECT Material&lt;br&gt;First dimension listed indicates the direction of corrugation     Sold by bundle as indicated.</t>
  </si>
  <si>
    <t>Easy to apply Packing List Enclosure Envelopes. Just insert your packing list with the address exposed, apply to your shipping box and you are ready to ship.&lt;br&gt;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</si>
  <si>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t>
  </si>
  <si>
    <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t>
  </si>
  <si>
    <t>Order by the case of 5 or 25 pounds as indicated.</t>
  </si>
  <si>
    <t>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t>
  </si>
  <si>
    <t>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t>
  </si>
  <si>
    <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t>
  </si>
  <si>
    <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instructions.&lt;br&gt;&lt;br&gt;&lt;/a&gt;&lt;/a&gt;Swinger&amp;#169;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t>
  </si>
  <si>
    <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instructions.&lt;br&gt;&lt;/a&gt;Click here for Message Board sign assembly instructions.&lt;br&gt;&lt;br&gt;&lt;/a&gt;SPRINGER&amp;#169;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t>
  </si>
  <si>
    <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instructions.&lt;br&gt;&lt;/a&gt;&lt;/a&gt;TIP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t>
  </si>
  <si>
    <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t>
  </si>
  <si>
    <t>Call attention to your special featured merchandise with these bright and bold Sign Cards, Paper. All are printed on high quality 10 point card stock. Purchase Cards by the Package, 100 cards per package</t>
  </si>
  <si>
    <t>Call attention to your special featured merchandise with these bright and bold Sign Cards, Laser Print Ready. All are printed on high quality 10 point card stock. Printer Ready.&lt;br&gt;Purchase cards by the package. 100 cards per package, unless otherwise noted.&lt;br&gt;&lt;br&gt;&lt;br&gt;&lt;br&gt;</t>
  </si>
  <si>
    <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t>
  </si>
  <si>
    <t>All fluorescent bursts are Rainbow packed with 25 each of 4 different color combinations as shown.&lt;br&gt;Purchase cards by the package.  100 cards per package.</t>
  </si>
  <si>
    <t>The Assorted Rainbow Packs of blank fluorescent sign cards consist of Green, Yellow, Pink, and Red/Orange.&lt;br&gt; Cards are 8 point stock.  Purchase cards by the package.  100 cards per package.</t>
  </si>
  <si>
    <t>We offer Mini Markers for any size you may need. From 6 months all the way to XXL. Help your customers find the sizes they need easier by purchasing these.</t>
  </si>
  <si>
    <t>We have a wide range of Regular Size Markers made to help make your retail store more organized!</t>
  </si>
  <si>
    <t>The 1/2" Clear Circle Size Labels with Black Print, are available in the standard sizes. Great for marking apparel by size.</t>
  </si>
  <si>
    <t>Storage Box for Size Markers for a variety of size markers.</t>
  </si>
  <si>
    <t>Size Dividers Round White with Black Numbers help to keep clothing sizes in the appropriate places. There is a divider for almost any size.  Please note the item "461100 blank" dividers have no printing. Sold in Packages of 5 Each.</t>
  </si>
  <si>
    <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t>
  </si>
  <si>
    <t>These 1-1/4 x 5 Clear Rectangle Size Labels are easily read labels are printed in black ink. The size repeats over and over along the 5" length. Great for arranging garments by size.</t>
  </si>
  <si>
    <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here&lt;br&gt;&lt;br&gt;&lt;/a&gt;</t>
  </si>
  <si>
    <t>Size: 5.11 L x 5.51 W x 3.81 H&lt;br&gt;  Use with Divider A</t>
  </si>
  <si>
    <t>Size: 11.42 W  x 5.11 L x 3.81 H&lt;br&gt;  Use with Divider A</t>
  </si>
  <si>
    <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t>
  </si>
  <si>
    <t>Size: 10.83"L x 11"W x 6.7"H&lt;br&gt;  Use with Divider C</t>
  </si>
  <si>
    <t>Size: 9.25 L x 5.51 W x 3.74 H&lt;br&gt;  Use with Divider D</t>
  </si>
  <si>
    <t>Size: 13.18 L x 5.51 W x 3.74 H&lt;br&gt;  Use with Divider D</t>
  </si>
  <si>
    <t>Size: 17.12 L x 5.51 W x 3.74 H&lt;br&gt;  Use with Divider D</t>
  </si>
  <si>
    <t>Slatbox Dividers divides your slatboxes into smaller displays.   Available in clear only.</t>
  </si>
  <si>
    <t>Enjoy the use of these adapters even if you do not have Slatwall fixtures with either Pegboard or Slatgrid adaptors to make a well functioning display.</t>
  </si>
  <si>
    <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t>
  </si>
  <si>
    <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t>
  </si>
  <si>
    <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t>
  </si>
  <si>
    <t>Features 24" wide panels.  Finished measurement 54" (H) x 36" (W) x 36" (D). Available in white or maple.&lt;br&gt;This product will be shipped VIA common carrier. Freight will be quoted separately. You will be notified of the freight amount.</t>
  </si>
  <si>
    <t>Size: 54"(h) x 24"(d) x 24"(w) is available in a white or maple color. The picture to the right shows it in maple.&lt;br&gt;&lt;a href="http://yoosh.co/ars_files/rs6.eporia.com/company_8/H%20style%20slatwall%20instructions.pdf"&gt;Click here for Assembly Instructions&lt;/a&gt;&lt;br&gt;This product will be shipped VIA common carrier. Freight will be quoted separately. You will be notified of the freight amount.</t>
  </si>
  <si>
    <t>The 4 Sided Tower display 54" x 24" x 24" comes in the color of white or maple. The Slatwall Tower is shown in maple in the picture to the right.&lt;br&gt;This product will be shipped VIA common carrier. Freight will be quoted separately. You will be notified of the freight amount.</t>
  </si>
  <si>
    <t>Size: 54"(h) x 24"(w) x 48"(l), is available in either white or maple. Featured in maple in the picture on the right.</t>
  </si>
  <si>
    <t>Available in White, Black or Cherry.&lt;br&gt; The slatwall used to make this display is 2 on Center.  Ships assembled. &lt;br&gt;</t>
  </si>
  <si>
    <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t>
  </si>
  <si>
    <t>Star Bows&lt;br&gt;available in 21 colors and&lt;br&gt;made from shiny poly ribbon.&lt;br&gt;Order bows by the box.&lt;br&gt;Each box size is listed below.&lt;br&gt;5SB113, 5SB5122 and 5SB122 ONLY are LIMITED TO STOCK ON HAND &lt;br&gt;</t>
  </si>
  <si>
    <t>&lt;br&gt;&lt;br&gt;&lt;br&gt;Pull Out Pre-Notch Bows&lt;br&gt;makes bow making made easy. &lt;br&gt;Order Bows by the box&lt;br&gt;Each box has 100 bows.&lt;br&gt;&lt;br&gt;</t>
  </si>
  <si>
    <t>&lt;br&gt;&lt;br&gt;&lt;br&gt;Splendorette Ribbon &lt;br&gt;is a wonderful shiny poly ribbon.&lt;br&gt;Order ribbon per roll.&lt;br&gt;Made in the U.S.A.&lt;br&gt;&lt;br&gt;</t>
  </si>
  <si>
    <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t>
  </si>
  <si>
    <t>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t>
  </si>
  <si>
    <t>Our unique Steamer Liquid Cleaner removes hard water deposits from Jiffy&amp;#174; Steamers.  Its easy to use and it works on all Jiffy Steamer models. Three 10 ounce bottles per package. Not available for export.</t>
  </si>
  <si>
    <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t>
  </si>
  <si>
    <t>We carry many replacement parts for your steamer from handles, hoses and water bottles. If you don't see the part you need here please call 1-800-436-4708 and a helpful sales representative can assist you.</t>
  </si>
  <si>
    <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t>
  </si>
  <si>
    <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t>
  </si>
  <si>
    <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t>
  </si>
  <si>
    <t>Tinsel Cord (doesn't stretch) comes available in Silver, Gold, or Emerald for your retail store. &lt;br&gt;100 yds./roll.</t>
  </si>
  <si>
    <t>Metallic 25yrd/roll.</t>
  </si>
  <si>
    <t>Stretch Wrap Hand Dispenser&lt;br&gt;Adjustable 11" to 18"</t>
  </si>
  <si>
    <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t>
  </si>
  <si>
    <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t>
  </si>
  <si>
    <t>Women's Dress &amp;amp; Blouse Form with Metal Base for you to display women's dresses and blouses are available in creme with a metal base.  They are a good alternative to full sized mannequins that are more expensive.</t>
  </si>
  <si>
    <t>Men's Dress Suits &amp;amp; Shirt Forms with Metal Base are available in creme with a metal base.  They are a good alternative to full sized mannequins that are more expensive.</t>
  </si>
  <si>
    <t>Sullivan Ethnic, Animal Prints &amp;amp; Classics Giftwrap paper in a wide range of popular patterns.&lt;br&gt;Available for your retail store packaging needs in full and half ream rolls.&lt;br&gt;Click on the image below to see a larger view.&lt;br&gt;&lt;br&gt;&lt;br&gt;</t>
  </si>
  <si>
    <t>Sullivan Beautiful Florentines, Florals, Fruits &amp;amp; Tapestry Giftwrap Section 1 paper in a wide range of popular patterns.&lt;br&gt;Available for your retail store packaging needs in full and half ream rolls.&lt;br&gt;&lt;br&gt;</t>
  </si>
  <si>
    <t>Sullivan - lovely Florentine's, Floral's, Fruit's &amp;amp; Tapestries Giftwrap Section 2 paper in many beautiful patterns. Available in full and half ream rolls.&lt;br&gt;&lt;br&gt;</t>
  </si>
  <si>
    <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t>
  </si>
  <si>
    <t>Your customer's Valentine will be so happy when they see there gift in one of these lovely Sullivan Valentines Giftwrap. Available in Full and Half Reams.&lt;br&gt;</t>
  </si>
  <si>
    <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t>
  </si>
  <si>
    <t>These are some really fun cheery patterns from the Sullivan Birthday &amp;amp; Celebration Giftwrap collection.&lt;br&gt;Click on the image below to see a larger view.&lt;br&gt;</t>
  </si>
  <si>
    <t>Look at the large selection we have from the Sullivan Baby &amp;amp; Juvenile Giftwrap collection.&lt;br&gt;Click on the image below to see a larger view.&lt;br&gt;</t>
  </si>
  <si>
    <t>Sullivan Geometric pattern Giftwrap paper in a wide selection. Available for your retail store packaging needs in full and half ream rolls.&lt;br&gt;Click on the image below to see a larger view.&lt;br&gt;&lt;br&gt;&lt;br&gt;</t>
  </si>
  <si>
    <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t>
  </si>
  <si>
    <t>Sullivan Pastimes, Sports like football, soccer, tennis, hockey, Sailing/Nautical, Marbles, &amp;amp; Masculine Giftwrap are available are Full and Half Reams. Sold per roll.</t>
  </si>
  <si>
    <t>Sullivan Solid Colored Giftwrap. The creativity you can express with this wide choice of solid colors is endless. Available in Full and Half reams.</t>
  </si>
  <si>
    <t>You will be amazed at these Sullivan Special Occasions Giftwrap. Take a look at the Holographic ones for sure as they are very unusual. Available in Full and Half reams.</t>
  </si>
  <si>
    <t>Order needles by the box. Each box has 3 needles. Needles come in standard, fine, heavy duty and reinforced. The 5515, 5515H and 5515R are for use in a standard tagging gun. The 5520 and 5520R are for use in a fine tagging gun. &lt;br&gt;&lt;br&gt;&lt;br&gt;Left - Item 5515 box of 3 needles.</t>
  </si>
  <si>
    <t>Tach It Tachers are a great value.  Our own brand. An excellent, economical alternative.  Full 1 year warranty!  Satisfaction Guaranteed!</t>
  </si>
  <si>
    <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t>
  </si>
  <si>
    <t>Blank Manila Shipping Tags; choose from three sizes.&lt;br&gt;Order tags by the box.&lt;br&gt;Each box has 1000 tags.</t>
  </si>
  <si>
    <t>Blank White Scallop Top Tags come in a variety of sizes. Choose if you would like them with String or No String.&lt;br&gt;Order tags by the box.&lt;br&gt;Each box has 1000 tags.&lt;br&gt;</t>
  </si>
  <si>
    <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t>
  </si>
  <si>
    <t>Clearly mark garments for Alterations with these Manila Service Tags. &lt;br&gt;Order tags by the box.&lt;br&gt;Each box has 500 tags.</t>
  </si>
  <si>
    <t>These high visual impact Sale Price Top Tags are available in 2 sizes 1 1/8 x 1 3/4 or 1 5/8 x 2 3/4 in either strung or unstrung versions.</t>
  </si>
  <si>
    <t>Sold &amp;amp; Hold Tags saves so much time for your staff with just a quick glance they can see what is going on with that particular garment.</t>
  </si>
  <si>
    <t>Clearly mark your retail store's apparel items with these White Rectangle Tags. Choose from a variety of sizes and orientation in either strung or unstrung versions.&lt;br&gt;Order tags by the box.&lt;br&gt;Each box has 1000. &lt;br&gt;</t>
  </si>
  <si>
    <t>3M Clear Carton Sealing Tape available in 2" x 55 yard and 2" x 110 yard rolls and 3/4" x 72 yards on 3 inch core.&lt;br&gt;Packaged 6 Rolls per case.</t>
  </si>
  <si>
    <t>Hand Held Tape Dispensers 2" Standard Duty</t>
  </si>
  <si>
    <t>Add a handle to any box for easy carrying.  1 3/8" x 23" long White handles with 30 lb. carrying weight&lt;br&gt;Sold 25 Handles per pad&lt;br&gt;</t>
  </si>
  <si>
    <t>Repair Tape Pocket Pads are easy to use. Clear only.&lt;br&gt;&amp;#8226; 2" x 6" size&lt;br&gt;&amp;#8226; 25 sheets per pad&lt;br&gt;Sold by 200 pads per Case.&lt;br&gt;</t>
  </si>
  <si>
    <t>2" x 6" Double Coated Tape Pads for an easy repair of your shipping boxes.  &lt;br&gt;15 sheets per pad, 150 pads per Case.&lt;br&gt;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</si>
  <si>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t>
  </si>
  <si>
    <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</si>
  <si>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</si>
  <si>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t>
  </si>
  <si>
    <t>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t>
  </si>
  <si>
    <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t>
  </si>
  <si>
    <t>Fits 3/8" Glass, 12" and 14"</t>
  </si>
  <si>
    <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</si>
  <si>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</si>
  <si>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A $25.00 glass crating charge will be added to glass orders. Also this product will be shipped VIA common carrier. Freight will be quoted separately. You will be notified of the freight amount.</t>
  </si>
  <si>
    <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</si>
  <si>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</si>
  <si>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t>
  </si>
  <si>
    <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instruction&lt;/a&gt;.</t>
  </si>
  <si>
    <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t>
  </si>
  <si>
    <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t>
  </si>
  <si>
    <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href="../../../64704/Shreds.html"&gt;shreds&lt;/a&gt; to complete your packaging.&lt;br&gt;Order tins by the case.&lt;br&gt;Each case has 10 tins.</t>
  </si>
  <si>
    <t>&lt;br&gt;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t>
  </si>
  <si>
    <t>&lt;br&gt;               &lt;br&gt;&lt;br&gt;&lt;br&gt;&lt;br&gt;White and Recycled Kraft Tissue paper are made with 50% Post-Industrial waste, 10% post consumer waste, 40% virgin fiber. Made in the U.S.A.  Order Tissue by the package. Package sizes are two reams of 480 sheets each.  Sheet sizes are as marked.</t>
  </si>
  <si>
    <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Assortments&lt;/a&gt;.&lt;br&gt;</t>
  </si>
  <si>
    <t>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t>
  </si>
  <si>
    <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t>
  </si>
  <si>
    <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bags&lt;/a&gt; and &lt;a href="http://arsv2.eporiaservices.com/64722/Western-Themed-GiftWrap-V2.html"&gt;gift wrap&lt;/a&gt;!&lt;br&gt;Order Printed Tissue by the package. Package sizes are 200 sheets. Sheets are 20" x 30".</t>
  </si>
  <si>
    <t>&lt;br&gt;            &lt;br&gt;&lt;br&gt;&lt;br&gt;&lt;br&gt;Order Printed Tissue by the package.  Packages contain the following sheet numbers:&lt;br&gt;Items that end in A = 240 sheets per pack, B = 200 sheets per pack, D = 100 sheets per pack&lt;br&gt;Sheets measure 20" x 30". Printed with soy-based inks&lt;br&gt;Made in the U.S.A.</t>
  </si>
  <si>
    <t>&lt;br&gt;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t>
  </si>
  <si>
    <t>&lt;br&gt;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t>
  </si>
  <si>
    <t>Gemstones Patterned Tissue Paper are beautiful sparkling holographic colors and patterns.   Order Gemstone tissue paper by the package.&lt;br&gt;    Tissue is priced per package of 200 sheets. 4 Packages per case. Sheets measure 20" x 30".&lt;br&gt;</t>
  </si>
  <si>
    <t>Reflections Tissue is made by a unique process that hot stamps flecks of metal onto the tissue.  This creates a truly unique specialty tissue.  &lt;br&gt;Order Reflections Tissue by the package of 200 sheets, unless noted otherwise.  &lt;br&gt;</t>
  </si>
  <si>
    <t>&lt;br&gt;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t>
  </si>
  <si>
    <t>&lt;a href="http://www.makeyouhappy.com/Faq_Detail.asp?id=1494"&gt;&lt;/a&gt;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attachments&lt;/a&gt;? Just click on the link.&lt;br&gt;   &lt;a href="http://yoosh.co/ars_files/rs6.eporia.com/company_8/Slatwall%20Assembly%20Instructions.pdf"&gt;Installation Instructions.&lt;/a&gt;&lt;br&gt;This product will be shipped VIA common carrier. Freight will be quoted separately. You will be notified of the freight amount. Additional crating charge will be added to your order. &lt;br&gt;</t>
  </si>
  <si>
    <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href="mailto:Info@americanretailsupply.com"&gt;Info@americanretailsupply.com&lt;/a&gt;&lt;br&gt;&lt;br&gt;Some&lt;/a&gt; of these items will be shipped VIA common carrier. Freight will be quoted separately. You will be notified of the freight amount.</t>
  </si>
  <si>
    <t>Tulle Rolls are available in 6" x 25 yards. &lt;br&gt;3" x 25 yards rolls are LIMITED TO STOCK ON HAND.&lt;br&gt;Priced per roll.&lt;br&gt;</t>
  </si>
  <si>
    <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&lt;/a&gt; are located here.&lt;br&gt;&lt;br&gt;There are many more individual components and configurations available. For more Turn-O-Matic options, just give us a call at 800-426-5708.</t>
  </si>
  <si>
    <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t>
  </si>
  <si>
    <t>The Unbreakables Female Hanging Torso Form with No Arms. Female Torso form with wire loop for hanging. 7/8" plastic flange.&lt;br&gt;Use display stand &lt;a href="http://arsv2.eporiaservices.com/25486/156623/Realistic-Mannequin-System/Round-Weighted-Base.html"&gt;42VBASERD7&lt;/a&gt; -Round Weighted Base to hang form.&lt;br&gt;Chest - 34"&lt;br&gt;Waist - 27"&lt;br&gt;Hips - 38"</t>
  </si>
  <si>
    <t>The Unbreakables Female Torso Form with Arms. Self-standing form for countertop's,&lt;br&gt;tabletop's or shelves. &lt;br&gt;Includes arms with articulated fingers.Height - 35"&lt;br&gt;Chest - 34"&lt;br&gt;Waist - 27"&lt;br&gt;Hips - 37"</t>
  </si>
  <si>
    <t>The Unbreakables Female Torso Form with No Arms. Self-standing form for countertop's,&lt;br&gt;tabletop's or shelves. &lt;br&gt;Height - 35"&lt;br&gt;Chest - 34"&lt;br&gt;Waist - 27"&lt;br&gt;Hips - 37"</t>
  </si>
  <si>
    <t>The Unbreakables Male Hanging Torso Form with No Arms. Male torso form with wire loop for hanging. 7/8" plastic flange.&lt;br&gt;Use display stand &lt;a href="../../../25486/156623/Realistic-Mannequin-System/Round-Weighted-Base.html"&gt;42VBASERD7&lt;/a&gt; -Round Weighted Base to hang form.&lt;br&gt;Neck - 14"&lt;br&gt;Chest - 38"&lt;br&gt;Waist - 30"</t>
  </si>
  <si>
    <t>The Unbreakables self-standing Male Torso Form with Arms.  Self-standing form for countertop's, tabletop's or shelves. Includes arms with articulated fingers.&lt;br&gt;Neck - 14"&lt;br&gt;Chest - 38"&lt;br&gt;Waist - 30"</t>
  </si>
  <si>
    <t>The Unbreakables self-standing Male Torso Form with No Arms.  For countertop's, tabletop's &lt;br&gt;or shelves. Neck - 14"&lt;br&gt;Chest - 38"&lt;br&gt;Waist - 30"</t>
  </si>
  <si>
    <t>The Unbreakables Female with Oval Head mannequin with straight legs and arms. &lt;br&gt;Includes 14" square white metal base.&lt;br&gt;Height - 72"&lt;br&gt;Chest - 34"&lt;br&gt;Waist - 27"&lt;br&gt;Hips - 38"</t>
  </si>
  <si>
    <t>The Unbreakables Female Headless with Straight Legs &amp;amp; Arms mannequin. &lt;br&gt;Includes 14" square white metal base. &lt;br&gt;Height - 65"&lt;br&gt;Chest - 34"&lt;br&gt;Waist - 27"&lt;br&gt;Hips - 38"</t>
  </si>
  <si>
    <t>The Unbreakables Male Headless with Straight Legs and Arms mannequin. &lt;br&gt;Includes 14" square white metal base.&lt;br&gt;Height - 68"&lt;br&gt;Neck - 14"&lt;br&gt;Chest - 38"&lt;br&gt;Sleeve - 34"&lt;br&gt;Waist - 30"&lt;br&gt;Inseam - 34"&lt;br&gt;Shoe size 11</t>
  </si>
  <si>
    <t>Unbreakables Female Leg Form.&lt;br&gt;Height - 48"&lt;br&gt;Waist - 27"&lt;br&gt;Hips - 38"</t>
  </si>
  <si>
    <t>The Unbreakables Male Leg Form. &lt;br&gt;Height - 46"&lt;br&gt;Waist - 30"&lt;br&gt;Inseam - 34"</t>
  </si>
  <si>
    <t>Unbreakables Female Hip Form.&lt;br&gt;Waist - 27"&lt;br&gt;Hips - 38"</t>
  </si>
  <si>
    <t>The Unbreakables Male Hip Form  Waste 30&lt;br&gt;</t>
  </si>
  <si>
    <t>The Universal System is recommended for moderate loads and normal traffic conditions. Use any of the Knife Edge Bracket style of Universal Systems for those types of loads.&lt;br&gt;</t>
  </si>
  <si>
    <t>The Universal System is recommended for moderate loads and normal traffic conditions. Universal Flange Brackets are made to be used with wood shelves. The Flange has screw holes so that you can attach a wood shelf to the bracket.</t>
  </si>
  <si>
    <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t>
  </si>
  <si>
    <t>Universal System Straight Faceout with Metal Lock Nut  is 12" long x 3/4" square&lt;br&gt;Mirror Polished Chrome Brackets, Faceouts.&lt;br&gt;For moderate loads.</t>
  </si>
  <si>
    <t>Universal System Ball Waterfall with Metal Lock Nut&lt;br&gt;Mirror Polished Chrome Brackets, Faceouts&lt;br&gt;For moderate loads. Waterfall is made with 3/4" square tubing.     &lt;br&gt;.</t>
  </si>
  <si>
    <t>Universal System Waterfall Hook is made with 3/4" square tubing&lt;br&gt;Mirror Polished Chrome Brackets, Faceouts&lt;br&gt;For moderate loads.&lt;br&gt;1/2" slots, 1 in on center for 1" adjustments.</t>
  </si>
  <si>
    <t>Universal Brackets for Merchandise Bar with Lock Nuts,  The bracket end is centered. Mirror Polished Chrome Brackets, Faceouts for moderate loads.&lt;br&gt;&lt;br&gt;&lt;a href="http://arsv2.eporiaservices.com/64939/Merchandising-Bars-Hangrod-Crossbars-V2.html"&gt;Click here for Merchandise Bar options&lt;/a&gt;</t>
  </si>
  <si>
    <t>Universal System Hangrod End Mount Bracket comes with a thumb lock Mirror Polished Chrome Brackets, Faceouts. The Universal System is recommended for moderate loads and normal traffic conditions.&lt;br&gt;</t>
  </si>
  <si>
    <t>Universal Hangrod Brackets with Spring Clamp are made for both 1" and 1 1/4" hangrod.  These brackets fit Double Slotted Standards only,  may not be used with concealed wall standards. The Universal System is recommended for moderate loads and normal traffic conditions.&lt;br&gt;</t>
  </si>
  <si>
    <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t>
  </si>
  <si>
    <t>Heavy duty Brackets are for your heaviest loads and with merchandising bar snap on bracket. The Universal System is recommended for moderate loads and normal traffic conditions. Use any of the Knife Edge Bracket style of Universal Systems for those types of loads.&lt;br&gt;</t>
  </si>
  <si>
    <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&lt;/a&gt;</t>
  </si>
  <si>
    <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t>
  </si>
  <si>
    <t>Universal System Showcase Mounting Brackets are for use with single slotted standard only.&lt;br&gt;&lt;br&gt;These are mirror polished chrome.&lt;br&gt;&lt;br&gt;Intended for moderate loads. &lt;br&gt;</t>
  </si>
  <si>
    <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t>
  </si>
  <si>
    <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t>
  </si>
  <si>
    <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t>
  </si>
  <si>
    <t>&lt;br&gt;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t>
  </si>
  <si>
    <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fasteners&lt;/a&gt;.  They're open at the top, sealed on the bottom and sides, so information is easy to see and won't fall out.  11 vertical and 3 horizontal sizes.</t>
  </si>
  <si>
    <t>Keep your store and dressing rooms in order by using wall mounted hooks. Hooks come in straight and waterfall styles and mount easily into wall studs or drywall with screws.</t>
  </si>
  <si>
    <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t>
  </si>
  <si>
    <t>Order Western Christmas Bags printed paper bags and are sold by the package.&lt;br&gt;Be sure to check out our Christmas &lt;a href="http://arsv2.eporiaservices.com/64703/27521/Tissue-Paper-V2/Western-Printed-Tissue-Paper.html"&gt;coordinating tissue paper &lt;/a&gt;and &lt;a href="http://arsv2.eporiaservices.com/64722/Western-Themed-GiftWrap-V2.html"&gt;giftwrap&lt;/a&gt; too!&lt;br&gt;Bag sizes and package quantities are listed below.&lt;br&gt;&lt;br&gt;</t>
  </si>
  <si>
    <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t>
  </si>
  <si>
    <t>Our Christmas Western and English giftwrap designs were created with an eye for detail. Samples are available upon request. Some of the actual designs may vary in size and color.&lt;br&gt;</t>
  </si>
  <si>
    <t>Plate holder is an 1/8 thick acrylic display. This easel is available in three sizes.</t>
  </si>
  <si>
    <t>Display your merchandise on one of these many varieties of easels.</t>
  </si>
  <si>
    <t>These Clear Acrylic Countertop Display Easels have a 1" deep opening making them perfect for displaying narrow books, videos, or CD's. These easels are made from 1/8" thick acrylic.</t>
  </si>
  <si>
    <t>This Acrylic Display Easel is the perfect choice for displaying cellphone and GPS systems items.</t>
  </si>
  <si>
    <t>Twisted wire easels are available in three sizes in your choice of Black, Brass, or Silver.&lt;br&gt;&lt;br&gt;    &lt;br&gt;    Left: 79510_&lt;br&gt;    Silver color</t>
  </si>
  <si>
    <t>Wooden Hinged Easels are available in 4 sizes and in your choice of black or walnut.</t>
  </si>
  <si>
    <t>The Counter Rack Metal Base is an 8" square.</t>
  </si>
  <si>
    <t>The Tubular Steel Floor Base has a 24" diameter.</t>
  </si>
  <si>
    <t>Use these poles to make your own Wire Rack Display the length you want.&lt;br&gt;&lt;br&gt;The Counter Top Pole is 17" x 1".&lt;br&gt; &lt;br&gt;&lt;br&gt;The Floor Rack Pole set is 20" x 1".&lt;br&gt;&lt;br&gt;  The Pole Add On's are 15 1/2" x 1".&lt;br&gt;&lt;br&gt;&lt;br&gt;Cotter pin holes every 3.&lt;br&gt;</t>
  </si>
  <si>
    <t>The 6 Hook Tiers have either 6" or 8" tiers and a 6 gauge.</t>
  </si>
  <si>
    <t>The 4 Hook Tiers have either 6" or 8" tiers and a 6 gauge.</t>
  </si>
  <si>
    <t>The 18 Hook Tier has 6" hooks and a gauge of 9.</t>
  </si>
  <si>
    <t>The Plastic Counter Base has an 11 counter base and 18 floor base.</t>
  </si>
  <si>
    <t>Video tier has 4 pockets. 5 1/4" wide x 4" deep x 6 1/2" high. 9 ga.</t>
  </si>
  <si>
    <t>The&amp;#160;24 Hook Tier has 6" hooks. 21" diameter. 9ga.</t>
  </si>
  <si>
    <t>&lt;br&gt;Slatwall wire shelves have 5 gauge edges, 5 gauge long wires, and 12 gauge cross wires &lt;br&gt;unless otherwise listed.</t>
  </si>
  <si>
    <t>Flat Wire Shelves for Gridwall have 5 gauge edges, 5 gauge long wires, and 12 gauge cross wires unless otherwise listed. &lt;br&gt;</t>
  </si>
  <si>
    <t>Raffia - Natural or colors imported from Madagascar, Ideal for trimming for your retail store's boxes and bags. &lt;br&gt;Colors: Natural Kraft, Basil, Red, Orange, and Hunter Green.&lt;br&gt;Comes in a 6 oz. bag.</t>
  </si>
  <si>
    <t>Wraphia in Matte Colors is a synthetic alternative to natural raffia for your retail store. Colorfast and gentler on the hands. Continuous 100 yard roll is easy to use, reducing mess and waste. &lt;br&gt;Order wraphia by the roll. Each roll is 100 yards.</t>
  </si>
  <si>
    <t>Wraphia in Pearlized Colors is a synthetic alternative to natural raffia. Colorfast and gentler on the hands. Continuous 100 yard roll is easy to use, reducing mess and waste. &lt;br&gt;Order wraphia by the roll.&lt;br&gt;Each roll is 100 yards.</t>
  </si>
  <si>
    <t>Now these are great since you can easily use as a riser and you have a ready to use sign holder built into this product. Works wonderfully for advertising and displaying your products.</t>
  </si>
  <si>
    <t>Children's forms come in cream jersey fabric with a natural wood dome! Choose the appropriate age range to get the right size form for your apparel.</t>
  </si>
  <si>
    <t>Crossbars are used with cross bar brackets which attach to Universal System standards.&lt;br&gt;Dimensions 3/16" x 1"&lt;br&gt;Crossbars over 7 feet are shipped common carrier.</t>
  </si>
  <si>
    <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href="../../255424/Paper-Shopping-Bags/Natural-Kraft-Paper-Shopping-Bags.html"&gt;here&lt;/a&gt;. Or you can find a great recycled option &lt;a href="../../437246/Paper-Shopping-Bags/Recycled-Natural-Kraft-Paper-Shopping-Bags.html"&gt;here&lt;/a&gt;.&lt;br&gt;&lt;br&gt;Order bags by the case. All items are packed 250/case except item 5628I, which is packed 200/case.</t>
  </si>
  <si>
    <t>Permanent adhesive, pressure sensitive fluorescent specialty labels that help prevent price switching and increase impulse buys. Bold text stands out and is easy to read. 500 labels/pack.</t>
  </si>
  <si>
    <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t>
  </si>
  <si>
    <t>&lt;br&gt;&lt;br&gt;&lt;br&gt;Shamrock Masculine Giftwrap</t>
  </si>
  <si>
    <t>These men's jacket forms come in sophisticated black or cream jersey with a wood base and neck block.</t>
  </si>
  <si>
    <t>Get these mens jersey shirt forms in black or cream. Comes with a stylish neck block and base.</t>
  </si>
  <si>
    <t>Pillow Packs &lt;br&gt;Really quick and easy to use.&lt;br&gt;Order Pillow Packs by the case.&lt;br&gt;Each case has 25 pillow packs.</t>
  </si>
  <si>
    <t>Get these women's dress forms in black or cream. Elevate the look of your new apparel collections by grouping different styles of these jersey forms together in various locations of your store.</t>
  </si>
  <si>
    <t>These cream and black jersey blouse forms bring your apparel collections to life! Each women's form comes with a neck block and base.</t>
  </si>
  <si>
    <t>These designer pipe hangers with shelves are perfect for pairing with our &lt;a href="../../../65349/3D-Textured-Slatwall.html"&gt;3D Textured Slatwall&lt;/a&gt;.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target=_blank&gt;here&lt;/a&gt;.</t>
  </si>
  <si>
    <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t>
  </si>
  <si>
    <t>These designer pipe hangers are perfect for pairing with our &lt;a href="../../../65349/3D-Textured-Slatwall.html"&gt;3D Textured Slatwall&lt;/a&gt;.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here&lt;/a&gt; to purchase hangers WITH shelves.&lt;br&gt;&lt;br&gt;See our entire catalog of Textured Slatwall products &lt;a href="../../../../gallery.mailchimp.com/5263ee5fad261831ecc963425/files/Textured_Slatwall_Catalog_2016.pdf" target=_blank&gt;here&lt;/a&gt;.</t>
  </si>
  <si>
    <t>This Adjustable Easel can be used for either Slatwall or Slatgrid are white or black and available in two sizes.  Use for displaying plates, books or other flat items.  Sold per case of 12 easels.&lt;br&gt;</t>
  </si>
  <si>
    <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t>
  </si>
  <si>
    <t>Showcase 16" Square Display&lt;br&gt;4 shelves w/light&lt;br&gt;16" x 16" x 75"&lt;br&gt;&lt;br&gt;This product will be shipped VIA common carrier. Freight will be quoted separately. You will be notified of the freight amount.&lt;br&gt;</t>
  </si>
  <si>
    <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t>
  </si>
  <si>
    <t>Floor Standing Bulletin Sign Holder have a vertical frame that holds 22"W x 28"H sign</t>
  </si>
  <si>
    <t>Gridwall Knife Edge Brackets can come in chrome, black or white. The Knife Edge Brackets range in size from 4" to 16".     Pricing limited to quantity on hand</t>
  </si>
  <si>
    <t>Gridwall Heavy Duty Hook 1/4" Diameter 90o tip. Closeout is available in 1" length and color is chrome. Other sizes and colors are available in gridwall accessories. If you have any questions please call 1-800-426-5708.&lt;br&gt;&lt;br&gt;&lt;br&gt;</t>
  </si>
  <si>
    <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t>
  </si>
  <si>
    <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</si>
  <si>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t>
  </si>
  <si>
    <t>These brackets (Knife Edge) lengths range from 4" to 16" and are available in either mirror polished chrome, black, or white.</t>
  </si>
  <si>
    <t>This item is available in your choice of chrome, black, or white.</t>
  </si>
  <si>
    <t>This utility hook comes in your choice of either chrome, black, or white.</t>
  </si>
  <si>
    <t>This bracket is 12" in length. Color choice in either chrome, black, or white.</t>
  </si>
  <si>
    <t>This waterfall bracket is 16" in length and available in chrome, black, or white.</t>
  </si>
  <si>
    <t>This 16" waterfall bracket has hooks and comes in your choice chrome, black, or white.</t>
  </si>
  <si>
    <t>Hangrod bracket is 12" long and available in chrome only.  This bracket holds 1" diameter Hangrod. Recommended use only with reinforced slatwall.&lt;br&gt;</t>
  </si>
  <si>
    <t>12" long and available in chrome. This merchandising bar attachment is center mounted.  USE ONLY WITH REINFORCED SLATWALL.&lt;br&gt;&lt;a href="http://arsv2.eporiaservices.com/64939/Merchandising-Bars-Hangrod-Crossbars-V2.html"&gt;Click here for Merchandise Bar options&lt;/a&gt;           .</t>
  </si>
  <si>
    <t>The lengths range from 1" to 12" long.  Slatwall Heavy Duty Hooks have a 90&amp;#186; tip and are available in chrome, black, or white. Suitable for either Slatwall or Slatgrid.</t>
  </si>
  <si>
    <t>These are Regular Duty 3/16" or Heavy Duty 1/4" and the length is from 1" to 12" long with a 45&amp;#186; tip.  They come in chrome, black, or white.</t>
  </si>
  <si>
    <t>The is a 1 1/2" Deep x 6" high adjustable literature holder.  It is sold by the pair only and is available in chrome.</t>
  </si>
  <si>
    <t>Available in Chrome or Matte Black and can be used with &lt;a href="http://arsv2.eporiaservices.com/17240/245471/Brackets-Hooks-Standards-Closeouts/Hangrod-Snap-on-Brackets.html"&gt;Hangrod Snap-on Brackets&lt;/a&gt;.</t>
  </si>
  <si>
    <t>These hooks are for Slatwall or Slatgrid use and are a Chrome scanning hooks. Priced 100 per package.  &lt;br&gt;</t>
  </si>
  <si>
    <t>A variety of Slatwall hat displays. Choose the one that best fits your store.&lt;br&gt;&lt;br&gt;Items sold separately.</t>
  </si>
  <si>
    <t>These designer pipe faceouts and waterfall brackets are perfect for pairing with our &lt;a href="../../../65349/3D-Textured-Slatwall.html"&gt;3D Textured Slatwall&lt;/a&gt;.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target=_blank&gt;here&lt;/a&gt;.</t>
  </si>
  <si>
    <t>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t>
  </si>
  <si>
    <t>What a cheery design that makes up the Merry Dots.&lt;br&gt;Order boxes by the package.&lt;br&gt;Each package has 50 boxes, unless otherwise listed.&lt;br&gt;&lt;br&gt;</t>
  </si>
  <si>
    <t>This is a wonderful pattern for gift boxes called Stardust is so fun to use for your customers purchases. &lt;br&gt;Order boxes by the package.&lt;br&gt;Each package has 50 boxes, unless otherwise listed.&lt;br&gt;&lt;br&gt;</t>
  </si>
  <si>
    <t>This pattern is amazing and called Rainforest, Cranberry.&lt;br&gt;Two bottle divider is item # &lt;a&gt;54P4088 used &lt;/a&gt;in 54P3806 (13 1/8" x 7 1/8" x 3 1/2", 50 per pack) available for purchase &lt;a href="http://arsv2.eporiaservices.com/64709/732233/Decorative-Corrugated-Boxes-V2/Inserts-and-Dividers.html"&gt;here&lt;/a&gt;.  Three bottle divider is item # &lt;a&gt;54P4067 &lt;/a&gt;used in 54P3805 (11 3/4" x 14" x 4 1/4", 25 per pack), please click &lt;a href="http://arsv2.eporiaservices.com/64709/732233/Decorative-Corrugated-Boxes-V2/Inserts-and-Dividers.html"&gt;here&lt;/a&gt;.&lt;br&gt;Order boxes by the package.&lt;br&gt;Each package has 50 boxes, unless otherwise listed.</t>
  </si>
  <si>
    <t>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t>
  </si>
  <si>
    <t>This line of Evergreen corrugated boxes are great.&lt;br&gt;Order boxes by the package.&lt;br&gt;Each package has 50 boxes, unless otherwise listed.&lt;br&gt;&lt;br&gt;</t>
  </si>
  <si>
    <t>So cute are these Festive Holiday corrugated boxes.&lt;br&gt;Order boxes by the package.&lt;br&gt;Each package has 50 boxes, unless otherwise listed.&lt;br&gt;&lt;br&gt;</t>
  </si>
  <si>
    <t>The trend today is Chevron pattern. You will find it right here.&lt;br&gt;Each package has 50 boxes, unless otherwise listed.</t>
  </si>
  <si>
    <t>Literature Racks for countertop use are available in black only. &lt;br&gt;Dimensions: 25 1/2" w x 19" D x 21" H</t>
  </si>
  <si>
    <t>Cash Register Paper with a low lint quality paper helps prevent maintenance problems with your retail store's register. Many sizes in stock. One and two ply. Adding machine paper also!</t>
  </si>
  <si>
    <t>Old Image Link</t>
  </si>
  <si>
    <t>URLs</t>
  </si>
  <si>
    <t>request_path</t>
  </si>
  <si>
    <t>url</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</si>
</sst>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3">
    <xf numFmtId="0" fontId="0" fillId="0" borderId="0" xfId="0"/>
    <xf numFmtId="16" fontId="0" fillId="0" borderId="0" xfId="0" applyNumberFormat="1"/>
    <xf numFmtId="0" fontId="18" fillId="0" borderId="0" xfId="42"/>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www.americanretailsupply.com/64692/Fluorescent-Labels.html" TargetMode="External"/><Relationship Id="rId1" Type="http://schemas.openxmlformats.org/officeDocument/2006/relationships/hyperlink" Target="http://www.americanretailsupply.com/64690/Banners--Posters.html"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www.americanretailsupply.com/64905/Miscellaneous-Closeout.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450"/>
  <sheetViews>
    <sheetView workbookViewId="0">
      <selection activeCell="H2" sqref="H2"/>
    </sheetView>
  </sheetViews>
  <sheetFormatPr defaultRowHeight="15" x14ac:dyDescent="0.25"/>
  <cols>
    <col min="1" max="1" width="10" customWidth="1"/>
  </cols>
  <sheetData>
    <row r="1" spans="1:8" x14ac:dyDescent="0.25">
      <c r="A1" t="s">
        <v>1458</v>
      </c>
      <c r="B1" t="s">
        <v>8623</v>
      </c>
      <c r="C1" t="s">
        <v>1459</v>
      </c>
      <c r="D1" t="s">
        <v>1460</v>
      </c>
      <c r="E1" t="s">
        <v>1461</v>
      </c>
      <c r="F1" t="s">
        <v>1462</v>
      </c>
      <c r="G1" t="s">
        <v>1463</v>
      </c>
      <c r="H1" t="s">
        <v>1464</v>
      </c>
    </row>
    <row r="2" spans="1:8" x14ac:dyDescent="0.25">
      <c r="A2" t="s">
        <v>69</v>
      </c>
      <c r="B2">
        <f>VLOOKUP(A2,art_category_path_name!A:B,2,FALSE)</f>
        <v>257</v>
      </c>
      <c r="C2" t="s">
        <v>1465</v>
      </c>
      <c r="D2" t="s">
        <v>1466</v>
      </c>
      <c r="E2" t="s">
        <v>1467</v>
      </c>
      <c r="F2" t="s">
        <v>1468</v>
      </c>
      <c r="H2" s="2" t="s">
        <v>1469</v>
      </c>
    </row>
    <row r="3" spans="1:8" x14ac:dyDescent="0.25">
      <c r="A3" t="s">
        <v>74</v>
      </c>
      <c r="B3">
        <f>VLOOKUP(A3,art_category_path_name!A:B,2,FALSE)</f>
        <v>428</v>
      </c>
      <c r="C3" t="s">
        <v>1470</v>
      </c>
      <c r="D3" t="s">
        <v>1471</v>
      </c>
      <c r="E3" t="s">
        <v>1472</v>
      </c>
      <c r="F3" t="s">
        <v>1473</v>
      </c>
      <c r="H3" t="s">
        <v>1474</v>
      </c>
    </row>
    <row r="4" spans="1:8" x14ac:dyDescent="0.25">
      <c r="A4" t="s">
        <v>77</v>
      </c>
      <c r="B4">
        <f>VLOOKUP(A4,art_category_path_name!A:B,2,FALSE)</f>
        <v>528</v>
      </c>
      <c r="C4" t="s">
        <v>1475</v>
      </c>
      <c r="D4" t="s">
        <v>1476</v>
      </c>
      <c r="E4" t="s">
        <v>1477</v>
      </c>
      <c r="F4" t="s">
        <v>1478</v>
      </c>
      <c r="H4" s="2" t="s">
        <v>1479</v>
      </c>
    </row>
    <row r="5" spans="1:8" x14ac:dyDescent="0.25">
      <c r="A5" t="s">
        <v>83</v>
      </c>
      <c r="B5">
        <f>VLOOKUP(A5,art_category_path_name!A:B,2,FALSE)</f>
        <v>603</v>
      </c>
      <c r="C5" t="s">
        <v>1480</v>
      </c>
      <c r="D5" t="s">
        <v>1481</v>
      </c>
      <c r="E5" t="s">
        <v>1482</v>
      </c>
      <c r="F5" t="s">
        <v>1483</v>
      </c>
      <c r="G5" t="s">
        <v>8467</v>
      </c>
      <c r="H5" t="s">
        <v>1484</v>
      </c>
    </row>
    <row r="6" spans="1:8" x14ac:dyDescent="0.25">
      <c r="A6" t="s">
        <v>26</v>
      </c>
      <c r="B6">
        <f>VLOOKUP(A6,art_category_path_name!A:B,2,FALSE)</f>
        <v>1031</v>
      </c>
      <c r="C6" t="s">
        <v>1485</v>
      </c>
      <c r="D6" t="s">
        <v>1486</v>
      </c>
      <c r="E6" t="s">
        <v>1487</v>
      </c>
      <c r="F6" t="s">
        <v>1488</v>
      </c>
      <c r="G6" t="s">
        <v>8468</v>
      </c>
      <c r="H6" t="s">
        <v>1489</v>
      </c>
    </row>
    <row r="7" spans="1:8" x14ac:dyDescent="0.25">
      <c r="A7" t="s">
        <v>31</v>
      </c>
      <c r="B7">
        <f>VLOOKUP(A7,art_category_path_name!A:B,2,FALSE)</f>
        <v>1097</v>
      </c>
      <c r="C7" t="s">
        <v>1490</v>
      </c>
      <c r="D7" t="s">
        <v>1491</v>
      </c>
      <c r="E7" t="s">
        <v>1492</v>
      </c>
      <c r="F7" t="s">
        <v>1493</v>
      </c>
      <c r="G7" t="s">
        <v>8469</v>
      </c>
      <c r="H7" t="s">
        <v>1494</v>
      </c>
    </row>
    <row r="8" spans="1:8" x14ac:dyDescent="0.25">
      <c r="A8" t="s">
        <v>36</v>
      </c>
      <c r="B8">
        <f>VLOOKUP(A8,art_category_path_name!A:B,2,FALSE)</f>
        <v>1180</v>
      </c>
      <c r="C8" t="s">
        <v>1495</v>
      </c>
      <c r="D8" t="s">
        <v>1496</v>
      </c>
      <c r="E8" t="s">
        <v>1497</v>
      </c>
      <c r="F8" t="s">
        <v>1498</v>
      </c>
      <c r="G8" t="s">
        <v>8470</v>
      </c>
      <c r="H8" t="s">
        <v>1499</v>
      </c>
    </row>
    <row r="9" spans="1:8" x14ac:dyDescent="0.25">
      <c r="A9" t="s">
        <v>51</v>
      </c>
      <c r="B9">
        <f>VLOOKUP(A9,art_category_path_name!A:B,2,FALSE)</f>
        <v>183</v>
      </c>
      <c r="C9" t="s">
        <v>1500</v>
      </c>
      <c r="D9" t="s">
        <v>1501</v>
      </c>
      <c r="E9" t="s">
        <v>1502</v>
      </c>
      <c r="F9" t="s">
        <v>1503</v>
      </c>
      <c r="G9" t="s">
        <v>8471</v>
      </c>
      <c r="H9" t="s">
        <v>1504</v>
      </c>
    </row>
    <row r="10" spans="1:8" x14ac:dyDescent="0.25">
      <c r="A10" t="s">
        <v>62</v>
      </c>
      <c r="B10">
        <f>VLOOKUP(A10,art_category_path_name!A:B,2,FALSE)</f>
        <v>320</v>
      </c>
      <c r="C10" t="s">
        <v>1505</v>
      </c>
      <c r="D10" t="s">
        <v>1506</v>
      </c>
      <c r="E10" t="s">
        <v>1507</v>
      </c>
      <c r="F10" t="s">
        <v>1508</v>
      </c>
      <c r="G10" t="s">
        <v>8472</v>
      </c>
      <c r="H10" t="s">
        <v>1509</v>
      </c>
    </row>
    <row r="11" spans="1:8" x14ac:dyDescent="0.25">
      <c r="A11" t="s">
        <v>66</v>
      </c>
      <c r="B11">
        <f>VLOOKUP(A11,art_category_path_name!A:B,2,FALSE)</f>
        <v>946</v>
      </c>
      <c r="C11" t="s">
        <v>1510</v>
      </c>
      <c r="D11" t="s">
        <v>1511</v>
      </c>
      <c r="E11" t="s">
        <v>1512</v>
      </c>
      <c r="F11" t="s">
        <v>1513</v>
      </c>
      <c r="G11" t="s">
        <v>8473</v>
      </c>
      <c r="H11" t="s">
        <v>1514</v>
      </c>
    </row>
    <row r="12" spans="1:8" x14ac:dyDescent="0.25">
      <c r="A12" t="s">
        <v>49</v>
      </c>
      <c r="B12">
        <f>VLOOKUP(A12,art_category_path_name!A:B,2,FALSE)</f>
        <v>1356</v>
      </c>
      <c r="C12" t="s">
        <v>1515</v>
      </c>
      <c r="D12" t="s">
        <v>1516</v>
      </c>
      <c r="E12" t="s">
        <v>1517</v>
      </c>
      <c r="F12" t="s">
        <v>1518</v>
      </c>
      <c r="G12" t="s">
        <v>8474</v>
      </c>
      <c r="H12" t="s">
        <v>1519</v>
      </c>
    </row>
    <row r="13" spans="1:8" x14ac:dyDescent="0.25">
      <c r="A13" t="s">
        <v>41</v>
      </c>
      <c r="B13">
        <f>VLOOKUP(A13,art_category_path_name!A:B,2,FALSE)</f>
        <v>1185</v>
      </c>
      <c r="C13" t="s">
        <v>1520</v>
      </c>
      <c r="D13" t="s">
        <v>1521</v>
      </c>
      <c r="E13" t="s">
        <v>1522</v>
      </c>
      <c r="F13" t="s">
        <v>1523</v>
      </c>
      <c r="H13" t="s">
        <v>1524</v>
      </c>
    </row>
    <row r="14" spans="1:8" x14ac:dyDescent="0.25">
      <c r="A14" t="s">
        <v>25</v>
      </c>
      <c r="B14">
        <f>VLOOKUP(A14,art_category_path_name!A:B,2,FALSE)</f>
        <v>181</v>
      </c>
      <c r="C14" t="s">
        <v>1525</v>
      </c>
      <c r="D14" t="s">
        <v>1526</v>
      </c>
      <c r="E14" t="s">
        <v>1527</v>
      </c>
      <c r="F14" t="s">
        <v>1528</v>
      </c>
      <c r="G14" t="s">
        <v>8475</v>
      </c>
      <c r="H14" t="s">
        <v>1529</v>
      </c>
    </row>
    <row r="15" spans="1:8" x14ac:dyDescent="0.25">
      <c r="A15" t="s">
        <v>532</v>
      </c>
      <c r="B15">
        <f>VLOOKUP(A15,art_category_path_name!A:B,2,FALSE)</f>
        <v>333</v>
      </c>
      <c r="C15" t="s">
        <v>1530</v>
      </c>
      <c r="D15" t="s">
        <v>1531</v>
      </c>
      <c r="E15" t="s">
        <v>1532</v>
      </c>
      <c r="F15" t="s">
        <v>1533</v>
      </c>
      <c r="H15" t="s">
        <v>1534</v>
      </c>
    </row>
    <row r="16" spans="1:8" x14ac:dyDescent="0.25">
      <c r="A16" t="s">
        <v>541</v>
      </c>
      <c r="B16">
        <f>VLOOKUP(A16,art_category_path_name!A:B,2,FALSE)</f>
        <v>342</v>
      </c>
      <c r="C16" t="s">
        <v>1535</v>
      </c>
      <c r="D16" t="s">
        <v>1536</v>
      </c>
      <c r="E16" t="s">
        <v>1537</v>
      </c>
      <c r="F16" t="s">
        <v>1538</v>
      </c>
      <c r="H16" t="s">
        <v>1539</v>
      </c>
    </row>
    <row r="17" spans="1:8" x14ac:dyDescent="0.25">
      <c r="A17" t="s">
        <v>545</v>
      </c>
      <c r="B17">
        <f>VLOOKUP(A17,art_category_path_name!A:B,2,FALSE)</f>
        <v>346</v>
      </c>
      <c r="C17" t="s">
        <v>1540</v>
      </c>
      <c r="D17" t="s">
        <v>1541</v>
      </c>
      <c r="E17" t="s">
        <v>1542</v>
      </c>
      <c r="F17" t="s">
        <v>1543</v>
      </c>
      <c r="H17" t="s">
        <v>1544</v>
      </c>
    </row>
    <row r="18" spans="1:8" x14ac:dyDescent="0.25">
      <c r="A18" t="s">
        <v>566</v>
      </c>
      <c r="B18">
        <f>VLOOKUP(A18,art_category_path_name!A:B,2,FALSE)</f>
        <v>365</v>
      </c>
      <c r="C18" t="s">
        <v>1545</v>
      </c>
      <c r="D18" t="s">
        <v>1546</v>
      </c>
      <c r="E18" t="s">
        <v>1547</v>
      </c>
      <c r="F18" t="s">
        <v>1548</v>
      </c>
      <c r="H18" t="s">
        <v>1549</v>
      </c>
    </row>
    <row r="19" spans="1:8" x14ac:dyDescent="0.25">
      <c r="A19" t="s">
        <v>586</v>
      </c>
      <c r="B19">
        <f>VLOOKUP(A19,art_category_path_name!A:B,2,FALSE)</f>
        <v>383</v>
      </c>
      <c r="C19" t="s">
        <v>1550</v>
      </c>
      <c r="D19" t="s">
        <v>1551</v>
      </c>
      <c r="E19" t="s">
        <v>1552</v>
      </c>
      <c r="F19" t="s">
        <v>1553</v>
      </c>
      <c r="H19" t="s">
        <v>1554</v>
      </c>
    </row>
    <row r="20" spans="1:8" x14ac:dyDescent="0.25">
      <c r="A20" t="s">
        <v>598</v>
      </c>
      <c r="B20">
        <f>VLOOKUP(A20,art_category_path_name!A:B,2,FALSE)</f>
        <v>392</v>
      </c>
      <c r="C20" t="s">
        <v>1555</v>
      </c>
      <c r="D20" t="s">
        <v>1556</v>
      </c>
      <c r="E20" t="s">
        <v>1557</v>
      </c>
      <c r="F20" t="s">
        <v>1558</v>
      </c>
      <c r="H20" t="s">
        <v>1559</v>
      </c>
    </row>
    <row r="21" spans="1:8" x14ac:dyDescent="0.25">
      <c r="A21" t="s">
        <v>615</v>
      </c>
      <c r="B21">
        <f>VLOOKUP(A21,art_category_path_name!A:B,2,FALSE)</f>
        <v>927</v>
      </c>
      <c r="C21" t="s">
        <v>1560</v>
      </c>
      <c r="D21" t="s">
        <v>1561</v>
      </c>
      <c r="E21" t="s">
        <v>1562</v>
      </c>
      <c r="F21" t="s">
        <v>1563</v>
      </c>
      <c r="H21" t="s">
        <v>1564</v>
      </c>
    </row>
    <row r="22" spans="1:8" x14ac:dyDescent="0.25">
      <c r="A22" t="s">
        <v>531</v>
      </c>
      <c r="B22">
        <f>VLOOKUP(A22,art_category_path_name!A:B,2,FALSE)</f>
        <v>332</v>
      </c>
      <c r="C22" t="s">
        <v>1565</v>
      </c>
      <c r="D22" t="s">
        <v>1566</v>
      </c>
      <c r="E22" t="s">
        <v>1567</v>
      </c>
      <c r="F22" t="s">
        <v>1568</v>
      </c>
      <c r="G22" t="s">
        <v>8476</v>
      </c>
      <c r="H22" t="s">
        <v>1569</v>
      </c>
    </row>
    <row r="23" spans="1:8" x14ac:dyDescent="0.25">
      <c r="A23" t="s">
        <v>48</v>
      </c>
      <c r="B23">
        <f>VLOOKUP(A23,art_category_path_name!A:B,2,FALSE)</f>
        <v>182</v>
      </c>
      <c r="C23" t="s">
        <v>1570</v>
      </c>
      <c r="D23" t="s">
        <v>1571</v>
      </c>
      <c r="E23" t="s">
        <v>1572</v>
      </c>
      <c r="F23" t="s">
        <v>1573</v>
      </c>
      <c r="H23" t="s">
        <v>1574</v>
      </c>
    </row>
    <row r="24" spans="1:8" x14ac:dyDescent="0.25">
      <c r="A24" t="s">
        <v>155</v>
      </c>
      <c r="B24">
        <f>VLOOKUP(A24,art_category_path_name!A:B,2,FALSE)</f>
        <v>206</v>
      </c>
      <c r="C24" t="s">
        <v>1575</v>
      </c>
      <c r="D24" t="s">
        <v>1576</v>
      </c>
      <c r="E24" t="s">
        <v>1577</v>
      </c>
      <c r="F24" t="s">
        <v>1578</v>
      </c>
      <c r="H24" t="s">
        <v>1579</v>
      </c>
    </row>
    <row r="25" spans="1:8" x14ac:dyDescent="0.25">
      <c r="A25" t="s">
        <v>167</v>
      </c>
      <c r="B25">
        <f>VLOOKUP(A25,art_category_path_name!A:B,2,FALSE)</f>
        <v>284</v>
      </c>
      <c r="C25" t="s">
        <v>1580</v>
      </c>
      <c r="D25" t="s">
        <v>1581</v>
      </c>
      <c r="E25" t="s">
        <v>1582</v>
      </c>
      <c r="F25" t="s">
        <v>1583</v>
      </c>
      <c r="G25" t="s">
        <v>8477</v>
      </c>
      <c r="H25" t="s">
        <v>1584</v>
      </c>
    </row>
    <row r="26" spans="1:8" x14ac:dyDescent="0.25">
      <c r="A26" t="s">
        <v>170</v>
      </c>
      <c r="B26">
        <f>VLOOKUP(A26,art_category_path_name!A:B,2,FALSE)</f>
        <v>298</v>
      </c>
      <c r="C26" t="s">
        <v>1585</v>
      </c>
      <c r="D26" t="s">
        <v>1586</v>
      </c>
      <c r="E26" t="s">
        <v>1587</v>
      </c>
      <c r="F26" t="s">
        <v>1588</v>
      </c>
      <c r="G26" t="s">
        <v>8478</v>
      </c>
      <c r="H26" t="s">
        <v>1589</v>
      </c>
    </row>
    <row r="27" spans="1:8" x14ac:dyDescent="0.25">
      <c r="A27" t="s">
        <v>178</v>
      </c>
      <c r="B27">
        <f>VLOOKUP(A27,art_category_path_name!A:B,2,FALSE)</f>
        <v>306</v>
      </c>
      <c r="C27" t="s">
        <v>1590</v>
      </c>
      <c r="D27" t="s">
        <v>1591</v>
      </c>
      <c r="E27" t="s">
        <v>1592</v>
      </c>
      <c r="F27" t="s">
        <v>1593</v>
      </c>
      <c r="H27" t="s">
        <v>1594</v>
      </c>
    </row>
    <row r="28" spans="1:8" x14ac:dyDescent="0.25">
      <c r="A28" t="s">
        <v>181</v>
      </c>
      <c r="B28">
        <f>VLOOKUP(A28,art_category_path_name!A:B,2,FALSE)</f>
        <v>613</v>
      </c>
      <c r="C28" t="s">
        <v>1595</v>
      </c>
      <c r="D28" t="s">
        <v>1596</v>
      </c>
      <c r="E28" t="s">
        <v>1597</v>
      </c>
      <c r="F28" t="s">
        <v>1598</v>
      </c>
      <c r="G28" t="s">
        <v>8479</v>
      </c>
      <c r="H28" t="s">
        <v>1599</v>
      </c>
    </row>
    <row r="29" spans="1:8" x14ac:dyDescent="0.25">
      <c r="A29" t="s">
        <v>188</v>
      </c>
      <c r="B29">
        <f>VLOOKUP(A29,art_category_path_name!A:B,2,FALSE)</f>
        <v>751</v>
      </c>
      <c r="C29" t="s">
        <v>1600</v>
      </c>
      <c r="D29" t="s">
        <v>1601</v>
      </c>
      <c r="E29" t="s">
        <v>1602</v>
      </c>
      <c r="F29" t="s">
        <v>1603</v>
      </c>
      <c r="G29" t="s">
        <v>8480</v>
      </c>
      <c r="H29" t="s">
        <v>1604</v>
      </c>
    </row>
    <row r="30" spans="1:8" x14ac:dyDescent="0.25">
      <c r="A30" t="s">
        <v>195</v>
      </c>
      <c r="B30">
        <f>VLOOKUP(A30,art_category_path_name!A:B,2,FALSE)</f>
        <v>857</v>
      </c>
      <c r="C30" t="s">
        <v>1605</v>
      </c>
      <c r="D30" t="s">
        <v>1606</v>
      </c>
      <c r="E30" t="s">
        <v>1607</v>
      </c>
      <c r="F30" t="s">
        <v>1608</v>
      </c>
      <c r="H30" t="s">
        <v>1609</v>
      </c>
    </row>
    <row r="31" spans="1:8" x14ac:dyDescent="0.25">
      <c r="A31" t="s">
        <v>198</v>
      </c>
      <c r="B31">
        <f>VLOOKUP(A31,art_category_path_name!A:B,2,FALSE)</f>
        <v>884</v>
      </c>
      <c r="C31" t="s">
        <v>1610</v>
      </c>
      <c r="D31" t="s">
        <v>1611</v>
      </c>
      <c r="E31" t="s">
        <v>1612</v>
      </c>
      <c r="F31" t="s">
        <v>1613</v>
      </c>
      <c r="H31" t="s">
        <v>1614</v>
      </c>
    </row>
    <row r="32" spans="1:8" x14ac:dyDescent="0.25">
      <c r="A32" t="s">
        <v>103</v>
      </c>
      <c r="B32">
        <f>VLOOKUP(A32,art_category_path_name!A:B,2,FALSE)</f>
        <v>1058</v>
      </c>
      <c r="C32" t="s">
        <v>1615</v>
      </c>
      <c r="D32" t="s">
        <v>1616</v>
      </c>
      <c r="E32" t="s">
        <v>1617</v>
      </c>
      <c r="F32" t="s">
        <v>1618</v>
      </c>
      <c r="H32" t="s">
        <v>1619</v>
      </c>
    </row>
    <row r="33" spans="1:8" x14ac:dyDescent="0.25">
      <c r="A33" t="s">
        <v>107</v>
      </c>
      <c r="B33">
        <f>VLOOKUP(A33,art_category_path_name!A:B,2,FALSE)</f>
        <v>1157</v>
      </c>
      <c r="C33" t="s">
        <v>1620</v>
      </c>
      <c r="D33" t="s">
        <v>1621</v>
      </c>
      <c r="E33" t="s">
        <v>1622</v>
      </c>
      <c r="F33" t="s">
        <v>1623</v>
      </c>
      <c r="G33" t="s">
        <v>8481</v>
      </c>
      <c r="H33" t="s">
        <v>1624</v>
      </c>
    </row>
    <row r="34" spans="1:8" x14ac:dyDescent="0.25">
      <c r="A34" t="s">
        <v>111</v>
      </c>
      <c r="B34">
        <f>VLOOKUP(A34,art_category_path_name!A:B,2,FALSE)</f>
        <v>1161</v>
      </c>
      <c r="C34" t="s">
        <v>1625</v>
      </c>
      <c r="D34" t="s">
        <v>1626</v>
      </c>
      <c r="E34" t="s">
        <v>1627</v>
      </c>
      <c r="F34" t="s">
        <v>1628</v>
      </c>
      <c r="G34" t="s">
        <v>8482</v>
      </c>
      <c r="H34" t="s">
        <v>1629</v>
      </c>
    </row>
    <row r="35" spans="1:8" x14ac:dyDescent="0.25">
      <c r="A35" t="s">
        <v>123</v>
      </c>
      <c r="B35">
        <f>VLOOKUP(A35,art_category_path_name!A:B,2,FALSE)</f>
        <v>1173</v>
      </c>
      <c r="C35" t="s">
        <v>1630</v>
      </c>
      <c r="D35" t="s">
        <v>1631</v>
      </c>
      <c r="E35" t="s">
        <v>1632</v>
      </c>
      <c r="F35" t="s">
        <v>1633</v>
      </c>
      <c r="G35" t="s">
        <v>8483</v>
      </c>
      <c r="H35" t="s">
        <v>1634</v>
      </c>
    </row>
    <row r="36" spans="1:8" x14ac:dyDescent="0.25">
      <c r="A36" t="s">
        <v>126</v>
      </c>
      <c r="B36">
        <f>VLOOKUP(A36,art_category_path_name!A:B,2,FALSE)</f>
        <v>1192</v>
      </c>
      <c r="C36" t="s">
        <v>1635</v>
      </c>
      <c r="D36" t="s">
        <v>1636</v>
      </c>
      <c r="E36" t="s">
        <v>1637</v>
      </c>
      <c r="F36" t="s">
        <v>1638</v>
      </c>
      <c r="H36" t="s">
        <v>1639</v>
      </c>
    </row>
    <row r="37" spans="1:8" x14ac:dyDescent="0.25">
      <c r="A37" t="s">
        <v>135</v>
      </c>
      <c r="B37">
        <f>VLOOKUP(A37,art_category_path_name!A:B,2,FALSE)</f>
        <v>1227</v>
      </c>
      <c r="C37" t="s">
        <v>1640</v>
      </c>
      <c r="D37" t="s">
        <v>1641</v>
      </c>
      <c r="E37" t="s">
        <v>1642</v>
      </c>
      <c r="F37" t="s">
        <v>1643</v>
      </c>
      <c r="H37" t="s">
        <v>1644</v>
      </c>
    </row>
    <row r="38" spans="1:8" x14ac:dyDescent="0.25">
      <c r="A38" t="s">
        <v>143</v>
      </c>
      <c r="B38">
        <f>VLOOKUP(A38,art_category_path_name!A:B,2,FALSE)</f>
        <v>1239</v>
      </c>
      <c r="C38" t="s">
        <v>1585</v>
      </c>
      <c r="D38" t="s">
        <v>1645</v>
      </c>
      <c r="E38" t="s">
        <v>1646</v>
      </c>
      <c r="F38" t="s">
        <v>1647</v>
      </c>
      <c r="G38" t="s">
        <v>8484</v>
      </c>
      <c r="H38" t="s">
        <v>1648</v>
      </c>
    </row>
    <row r="39" spans="1:8" x14ac:dyDescent="0.25">
      <c r="A39" t="s">
        <v>146</v>
      </c>
      <c r="B39">
        <f>VLOOKUP(A39,art_category_path_name!A:B,2,FALSE)</f>
        <v>1272</v>
      </c>
      <c r="C39" t="s">
        <v>1649</v>
      </c>
      <c r="D39" t="s">
        <v>1650</v>
      </c>
      <c r="E39" t="s">
        <v>1651</v>
      </c>
      <c r="F39" t="s">
        <v>1652</v>
      </c>
      <c r="G39" t="s">
        <v>8485</v>
      </c>
      <c r="H39" t="s">
        <v>1653</v>
      </c>
    </row>
    <row r="40" spans="1:8" x14ac:dyDescent="0.25">
      <c r="A40" t="s">
        <v>152</v>
      </c>
      <c r="B40">
        <f>VLOOKUP(A40,art_category_path_name!A:B,2,FALSE)</f>
        <v>1316</v>
      </c>
      <c r="C40" t="s">
        <v>1654</v>
      </c>
      <c r="D40" t="s">
        <v>1655</v>
      </c>
      <c r="E40" t="s">
        <v>1656</v>
      </c>
      <c r="F40" t="s">
        <v>1657</v>
      </c>
      <c r="G40" t="s">
        <v>8486</v>
      </c>
      <c r="H40" t="s">
        <v>1658</v>
      </c>
    </row>
    <row r="41" spans="1:8" x14ac:dyDescent="0.25">
      <c r="A41" t="s">
        <v>102</v>
      </c>
      <c r="B41">
        <f>VLOOKUP(A41,art_category_path_name!A:B,2,FALSE)</f>
        <v>205</v>
      </c>
      <c r="C41" t="s">
        <v>1659</v>
      </c>
      <c r="D41" t="s">
        <v>1660</v>
      </c>
      <c r="E41" t="s">
        <v>1661</v>
      </c>
      <c r="F41" t="s">
        <v>1662</v>
      </c>
      <c r="G41" t="s">
        <v>8487</v>
      </c>
      <c r="H41" t="s">
        <v>1663</v>
      </c>
    </row>
    <row r="42" spans="1:8" x14ac:dyDescent="0.25">
      <c r="A42" t="s">
        <v>918</v>
      </c>
      <c r="B42">
        <f>VLOOKUP(A42,art_category_path_name!A:B,2,FALSE)</f>
        <v>453</v>
      </c>
      <c r="C42" t="s">
        <v>1664</v>
      </c>
      <c r="D42" t="s">
        <v>1665</v>
      </c>
      <c r="E42" t="s">
        <v>1666</v>
      </c>
      <c r="F42" t="s">
        <v>1667</v>
      </c>
      <c r="G42" t="s">
        <v>8488</v>
      </c>
      <c r="H42" t="s">
        <v>1668</v>
      </c>
    </row>
    <row r="43" spans="1:8" x14ac:dyDescent="0.25">
      <c r="A43" t="s">
        <v>922</v>
      </c>
      <c r="B43">
        <f>VLOOKUP(A43,art_category_path_name!A:B,2,FALSE)</f>
        <v>520</v>
      </c>
      <c r="C43" t="s">
        <v>1669</v>
      </c>
      <c r="D43" t="s">
        <v>1670</v>
      </c>
      <c r="E43" t="s">
        <v>1671</v>
      </c>
      <c r="F43" t="s">
        <v>1672</v>
      </c>
      <c r="G43" t="s">
        <v>8489</v>
      </c>
      <c r="H43" t="s">
        <v>1673</v>
      </c>
    </row>
    <row r="44" spans="1:8" x14ac:dyDescent="0.25">
      <c r="A44" t="s">
        <v>930</v>
      </c>
      <c r="B44">
        <f>VLOOKUP(A44,art_category_path_name!A:B,2,FALSE)</f>
        <v>900</v>
      </c>
      <c r="C44" t="s">
        <v>1674</v>
      </c>
      <c r="D44" t="s">
        <v>1675</v>
      </c>
      <c r="E44" t="s">
        <v>1676</v>
      </c>
      <c r="F44" t="s">
        <v>1677</v>
      </c>
      <c r="H44" t="s">
        <v>1678</v>
      </c>
    </row>
    <row r="45" spans="1:8" x14ac:dyDescent="0.25">
      <c r="A45" t="s">
        <v>935</v>
      </c>
      <c r="B45">
        <f>VLOOKUP(A45,art_category_path_name!A:B,2,FALSE)</f>
        <v>973</v>
      </c>
      <c r="C45" t="s">
        <v>1679</v>
      </c>
      <c r="D45" t="s">
        <v>1680</v>
      </c>
      <c r="E45" t="s">
        <v>1681</v>
      </c>
      <c r="F45" t="s">
        <v>1682</v>
      </c>
      <c r="G45" t="s">
        <v>8490</v>
      </c>
      <c r="H45" t="s">
        <v>1683</v>
      </c>
    </row>
    <row r="46" spans="1:8" x14ac:dyDescent="0.25">
      <c r="A46" t="s">
        <v>901</v>
      </c>
      <c r="B46">
        <f>VLOOKUP(A46,art_category_path_name!A:B,2,FALSE)</f>
        <v>1036</v>
      </c>
      <c r="C46" t="s">
        <v>1684</v>
      </c>
      <c r="D46" t="s">
        <v>1685</v>
      </c>
      <c r="E46" t="s">
        <v>1686</v>
      </c>
      <c r="F46" t="s">
        <v>1687</v>
      </c>
      <c r="G46" t="s">
        <v>8491</v>
      </c>
      <c r="H46" t="s">
        <v>1688</v>
      </c>
    </row>
    <row r="47" spans="1:8" x14ac:dyDescent="0.25">
      <c r="A47" t="s">
        <v>904</v>
      </c>
      <c r="B47">
        <f>VLOOKUP(A47,art_category_path_name!A:B,2,FALSE)</f>
        <v>1223</v>
      </c>
      <c r="C47" t="s">
        <v>1689</v>
      </c>
      <c r="D47" t="s">
        <v>1690</v>
      </c>
      <c r="E47" t="s">
        <v>1691</v>
      </c>
      <c r="F47" t="s">
        <v>1692</v>
      </c>
      <c r="G47" t="s">
        <v>8492</v>
      </c>
      <c r="H47" t="s">
        <v>1693</v>
      </c>
    </row>
    <row r="48" spans="1:8" x14ac:dyDescent="0.25">
      <c r="A48" t="s">
        <v>908</v>
      </c>
      <c r="B48">
        <f>VLOOKUP(A48,art_category_path_name!A:B,2,FALSE)</f>
        <v>1235</v>
      </c>
      <c r="C48" t="s">
        <v>1694</v>
      </c>
      <c r="D48" t="s">
        <v>1695</v>
      </c>
      <c r="E48" t="s">
        <v>1696</v>
      </c>
      <c r="F48" t="s">
        <v>1697</v>
      </c>
      <c r="G48" t="s">
        <v>8493</v>
      </c>
      <c r="H48" t="s">
        <v>1698</v>
      </c>
    </row>
    <row r="49" spans="1:8" x14ac:dyDescent="0.25">
      <c r="A49" t="s">
        <v>912</v>
      </c>
      <c r="B49">
        <f>VLOOKUP(A49,art_category_path_name!A:B,2,FALSE)</f>
        <v>1314</v>
      </c>
      <c r="C49" t="s">
        <v>1699</v>
      </c>
      <c r="D49" t="s">
        <v>1700</v>
      </c>
      <c r="E49" t="s">
        <v>1701</v>
      </c>
      <c r="F49" t="s">
        <v>1702</v>
      </c>
      <c r="G49" t="s">
        <v>8494</v>
      </c>
      <c r="H49" t="s">
        <v>1703</v>
      </c>
    </row>
    <row r="50" spans="1:8" x14ac:dyDescent="0.25">
      <c r="A50" t="s">
        <v>914</v>
      </c>
      <c r="B50">
        <f>VLOOKUP(A50,art_category_path_name!A:B,2,FALSE)</f>
        <v>1386</v>
      </c>
      <c r="C50" t="s">
        <v>1704</v>
      </c>
      <c r="D50" t="s">
        <v>1705</v>
      </c>
      <c r="E50" t="s">
        <v>1706</v>
      </c>
      <c r="F50" t="s">
        <v>1707</v>
      </c>
      <c r="G50" t="s">
        <v>8495</v>
      </c>
      <c r="H50" t="s">
        <v>1708</v>
      </c>
    </row>
    <row r="51" spans="1:8" x14ac:dyDescent="0.25">
      <c r="A51" t="s">
        <v>900</v>
      </c>
      <c r="B51">
        <f>VLOOKUP(A51,art_category_path_name!A:B,2,FALSE)</f>
        <v>452</v>
      </c>
      <c r="C51" t="s">
        <v>1709</v>
      </c>
      <c r="D51" t="s">
        <v>1710</v>
      </c>
      <c r="E51" t="s">
        <v>1711</v>
      </c>
      <c r="F51" t="s">
        <v>1712</v>
      </c>
      <c r="G51" t="s">
        <v>8496</v>
      </c>
      <c r="H51" t="s">
        <v>1713</v>
      </c>
    </row>
    <row r="52" spans="1:8" x14ac:dyDescent="0.25">
      <c r="A52" t="s">
        <v>780</v>
      </c>
      <c r="B52">
        <f>VLOOKUP(A52,art_category_path_name!A:B,2,FALSE)</f>
        <v>219</v>
      </c>
      <c r="C52" t="s">
        <v>1714</v>
      </c>
      <c r="D52" t="s">
        <v>1715</v>
      </c>
      <c r="E52" t="s">
        <v>1716</v>
      </c>
      <c r="F52" t="s">
        <v>1717</v>
      </c>
      <c r="G52" t="s">
        <v>8497</v>
      </c>
      <c r="H52" t="s">
        <v>1718</v>
      </c>
    </row>
    <row r="53" spans="1:8" x14ac:dyDescent="0.25">
      <c r="A53" t="s">
        <v>783</v>
      </c>
      <c r="B53">
        <f>VLOOKUP(A53,art_category_path_name!A:B,2,FALSE)</f>
        <v>462</v>
      </c>
      <c r="C53" t="s">
        <v>1719</v>
      </c>
      <c r="D53" t="s">
        <v>1720</v>
      </c>
      <c r="E53" t="s">
        <v>1721</v>
      </c>
      <c r="F53" t="s">
        <v>1722</v>
      </c>
      <c r="H53" t="s">
        <v>1723</v>
      </c>
    </row>
    <row r="54" spans="1:8" x14ac:dyDescent="0.25">
      <c r="A54" t="s">
        <v>804</v>
      </c>
      <c r="B54">
        <f>VLOOKUP(A54,art_category_path_name!A:B,2,FALSE)</f>
        <v>491</v>
      </c>
      <c r="C54" t="s">
        <v>1724</v>
      </c>
      <c r="D54" t="s">
        <v>1725</v>
      </c>
      <c r="E54" t="s">
        <v>1726</v>
      </c>
      <c r="F54" t="s">
        <v>1727</v>
      </c>
      <c r="G54" t="s">
        <v>8498</v>
      </c>
      <c r="H54" t="s">
        <v>1728</v>
      </c>
    </row>
    <row r="55" spans="1:8" x14ac:dyDescent="0.25">
      <c r="A55" t="s">
        <v>812</v>
      </c>
      <c r="B55">
        <f>VLOOKUP(A55,art_category_path_name!A:B,2,FALSE)</f>
        <v>561</v>
      </c>
      <c r="C55" t="s">
        <v>1729</v>
      </c>
      <c r="D55" t="s">
        <v>1730</v>
      </c>
      <c r="E55" t="s">
        <v>1731</v>
      </c>
      <c r="F55" t="s">
        <v>1732</v>
      </c>
      <c r="G55" t="s">
        <v>8499</v>
      </c>
      <c r="H55" t="s">
        <v>1733</v>
      </c>
    </row>
    <row r="56" spans="1:8" x14ac:dyDescent="0.25">
      <c r="A56" t="s">
        <v>814</v>
      </c>
      <c r="B56">
        <f>VLOOKUP(A56,art_category_path_name!A:B,2,FALSE)</f>
        <v>593</v>
      </c>
      <c r="C56" t="s">
        <v>1734</v>
      </c>
      <c r="D56" t="s">
        <v>1735</v>
      </c>
      <c r="E56" t="s">
        <v>1736</v>
      </c>
      <c r="F56" t="s">
        <v>1737</v>
      </c>
      <c r="H56" t="s">
        <v>1738</v>
      </c>
    </row>
    <row r="57" spans="1:8" x14ac:dyDescent="0.25">
      <c r="A57" t="s">
        <v>822</v>
      </c>
      <c r="B57">
        <f>VLOOKUP(A57,art_category_path_name!A:B,2,FALSE)</f>
        <v>601</v>
      </c>
      <c r="C57" t="s">
        <v>1739</v>
      </c>
      <c r="D57" t="s">
        <v>1740</v>
      </c>
      <c r="E57" t="s">
        <v>1741</v>
      </c>
      <c r="F57" t="s">
        <v>1742</v>
      </c>
      <c r="G57" t="s">
        <v>8500</v>
      </c>
      <c r="H57" t="s">
        <v>1743</v>
      </c>
    </row>
    <row r="58" spans="1:8" x14ac:dyDescent="0.25">
      <c r="A58" t="s">
        <v>824</v>
      </c>
      <c r="B58">
        <f>VLOOKUP(A58,art_category_path_name!A:B,2,FALSE)</f>
        <v>705</v>
      </c>
      <c r="C58" t="s">
        <v>1744</v>
      </c>
      <c r="D58" t="s">
        <v>1745</v>
      </c>
      <c r="E58" t="s">
        <v>1746</v>
      </c>
      <c r="F58" t="s">
        <v>1747</v>
      </c>
      <c r="G58" t="s">
        <v>8501</v>
      </c>
      <c r="H58" t="s">
        <v>1748</v>
      </c>
    </row>
    <row r="59" spans="1:8" x14ac:dyDescent="0.25">
      <c r="A59" t="s">
        <v>829</v>
      </c>
      <c r="B59">
        <f>VLOOKUP(A59,art_category_path_name!A:B,2,FALSE)</f>
        <v>759</v>
      </c>
      <c r="C59" t="s">
        <v>1749</v>
      </c>
      <c r="D59" t="s">
        <v>1750</v>
      </c>
      <c r="E59" t="s">
        <v>1751</v>
      </c>
      <c r="F59" t="s">
        <v>1752</v>
      </c>
      <c r="G59" t="s">
        <v>8502</v>
      </c>
      <c r="H59" t="s">
        <v>1753</v>
      </c>
    </row>
    <row r="60" spans="1:8" x14ac:dyDescent="0.25">
      <c r="A60" t="s">
        <v>833</v>
      </c>
      <c r="B60">
        <f>VLOOKUP(A60,art_category_path_name!A:B,2,FALSE)</f>
        <v>781</v>
      </c>
      <c r="C60" t="s">
        <v>1754</v>
      </c>
      <c r="D60" t="s">
        <v>1755</v>
      </c>
      <c r="E60" t="s">
        <v>1756</v>
      </c>
      <c r="F60" t="s">
        <v>1757</v>
      </c>
      <c r="H60" t="s">
        <v>1758</v>
      </c>
    </row>
    <row r="61" spans="1:8" x14ac:dyDescent="0.25">
      <c r="A61" t="s">
        <v>845</v>
      </c>
      <c r="B61">
        <f>VLOOKUP(A61,art_category_path_name!A:B,2,FALSE)</f>
        <v>793</v>
      </c>
      <c r="C61" t="s">
        <v>1759</v>
      </c>
      <c r="D61" t="s">
        <v>1760</v>
      </c>
      <c r="E61" t="s">
        <v>1761</v>
      </c>
      <c r="F61" t="s">
        <v>1762</v>
      </c>
      <c r="G61" t="s">
        <v>8503</v>
      </c>
      <c r="H61" t="s">
        <v>1763</v>
      </c>
    </row>
    <row r="62" spans="1:8" x14ac:dyDescent="0.25">
      <c r="A62" t="s">
        <v>777</v>
      </c>
      <c r="B62">
        <f>VLOOKUP(A62,art_category_path_name!A:B,2,FALSE)</f>
        <v>1296</v>
      </c>
      <c r="C62" t="s">
        <v>1764</v>
      </c>
      <c r="D62" t="s">
        <v>1765</v>
      </c>
      <c r="E62" t="s">
        <v>1766</v>
      </c>
      <c r="F62" t="s">
        <v>1767</v>
      </c>
      <c r="G62" t="s">
        <v>8504</v>
      </c>
      <c r="H62" t="s">
        <v>1768</v>
      </c>
    </row>
    <row r="63" spans="1:8" x14ac:dyDescent="0.25">
      <c r="A63" t="s">
        <v>776</v>
      </c>
      <c r="B63">
        <f>VLOOKUP(A63,art_category_path_name!A:B,2,FALSE)</f>
        <v>218</v>
      </c>
      <c r="C63" t="s">
        <v>1769</v>
      </c>
      <c r="D63" t="s">
        <v>1770</v>
      </c>
      <c r="E63" t="s">
        <v>1771</v>
      </c>
      <c r="F63" t="s">
        <v>1772</v>
      </c>
      <c r="G63" t="s">
        <v>8501</v>
      </c>
      <c r="H63" t="s">
        <v>1773</v>
      </c>
    </row>
    <row r="64" spans="1:8" x14ac:dyDescent="0.25">
      <c r="A64" t="s">
        <v>997</v>
      </c>
      <c r="B64">
        <f>VLOOKUP(A64,art_category_path_name!A:B,2,FALSE)</f>
        <v>64</v>
      </c>
      <c r="C64" t="s">
        <v>1774</v>
      </c>
      <c r="D64" t="s">
        <v>1775</v>
      </c>
      <c r="E64" t="s">
        <v>1776</v>
      </c>
      <c r="F64" t="s">
        <v>1777</v>
      </c>
      <c r="G64" t="s">
        <v>8505</v>
      </c>
      <c r="H64" t="s">
        <v>1778</v>
      </c>
    </row>
    <row r="65" spans="1:8" x14ac:dyDescent="0.25">
      <c r="A65" t="s">
        <v>969</v>
      </c>
      <c r="B65">
        <f>VLOOKUP(A65,art_category_path_name!A:B,2,FALSE)</f>
        <v>460</v>
      </c>
      <c r="C65" t="s">
        <v>1719</v>
      </c>
      <c r="D65" t="s">
        <v>1720</v>
      </c>
      <c r="E65" t="s">
        <v>1721</v>
      </c>
      <c r="F65" t="s">
        <v>1779</v>
      </c>
      <c r="G65" t="s">
        <v>8506</v>
      </c>
      <c r="H65" t="s">
        <v>1780</v>
      </c>
    </row>
    <row r="66" spans="1:8" x14ac:dyDescent="0.25">
      <c r="A66" t="s">
        <v>976</v>
      </c>
      <c r="B66">
        <f>VLOOKUP(A66,art_category_path_name!A:B,2,FALSE)</f>
        <v>533</v>
      </c>
      <c r="C66" t="s">
        <v>1781</v>
      </c>
      <c r="D66" t="s">
        <v>1782</v>
      </c>
      <c r="E66" t="s">
        <v>1783</v>
      </c>
      <c r="F66" t="s">
        <v>1784</v>
      </c>
      <c r="G66" t="s">
        <v>8507</v>
      </c>
      <c r="H66" t="s">
        <v>1785</v>
      </c>
    </row>
    <row r="67" spans="1:8" x14ac:dyDescent="0.25">
      <c r="A67" t="s">
        <v>980</v>
      </c>
      <c r="B67">
        <f>VLOOKUP(A67,art_category_path_name!A:B,2,FALSE)</f>
        <v>537</v>
      </c>
      <c r="C67" t="s">
        <v>1786</v>
      </c>
      <c r="D67" t="s">
        <v>1787</v>
      </c>
      <c r="E67" t="s">
        <v>1788</v>
      </c>
      <c r="F67" t="s">
        <v>1789</v>
      </c>
      <c r="G67" t="s">
        <v>8508</v>
      </c>
      <c r="H67" t="s">
        <v>1790</v>
      </c>
    </row>
    <row r="68" spans="1:8" x14ac:dyDescent="0.25">
      <c r="A68" t="s">
        <v>967</v>
      </c>
      <c r="B68">
        <f>VLOOKUP(A68,art_category_path_name!A:B,2,FALSE)</f>
        <v>1049</v>
      </c>
      <c r="C68" t="s">
        <v>1791</v>
      </c>
      <c r="D68" t="s">
        <v>1792</v>
      </c>
      <c r="E68" t="s">
        <v>1793</v>
      </c>
      <c r="F68" t="s">
        <v>1794</v>
      </c>
      <c r="G68" t="s">
        <v>8509</v>
      </c>
      <c r="H68" t="s">
        <v>1795</v>
      </c>
    </row>
    <row r="69" spans="1:8" x14ac:dyDescent="0.25">
      <c r="A69" t="s">
        <v>1796</v>
      </c>
      <c r="B69" t="e">
        <f>VLOOKUP(A69,art_category_path_name!A:B,2,FALSE)</f>
        <v>#N/A</v>
      </c>
      <c r="C69" t="s">
        <v>1797</v>
      </c>
      <c r="D69" t="s">
        <v>1798</v>
      </c>
      <c r="E69" t="s">
        <v>1799</v>
      </c>
      <c r="F69" t="s">
        <v>1800</v>
      </c>
      <c r="G69" t="s">
        <v>8510</v>
      </c>
      <c r="H69" t="s">
        <v>1801</v>
      </c>
    </row>
    <row r="70" spans="1:8" x14ac:dyDescent="0.25">
      <c r="A70" t="s">
        <v>966</v>
      </c>
      <c r="B70">
        <f>VLOOKUP(A70,art_category_path_name!A:B,2,FALSE)</f>
        <v>63</v>
      </c>
      <c r="C70" t="s">
        <v>1802</v>
      </c>
      <c r="D70" t="s">
        <v>1803</v>
      </c>
      <c r="E70" t="s">
        <v>1804</v>
      </c>
      <c r="F70" t="s">
        <v>1805</v>
      </c>
      <c r="G70" t="s">
        <v>8511</v>
      </c>
      <c r="H70" t="s">
        <v>1806</v>
      </c>
    </row>
    <row r="71" spans="1:8" x14ac:dyDescent="0.25">
      <c r="A71" t="s">
        <v>962</v>
      </c>
      <c r="B71">
        <f>VLOOKUP(A71,art_category_path_name!A:B,2,FALSE)</f>
        <v>607</v>
      </c>
      <c r="C71" t="s">
        <v>1807</v>
      </c>
      <c r="D71" t="s">
        <v>1808</v>
      </c>
      <c r="E71" t="s">
        <v>1809</v>
      </c>
      <c r="F71" t="s">
        <v>1810</v>
      </c>
      <c r="H71" t="s">
        <v>1811</v>
      </c>
    </row>
    <row r="72" spans="1:8" x14ac:dyDescent="0.25">
      <c r="A72" t="s">
        <v>878</v>
      </c>
      <c r="B72">
        <f>VLOOKUP(A72,art_category_path_name!A:B,2,FALSE)</f>
        <v>263</v>
      </c>
      <c r="C72" t="s">
        <v>1812</v>
      </c>
      <c r="D72" t="s">
        <v>1813</v>
      </c>
      <c r="E72" t="s">
        <v>1814</v>
      </c>
      <c r="F72" t="s">
        <v>1815</v>
      </c>
      <c r="G72" t="s">
        <v>8512</v>
      </c>
      <c r="H72" t="s">
        <v>1816</v>
      </c>
    </row>
    <row r="73" spans="1:8" x14ac:dyDescent="0.25">
      <c r="A73" t="s">
        <v>884</v>
      </c>
      <c r="B73">
        <f>VLOOKUP(A73,art_category_path_name!A:B,2,FALSE)</f>
        <v>738</v>
      </c>
      <c r="C73" t="s">
        <v>1817</v>
      </c>
      <c r="D73" t="s">
        <v>1818</v>
      </c>
      <c r="E73" t="s">
        <v>1819</v>
      </c>
      <c r="F73" t="s">
        <v>1820</v>
      </c>
      <c r="G73" t="s">
        <v>8513</v>
      </c>
      <c r="H73" t="s">
        <v>1821</v>
      </c>
    </row>
    <row r="74" spans="1:8" x14ac:dyDescent="0.25">
      <c r="A74" t="s">
        <v>887</v>
      </c>
      <c r="B74">
        <f>VLOOKUP(A74,art_category_path_name!A:B,2,FALSE)</f>
        <v>819</v>
      </c>
      <c r="C74" t="s">
        <v>1822</v>
      </c>
      <c r="D74" t="s">
        <v>1823</v>
      </c>
      <c r="E74" t="s">
        <v>1824</v>
      </c>
      <c r="F74" t="s">
        <v>1825</v>
      </c>
      <c r="G74" t="s">
        <v>8514</v>
      </c>
      <c r="H74" t="s">
        <v>1826</v>
      </c>
    </row>
    <row r="75" spans="1:8" x14ac:dyDescent="0.25">
      <c r="A75" t="s">
        <v>898</v>
      </c>
      <c r="B75">
        <f>VLOOKUP(A75,art_category_path_name!A:B,2,FALSE)</f>
        <v>837</v>
      </c>
      <c r="C75" t="s">
        <v>1827</v>
      </c>
      <c r="D75" t="s">
        <v>1828</v>
      </c>
      <c r="E75" t="s">
        <v>1829</v>
      </c>
      <c r="F75" t="s">
        <v>1830</v>
      </c>
      <c r="G75" t="s">
        <v>8515</v>
      </c>
      <c r="H75" t="s">
        <v>1831</v>
      </c>
    </row>
    <row r="76" spans="1:8" x14ac:dyDescent="0.25">
      <c r="A76" t="s">
        <v>850</v>
      </c>
      <c r="B76">
        <f>VLOOKUP(A76,art_category_path_name!A:B,2,FALSE)</f>
        <v>1149</v>
      </c>
      <c r="C76" t="s">
        <v>1832</v>
      </c>
      <c r="D76" t="s">
        <v>1833</v>
      </c>
      <c r="F76" t="s">
        <v>1834</v>
      </c>
      <c r="H76" t="s">
        <v>1835</v>
      </c>
    </row>
    <row r="77" spans="1:8" x14ac:dyDescent="0.25">
      <c r="A77" t="s">
        <v>859</v>
      </c>
      <c r="B77">
        <f>VLOOKUP(A77,art_category_path_name!A:B,2,FALSE)</f>
        <v>1246</v>
      </c>
      <c r="C77" t="s">
        <v>1836</v>
      </c>
      <c r="D77" t="s">
        <v>1837</v>
      </c>
      <c r="E77" t="s">
        <v>1838</v>
      </c>
      <c r="F77" t="s">
        <v>1839</v>
      </c>
      <c r="G77" t="s">
        <v>8516</v>
      </c>
      <c r="H77" t="s">
        <v>1840</v>
      </c>
    </row>
    <row r="78" spans="1:8" x14ac:dyDescent="0.25">
      <c r="A78" t="s">
        <v>873</v>
      </c>
      <c r="B78">
        <f>VLOOKUP(A78,art_category_path_name!A:B,2,FALSE)</f>
        <v>1354</v>
      </c>
      <c r="C78" t="s">
        <v>1841</v>
      </c>
      <c r="D78" t="s">
        <v>1842</v>
      </c>
      <c r="E78" t="s">
        <v>1843</v>
      </c>
      <c r="F78" t="s">
        <v>1844</v>
      </c>
      <c r="G78" t="s">
        <v>8517</v>
      </c>
      <c r="H78" t="s">
        <v>1845</v>
      </c>
    </row>
    <row r="79" spans="1:8" x14ac:dyDescent="0.25">
      <c r="A79" t="s">
        <v>875</v>
      </c>
      <c r="B79">
        <f>VLOOKUP(A79,art_category_path_name!A:B,2,FALSE)</f>
        <v>1363</v>
      </c>
      <c r="C79" t="s">
        <v>1846</v>
      </c>
      <c r="D79" t="s">
        <v>1847</v>
      </c>
      <c r="E79" t="s">
        <v>1848</v>
      </c>
      <c r="F79" t="s">
        <v>1849</v>
      </c>
      <c r="G79" t="s">
        <v>8518</v>
      </c>
      <c r="H79" t="s">
        <v>1850</v>
      </c>
    </row>
    <row r="80" spans="1:8" x14ac:dyDescent="0.25">
      <c r="A80" t="s">
        <v>849</v>
      </c>
      <c r="B80">
        <f>VLOOKUP(A80,art_category_path_name!A:B,2,FALSE)</f>
        <v>262</v>
      </c>
      <c r="C80" t="s">
        <v>1851</v>
      </c>
      <c r="D80" t="s">
        <v>1852</v>
      </c>
      <c r="E80" t="s">
        <v>1853</v>
      </c>
      <c r="F80" t="s">
        <v>1854</v>
      </c>
      <c r="G80" t="s">
        <v>8519</v>
      </c>
      <c r="H80" t="s">
        <v>1855</v>
      </c>
    </row>
    <row r="81" spans="1:8" x14ac:dyDescent="0.25">
      <c r="A81" t="s">
        <v>999</v>
      </c>
      <c r="B81">
        <f>VLOOKUP(A81,art_category_path_name!A:B,2,FALSE)</f>
        <v>839</v>
      </c>
      <c r="C81" t="s">
        <v>1856</v>
      </c>
      <c r="D81" t="s">
        <v>1857</v>
      </c>
      <c r="E81" t="s">
        <v>1858</v>
      </c>
      <c r="F81" t="s">
        <v>1859</v>
      </c>
      <c r="G81" t="s">
        <v>8520</v>
      </c>
      <c r="H81" t="s">
        <v>1860</v>
      </c>
    </row>
    <row r="82" spans="1:8" x14ac:dyDescent="0.25">
      <c r="A82" t="s">
        <v>772</v>
      </c>
      <c r="B82">
        <f>VLOOKUP(A82,art_category_path_name!A:B,2,FALSE)</f>
        <v>1008</v>
      </c>
      <c r="C82" t="s">
        <v>1861</v>
      </c>
      <c r="D82" t="s">
        <v>1862</v>
      </c>
      <c r="E82" t="s">
        <v>1863</v>
      </c>
      <c r="F82" t="s">
        <v>1864</v>
      </c>
      <c r="G82" t="s">
        <v>8521</v>
      </c>
      <c r="H82" t="s">
        <v>1865</v>
      </c>
    </row>
    <row r="83" spans="1:8" x14ac:dyDescent="0.25">
      <c r="A83" t="s">
        <v>944</v>
      </c>
      <c r="B83">
        <f>VLOOKUP(A83,art_category_path_name!A:B,2,FALSE)</f>
        <v>1046</v>
      </c>
      <c r="C83" t="s">
        <v>1866</v>
      </c>
      <c r="D83" t="s">
        <v>1867</v>
      </c>
      <c r="E83" t="s">
        <v>1868</v>
      </c>
      <c r="F83" t="s">
        <v>1869</v>
      </c>
      <c r="G83" t="s">
        <v>8522</v>
      </c>
      <c r="H83" t="s">
        <v>1870</v>
      </c>
    </row>
    <row r="84" spans="1:8" x14ac:dyDescent="0.25">
      <c r="A84" t="s">
        <v>946</v>
      </c>
      <c r="B84">
        <f>VLOOKUP(A84,art_category_path_name!A:B,2,FALSE)</f>
        <v>1176</v>
      </c>
      <c r="C84" t="s">
        <v>1871</v>
      </c>
      <c r="D84" t="s">
        <v>1872</v>
      </c>
      <c r="E84" t="s">
        <v>1873</v>
      </c>
      <c r="F84" t="s">
        <v>1874</v>
      </c>
      <c r="G84" t="s">
        <v>8523</v>
      </c>
      <c r="H84" t="s">
        <v>1875</v>
      </c>
    </row>
    <row r="85" spans="1:8" x14ac:dyDescent="0.25">
      <c r="A85" t="s">
        <v>771</v>
      </c>
      <c r="B85">
        <f>VLOOKUP(A85,art_category_path_name!A:B,2,FALSE)</f>
        <v>62</v>
      </c>
      <c r="C85" t="s">
        <v>1876</v>
      </c>
      <c r="D85" t="s">
        <v>1877</v>
      </c>
      <c r="E85" t="s">
        <v>1878</v>
      </c>
      <c r="F85" t="s">
        <v>1879</v>
      </c>
      <c r="G85" t="s">
        <v>8524</v>
      </c>
      <c r="H85" t="s">
        <v>1880</v>
      </c>
    </row>
    <row r="86" spans="1:8" x14ac:dyDescent="0.25">
      <c r="A86" t="s">
        <v>943</v>
      </c>
      <c r="B86">
        <f>VLOOKUP(A86,art_category_path_name!A:B,2,FALSE)</f>
        <v>457</v>
      </c>
      <c r="C86" t="s">
        <v>1881</v>
      </c>
      <c r="D86" t="s">
        <v>1882</v>
      </c>
      <c r="E86" t="s">
        <v>1883</v>
      </c>
      <c r="F86" t="s">
        <v>1884</v>
      </c>
      <c r="G86" t="s">
        <v>8525</v>
      </c>
      <c r="H86" t="s">
        <v>1885</v>
      </c>
    </row>
    <row r="87" spans="1:8" x14ac:dyDescent="0.25">
      <c r="A87" t="s">
        <v>949</v>
      </c>
      <c r="B87">
        <f>VLOOKUP(A87,art_category_path_name!A:B,2,FALSE)</f>
        <v>458</v>
      </c>
      <c r="C87" t="s">
        <v>1886</v>
      </c>
      <c r="D87" t="s">
        <v>1887</v>
      </c>
      <c r="E87" t="s">
        <v>1888</v>
      </c>
      <c r="F87" t="s">
        <v>1889</v>
      </c>
      <c r="H87" t="s">
        <v>1890</v>
      </c>
    </row>
    <row r="88" spans="1:8" x14ac:dyDescent="0.25">
      <c r="A88" t="s">
        <v>768</v>
      </c>
      <c r="B88">
        <f>VLOOKUP(A88,art_category_path_name!A:B,2,FALSE)</f>
        <v>499</v>
      </c>
      <c r="C88" t="s">
        <v>1891</v>
      </c>
      <c r="D88" t="s">
        <v>1892</v>
      </c>
      <c r="E88" t="s">
        <v>1893</v>
      </c>
      <c r="F88" t="s">
        <v>1894</v>
      </c>
      <c r="H88" t="s">
        <v>1895</v>
      </c>
    </row>
    <row r="89" spans="1:8" x14ac:dyDescent="0.25">
      <c r="A89" t="s">
        <v>761</v>
      </c>
      <c r="B89">
        <f>VLOOKUP(A89,art_category_path_name!A:B,2,FALSE)</f>
        <v>1137</v>
      </c>
      <c r="C89" t="s">
        <v>1896</v>
      </c>
      <c r="D89" t="s">
        <v>1897</v>
      </c>
      <c r="E89" t="s">
        <v>1898</v>
      </c>
      <c r="F89" t="s">
        <v>1899</v>
      </c>
      <c r="H89" t="s">
        <v>1900</v>
      </c>
    </row>
    <row r="90" spans="1:8" x14ac:dyDescent="0.25">
      <c r="A90" t="s">
        <v>760</v>
      </c>
      <c r="B90">
        <f>VLOOKUP(A90,art_category_path_name!A:B,2,FALSE)</f>
        <v>498</v>
      </c>
      <c r="C90" t="s">
        <v>1901</v>
      </c>
      <c r="D90" t="s">
        <v>1902</v>
      </c>
      <c r="E90" t="s">
        <v>1903</v>
      </c>
      <c r="F90" t="s">
        <v>1904</v>
      </c>
      <c r="G90" t="s">
        <v>8526</v>
      </c>
      <c r="H90" t="s">
        <v>1905</v>
      </c>
    </row>
    <row r="91" spans="1:8" x14ac:dyDescent="0.25">
      <c r="A91" t="s">
        <v>1</v>
      </c>
      <c r="B91">
        <f>VLOOKUP(A91,art_category_path_name!A:B,2,FALSE)</f>
        <v>1000</v>
      </c>
      <c r="C91" t="s">
        <v>1906</v>
      </c>
      <c r="D91" t="s">
        <v>1907</v>
      </c>
      <c r="E91" t="s">
        <v>1908</v>
      </c>
      <c r="F91" t="s">
        <v>1909</v>
      </c>
      <c r="G91" t="s">
        <v>8527</v>
      </c>
      <c r="H91" t="s">
        <v>1910</v>
      </c>
    </row>
    <row r="92" spans="1:8" x14ac:dyDescent="0.25">
      <c r="A92" t="s">
        <v>1911</v>
      </c>
      <c r="B92" t="e">
        <f>VLOOKUP(A92,art_category_path_name!A:B,2,FALSE)</f>
        <v>#N/A</v>
      </c>
      <c r="C92" t="s">
        <v>1912</v>
      </c>
      <c r="D92" t="s">
        <v>1481</v>
      </c>
      <c r="E92" t="s">
        <v>1913</v>
      </c>
      <c r="F92" t="s">
        <v>1914</v>
      </c>
      <c r="G92" t="s">
        <v>8467</v>
      </c>
      <c r="H92" t="s">
        <v>1915</v>
      </c>
    </row>
    <row r="93" spans="1:8" x14ac:dyDescent="0.25">
      <c r="A93" t="s">
        <v>1916</v>
      </c>
      <c r="B93" t="e">
        <f>VLOOKUP(A93,art_category_path_name!A:B,2,FALSE)</f>
        <v>#N/A</v>
      </c>
      <c r="C93" t="s">
        <v>1615</v>
      </c>
      <c r="D93" t="s">
        <v>1616</v>
      </c>
      <c r="E93" t="s">
        <v>1617</v>
      </c>
      <c r="F93" t="s">
        <v>1917</v>
      </c>
      <c r="H93" t="s">
        <v>1918</v>
      </c>
    </row>
    <row r="94" spans="1:8" x14ac:dyDescent="0.25">
      <c r="A94" t="s">
        <v>1919</v>
      </c>
      <c r="B94" t="e">
        <f>VLOOKUP(A94,art_category_path_name!A:B,2,FALSE)</f>
        <v>#N/A</v>
      </c>
      <c r="C94" t="s">
        <v>1920</v>
      </c>
      <c r="D94" t="s">
        <v>1921</v>
      </c>
      <c r="E94" t="s">
        <v>1922</v>
      </c>
      <c r="F94" t="s">
        <v>1923</v>
      </c>
      <c r="G94" t="s">
        <v>8528</v>
      </c>
      <c r="H94" t="s">
        <v>1924</v>
      </c>
    </row>
    <row r="95" spans="1:8" x14ac:dyDescent="0.25">
      <c r="A95" t="s">
        <v>459</v>
      </c>
      <c r="B95">
        <f>VLOOKUP(A95,art_category_path_name!A:B,2,FALSE)</f>
        <v>239</v>
      </c>
      <c r="C95" t="s">
        <v>1925</v>
      </c>
      <c r="D95" t="s">
        <v>1926</v>
      </c>
      <c r="E95" t="s">
        <v>1927</v>
      </c>
      <c r="F95" t="s">
        <v>1928</v>
      </c>
      <c r="H95" t="s">
        <v>1929</v>
      </c>
    </row>
    <row r="96" spans="1:8" x14ac:dyDescent="0.25">
      <c r="A96" t="s">
        <v>469</v>
      </c>
      <c r="B96">
        <f>VLOOKUP(A96,art_category_path_name!A:B,2,FALSE)</f>
        <v>249</v>
      </c>
      <c r="C96" t="s">
        <v>1930</v>
      </c>
      <c r="D96" t="s">
        <v>1931</v>
      </c>
      <c r="E96" t="s">
        <v>1932</v>
      </c>
      <c r="F96" t="s">
        <v>1933</v>
      </c>
      <c r="G96" t="s">
        <v>8529</v>
      </c>
      <c r="H96" t="s">
        <v>1934</v>
      </c>
    </row>
    <row r="97" spans="1:8" x14ac:dyDescent="0.25">
      <c r="A97" t="s">
        <v>499</v>
      </c>
      <c r="B97">
        <f>VLOOKUP(A97,art_category_path_name!A:B,2,FALSE)</f>
        <v>580</v>
      </c>
      <c r="C97" t="s">
        <v>1935</v>
      </c>
      <c r="D97" t="s">
        <v>1936</v>
      </c>
      <c r="E97" t="s">
        <v>1937</v>
      </c>
      <c r="F97" t="s">
        <v>1938</v>
      </c>
      <c r="G97" t="s">
        <v>8530</v>
      </c>
      <c r="H97" t="s">
        <v>1939</v>
      </c>
    </row>
    <row r="98" spans="1:8" x14ac:dyDescent="0.25">
      <c r="A98" t="s">
        <v>508</v>
      </c>
      <c r="B98">
        <f>VLOOKUP(A98,art_category_path_name!A:B,2,FALSE)</f>
        <v>589</v>
      </c>
      <c r="C98" t="s">
        <v>1940</v>
      </c>
      <c r="D98" t="s">
        <v>1941</v>
      </c>
      <c r="E98" t="s">
        <v>1937</v>
      </c>
      <c r="F98" t="s">
        <v>1942</v>
      </c>
      <c r="G98" t="s">
        <v>8531</v>
      </c>
      <c r="H98" t="s">
        <v>1943</v>
      </c>
    </row>
    <row r="99" spans="1:8" x14ac:dyDescent="0.25">
      <c r="A99" t="s">
        <v>498</v>
      </c>
      <c r="B99">
        <f>VLOOKUP(A99,art_category_path_name!A:B,2,FALSE)</f>
        <v>579</v>
      </c>
      <c r="C99" t="s">
        <v>1944</v>
      </c>
      <c r="D99" t="s">
        <v>1945</v>
      </c>
      <c r="E99" t="s">
        <v>1937</v>
      </c>
      <c r="F99" t="s">
        <v>1946</v>
      </c>
      <c r="G99" t="s">
        <v>8532</v>
      </c>
      <c r="H99" t="s">
        <v>1947</v>
      </c>
    </row>
    <row r="100" spans="1:8" x14ac:dyDescent="0.25">
      <c r="A100" t="s">
        <v>520</v>
      </c>
      <c r="B100">
        <f>VLOOKUP(A100,art_category_path_name!A:B,2,FALSE)</f>
        <v>906</v>
      </c>
      <c r="C100" t="s">
        <v>1948</v>
      </c>
      <c r="D100" t="s">
        <v>1949</v>
      </c>
      <c r="E100" t="s">
        <v>1950</v>
      </c>
      <c r="F100" t="s">
        <v>1951</v>
      </c>
      <c r="G100" t="s">
        <v>8533</v>
      </c>
      <c r="H100" t="s">
        <v>1952</v>
      </c>
    </row>
    <row r="101" spans="1:8" x14ac:dyDescent="0.25">
      <c r="A101" t="s">
        <v>513</v>
      </c>
      <c r="B101">
        <f>VLOOKUP(A101,art_category_path_name!A:B,2,FALSE)</f>
        <v>1051</v>
      </c>
      <c r="C101" t="s">
        <v>1953</v>
      </c>
      <c r="D101" t="s">
        <v>1954</v>
      </c>
      <c r="E101" t="s">
        <v>1955</v>
      </c>
      <c r="F101" t="s">
        <v>1956</v>
      </c>
      <c r="G101" t="s">
        <v>8534</v>
      </c>
      <c r="H101" t="s">
        <v>1957</v>
      </c>
    </row>
    <row r="102" spans="1:8" x14ac:dyDescent="0.25">
      <c r="A102" t="s">
        <v>512</v>
      </c>
      <c r="B102">
        <f>VLOOKUP(A102,art_category_path_name!A:B,2,FALSE)</f>
        <v>905</v>
      </c>
      <c r="C102" t="s">
        <v>1958</v>
      </c>
      <c r="D102" t="s">
        <v>1959</v>
      </c>
      <c r="E102" t="s">
        <v>1960</v>
      </c>
      <c r="F102" t="s">
        <v>1961</v>
      </c>
      <c r="G102" t="s">
        <v>8533</v>
      </c>
      <c r="H102" t="s">
        <v>1962</v>
      </c>
    </row>
    <row r="103" spans="1:8" x14ac:dyDescent="0.25">
      <c r="A103" t="s">
        <v>489</v>
      </c>
      <c r="B103">
        <f>VLOOKUP(A103,art_category_path_name!A:B,2,FALSE)</f>
        <v>5</v>
      </c>
      <c r="C103" t="s">
        <v>1963</v>
      </c>
      <c r="D103" t="s">
        <v>1964</v>
      </c>
      <c r="E103" t="s">
        <v>1965</v>
      </c>
      <c r="F103" t="s">
        <v>1966</v>
      </c>
      <c r="G103" t="s">
        <v>8535</v>
      </c>
      <c r="H103" t="s">
        <v>1967</v>
      </c>
    </row>
    <row r="104" spans="1:8" x14ac:dyDescent="0.25">
      <c r="A104" t="s">
        <v>474</v>
      </c>
      <c r="B104">
        <f>VLOOKUP(A104,art_category_path_name!A:B,2,FALSE)</f>
        <v>14</v>
      </c>
      <c r="C104" t="s">
        <v>1968</v>
      </c>
      <c r="D104" t="s">
        <v>1969</v>
      </c>
      <c r="E104" t="s">
        <v>1970</v>
      </c>
      <c r="F104" t="s">
        <v>1971</v>
      </c>
      <c r="G104" t="s">
        <v>8536</v>
      </c>
      <c r="H104" t="s">
        <v>1972</v>
      </c>
    </row>
    <row r="105" spans="1:8" x14ac:dyDescent="0.25">
      <c r="A105" t="s">
        <v>482</v>
      </c>
      <c r="B105">
        <f>VLOOKUP(A105,art_category_path_name!A:B,2,FALSE)</f>
        <v>22</v>
      </c>
      <c r="C105" t="s">
        <v>1973</v>
      </c>
      <c r="D105" t="s">
        <v>1974</v>
      </c>
      <c r="E105" t="s">
        <v>1975</v>
      </c>
      <c r="F105" t="s">
        <v>1976</v>
      </c>
      <c r="G105" t="s">
        <v>8537</v>
      </c>
      <c r="H105" t="s">
        <v>1977</v>
      </c>
    </row>
    <row r="106" spans="1:8" x14ac:dyDescent="0.25">
      <c r="A106" t="s">
        <v>473</v>
      </c>
      <c r="B106">
        <f>VLOOKUP(A106,art_category_path_name!A:B,2,FALSE)</f>
        <v>4</v>
      </c>
      <c r="C106" t="s">
        <v>1978</v>
      </c>
      <c r="D106" t="s">
        <v>1979</v>
      </c>
      <c r="E106" t="s">
        <v>1980</v>
      </c>
      <c r="F106" t="s">
        <v>1981</v>
      </c>
      <c r="H106" t="s">
        <v>1982</v>
      </c>
    </row>
    <row r="107" spans="1:8" x14ac:dyDescent="0.25">
      <c r="A107" t="s">
        <v>1983</v>
      </c>
      <c r="B107" t="e">
        <f>VLOOKUP(A107,art_category_path_name!A:B,2,FALSE)</f>
        <v>#N/A</v>
      </c>
      <c r="C107" t="s">
        <v>1984</v>
      </c>
      <c r="D107" t="s">
        <v>1985</v>
      </c>
      <c r="E107" t="s">
        <v>1986</v>
      </c>
      <c r="F107" t="s">
        <v>1987</v>
      </c>
      <c r="H107" t="s">
        <v>1988</v>
      </c>
    </row>
    <row r="108" spans="1:8" x14ac:dyDescent="0.25">
      <c r="A108" t="s">
        <v>438</v>
      </c>
      <c r="B108">
        <f>VLOOKUP(A108,art_category_path_name!A:B,2,FALSE)</f>
        <v>1144</v>
      </c>
      <c r="C108" t="s">
        <v>1989</v>
      </c>
      <c r="D108" t="s">
        <v>1990</v>
      </c>
      <c r="E108" t="s">
        <v>1991</v>
      </c>
      <c r="F108" t="s">
        <v>1992</v>
      </c>
      <c r="H108" t="s">
        <v>1993</v>
      </c>
    </row>
    <row r="109" spans="1:8" x14ac:dyDescent="0.25">
      <c r="A109" t="s">
        <v>443</v>
      </c>
      <c r="B109">
        <f>VLOOKUP(A109,art_category_path_name!A:B,2,FALSE)</f>
        <v>1260</v>
      </c>
      <c r="C109" t="s">
        <v>1994</v>
      </c>
      <c r="D109" t="s">
        <v>1995</v>
      </c>
      <c r="E109" t="s">
        <v>1996</v>
      </c>
      <c r="F109" t="s">
        <v>1997</v>
      </c>
      <c r="G109" t="s">
        <v>8538</v>
      </c>
      <c r="H109" t="s">
        <v>1998</v>
      </c>
    </row>
    <row r="110" spans="1:8" x14ac:dyDescent="0.25">
      <c r="A110" t="s">
        <v>447</v>
      </c>
      <c r="B110">
        <f>VLOOKUP(A110,art_category_path_name!A:B,2,FALSE)</f>
        <v>1264</v>
      </c>
      <c r="C110" t="s">
        <v>1999</v>
      </c>
      <c r="D110" t="s">
        <v>2000</v>
      </c>
      <c r="E110" t="s">
        <v>2001</v>
      </c>
      <c r="F110" t="s">
        <v>2002</v>
      </c>
      <c r="H110" t="s">
        <v>2003</v>
      </c>
    </row>
    <row r="111" spans="1:8" x14ac:dyDescent="0.25">
      <c r="A111" t="s">
        <v>455</v>
      </c>
      <c r="B111">
        <f>VLOOKUP(A111,art_category_path_name!A:B,2,FALSE)</f>
        <v>1292</v>
      </c>
      <c r="C111" t="s">
        <v>2004</v>
      </c>
      <c r="D111" t="s">
        <v>2005</v>
      </c>
      <c r="E111" t="s">
        <v>2006</v>
      </c>
      <c r="F111" t="s">
        <v>2007</v>
      </c>
      <c r="G111" t="s">
        <v>8539</v>
      </c>
      <c r="H111" t="s">
        <v>2008</v>
      </c>
    </row>
    <row r="112" spans="1:8" x14ac:dyDescent="0.25">
      <c r="A112" t="s">
        <v>437</v>
      </c>
      <c r="B112">
        <f>VLOOKUP(A112,art_category_path_name!A:B,2,FALSE)</f>
        <v>3</v>
      </c>
      <c r="C112" t="s">
        <v>2009</v>
      </c>
      <c r="D112" t="s">
        <v>2010</v>
      </c>
      <c r="E112" t="s">
        <v>2011</v>
      </c>
      <c r="F112" t="s">
        <v>2012</v>
      </c>
      <c r="G112" t="s">
        <v>8540</v>
      </c>
      <c r="H112" t="s">
        <v>2013</v>
      </c>
    </row>
    <row r="113" spans="1:8" x14ac:dyDescent="0.25">
      <c r="A113" t="s">
        <v>637</v>
      </c>
      <c r="B113">
        <f>VLOOKUP(A113,art_category_path_name!A:B,2,FALSE)</f>
        <v>48</v>
      </c>
      <c r="C113" t="s">
        <v>2014</v>
      </c>
      <c r="D113" t="s">
        <v>2015</v>
      </c>
      <c r="E113" t="s">
        <v>2016</v>
      </c>
      <c r="F113" t="s">
        <v>2017</v>
      </c>
      <c r="G113" t="s">
        <v>8541</v>
      </c>
      <c r="H113" t="s">
        <v>2018</v>
      </c>
    </row>
    <row r="114" spans="1:8" x14ac:dyDescent="0.25">
      <c r="A114" t="s">
        <v>638</v>
      </c>
      <c r="B114">
        <f>VLOOKUP(A114,art_category_path_name!A:B,2,FALSE)</f>
        <v>253</v>
      </c>
      <c r="C114" t="s">
        <v>2019</v>
      </c>
      <c r="D114" t="s">
        <v>2020</v>
      </c>
      <c r="E114" t="s">
        <v>2021</v>
      </c>
      <c r="F114" t="s">
        <v>2022</v>
      </c>
      <c r="G114" t="s">
        <v>8542</v>
      </c>
      <c r="H114" t="s">
        <v>2023</v>
      </c>
    </row>
    <row r="115" spans="1:8" x14ac:dyDescent="0.25">
      <c r="A115" t="s">
        <v>643</v>
      </c>
      <c r="B115">
        <f>VLOOKUP(A115,art_category_path_name!A:B,2,FALSE)</f>
        <v>254</v>
      </c>
      <c r="C115" t="s">
        <v>2024</v>
      </c>
      <c r="D115" t="s">
        <v>2025</v>
      </c>
      <c r="E115" t="s">
        <v>2026</v>
      </c>
      <c r="F115" t="s">
        <v>2027</v>
      </c>
      <c r="G115" t="s">
        <v>8543</v>
      </c>
      <c r="H115" t="s">
        <v>2028</v>
      </c>
    </row>
    <row r="116" spans="1:8" x14ac:dyDescent="0.25">
      <c r="A116" t="s">
        <v>646</v>
      </c>
      <c r="B116">
        <f>VLOOKUP(A116,art_category_path_name!A:B,2,FALSE)</f>
        <v>287</v>
      </c>
      <c r="C116" t="s">
        <v>2029</v>
      </c>
      <c r="D116" t="s">
        <v>2030</v>
      </c>
      <c r="E116" t="s">
        <v>2031</v>
      </c>
      <c r="F116" t="s">
        <v>2032</v>
      </c>
      <c r="G116" t="s">
        <v>8544</v>
      </c>
      <c r="H116" t="s">
        <v>2033</v>
      </c>
    </row>
    <row r="117" spans="1:8" x14ac:dyDescent="0.25">
      <c r="A117" t="s">
        <v>649</v>
      </c>
      <c r="B117">
        <f>VLOOKUP(A117,art_category_path_name!A:B,2,FALSE)</f>
        <v>611</v>
      </c>
      <c r="C117" t="s">
        <v>2034</v>
      </c>
      <c r="D117" t="s">
        <v>2035</v>
      </c>
      <c r="E117" t="s">
        <v>2036</v>
      </c>
      <c r="F117" t="s">
        <v>2037</v>
      </c>
      <c r="G117" t="s">
        <v>8545</v>
      </c>
      <c r="H117" t="s">
        <v>2038</v>
      </c>
    </row>
    <row r="118" spans="1:8" x14ac:dyDescent="0.25">
      <c r="A118" t="s">
        <v>639</v>
      </c>
      <c r="B118">
        <f>VLOOKUP(A118,art_category_path_name!A:B,2,FALSE)</f>
        <v>1115</v>
      </c>
      <c r="C118" t="s">
        <v>2039</v>
      </c>
      <c r="D118" t="s">
        <v>2040</v>
      </c>
      <c r="E118" t="s">
        <v>2041</v>
      </c>
      <c r="F118" t="s">
        <v>2042</v>
      </c>
      <c r="G118" t="s">
        <v>8546</v>
      </c>
      <c r="H118" t="s">
        <v>2043</v>
      </c>
    </row>
    <row r="119" spans="1:8" x14ac:dyDescent="0.25">
      <c r="A119" t="s">
        <v>641</v>
      </c>
      <c r="B119">
        <f>VLOOKUP(A119,art_category_path_name!A:B,2,FALSE)</f>
        <v>1299</v>
      </c>
      <c r="C119" t="s">
        <v>2044</v>
      </c>
      <c r="D119" t="s">
        <v>2045</v>
      </c>
      <c r="E119" t="s">
        <v>2046</v>
      </c>
      <c r="F119" t="s">
        <v>2047</v>
      </c>
      <c r="G119" t="s">
        <v>8547</v>
      </c>
      <c r="H119" t="s">
        <v>2048</v>
      </c>
    </row>
    <row r="120" spans="1:8" x14ac:dyDescent="0.25">
      <c r="A120" t="s">
        <v>651</v>
      </c>
      <c r="B120">
        <f>VLOOKUP(A120,art_category_path_name!A:B,2,FALSE)</f>
        <v>316</v>
      </c>
      <c r="C120" t="s">
        <v>2049</v>
      </c>
      <c r="D120" t="s">
        <v>2050</v>
      </c>
      <c r="E120" t="s">
        <v>2051</v>
      </c>
      <c r="F120" t="s">
        <v>2052</v>
      </c>
      <c r="G120" t="s">
        <v>8548</v>
      </c>
      <c r="H120" t="s">
        <v>2053</v>
      </c>
    </row>
    <row r="121" spans="1:8" x14ac:dyDescent="0.25">
      <c r="A121" t="s">
        <v>654</v>
      </c>
      <c r="B121">
        <f>VLOOKUP(A121,art_category_path_name!A:B,2,FALSE)</f>
        <v>317</v>
      </c>
      <c r="C121" t="s">
        <v>2054</v>
      </c>
      <c r="D121" t="s">
        <v>2055</v>
      </c>
      <c r="E121" t="s">
        <v>2056</v>
      </c>
      <c r="F121" t="s">
        <v>2057</v>
      </c>
      <c r="G121" t="s">
        <v>8513</v>
      </c>
      <c r="H121" t="s">
        <v>2058</v>
      </c>
    </row>
    <row r="122" spans="1:8" x14ac:dyDescent="0.25">
      <c r="A122" t="s">
        <v>2059</v>
      </c>
      <c r="B122" t="e">
        <f>VLOOKUP(A122,art_category_path_name!A:B,2,FALSE)</f>
        <v>#N/A</v>
      </c>
      <c r="C122" t="s">
        <v>2060</v>
      </c>
      <c r="D122" t="s">
        <v>2061</v>
      </c>
      <c r="E122" t="s">
        <v>2062</v>
      </c>
      <c r="F122" t="s">
        <v>2063</v>
      </c>
      <c r="G122" t="s">
        <v>8549</v>
      </c>
      <c r="H122" t="s">
        <v>2064</v>
      </c>
    </row>
    <row r="123" spans="1:8" x14ac:dyDescent="0.25">
      <c r="A123" t="s">
        <v>657</v>
      </c>
      <c r="B123">
        <f>VLOOKUP(A123,art_category_path_name!A:B,2,FALSE)</f>
        <v>483</v>
      </c>
      <c r="C123" t="s">
        <v>2065</v>
      </c>
      <c r="D123" t="s">
        <v>2066</v>
      </c>
      <c r="F123" t="s">
        <v>1834</v>
      </c>
      <c r="H123" t="s">
        <v>2067</v>
      </c>
    </row>
    <row r="124" spans="1:8" x14ac:dyDescent="0.25">
      <c r="A124" t="s">
        <v>665</v>
      </c>
      <c r="B124">
        <f>VLOOKUP(A124,art_category_path_name!A:B,2,FALSE)</f>
        <v>735</v>
      </c>
      <c r="C124" t="s">
        <v>2068</v>
      </c>
      <c r="D124" t="s">
        <v>2069</v>
      </c>
      <c r="E124" t="s">
        <v>2070</v>
      </c>
      <c r="F124" t="s">
        <v>2071</v>
      </c>
      <c r="H124" t="s">
        <v>2072</v>
      </c>
    </row>
    <row r="125" spans="1:8" x14ac:dyDescent="0.25">
      <c r="A125" t="s">
        <v>671</v>
      </c>
      <c r="B125">
        <f>VLOOKUP(A125,art_category_path_name!A:B,2,FALSE)</f>
        <v>741</v>
      </c>
      <c r="C125" t="s">
        <v>2073</v>
      </c>
      <c r="D125" t="s">
        <v>2074</v>
      </c>
      <c r="E125" t="s">
        <v>2075</v>
      </c>
      <c r="F125" t="s">
        <v>2076</v>
      </c>
      <c r="G125" t="s">
        <v>8550</v>
      </c>
      <c r="H125" t="s">
        <v>2077</v>
      </c>
    </row>
    <row r="126" spans="1:8" x14ac:dyDescent="0.25">
      <c r="A126" t="s">
        <v>674</v>
      </c>
      <c r="B126">
        <f>VLOOKUP(A126,art_category_path_name!A:B,2,FALSE)</f>
        <v>744</v>
      </c>
      <c r="C126" t="s">
        <v>2078</v>
      </c>
      <c r="D126" t="s">
        <v>2079</v>
      </c>
      <c r="E126" t="s">
        <v>2080</v>
      </c>
      <c r="F126" t="s">
        <v>2081</v>
      </c>
      <c r="G126" t="s">
        <v>8551</v>
      </c>
      <c r="H126" t="s">
        <v>2082</v>
      </c>
    </row>
    <row r="127" spans="1:8" x14ac:dyDescent="0.25">
      <c r="A127" t="s">
        <v>652</v>
      </c>
      <c r="B127">
        <f>VLOOKUP(A127,art_category_path_name!A:B,2,FALSE)</f>
        <v>1361</v>
      </c>
      <c r="C127" t="s">
        <v>2083</v>
      </c>
      <c r="D127" t="s">
        <v>2084</v>
      </c>
      <c r="E127" t="s">
        <v>2085</v>
      </c>
      <c r="F127" t="s">
        <v>2086</v>
      </c>
      <c r="G127" t="s">
        <v>8552</v>
      </c>
      <c r="H127" t="s">
        <v>2087</v>
      </c>
    </row>
    <row r="128" spans="1:8" x14ac:dyDescent="0.25">
      <c r="A128" t="s">
        <v>723</v>
      </c>
      <c r="B128">
        <f>VLOOKUP(A128,art_category_path_name!A:B,2,FALSE)</f>
        <v>502</v>
      </c>
      <c r="C128" t="s">
        <v>2088</v>
      </c>
      <c r="D128" t="s">
        <v>2089</v>
      </c>
      <c r="E128" t="s">
        <v>2090</v>
      </c>
      <c r="F128" t="s">
        <v>2091</v>
      </c>
      <c r="G128" t="s">
        <v>8553</v>
      </c>
      <c r="H128" t="s">
        <v>2092</v>
      </c>
    </row>
    <row r="129" spans="1:8" x14ac:dyDescent="0.25">
      <c r="A129" t="s">
        <v>728</v>
      </c>
      <c r="B129">
        <f>VLOOKUP(A129,art_category_path_name!A:B,2,FALSE)</f>
        <v>506</v>
      </c>
      <c r="C129" t="s">
        <v>2093</v>
      </c>
      <c r="D129" t="s">
        <v>2094</v>
      </c>
      <c r="E129" t="s">
        <v>2095</v>
      </c>
      <c r="F129" t="s">
        <v>2096</v>
      </c>
      <c r="G129" t="s">
        <v>8554</v>
      </c>
      <c r="H129" t="s">
        <v>2097</v>
      </c>
    </row>
    <row r="130" spans="1:8" x14ac:dyDescent="0.25">
      <c r="A130" t="s">
        <v>731</v>
      </c>
      <c r="B130">
        <f>VLOOKUP(A130,art_category_path_name!A:B,2,FALSE)</f>
        <v>509</v>
      </c>
      <c r="C130" t="s">
        <v>2098</v>
      </c>
      <c r="D130" t="s">
        <v>2099</v>
      </c>
      <c r="E130" t="s">
        <v>2100</v>
      </c>
      <c r="F130" t="s">
        <v>2101</v>
      </c>
      <c r="G130" t="s">
        <v>8555</v>
      </c>
      <c r="H130" t="s">
        <v>2102</v>
      </c>
    </row>
    <row r="131" spans="1:8" x14ac:dyDescent="0.25">
      <c r="A131" t="s">
        <v>708</v>
      </c>
      <c r="B131">
        <f>VLOOKUP(A131,art_category_path_name!A:B,2,FALSE)</f>
        <v>49</v>
      </c>
      <c r="C131" t="s">
        <v>1802</v>
      </c>
      <c r="D131" t="s">
        <v>2103</v>
      </c>
      <c r="E131" t="s">
        <v>2104</v>
      </c>
      <c r="F131" t="s">
        <v>2105</v>
      </c>
      <c r="H131" t="s">
        <v>2106</v>
      </c>
    </row>
    <row r="132" spans="1:8" x14ac:dyDescent="0.25">
      <c r="A132" t="s">
        <v>709</v>
      </c>
      <c r="B132">
        <f>VLOOKUP(A132,art_category_path_name!A:B,2,FALSE)</f>
        <v>50</v>
      </c>
      <c r="C132" t="s">
        <v>2107</v>
      </c>
      <c r="D132" t="s">
        <v>2108</v>
      </c>
      <c r="E132" t="s">
        <v>1804</v>
      </c>
      <c r="F132" t="s">
        <v>1805</v>
      </c>
      <c r="G132" t="s">
        <v>8556</v>
      </c>
      <c r="H132" t="s">
        <v>2109</v>
      </c>
    </row>
    <row r="133" spans="1:8" x14ac:dyDescent="0.25">
      <c r="A133" t="s">
        <v>2110</v>
      </c>
      <c r="B133" t="e">
        <f>VLOOKUP(A133,art_category_path_name!A:B,2,FALSE)</f>
        <v>#N/A</v>
      </c>
      <c r="C133" t="s">
        <v>2111</v>
      </c>
      <c r="D133" t="s">
        <v>2112</v>
      </c>
      <c r="E133" t="s">
        <v>2113</v>
      </c>
      <c r="F133" t="s">
        <v>2114</v>
      </c>
      <c r="G133" t="s">
        <v>8509</v>
      </c>
      <c r="H133" t="s">
        <v>2115</v>
      </c>
    </row>
    <row r="134" spans="1:8" x14ac:dyDescent="0.25">
      <c r="A134" t="s">
        <v>2116</v>
      </c>
      <c r="B134" t="e">
        <f>VLOOKUP(A134,art_category_path_name!A:B,2,FALSE)</f>
        <v>#N/A</v>
      </c>
      <c r="C134" t="s">
        <v>2117</v>
      </c>
      <c r="D134" t="s">
        <v>1798</v>
      </c>
      <c r="E134" t="s">
        <v>2118</v>
      </c>
      <c r="F134" t="s">
        <v>2119</v>
      </c>
      <c r="G134" t="s">
        <v>8557</v>
      </c>
      <c r="H134" t="s">
        <v>2120</v>
      </c>
    </row>
    <row r="135" spans="1:8" x14ac:dyDescent="0.25">
      <c r="A135" t="s">
        <v>757</v>
      </c>
      <c r="B135">
        <f>VLOOKUP(A135,art_category_path_name!A:B,2,FALSE)</f>
        <v>576</v>
      </c>
      <c r="C135" t="s">
        <v>2121</v>
      </c>
      <c r="D135" t="s">
        <v>2122</v>
      </c>
      <c r="E135" t="s">
        <v>2123</v>
      </c>
      <c r="F135" t="s">
        <v>2124</v>
      </c>
      <c r="H135" t="s">
        <v>2125</v>
      </c>
    </row>
    <row r="136" spans="1:8" x14ac:dyDescent="0.25">
      <c r="A136" t="s">
        <v>735</v>
      </c>
      <c r="B136">
        <f>VLOOKUP(A136,art_category_path_name!A:B,2,FALSE)</f>
        <v>513</v>
      </c>
      <c r="C136" t="s">
        <v>2126</v>
      </c>
      <c r="D136" t="s">
        <v>2127</v>
      </c>
      <c r="E136" t="s">
        <v>2128</v>
      </c>
      <c r="F136" t="s">
        <v>2129</v>
      </c>
      <c r="G136" t="s">
        <v>8558</v>
      </c>
      <c r="H136" t="s">
        <v>2130</v>
      </c>
    </row>
    <row r="137" spans="1:8" x14ac:dyDescent="0.25">
      <c r="A137" t="s">
        <v>751</v>
      </c>
      <c r="B137">
        <f>VLOOKUP(A137,art_category_path_name!A:B,2,FALSE)</f>
        <v>514</v>
      </c>
      <c r="C137" t="s">
        <v>2131</v>
      </c>
      <c r="D137" t="s">
        <v>2132</v>
      </c>
      <c r="E137" t="s">
        <v>2133</v>
      </c>
      <c r="F137" t="s">
        <v>2134</v>
      </c>
      <c r="G137" t="s">
        <v>8559</v>
      </c>
      <c r="H137" t="s">
        <v>2135</v>
      </c>
    </row>
    <row r="138" spans="1:8" x14ac:dyDescent="0.25">
      <c r="A138" t="s">
        <v>736</v>
      </c>
      <c r="B138">
        <f>VLOOKUP(A138,art_category_path_name!A:B,2,FALSE)</f>
        <v>1012</v>
      </c>
      <c r="C138" t="s">
        <v>2136</v>
      </c>
      <c r="D138" t="s">
        <v>2137</v>
      </c>
      <c r="E138" t="s">
        <v>2138</v>
      </c>
      <c r="F138" t="s">
        <v>2139</v>
      </c>
      <c r="H138" t="s">
        <v>2140</v>
      </c>
    </row>
    <row r="139" spans="1:8" x14ac:dyDescent="0.25">
      <c r="A139" t="s">
        <v>742</v>
      </c>
      <c r="B139">
        <f>VLOOKUP(A139,art_category_path_name!A:B,2,FALSE)</f>
        <v>1018</v>
      </c>
      <c r="C139" t="s">
        <v>2141</v>
      </c>
      <c r="D139" t="s">
        <v>2127</v>
      </c>
      <c r="E139" t="s">
        <v>2142</v>
      </c>
      <c r="F139" t="s">
        <v>2143</v>
      </c>
      <c r="G139" t="s">
        <v>8558</v>
      </c>
      <c r="H139" t="s">
        <v>2144</v>
      </c>
    </row>
    <row r="140" spans="1:8" x14ac:dyDescent="0.25">
      <c r="A140" t="s">
        <v>2145</v>
      </c>
      <c r="B140" t="e">
        <f>VLOOKUP(A140,art_category_path_name!A:B,2,FALSE)</f>
        <v>#N/A</v>
      </c>
      <c r="C140" t="s">
        <v>2146</v>
      </c>
      <c r="D140" t="s">
        <v>2147</v>
      </c>
      <c r="E140" t="s">
        <v>2148</v>
      </c>
      <c r="F140" t="s">
        <v>2149</v>
      </c>
      <c r="G140" t="s">
        <v>8560</v>
      </c>
      <c r="H140" t="s">
        <v>2150</v>
      </c>
    </row>
    <row r="141" spans="1:8" x14ac:dyDescent="0.25">
      <c r="A141" t="s">
        <v>2151</v>
      </c>
      <c r="B141" t="e">
        <f>VLOOKUP(A141,art_category_path_name!A:B,2,FALSE)</f>
        <v>#N/A</v>
      </c>
      <c r="C141" t="s">
        <v>2152</v>
      </c>
      <c r="D141" t="s">
        <v>2153</v>
      </c>
      <c r="E141" t="s">
        <v>2154</v>
      </c>
      <c r="F141" t="s">
        <v>2155</v>
      </c>
      <c r="G141" t="s">
        <v>8561</v>
      </c>
      <c r="H141" t="s">
        <v>2156</v>
      </c>
    </row>
    <row r="142" spans="1:8" x14ac:dyDescent="0.25">
      <c r="A142" t="s">
        <v>678</v>
      </c>
      <c r="B142">
        <f>VLOOKUP(A142,art_category_path_name!A:B,2,FALSE)</f>
        <v>324</v>
      </c>
      <c r="C142" t="s">
        <v>2157</v>
      </c>
      <c r="D142" t="s">
        <v>2158</v>
      </c>
      <c r="E142" t="s">
        <v>2159</v>
      </c>
      <c r="F142" t="s">
        <v>2160</v>
      </c>
      <c r="G142" t="s">
        <v>8562</v>
      </c>
      <c r="H142" t="s">
        <v>2161</v>
      </c>
    </row>
    <row r="143" spans="1:8" x14ac:dyDescent="0.25">
      <c r="A143" t="s">
        <v>686</v>
      </c>
      <c r="B143">
        <f>VLOOKUP(A143,art_category_path_name!A:B,2,FALSE)</f>
        <v>325</v>
      </c>
      <c r="C143" t="s">
        <v>2162</v>
      </c>
      <c r="D143" t="s">
        <v>2163</v>
      </c>
      <c r="E143" t="s">
        <v>2164</v>
      </c>
      <c r="F143" t="s">
        <v>2165</v>
      </c>
      <c r="H143" t="s">
        <v>2166</v>
      </c>
    </row>
    <row r="144" spans="1:8" x14ac:dyDescent="0.25">
      <c r="A144" t="s">
        <v>693</v>
      </c>
      <c r="B144">
        <f>VLOOKUP(A144,art_category_path_name!A:B,2,FALSE)</f>
        <v>554</v>
      </c>
      <c r="C144" t="s">
        <v>2167</v>
      </c>
      <c r="D144" t="s">
        <v>2168</v>
      </c>
      <c r="E144" t="s">
        <v>2169</v>
      </c>
      <c r="F144" t="s">
        <v>2170</v>
      </c>
      <c r="G144" t="s">
        <v>8563</v>
      </c>
      <c r="H144" t="s">
        <v>2171</v>
      </c>
    </row>
    <row r="145" spans="1:8" x14ac:dyDescent="0.25">
      <c r="A145" t="s">
        <v>700</v>
      </c>
      <c r="B145">
        <f>VLOOKUP(A145,art_category_path_name!A:B,2,FALSE)</f>
        <v>710</v>
      </c>
      <c r="C145" t="s">
        <v>2172</v>
      </c>
      <c r="D145" t="s">
        <v>2173</v>
      </c>
      <c r="E145" t="s">
        <v>2174</v>
      </c>
      <c r="F145" t="s">
        <v>2175</v>
      </c>
      <c r="H145" t="s">
        <v>2176</v>
      </c>
    </row>
    <row r="146" spans="1:8" x14ac:dyDescent="0.25">
      <c r="A146" t="s">
        <v>705</v>
      </c>
      <c r="B146">
        <f>VLOOKUP(A146,art_category_path_name!A:B,2,FALSE)</f>
        <v>874</v>
      </c>
      <c r="C146" t="s">
        <v>2177</v>
      </c>
      <c r="D146" t="s">
        <v>2178</v>
      </c>
      <c r="E146" t="s">
        <v>2179</v>
      </c>
      <c r="F146" t="s">
        <v>2180</v>
      </c>
      <c r="H146" t="s">
        <v>2181</v>
      </c>
    </row>
    <row r="147" spans="1:8" x14ac:dyDescent="0.25">
      <c r="A147" t="s">
        <v>2182</v>
      </c>
      <c r="B147" t="e">
        <f>VLOOKUP(A147,art_category_path_name!A:B,2,FALSE)</f>
        <v>#N/A</v>
      </c>
      <c r="C147" t="s">
        <v>2183</v>
      </c>
      <c r="D147" t="s">
        <v>2184</v>
      </c>
      <c r="E147" t="s">
        <v>2185</v>
      </c>
      <c r="F147" t="s">
        <v>2186</v>
      </c>
      <c r="G147" t="s">
        <v>8564</v>
      </c>
      <c r="H147" t="s">
        <v>2187</v>
      </c>
    </row>
    <row r="148" spans="1:8" x14ac:dyDescent="0.25">
      <c r="A148" t="s">
        <v>679</v>
      </c>
      <c r="B148">
        <f>VLOOKUP(A148,art_category_path_name!A:B,2,FALSE)</f>
        <v>1039</v>
      </c>
      <c r="C148" t="s">
        <v>2188</v>
      </c>
      <c r="D148" t="s">
        <v>2189</v>
      </c>
      <c r="E148" t="s">
        <v>2113</v>
      </c>
      <c r="F148" t="s">
        <v>2114</v>
      </c>
      <c r="G148" t="s">
        <v>8565</v>
      </c>
      <c r="H148" t="s">
        <v>2190</v>
      </c>
    </row>
    <row r="149" spans="1:8" x14ac:dyDescent="0.25">
      <c r="A149" t="s">
        <v>2191</v>
      </c>
      <c r="B149" t="e">
        <f>VLOOKUP(A149,art_category_path_name!A:B,2,FALSE)</f>
        <v>#N/A</v>
      </c>
      <c r="C149" t="s">
        <v>2192</v>
      </c>
      <c r="D149" t="s">
        <v>2193</v>
      </c>
      <c r="E149" t="s">
        <v>2194</v>
      </c>
      <c r="F149" t="s">
        <v>2195</v>
      </c>
      <c r="H149" t="s">
        <v>2196</v>
      </c>
    </row>
    <row r="150" spans="1:8" x14ac:dyDescent="0.25">
      <c r="A150" t="s">
        <v>330</v>
      </c>
      <c r="B150">
        <f>VLOOKUP(A150,art_category_path_name!A:B,2,FALSE)</f>
        <v>281</v>
      </c>
      <c r="C150" t="s">
        <v>2197</v>
      </c>
      <c r="D150" t="s">
        <v>2198</v>
      </c>
      <c r="E150" t="s">
        <v>2199</v>
      </c>
      <c r="F150" t="s">
        <v>2200</v>
      </c>
      <c r="H150" t="s">
        <v>2201</v>
      </c>
    </row>
    <row r="151" spans="1:8" x14ac:dyDescent="0.25">
      <c r="A151" t="s">
        <v>333</v>
      </c>
      <c r="B151">
        <f>VLOOKUP(A151,art_category_path_name!A:B,2,FALSE)</f>
        <v>290</v>
      </c>
      <c r="C151" t="s">
        <v>2202</v>
      </c>
      <c r="D151" t="s">
        <v>2203</v>
      </c>
      <c r="E151" t="s">
        <v>2204</v>
      </c>
      <c r="F151" t="s">
        <v>2205</v>
      </c>
      <c r="G151" t="s">
        <v>8566</v>
      </c>
      <c r="H151" t="s">
        <v>2206</v>
      </c>
    </row>
    <row r="152" spans="1:8" x14ac:dyDescent="0.25">
      <c r="A152" t="s">
        <v>336</v>
      </c>
      <c r="B152">
        <f>VLOOKUP(A152,art_category_path_name!A:B,2,FALSE)</f>
        <v>293</v>
      </c>
      <c r="C152" t="s">
        <v>2207</v>
      </c>
      <c r="D152" t="s">
        <v>2208</v>
      </c>
      <c r="E152" t="s">
        <v>2209</v>
      </c>
      <c r="F152" t="s">
        <v>2210</v>
      </c>
      <c r="H152" t="s">
        <v>2211</v>
      </c>
    </row>
    <row r="153" spans="1:8" x14ac:dyDescent="0.25">
      <c r="A153" t="s">
        <v>338</v>
      </c>
      <c r="B153">
        <f>VLOOKUP(A153,art_category_path_name!A:B,2,FALSE)</f>
        <v>295</v>
      </c>
      <c r="C153" t="s">
        <v>2212</v>
      </c>
      <c r="D153" t="s">
        <v>2213</v>
      </c>
      <c r="E153" t="s">
        <v>2214</v>
      </c>
      <c r="F153" t="s">
        <v>2215</v>
      </c>
      <c r="G153" t="s">
        <v>8567</v>
      </c>
      <c r="H153" t="s">
        <v>2216</v>
      </c>
    </row>
    <row r="154" spans="1:8" x14ac:dyDescent="0.25">
      <c r="A154" t="s">
        <v>329</v>
      </c>
      <c r="B154">
        <f>VLOOKUP(A154,art_category_path_name!A:B,2,FALSE)</f>
        <v>280</v>
      </c>
      <c r="C154" t="s">
        <v>2217</v>
      </c>
      <c r="D154" t="s">
        <v>2218</v>
      </c>
      <c r="E154" t="s">
        <v>2209</v>
      </c>
      <c r="F154" t="s">
        <v>2219</v>
      </c>
      <c r="G154" t="s">
        <v>8568</v>
      </c>
      <c r="H154" t="s">
        <v>2220</v>
      </c>
    </row>
    <row r="155" spans="1:8" x14ac:dyDescent="0.25">
      <c r="A155" t="s">
        <v>212</v>
      </c>
      <c r="B155">
        <f>VLOOKUP(A155,art_category_path_name!A:B,2,FALSE)</f>
        <v>107</v>
      </c>
      <c r="C155" t="s">
        <v>2221</v>
      </c>
      <c r="D155" t="s">
        <v>2222</v>
      </c>
      <c r="E155" t="s">
        <v>2223</v>
      </c>
      <c r="F155" t="s">
        <v>2224</v>
      </c>
      <c r="H155" t="s">
        <v>2225</v>
      </c>
    </row>
    <row r="156" spans="1:8" x14ac:dyDescent="0.25">
      <c r="A156" t="s">
        <v>221</v>
      </c>
      <c r="B156">
        <f>VLOOKUP(A156,art_category_path_name!A:B,2,FALSE)</f>
        <v>630</v>
      </c>
      <c r="C156" t="s">
        <v>2226</v>
      </c>
      <c r="D156" t="s">
        <v>2227</v>
      </c>
      <c r="E156" t="s">
        <v>2228</v>
      </c>
      <c r="F156" t="s">
        <v>2229</v>
      </c>
      <c r="G156" t="s">
        <v>8569</v>
      </c>
      <c r="H156" t="s">
        <v>2230</v>
      </c>
    </row>
    <row r="157" spans="1:8" x14ac:dyDescent="0.25">
      <c r="A157" t="s">
        <v>224</v>
      </c>
      <c r="B157">
        <f>VLOOKUP(A157,art_category_path_name!A:B,2,FALSE)</f>
        <v>633</v>
      </c>
      <c r="C157" t="s">
        <v>2231</v>
      </c>
      <c r="D157" t="s">
        <v>2232</v>
      </c>
      <c r="E157" t="s">
        <v>2233</v>
      </c>
      <c r="F157" t="s">
        <v>2234</v>
      </c>
      <c r="G157" t="s">
        <v>8570</v>
      </c>
      <c r="H157" t="s">
        <v>2235</v>
      </c>
    </row>
    <row r="158" spans="1:8" x14ac:dyDescent="0.25">
      <c r="A158" t="s">
        <v>230</v>
      </c>
      <c r="B158">
        <f>VLOOKUP(A158,art_category_path_name!A:B,2,FALSE)</f>
        <v>639</v>
      </c>
      <c r="C158" t="s">
        <v>2236</v>
      </c>
      <c r="D158" t="s">
        <v>2237</v>
      </c>
      <c r="E158" t="s">
        <v>2238</v>
      </c>
      <c r="F158" t="s">
        <v>2239</v>
      </c>
      <c r="G158" t="s">
        <v>8571</v>
      </c>
      <c r="H158" t="s">
        <v>2240</v>
      </c>
    </row>
    <row r="159" spans="1:8" x14ac:dyDescent="0.25">
      <c r="A159" t="s">
        <v>235</v>
      </c>
      <c r="B159">
        <f>VLOOKUP(A159,art_category_path_name!A:B,2,FALSE)</f>
        <v>644</v>
      </c>
      <c r="C159" t="s">
        <v>2241</v>
      </c>
      <c r="D159" t="s">
        <v>2242</v>
      </c>
      <c r="E159" t="s">
        <v>2243</v>
      </c>
      <c r="F159" t="s">
        <v>2244</v>
      </c>
      <c r="G159" t="s">
        <v>8572</v>
      </c>
      <c r="H159" t="s">
        <v>2245</v>
      </c>
    </row>
    <row r="160" spans="1:8" x14ac:dyDescent="0.25">
      <c r="A160" t="s">
        <v>211</v>
      </c>
      <c r="B160">
        <f>VLOOKUP(A160,art_category_path_name!A:B,2,FALSE)</f>
        <v>106</v>
      </c>
      <c r="C160" t="s">
        <v>2246</v>
      </c>
      <c r="D160" t="s">
        <v>2247</v>
      </c>
      <c r="E160" t="s">
        <v>2248</v>
      </c>
      <c r="F160" t="s">
        <v>2249</v>
      </c>
      <c r="G160" t="s">
        <v>8573</v>
      </c>
      <c r="H160" t="s">
        <v>2250</v>
      </c>
    </row>
    <row r="161" spans="1:8" x14ac:dyDescent="0.25">
      <c r="A161" t="s">
        <v>428</v>
      </c>
      <c r="B161">
        <f>VLOOKUP(A161,art_category_path_name!A:B,2,FALSE)</f>
        <v>447</v>
      </c>
      <c r="C161" t="s">
        <v>2251</v>
      </c>
      <c r="D161" t="s">
        <v>2252</v>
      </c>
      <c r="E161" t="s">
        <v>2253</v>
      </c>
      <c r="F161" t="s">
        <v>2254</v>
      </c>
      <c r="G161" t="s">
        <v>8574</v>
      </c>
      <c r="H161" t="s">
        <v>2255</v>
      </c>
    </row>
    <row r="162" spans="1:8" x14ac:dyDescent="0.25">
      <c r="A162" t="s">
        <v>431</v>
      </c>
      <c r="B162">
        <f>VLOOKUP(A162,art_category_path_name!A:B,2,FALSE)</f>
        <v>677</v>
      </c>
      <c r="C162" t="s">
        <v>2256</v>
      </c>
      <c r="D162" t="s">
        <v>2257</v>
      </c>
      <c r="E162" t="s">
        <v>2258</v>
      </c>
      <c r="F162" t="s">
        <v>2259</v>
      </c>
      <c r="G162" t="s">
        <v>8575</v>
      </c>
      <c r="H162" t="s">
        <v>2260</v>
      </c>
    </row>
    <row r="163" spans="1:8" x14ac:dyDescent="0.25">
      <c r="A163" t="s">
        <v>434</v>
      </c>
      <c r="B163">
        <f>VLOOKUP(A163,art_category_path_name!A:B,2,FALSE)</f>
        <v>897</v>
      </c>
      <c r="C163" t="s">
        <v>2261</v>
      </c>
      <c r="D163" t="s">
        <v>2262</v>
      </c>
      <c r="E163" t="s">
        <v>2263</v>
      </c>
      <c r="F163" t="s">
        <v>2264</v>
      </c>
      <c r="G163" t="s">
        <v>8576</v>
      </c>
      <c r="H163" t="s">
        <v>2265</v>
      </c>
    </row>
    <row r="164" spans="1:8" x14ac:dyDescent="0.25">
      <c r="A164" t="s">
        <v>427</v>
      </c>
      <c r="B164">
        <f>VLOOKUP(A164,art_category_path_name!A:B,2,FALSE)</f>
        <v>446</v>
      </c>
      <c r="C164" t="s">
        <v>2266</v>
      </c>
      <c r="D164" t="s">
        <v>2267</v>
      </c>
      <c r="E164" t="s">
        <v>2268</v>
      </c>
      <c r="F164" t="s">
        <v>2269</v>
      </c>
      <c r="G164" t="s">
        <v>8577</v>
      </c>
      <c r="H164" t="s">
        <v>2270</v>
      </c>
    </row>
    <row r="165" spans="1:8" x14ac:dyDescent="0.25">
      <c r="A165" t="s">
        <v>318</v>
      </c>
      <c r="B165">
        <f>VLOOKUP(A165,art_category_path_name!A:B,2,FALSE)</f>
        <v>270</v>
      </c>
      <c r="C165" t="s">
        <v>1585</v>
      </c>
      <c r="D165" t="s">
        <v>2271</v>
      </c>
      <c r="E165" t="s">
        <v>2272</v>
      </c>
      <c r="F165" t="s">
        <v>2273</v>
      </c>
      <c r="G165" t="s">
        <v>8578</v>
      </c>
      <c r="H165" t="s">
        <v>2274</v>
      </c>
    </row>
    <row r="166" spans="1:8" x14ac:dyDescent="0.25">
      <c r="A166" t="s">
        <v>325</v>
      </c>
      <c r="B166">
        <f>VLOOKUP(A166,art_category_path_name!A:B,2,FALSE)</f>
        <v>563</v>
      </c>
      <c r="C166" t="s">
        <v>2275</v>
      </c>
      <c r="D166" t="s">
        <v>2276</v>
      </c>
      <c r="E166" t="s">
        <v>2277</v>
      </c>
      <c r="F166" t="s">
        <v>2278</v>
      </c>
      <c r="G166" t="s">
        <v>8579</v>
      </c>
      <c r="H166" t="s">
        <v>2279</v>
      </c>
    </row>
    <row r="167" spans="1:8" x14ac:dyDescent="0.25">
      <c r="A167" t="s">
        <v>315</v>
      </c>
      <c r="B167">
        <f>VLOOKUP(A167,art_category_path_name!A:B,2,FALSE)</f>
        <v>1130</v>
      </c>
      <c r="C167" t="s">
        <v>2280</v>
      </c>
      <c r="D167" t="s">
        <v>2281</v>
      </c>
      <c r="E167" t="s">
        <v>2282</v>
      </c>
      <c r="F167" t="s">
        <v>2283</v>
      </c>
      <c r="G167" t="s">
        <v>8580</v>
      </c>
      <c r="H167" t="s">
        <v>2284</v>
      </c>
    </row>
    <row r="168" spans="1:8" x14ac:dyDescent="0.25">
      <c r="A168" t="s">
        <v>314</v>
      </c>
      <c r="B168">
        <f>VLOOKUP(A168,art_category_path_name!A:B,2,FALSE)</f>
        <v>269</v>
      </c>
      <c r="C168" t="s">
        <v>2285</v>
      </c>
      <c r="D168" t="s">
        <v>2286</v>
      </c>
      <c r="E168" t="s">
        <v>2287</v>
      </c>
      <c r="F168" t="s">
        <v>2288</v>
      </c>
      <c r="G168" t="s">
        <v>8581</v>
      </c>
      <c r="H168" t="s">
        <v>2289</v>
      </c>
    </row>
    <row r="169" spans="1:8" x14ac:dyDescent="0.25">
      <c r="A169" t="s">
        <v>410</v>
      </c>
      <c r="B169">
        <f>VLOOKUP(A169,art_category_path_name!A:B,2,FALSE)</f>
        <v>31</v>
      </c>
      <c r="C169" t="s">
        <v>2290</v>
      </c>
      <c r="D169" t="s">
        <v>2291</v>
      </c>
      <c r="E169" t="s">
        <v>2292</v>
      </c>
      <c r="F169" t="s">
        <v>2293</v>
      </c>
      <c r="G169" t="s">
        <v>8582</v>
      </c>
      <c r="H169" t="s">
        <v>2294</v>
      </c>
    </row>
    <row r="170" spans="1:8" x14ac:dyDescent="0.25">
      <c r="A170" t="s">
        <v>342</v>
      </c>
      <c r="B170">
        <f>VLOOKUP(A170,art_category_path_name!A:B,2,FALSE)</f>
        <v>116</v>
      </c>
      <c r="C170" t="s">
        <v>2295</v>
      </c>
      <c r="D170" t="s">
        <v>2296</v>
      </c>
      <c r="E170" t="s">
        <v>2297</v>
      </c>
      <c r="F170" t="s">
        <v>2298</v>
      </c>
      <c r="H170" t="s">
        <v>2299</v>
      </c>
    </row>
    <row r="171" spans="1:8" x14ac:dyDescent="0.25">
      <c r="A171" t="s">
        <v>376</v>
      </c>
      <c r="B171">
        <f>VLOOKUP(A171,art_category_path_name!A:B,2,FALSE)</f>
        <v>1201</v>
      </c>
      <c r="C171" t="s">
        <v>2300</v>
      </c>
      <c r="D171" t="s">
        <v>2301</v>
      </c>
      <c r="E171" t="s">
        <v>2302</v>
      </c>
      <c r="F171" t="s">
        <v>2303</v>
      </c>
      <c r="G171" t="s">
        <v>8583</v>
      </c>
      <c r="H171" t="s">
        <v>2304</v>
      </c>
    </row>
    <row r="172" spans="1:8" x14ac:dyDescent="0.25">
      <c r="A172" t="s">
        <v>388</v>
      </c>
      <c r="B172">
        <f>VLOOKUP(A172,art_category_path_name!A:B,2,FALSE)</f>
        <v>1213</v>
      </c>
      <c r="C172" t="s">
        <v>2305</v>
      </c>
      <c r="D172" t="s">
        <v>2306</v>
      </c>
      <c r="E172" t="s">
        <v>2307</v>
      </c>
      <c r="F172" t="s">
        <v>2308</v>
      </c>
      <c r="G172" t="s">
        <v>8584</v>
      </c>
      <c r="H172" t="s">
        <v>2309</v>
      </c>
    </row>
    <row r="173" spans="1:8" x14ac:dyDescent="0.25">
      <c r="A173" t="s">
        <v>390</v>
      </c>
      <c r="B173">
        <f>VLOOKUP(A173,art_category_path_name!A:B,2,FALSE)</f>
        <v>1221</v>
      </c>
      <c r="C173" t="s">
        <v>2310</v>
      </c>
      <c r="D173" t="s">
        <v>2311</v>
      </c>
      <c r="E173" t="s">
        <v>2312</v>
      </c>
      <c r="F173" t="s">
        <v>2313</v>
      </c>
      <c r="G173" t="s">
        <v>8585</v>
      </c>
      <c r="H173" t="s">
        <v>2314</v>
      </c>
    </row>
    <row r="174" spans="1:8" x14ac:dyDescent="0.25">
      <c r="A174" t="s">
        <v>341</v>
      </c>
      <c r="B174">
        <f>VLOOKUP(A174,art_category_path_name!A:B,2,FALSE)</f>
        <v>30</v>
      </c>
      <c r="C174" t="s">
        <v>2315</v>
      </c>
      <c r="D174" t="s">
        <v>2316</v>
      </c>
      <c r="E174" t="s">
        <v>2317</v>
      </c>
      <c r="F174" t="s">
        <v>2318</v>
      </c>
      <c r="G174" t="s">
        <v>8586</v>
      </c>
      <c r="H174" t="s">
        <v>2319</v>
      </c>
    </row>
    <row r="175" spans="1:8" x14ac:dyDescent="0.25">
      <c r="A175" t="s">
        <v>298</v>
      </c>
      <c r="B175">
        <f>VLOOKUP(A175,art_category_path_name!A:B,2,FALSE)</f>
        <v>223</v>
      </c>
      <c r="C175" t="s">
        <v>2320</v>
      </c>
      <c r="D175" t="s">
        <v>2321</v>
      </c>
      <c r="E175" t="s">
        <v>2322</v>
      </c>
      <c r="F175" t="s">
        <v>2323</v>
      </c>
      <c r="G175" t="s">
        <v>8587</v>
      </c>
      <c r="H175" t="s">
        <v>2324</v>
      </c>
    </row>
    <row r="176" spans="1:8" x14ac:dyDescent="0.25">
      <c r="A176" t="s">
        <v>309</v>
      </c>
      <c r="B176">
        <f>VLOOKUP(A176,art_category_path_name!A:B,2,FALSE)</f>
        <v>234</v>
      </c>
      <c r="C176" t="s">
        <v>2325</v>
      </c>
      <c r="D176" t="s">
        <v>2326</v>
      </c>
      <c r="E176" t="s">
        <v>2327</v>
      </c>
      <c r="F176" t="s">
        <v>2328</v>
      </c>
      <c r="G176" t="s">
        <v>8588</v>
      </c>
      <c r="H176" t="s">
        <v>2329</v>
      </c>
    </row>
    <row r="177" spans="1:8" x14ac:dyDescent="0.25">
      <c r="A177" t="s">
        <v>261</v>
      </c>
      <c r="B177">
        <f>VLOOKUP(A177,art_category_path_name!A:B,2,FALSE)</f>
        <v>1062</v>
      </c>
      <c r="C177" t="s">
        <v>2330</v>
      </c>
      <c r="D177" t="s">
        <v>2331</v>
      </c>
      <c r="E177" t="s">
        <v>2332</v>
      </c>
      <c r="F177" t="s">
        <v>2333</v>
      </c>
      <c r="G177" t="s">
        <v>8589</v>
      </c>
      <c r="H177" t="s">
        <v>2334</v>
      </c>
    </row>
    <row r="178" spans="1:8" x14ac:dyDescent="0.25">
      <c r="A178" t="s">
        <v>274</v>
      </c>
      <c r="B178">
        <f>VLOOKUP(A178,art_category_path_name!A:B,2,FALSE)</f>
        <v>1075</v>
      </c>
      <c r="C178" t="s">
        <v>2335</v>
      </c>
      <c r="D178" t="s">
        <v>2336</v>
      </c>
      <c r="E178" t="s">
        <v>2337</v>
      </c>
      <c r="F178" t="s">
        <v>2338</v>
      </c>
      <c r="G178" t="s">
        <v>8590</v>
      </c>
      <c r="H178" t="s">
        <v>2339</v>
      </c>
    </row>
    <row r="179" spans="1:8" x14ac:dyDescent="0.25">
      <c r="A179" t="s">
        <v>277</v>
      </c>
      <c r="B179">
        <f>VLOOKUP(A179,art_category_path_name!A:B,2,FALSE)</f>
        <v>1333</v>
      </c>
      <c r="C179" t="s">
        <v>2340</v>
      </c>
      <c r="D179" t="s">
        <v>2341</v>
      </c>
      <c r="E179" t="s">
        <v>2342</v>
      </c>
      <c r="F179" t="s">
        <v>2343</v>
      </c>
      <c r="G179" t="s">
        <v>8591</v>
      </c>
      <c r="H179" t="s">
        <v>2344</v>
      </c>
    </row>
    <row r="180" spans="1:8" x14ac:dyDescent="0.25">
      <c r="A180" t="s">
        <v>292</v>
      </c>
      <c r="B180">
        <f>VLOOKUP(A180,art_category_path_name!A:B,2,FALSE)</f>
        <v>1348</v>
      </c>
      <c r="C180" t="s">
        <v>2345</v>
      </c>
      <c r="D180" t="s">
        <v>2346</v>
      </c>
      <c r="E180" t="s">
        <v>2347</v>
      </c>
      <c r="F180" t="s">
        <v>2348</v>
      </c>
      <c r="G180" t="s">
        <v>8592</v>
      </c>
      <c r="H180" t="s">
        <v>2349</v>
      </c>
    </row>
    <row r="181" spans="1:8" x14ac:dyDescent="0.25">
      <c r="A181" t="s">
        <v>260</v>
      </c>
      <c r="B181">
        <f>VLOOKUP(A181,art_category_path_name!A:B,2,FALSE)</f>
        <v>222</v>
      </c>
      <c r="C181" t="s">
        <v>2350</v>
      </c>
      <c r="D181" t="s">
        <v>2351</v>
      </c>
      <c r="E181" t="s">
        <v>2352</v>
      </c>
      <c r="F181" t="s">
        <v>2353</v>
      </c>
      <c r="G181" t="s">
        <v>8593</v>
      </c>
      <c r="H181" t="s">
        <v>2354</v>
      </c>
    </row>
    <row r="182" spans="1:8" x14ac:dyDescent="0.25">
      <c r="A182" t="s">
        <v>257</v>
      </c>
      <c r="B182">
        <f>VLOOKUP(A182,art_category_path_name!A:B,2,FALSE)</f>
        <v>1358</v>
      </c>
      <c r="C182" t="s">
        <v>2355</v>
      </c>
      <c r="D182" t="s">
        <v>2356</v>
      </c>
      <c r="E182" t="s">
        <v>2357</v>
      </c>
      <c r="F182" t="s">
        <v>2358</v>
      </c>
      <c r="H182" t="s">
        <v>2359</v>
      </c>
    </row>
    <row r="183" spans="1:8" x14ac:dyDescent="0.25">
      <c r="A183" t="s">
        <v>210</v>
      </c>
      <c r="B183">
        <f>VLOOKUP(A183,art_category_path_name!A:B,2,FALSE)</f>
        <v>29</v>
      </c>
      <c r="C183" t="s">
        <v>2360</v>
      </c>
      <c r="D183" t="s">
        <v>2361</v>
      </c>
      <c r="E183" t="s">
        <v>2362</v>
      </c>
      <c r="F183" t="s">
        <v>2363</v>
      </c>
      <c r="G183" t="s">
        <v>8594</v>
      </c>
      <c r="H183" t="s">
        <v>2364</v>
      </c>
    </row>
    <row r="184" spans="1:8" x14ac:dyDescent="0.25">
      <c r="A184" t="s">
        <v>1382</v>
      </c>
      <c r="B184">
        <f>VLOOKUP(A184,art_category_path_name!A:B,2,FALSE)</f>
        <v>70</v>
      </c>
      <c r="C184" t="s">
        <v>2365</v>
      </c>
      <c r="D184" t="s">
        <v>2366</v>
      </c>
      <c r="E184" t="s">
        <v>2367</v>
      </c>
      <c r="F184" t="s">
        <v>2368</v>
      </c>
      <c r="H184" t="s">
        <v>2369</v>
      </c>
    </row>
    <row r="185" spans="1:8" x14ac:dyDescent="0.25">
      <c r="A185" t="s">
        <v>1415</v>
      </c>
      <c r="B185">
        <f>VLOOKUP(A185,art_category_path_name!A:B,2,FALSE)</f>
        <v>85</v>
      </c>
      <c r="C185" t="s">
        <v>2370</v>
      </c>
      <c r="D185" t="s">
        <v>2371</v>
      </c>
      <c r="E185" t="s">
        <v>2372</v>
      </c>
      <c r="F185" t="s">
        <v>2373</v>
      </c>
      <c r="H185" t="s">
        <v>2374</v>
      </c>
    </row>
    <row r="186" spans="1:8" x14ac:dyDescent="0.25">
      <c r="A186" t="s">
        <v>1348</v>
      </c>
      <c r="B186">
        <f>VLOOKUP(A186,art_category_path_name!A:B,2,FALSE)</f>
        <v>104</v>
      </c>
      <c r="C186" t="s">
        <v>2375</v>
      </c>
      <c r="D186" t="s">
        <v>2376</v>
      </c>
      <c r="E186" t="s">
        <v>2377</v>
      </c>
      <c r="F186" t="s">
        <v>2378</v>
      </c>
      <c r="G186" t="s">
        <v>8595</v>
      </c>
      <c r="H186" t="s">
        <v>2379</v>
      </c>
    </row>
    <row r="187" spans="1:8" x14ac:dyDescent="0.25">
      <c r="A187" t="s">
        <v>1365</v>
      </c>
      <c r="B187">
        <f>VLOOKUP(A187,art_category_path_name!A:B,2,FALSE)</f>
        <v>165</v>
      </c>
      <c r="C187" t="s">
        <v>2380</v>
      </c>
      <c r="D187" t="s">
        <v>2381</v>
      </c>
      <c r="E187" t="s">
        <v>2382</v>
      </c>
      <c r="F187" t="s">
        <v>2383</v>
      </c>
      <c r="H187" t="s">
        <v>2384</v>
      </c>
    </row>
    <row r="188" spans="1:8" x14ac:dyDescent="0.25">
      <c r="A188" t="s">
        <v>1397</v>
      </c>
      <c r="B188">
        <f>VLOOKUP(A188,art_category_path_name!A:B,2,FALSE)</f>
        <v>763</v>
      </c>
      <c r="C188" t="s">
        <v>2385</v>
      </c>
      <c r="D188" t="s">
        <v>2386</v>
      </c>
      <c r="E188" t="s">
        <v>2387</v>
      </c>
      <c r="F188" t="s">
        <v>2388</v>
      </c>
      <c r="H188" t="s">
        <v>2389</v>
      </c>
    </row>
    <row r="189" spans="1:8" x14ac:dyDescent="0.25">
      <c r="A189" t="s">
        <v>1347</v>
      </c>
      <c r="B189">
        <f>VLOOKUP(A189,art_category_path_name!A:B,2,FALSE)</f>
        <v>69</v>
      </c>
      <c r="C189" t="s">
        <v>2390</v>
      </c>
      <c r="D189" t="s">
        <v>2391</v>
      </c>
      <c r="E189" t="s">
        <v>2392</v>
      </c>
      <c r="F189" t="s">
        <v>2393</v>
      </c>
      <c r="G189" t="s">
        <v>8596</v>
      </c>
      <c r="H189" t="s">
        <v>2394</v>
      </c>
    </row>
    <row r="190" spans="1:8" x14ac:dyDescent="0.25">
      <c r="A190" t="s">
        <v>1189</v>
      </c>
      <c r="B190">
        <f>VLOOKUP(A190,art_category_path_name!A:B,2,FALSE)</f>
        <v>310</v>
      </c>
      <c r="C190" t="s">
        <v>1585</v>
      </c>
      <c r="D190" t="s">
        <v>2395</v>
      </c>
      <c r="E190" t="s">
        <v>2396</v>
      </c>
      <c r="F190" t="s">
        <v>2397</v>
      </c>
      <c r="H190" t="s">
        <v>2398</v>
      </c>
    </row>
    <row r="191" spans="1:8" x14ac:dyDescent="0.25">
      <c r="A191" t="s">
        <v>1195</v>
      </c>
      <c r="B191">
        <f>VLOOKUP(A191,art_category_path_name!A:B,2,FALSE)</f>
        <v>409</v>
      </c>
      <c r="C191" t="s">
        <v>2399</v>
      </c>
      <c r="D191" t="s">
        <v>2400</v>
      </c>
      <c r="E191" t="s">
        <v>2401</v>
      </c>
      <c r="F191" t="s">
        <v>2402</v>
      </c>
      <c r="H191" t="s">
        <v>2403</v>
      </c>
    </row>
    <row r="192" spans="1:8" x14ac:dyDescent="0.25">
      <c r="A192" t="s">
        <v>1214</v>
      </c>
      <c r="B192">
        <f>VLOOKUP(A192,art_category_path_name!A:B,2,FALSE)</f>
        <v>441</v>
      </c>
      <c r="C192" t="s">
        <v>2404</v>
      </c>
      <c r="D192" t="s">
        <v>2405</v>
      </c>
      <c r="E192" t="s">
        <v>2406</v>
      </c>
      <c r="F192" t="s">
        <v>2407</v>
      </c>
      <c r="H192" t="s">
        <v>2408</v>
      </c>
    </row>
    <row r="193" spans="1:8" x14ac:dyDescent="0.25">
      <c r="A193" t="s">
        <v>1219</v>
      </c>
      <c r="B193">
        <f>VLOOKUP(A193,art_category_path_name!A:B,2,FALSE)</f>
        <v>864</v>
      </c>
      <c r="C193" t="s">
        <v>2409</v>
      </c>
      <c r="D193" t="s">
        <v>2410</v>
      </c>
      <c r="E193" t="s">
        <v>2411</v>
      </c>
      <c r="F193" t="s">
        <v>2412</v>
      </c>
      <c r="H193" t="s">
        <v>2413</v>
      </c>
    </row>
    <row r="194" spans="1:8" x14ac:dyDescent="0.25">
      <c r="A194" t="s">
        <v>1230</v>
      </c>
      <c r="B194">
        <f>VLOOKUP(A194,art_category_path_name!A:B,2,FALSE)</f>
        <v>949</v>
      </c>
      <c r="C194" t="s">
        <v>2414</v>
      </c>
      <c r="D194" t="s">
        <v>2415</v>
      </c>
      <c r="E194" t="s">
        <v>2416</v>
      </c>
      <c r="F194" t="s">
        <v>2417</v>
      </c>
      <c r="H194" t="s">
        <v>2418</v>
      </c>
    </row>
    <row r="195" spans="1:8" x14ac:dyDescent="0.25">
      <c r="A195" t="s">
        <v>1144</v>
      </c>
      <c r="B195">
        <f>VLOOKUP(A195,art_category_path_name!A:B,2,FALSE)</f>
        <v>1027</v>
      </c>
      <c r="C195" t="s">
        <v>2419</v>
      </c>
      <c r="D195" t="s">
        <v>2420</v>
      </c>
      <c r="E195" t="s">
        <v>2421</v>
      </c>
      <c r="F195" t="s">
        <v>2422</v>
      </c>
      <c r="G195" t="s">
        <v>8597</v>
      </c>
      <c r="H195" t="s">
        <v>2423</v>
      </c>
    </row>
    <row r="196" spans="1:8" x14ac:dyDescent="0.25">
      <c r="A196" t="s">
        <v>1187</v>
      </c>
      <c r="B196">
        <f>VLOOKUP(A196,art_category_path_name!A:B,2,FALSE)</f>
        <v>1405</v>
      </c>
      <c r="C196" t="s">
        <v>2424</v>
      </c>
      <c r="D196" t="s">
        <v>2425</v>
      </c>
      <c r="E196" t="s">
        <v>2426</v>
      </c>
      <c r="F196" t="s">
        <v>2425</v>
      </c>
      <c r="G196" t="s">
        <v>8598</v>
      </c>
      <c r="H196" t="s">
        <v>2427</v>
      </c>
    </row>
    <row r="197" spans="1:8" x14ac:dyDescent="0.25">
      <c r="A197" t="s">
        <v>2428</v>
      </c>
      <c r="B197" t="e">
        <f>VLOOKUP(A197,art_category_path_name!A:B,2,FALSE)</f>
        <v>#N/A</v>
      </c>
      <c r="C197" t="s">
        <v>2429</v>
      </c>
      <c r="D197" t="s">
        <v>2430</v>
      </c>
      <c r="E197" t="s">
        <v>2431</v>
      </c>
      <c r="F197" t="s">
        <v>2432</v>
      </c>
      <c r="G197" t="s">
        <v>8599</v>
      </c>
      <c r="H197" t="s">
        <v>2433</v>
      </c>
    </row>
    <row r="198" spans="1:8" x14ac:dyDescent="0.25">
      <c r="A198" t="s">
        <v>1148</v>
      </c>
      <c r="B198">
        <f>VLOOKUP(A198,art_category_path_name!A:B,2,FALSE)</f>
        <v>1078</v>
      </c>
      <c r="C198" t="s">
        <v>2434</v>
      </c>
      <c r="D198" t="s">
        <v>2435</v>
      </c>
      <c r="E198" t="s">
        <v>2436</v>
      </c>
      <c r="F198" t="s">
        <v>2437</v>
      </c>
      <c r="H198" t="s">
        <v>2438</v>
      </c>
    </row>
    <row r="199" spans="1:8" x14ac:dyDescent="0.25">
      <c r="A199" t="s">
        <v>1167</v>
      </c>
      <c r="B199">
        <f>VLOOKUP(A199,art_category_path_name!A:B,2,FALSE)</f>
        <v>1133</v>
      </c>
      <c r="C199" t="s">
        <v>2439</v>
      </c>
      <c r="D199" t="s">
        <v>2440</v>
      </c>
      <c r="E199" t="s">
        <v>2441</v>
      </c>
      <c r="F199" t="s">
        <v>2442</v>
      </c>
      <c r="H199" t="s">
        <v>2443</v>
      </c>
    </row>
    <row r="200" spans="1:8" x14ac:dyDescent="0.25">
      <c r="A200" t="s">
        <v>1171</v>
      </c>
      <c r="B200">
        <f>VLOOKUP(A200,art_category_path_name!A:B,2,FALSE)</f>
        <v>1215</v>
      </c>
      <c r="C200" t="s">
        <v>2305</v>
      </c>
      <c r="D200" t="s">
        <v>2444</v>
      </c>
      <c r="E200" t="s">
        <v>2445</v>
      </c>
      <c r="F200" t="s">
        <v>2446</v>
      </c>
      <c r="H200" t="s">
        <v>2447</v>
      </c>
    </row>
    <row r="201" spans="1:8" x14ac:dyDescent="0.25">
      <c r="A201" t="s">
        <v>1177</v>
      </c>
      <c r="B201">
        <f>VLOOKUP(A201,art_category_path_name!A:B,2,FALSE)</f>
        <v>1373</v>
      </c>
      <c r="C201" t="s">
        <v>2448</v>
      </c>
      <c r="D201" t="s">
        <v>2449</v>
      </c>
      <c r="E201" t="s">
        <v>2450</v>
      </c>
      <c r="F201" t="s">
        <v>2451</v>
      </c>
      <c r="H201" t="s">
        <v>2452</v>
      </c>
    </row>
    <row r="202" spans="1:8" x14ac:dyDescent="0.25">
      <c r="A202" t="s">
        <v>1143</v>
      </c>
      <c r="B202">
        <f>VLOOKUP(A202,art_category_path_name!A:B,2,FALSE)</f>
        <v>309</v>
      </c>
      <c r="C202" t="s">
        <v>2434</v>
      </c>
      <c r="D202" t="s">
        <v>2453</v>
      </c>
      <c r="E202" t="s">
        <v>2454</v>
      </c>
      <c r="F202" t="s">
        <v>2455</v>
      </c>
      <c r="H202" t="s">
        <v>2456</v>
      </c>
    </row>
    <row r="203" spans="1:8" x14ac:dyDescent="0.25">
      <c r="A203" t="s">
        <v>1234</v>
      </c>
      <c r="B203">
        <f>VLOOKUP(A203,art_category_path_name!A:B,2,FALSE)</f>
        <v>567</v>
      </c>
      <c r="C203" t="s">
        <v>2457</v>
      </c>
      <c r="D203" t="s">
        <v>2458</v>
      </c>
      <c r="E203" t="s">
        <v>2459</v>
      </c>
      <c r="F203" t="s">
        <v>2460</v>
      </c>
      <c r="H203" t="s">
        <v>2461</v>
      </c>
    </row>
    <row r="204" spans="1:8" x14ac:dyDescent="0.25">
      <c r="A204" t="s">
        <v>1269</v>
      </c>
      <c r="B204">
        <f>VLOOKUP(A204,art_category_path_name!A:B,2,FALSE)</f>
        <v>666</v>
      </c>
      <c r="C204" t="s">
        <v>2462</v>
      </c>
      <c r="D204" t="s">
        <v>2463</v>
      </c>
      <c r="E204" t="s">
        <v>2464</v>
      </c>
      <c r="F204" t="s">
        <v>2465</v>
      </c>
      <c r="G204" t="s">
        <v>8600</v>
      </c>
      <c r="H204" t="s">
        <v>2466</v>
      </c>
    </row>
    <row r="205" spans="1:8" x14ac:dyDescent="0.25">
      <c r="A205" t="s">
        <v>1095</v>
      </c>
      <c r="B205">
        <f>VLOOKUP(A205,art_category_path_name!A:B,2,FALSE)</f>
        <v>278</v>
      </c>
      <c r="C205" t="s">
        <v>2467</v>
      </c>
      <c r="D205" t="s">
        <v>2468</v>
      </c>
      <c r="E205" t="s">
        <v>2469</v>
      </c>
      <c r="F205" t="s">
        <v>2470</v>
      </c>
      <c r="G205" t="s">
        <v>8601</v>
      </c>
      <c r="H205" t="s">
        <v>2471</v>
      </c>
    </row>
    <row r="206" spans="1:8" x14ac:dyDescent="0.25">
      <c r="A206" t="s">
        <v>1097</v>
      </c>
      <c r="B206">
        <f>VLOOKUP(A206,art_category_path_name!A:B,2,FALSE)</f>
        <v>797</v>
      </c>
      <c r="C206" t="s">
        <v>2472</v>
      </c>
      <c r="D206" t="s">
        <v>2473</v>
      </c>
      <c r="E206" t="s">
        <v>2474</v>
      </c>
      <c r="F206" t="s">
        <v>2475</v>
      </c>
      <c r="G206" t="s">
        <v>8602</v>
      </c>
      <c r="H206" t="s">
        <v>2476</v>
      </c>
    </row>
    <row r="207" spans="1:8" x14ac:dyDescent="0.25">
      <c r="A207" t="s">
        <v>1100</v>
      </c>
      <c r="B207">
        <f>VLOOKUP(A207,art_category_path_name!A:B,2,FALSE)</f>
        <v>800</v>
      </c>
      <c r="C207" t="s">
        <v>2477</v>
      </c>
      <c r="D207" t="s">
        <v>2478</v>
      </c>
      <c r="E207" t="s">
        <v>2479</v>
      </c>
      <c r="F207" t="s">
        <v>2480</v>
      </c>
      <c r="G207" t="s">
        <v>8603</v>
      </c>
      <c r="H207" t="s">
        <v>2481</v>
      </c>
    </row>
    <row r="208" spans="1:8" x14ac:dyDescent="0.25">
      <c r="A208" t="s">
        <v>1102</v>
      </c>
      <c r="B208">
        <f>VLOOKUP(A208,art_category_path_name!A:B,2,FALSE)</f>
        <v>802</v>
      </c>
      <c r="C208" t="s">
        <v>2482</v>
      </c>
      <c r="D208" t="s">
        <v>2483</v>
      </c>
      <c r="E208" t="s">
        <v>2484</v>
      </c>
      <c r="F208" t="s">
        <v>2485</v>
      </c>
      <c r="G208" t="s">
        <v>8604</v>
      </c>
      <c r="H208" t="s">
        <v>2486</v>
      </c>
    </row>
    <row r="209" spans="1:8" x14ac:dyDescent="0.25">
      <c r="A209" t="s">
        <v>1113</v>
      </c>
      <c r="B209">
        <f>VLOOKUP(A209,art_category_path_name!A:B,2,FALSE)</f>
        <v>813</v>
      </c>
      <c r="C209" t="s">
        <v>2487</v>
      </c>
      <c r="D209" t="s">
        <v>2488</v>
      </c>
      <c r="E209" t="s">
        <v>2489</v>
      </c>
      <c r="F209" t="s">
        <v>2490</v>
      </c>
      <c r="G209" t="s">
        <v>8605</v>
      </c>
      <c r="H209" t="s">
        <v>2491</v>
      </c>
    </row>
    <row r="210" spans="1:8" x14ac:dyDescent="0.25">
      <c r="A210" t="s">
        <v>1119</v>
      </c>
      <c r="B210">
        <f>VLOOKUP(A210,art_category_path_name!A:B,2,FALSE)</f>
        <v>860</v>
      </c>
      <c r="C210" t="s">
        <v>2492</v>
      </c>
      <c r="D210" t="s">
        <v>2493</v>
      </c>
      <c r="E210" t="s">
        <v>2494</v>
      </c>
      <c r="F210" t="s">
        <v>2495</v>
      </c>
      <c r="G210" t="s">
        <v>8606</v>
      </c>
      <c r="H210" t="s">
        <v>2496</v>
      </c>
    </row>
    <row r="211" spans="1:8" x14ac:dyDescent="0.25">
      <c r="A211" t="s">
        <v>1123</v>
      </c>
      <c r="B211">
        <f>VLOOKUP(A211,art_category_path_name!A:B,2,FALSE)</f>
        <v>981</v>
      </c>
      <c r="C211" t="s">
        <v>2497</v>
      </c>
      <c r="D211" t="s">
        <v>2498</v>
      </c>
      <c r="E211" t="s">
        <v>2499</v>
      </c>
      <c r="F211" t="s">
        <v>2500</v>
      </c>
      <c r="H211" t="s">
        <v>2501</v>
      </c>
    </row>
    <row r="212" spans="1:8" x14ac:dyDescent="0.25">
      <c r="A212" t="s">
        <v>1085</v>
      </c>
      <c r="B212">
        <f>VLOOKUP(A212,art_category_path_name!A:B,2,FALSE)</f>
        <v>1117</v>
      </c>
      <c r="C212" t="s">
        <v>2502</v>
      </c>
      <c r="D212" t="s">
        <v>2503</v>
      </c>
      <c r="E212" t="s">
        <v>2504</v>
      </c>
      <c r="F212" t="s">
        <v>2505</v>
      </c>
      <c r="G212" t="s">
        <v>8607</v>
      </c>
      <c r="H212" t="s">
        <v>2506</v>
      </c>
    </row>
    <row r="213" spans="1:8" x14ac:dyDescent="0.25">
      <c r="A213" t="s">
        <v>1037</v>
      </c>
      <c r="B213">
        <f>VLOOKUP(A213,art_category_path_name!A:B,2,FALSE)</f>
        <v>195</v>
      </c>
      <c r="C213" t="s">
        <v>2507</v>
      </c>
      <c r="D213" t="s">
        <v>2508</v>
      </c>
      <c r="E213" t="s">
        <v>2509</v>
      </c>
      <c r="F213" t="s">
        <v>2510</v>
      </c>
      <c r="H213" t="s">
        <v>2511</v>
      </c>
    </row>
    <row r="214" spans="1:8" x14ac:dyDescent="0.25">
      <c r="A214" t="s">
        <v>1044</v>
      </c>
      <c r="B214">
        <f>VLOOKUP(A214,art_category_path_name!A:B,2,FALSE)</f>
        <v>431</v>
      </c>
      <c r="C214" t="s">
        <v>2512</v>
      </c>
      <c r="D214" t="s">
        <v>2513</v>
      </c>
      <c r="E214" t="s">
        <v>2514</v>
      </c>
      <c r="F214" t="s">
        <v>2515</v>
      </c>
      <c r="G214" t="s">
        <v>8608</v>
      </c>
      <c r="H214" t="s">
        <v>2516</v>
      </c>
    </row>
    <row r="215" spans="1:8" x14ac:dyDescent="0.25">
      <c r="A215" t="s">
        <v>1054</v>
      </c>
      <c r="B215">
        <f>VLOOKUP(A215,art_category_path_name!A:B,2,FALSE)</f>
        <v>449</v>
      </c>
      <c r="C215" t="s">
        <v>2517</v>
      </c>
      <c r="D215" t="s">
        <v>2518</v>
      </c>
      <c r="E215" t="s">
        <v>2519</v>
      </c>
      <c r="F215" t="s">
        <v>2520</v>
      </c>
      <c r="H215" t="s">
        <v>2521</v>
      </c>
    </row>
    <row r="216" spans="1:8" x14ac:dyDescent="0.25">
      <c r="A216" t="s">
        <v>1057</v>
      </c>
      <c r="B216">
        <f>VLOOKUP(A216,art_category_path_name!A:B,2,FALSE)</f>
        <v>702</v>
      </c>
      <c r="C216" t="s">
        <v>2522</v>
      </c>
      <c r="D216" t="s">
        <v>2523</v>
      </c>
      <c r="E216" t="s">
        <v>2524</v>
      </c>
      <c r="F216" t="s">
        <v>2525</v>
      </c>
      <c r="H216" t="s">
        <v>2526</v>
      </c>
    </row>
    <row r="217" spans="1:8" x14ac:dyDescent="0.25">
      <c r="A217" t="s">
        <v>1060</v>
      </c>
      <c r="B217">
        <f>VLOOKUP(A217,art_category_path_name!A:B,2,FALSE)</f>
        <v>748</v>
      </c>
      <c r="C217" t="s">
        <v>1585</v>
      </c>
      <c r="D217" t="s">
        <v>2527</v>
      </c>
      <c r="E217" t="s">
        <v>2528</v>
      </c>
      <c r="F217" t="s">
        <v>2529</v>
      </c>
      <c r="H217" t="s">
        <v>2530</v>
      </c>
    </row>
    <row r="218" spans="1:8" x14ac:dyDescent="0.25">
      <c r="A218" t="s">
        <v>1063</v>
      </c>
      <c r="B218">
        <f>VLOOKUP(A218,art_category_path_name!A:B,2,FALSE)</f>
        <v>830</v>
      </c>
      <c r="C218" t="s">
        <v>2531</v>
      </c>
      <c r="D218" t="s">
        <v>2532</v>
      </c>
      <c r="E218" t="s">
        <v>2533</v>
      </c>
      <c r="F218" t="s">
        <v>2534</v>
      </c>
      <c r="H218" t="s">
        <v>2535</v>
      </c>
    </row>
    <row r="219" spans="1:8" x14ac:dyDescent="0.25">
      <c r="A219" t="s">
        <v>1070</v>
      </c>
      <c r="B219">
        <f>VLOOKUP(A219,art_category_path_name!A:B,2,FALSE)</f>
        <v>959</v>
      </c>
      <c r="C219" t="s">
        <v>2536</v>
      </c>
      <c r="D219" t="s">
        <v>2537</v>
      </c>
      <c r="E219" t="s">
        <v>2538</v>
      </c>
      <c r="F219" t="s">
        <v>2539</v>
      </c>
      <c r="H219" t="s">
        <v>2540</v>
      </c>
    </row>
    <row r="220" spans="1:8" x14ac:dyDescent="0.25">
      <c r="A220" t="s">
        <v>1011</v>
      </c>
      <c r="B220">
        <f>VLOOKUP(A220,art_category_path_name!A:B,2,FALSE)</f>
        <v>1127</v>
      </c>
      <c r="C220" t="s">
        <v>2541</v>
      </c>
      <c r="D220" t="s">
        <v>2542</v>
      </c>
      <c r="E220" t="s">
        <v>2543</v>
      </c>
      <c r="F220" t="s">
        <v>2544</v>
      </c>
      <c r="H220" t="s">
        <v>2545</v>
      </c>
    </row>
    <row r="221" spans="1:8" x14ac:dyDescent="0.25">
      <c r="A221" t="s">
        <v>1014</v>
      </c>
      <c r="B221">
        <f>VLOOKUP(A221,art_category_path_name!A:B,2,FALSE)</f>
        <v>1243</v>
      </c>
      <c r="C221" t="s">
        <v>2546</v>
      </c>
      <c r="D221" t="s">
        <v>2547</v>
      </c>
      <c r="E221" t="s">
        <v>2548</v>
      </c>
      <c r="F221" t="s">
        <v>2549</v>
      </c>
      <c r="H221" t="s">
        <v>2550</v>
      </c>
    </row>
    <row r="222" spans="1:8" x14ac:dyDescent="0.25">
      <c r="A222" t="s">
        <v>1017</v>
      </c>
      <c r="B222">
        <f>VLOOKUP(A222,art_category_path_name!A:B,2,FALSE)</f>
        <v>1319</v>
      </c>
      <c r="C222" t="s">
        <v>2551</v>
      </c>
      <c r="D222" t="s">
        <v>2552</v>
      </c>
      <c r="E222" t="s">
        <v>2553</v>
      </c>
      <c r="F222" t="s">
        <v>2554</v>
      </c>
      <c r="H222" t="s">
        <v>2555</v>
      </c>
    </row>
    <row r="223" spans="1:8" x14ac:dyDescent="0.25">
      <c r="A223" t="s">
        <v>1010</v>
      </c>
      <c r="B223">
        <f>VLOOKUP(A223,art_category_path_name!A:B,2,FALSE)</f>
        <v>194</v>
      </c>
      <c r="C223" t="s">
        <v>2556</v>
      </c>
      <c r="D223" t="s">
        <v>2557</v>
      </c>
      <c r="E223" t="s">
        <v>2558</v>
      </c>
      <c r="F223" t="s">
        <v>2559</v>
      </c>
      <c r="G223" t="s">
        <v>8609</v>
      </c>
      <c r="H223" t="s">
        <v>2560</v>
      </c>
    </row>
    <row r="224" spans="1:8" x14ac:dyDescent="0.25">
      <c r="A224" t="s">
        <v>1447</v>
      </c>
      <c r="B224">
        <f>VLOOKUP(A224,art_category_path_name!A:B,2,FALSE)</f>
        <v>917</v>
      </c>
      <c r="C224" t="s">
        <v>2561</v>
      </c>
      <c r="D224" t="s">
        <v>2562</v>
      </c>
      <c r="E224" t="s">
        <v>2563</v>
      </c>
      <c r="F224" t="s">
        <v>2564</v>
      </c>
      <c r="G224" t="s">
        <v>8610</v>
      </c>
      <c r="H224" t="s">
        <v>2565</v>
      </c>
    </row>
    <row r="225" spans="1:8" x14ac:dyDescent="0.25">
      <c r="A225" t="s">
        <v>1452</v>
      </c>
      <c r="B225">
        <f>VLOOKUP(A225,art_category_path_name!A:B,2,FALSE)</f>
        <v>953</v>
      </c>
      <c r="C225" t="s">
        <v>2566</v>
      </c>
      <c r="D225" t="s">
        <v>2567</v>
      </c>
      <c r="F225" t="s">
        <v>1834</v>
      </c>
      <c r="G225" t="s">
        <v>8611</v>
      </c>
      <c r="H225" t="s">
        <v>2568</v>
      </c>
    </row>
    <row r="226" spans="1:8" x14ac:dyDescent="0.25">
      <c r="A226" t="s">
        <v>1443</v>
      </c>
      <c r="B226">
        <f>VLOOKUP(A226,art_category_path_name!A:B,2,FALSE)</f>
        <v>878</v>
      </c>
      <c r="C226" t="s">
        <v>1585</v>
      </c>
      <c r="D226" t="s">
        <v>2569</v>
      </c>
      <c r="E226" t="s">
        <v>2570</v>
      </c>
      <c r="F226" t="s">
        <v>2571</v>
      </c>
      <c r="G226" t="s">
        <v>8612</v>
      </c>
      <c r="H226" t="s">
        <v>2572</v>
      </c>
    </row>
    <row r="227" spans="1:8" x14ac:dyDescent="0.25">
      <c r="A227" t="s">
        <v>2573</v>
      </c>
      <c r="B227" t="e">
        <f>VLOOKUP(A227,art_category_path_name!A:B,2,FALSE)</f>
        <v>#N/A</v>
      </c>
      <c r="C227" t="s">
        <v>2574</v>
      </c>
      <c r="D227" t="s">
        <v>2575</v>
      </c>
      <c r="E227" t="s">
        <v>2576</v>
      </c>
      <c r="F227" t="s">
        <v>2577</v>
      </c>
      <c r="G227" t="s">
        <v>8613</v>
      </c>
      <c r="H227" t="s">
        <v>2578</v>
      </c>
    </row>
    <row r="228" spans="1:8" x14ac:dyDescent="0.25">
      <c r="A228" t="s">
        <v>1440</v>
      </c>
      <c r="B228">
        <f>VLOOKUP(A228,art_category_path_name!A:B,2,FALSE)</f>
        <v>1383</v>
      </c>
      <c r="C228" t="s">
        <v>2579</v>
      </c>
      <c r="D228" t="s">
        <v>2580</v>
      </c>
      <c r="E228" t="s">
        <v>2581</v>
      </c>
      <c r="F228" t="s">
        <v>2582</v>
      </c>
      <c r="G228" t="s">
        <v>8614</v>
      </c>
      <c r="H228" t="s">
        <v>2583</v>
      </c>
    </row>
    <row r="229" spans="1:8" x14ac:dyDescent="0.25">
      <c r="A229" t="s">
        <v>1439</v>
      </c>
      <c r="B229">
        <f>VLOOKUP(A229,art_category_path_name!A:B,2,FALSE)</f>
        <v>877</v>
      </c>
      <c r="C229" t="s">
        <v>2584</v>
      </c>
      <c r="D229" t="s">
        <v>2585</v>
      </c>
      <c r="E229" t="s">
        <v>2586</v>
      </c>
      <c r="F229" t="s">
        <v>2587</v>
      </c>
      <c r="H229" t="s">
        <v>2588</v>
      </c>
    </row>
    <row r="230" spans="1:8" x14ac:dyDescent="0.25">
      <c r="A230" t="s">
        <v>1290</v>
      </c>
      <c r="B230">
        <f>VLOOKUP(A230,art_category_path_name!A:B,2,FALSE)</f>
        <v>681</v>
      </c>
      <c r="C230" t="s">
        <v>2589</v>
      </c>
      <c r="D230" t="s">
        <v>2590</v>
      </c>
      <c r="E230" t="s">
        <v>2591</v>
      </c>
      <c r="F230" t="s">
        <v>2592</v>
      </c>
      <c r="G230" t="s">
        <v>8615</v>
      </c>
      <c r="H230" t="s">
        <v>2593</v>
      </c>
    </row>
    <row r="231" spans="1:8" x14ac:dyDescent="0.25">
      <c r="A231" t="s">
        <v>1311</v>
      </c>
      <c r="B231">
        <f>VLOOKUP(A231,art_category_path_name!A:B,2,FALSE)</f>
        <v>715</v>
      </c>
      <c r="C231" t="s">
        <v>2594</v>
      </c>
      <c r="D231" t="s">
        <v>2595</v>
      </c>
      <c r="E231" t="s">
        <v>2596</v>
      </c>
      <c r="F231" t="s">
        <v>2597</v>
      </c>
      <c r="H231" t="s">
        <v>2598</v>
      </c>
    </row>
    <row r="232" spans="1:8" x14ac:dyDescent="0.25">
      <c r="A232" t="s">
        <v>1331</v>
      </c>
      <c r="B232">
        <f>VLOOKUP(A232,art_category_path_name!A:B,2,FALSE)</f>
        <v>841</v>
      </c>
      <c r="C232" t="s">
        <v>2599</v>
      </c>
      <c r="D232" t="s">
        <v>2600</v>
      </c>
      <c r="E232" t="s">
        <v>2601</v>
      </c>
      <c r="F232" t="s">
        <v>2602</v>
      </c>
      <c r="G232" t="s">
        <v>8616</v>
      </c>
      <c r="H232" t="s">
        <v>2603</v>
      </c>
    </row>
    <row r="233" spans="1:8" x14ac:dyDescent="0.25">
      <c r="A233" t="s">
        <v>1282</v>
      </c>
      <c r="B233">
        <f>VLOOKUP(A233,art_category_path_name!A:B,2,FALSE)</f>
        <v>1102</v>
      </c>
      <c r="C233" t="s">
        <v>2604</v>
      </c>
      <c r="D233" t="s">
        <v>2605</v>
      </c>
      <c r="E233" t="s">
        <v>2606</v>
      </c>
      <c r="F233" t="s">
        <v>2607</v>
      </c>
      <c r="G233" t="s">
        <v>8617</v>
      </c>
      <c r="H233" t="s">
        <v>2608</v>
      </c>
    </row>
    <row r="234" spans="1:8" x14ac:dyDescent="0.25">
      <c r="A234" t="s">
        <v>1281</v>
      </c>
      <c r="B234">
        <f>VLOOKUP(A234,art_category_path_name!A:B,2,FALSE)</f>
        <v>680</v>
      </c>
      <c r="C234" t="s">
        <v>2609</v>
      </c>
      <c r="D234" t="s">
        <v>2610</v>
      </c>
      <c r="E234" t="s">
        <v>2611</v>
      </c>
      <c r="F234" t="s">
        <v>2612</v>
      </c>
      <c r="G234" t="s">
        <v>8618</v>
      </c>
      <c r="H234" t="s">
        <v>2613</v>
      </c>
    </row>
    <row r="235" spans="1:8" x14ac:dyDescent="0.25">
      <c r="A235" t="s">
        <v>1258</v>
      </c>
      <c r="B235">
        <f>VLOOKUP(A235,art_category_path_name!A:B,2,FALSE)</f>
        <v>621</v>
      </c>
      <c r="C235" t="s">
        <v>2614</v>
      </c>
      <c r="D235" t="s">
        <v>2615</v>
      </c>
      <c r="E235" t="s">
        <v>2616</v>
      </c>
      <c r="F235" t="s">
        <v>2617</v>
      </c>
      <c r="G235" t="s">
        <v>8619</v>
      </c>
      <c r="H235" t="s">
        <v>2618</v>
      </c>
    </row>
    <row r="236" spans="1:8" x14ac:dyDescent="0.25">
      <c r="A236" t="s">
        <v>1267</v>
      </c>
      <c r="B236">
        <f>VLOOKUP(A236,art_category_path_name!A:B,2,FALSE)</f>
        <v>882</v>
      </c>
      <c r="C236" t="s">
        <v>2619</v>
      </c>
      <c r="D236" t="s">
        <v>2620</v>
      </c>
      <c r="E236" t="s">
        <v>2621</v>
      </c>
      <c r="F236" t="s">
        <v>2622</v>
      </c>
      <c r="H236" t="s">
        <v>2623</v>
      </c>
    </row>
    <row r="237" spans="1:8" x14ac:dyDescent="0.25">
      <c r="A237" t="s">
        <v>1252</v>
      </c>
      <c r="B237">
        <f>VLOOKUP(A237,art_category_path_name!A:B,2,FALSE)</f>
        <v>1286</v>
      </c>
      <c r="C237" t="s">
        <v>2624</v>
      </c>
      <c r="D237" t="s">
        <v>2625</v>
      </c>
      <c r="E237" t="s">
        <v>2626</v>
      </c>
      <c r="F237" t="s">
        <v>2627</v>
      </c>
      <c r="G237" t="s">
        <v>8620</v>
      </c>
      <c r="H237" t="s">
        <v>2628</v>
      </c>
    </row>
    <row r="238" spans="1:8" x14ac:dyDescent="0.25">
      <c r="A238" t="s">
        <v>1243</v>
      </c>
      <c r="B238">
        <f>VLOOKUP(A238,art_category_path_name!A:B,2,FALSE)</f>
        <v>620</v>
      </c>
      <c r="C238" t="s">
        <v>2629</v>
      </c>
      <c r="D238" t="s">
        <v>2630</v>
      </c>
      <c r="E238" t="s">
        <v>2631</v>
      </c>
      <c r="F238" t="s">
        <v>2632</v>
      </c>
      <c r="G238" t="s">
        <v>8621</v>
      </c>
      <c r="H238" t="s">
        <v>2633</v>
      </c>
    </row>
    <row r="239" spans="1:8" x14ac:dyDescent="0.25">
      <c r="A239" t="s">
        <v>1002</v>
      </c>
      <c r="B239">
        <f>VLOOKUP(A239,art_category_path_name!A:B,2,FALSE)</f>
        <v>1366</v>
      </c>
      <c r="C239" t="s">
        <v>2634</v>
      </c>
      <c r="D239" t="s">
        <v>2635</v>
      </c>
      <c r="E239" t="s">
        <v>2636</v>
      </c>
      <c r="F239" t="s">
        <v>2637</v>
      </c>
      <c r="H239" t="s">
        <v>2638</v>
      </c>
    </row>
    <row r="240" spans="1:8" x14ac:dyDescent="0.25">
      <c r="A240" t="s">
        <v>1001</v>
      </c>
      <c r="B240">
        <f>VLOOKUP(A240,art_category_path_name!A:B,2,FALSE)</f>
        <v>68</v>
      </c>
      <c r="C240" t="s">
        <v>2639</v>
      </c>
      <c r="D240" t="s">
        <v>2640</v>
      </c>
      <c r="E240" t="s">
        <v>2641</v>
      </c>
      <c r="F240" t="s">
        <v>2642</v>
      </c>
      <c r="G240" t="s">
        <v>8622</v>
      </c>
      <c r="H240" t="s">
        <v>2643</v>
      </c>
    </row>
    <row r="241" spans="1:8" x14ac:dyDescent="0.25">
      <c r="A241" t="s">
        <v>494</v>
      </c>
      <c r="B241">
        <f>VLOOKUP(A241,art_category_path_name!A:B,2,FALSE)</f>
        <v>6</v>
      </c>
      <c r="C241" t="s">
        <v>2644</v>
      </c>
      <c r="D241" t="s">
        <v>2645</v>
      </c>
      <c r="E241" t="s">
        <v>2646</v>
      </c>
      <c r="F241" t="s">
        <v>2647</v>
      </c>
      <c r="G241" t="s">
        <v>2648</v>
      </c>
      <c r="H241" t="s">
        <v>2649</v>
      </c>
    </row>
    <row r="242" spans="1:8" x14ac:dyDescent="0.25">
      <c r="A242" t="s">
        <v>495</v>
      </c>
      <c r="B242">
        <f>VLOOKUP(A242,art_category_path_name!A:B,2,FALSE)</f>
        <v>7</v>
      </c>
      <c r="C242" t="s">
        <v>2650</v>
      </c>
      <c r="D242" t="s">
        <v>2651</v>
      </c>
      <c r="E242" t="s">
        <v>2652</v>
      </c>
      <c r="F242" t="s">
        <v>2653</v>
      </c>
      <c r="G242" t="s">
        <v>2654</v>
      </c>
      <c r="H242" t="s">
        <v>2655</v>
      </c>
    </row>
    <row r="243" spans="1:8" x14ac:dyDescent="0.25">
      <c r="A243" t="s">
        <v>496</v>
      </c>
      <c r="B243">
        <f>VLOOKUP(A243,art_category_path_name!A:B,2,FALSE)</f>
        <v>8</v>
      </c>
      <c r="C243" t="s">
        <v>2656</v>
      </c>
      <c r="D243" t="s">
        <v>2657</v>
      </c>
      <c r="E243" t="s">
        <v>2658</v>
      </c>
      <c r="F243" t="s">
        <v>2659</v>
      </c>
      <c r="G243" t="s">
        <v>2660</v>
      </c>
      <c r="H243" t="s">
        <v>2661</v>
      </c>
    </row>
    <row r="244" spans="1:8" x14ac:dyDescent="0.25">
      <c r="A244" t="s">
        <v>497</v>
      </c>
      <c r="B244">
        <f>VLOOKUP(A244,art_category_path_name!A:B,2,FALSE)</f>
        <v>9</v>
      </c>
      <c r="C244" t="s">
        <v>2662</v>
      </c>
      <c r="D244" t="s">
        <v>2663</v>
      </c>
      <c r="F244" t="s">
        <v>1834</v>
      </c>
      <c r="G244" t="s">
        <v>2664</v>
      </c>
      <c r="H244" t="s">
        <v>2665</v>
      </c>
    </row>
    <row r="245" spans="1:8" x14ac:dyDescent="0.25">
      <c r="A245" t="s">
        <v>490</v>
      </c>
      <c r="B245">
        <f>VLOOKUP(A245,art_category_path_name!A:B,2,FALSE)</f>
        <v>10</v>
      </c>
      <c r="C245" t="s">
        <v>2666</v>
      </c>
      <c r="D245" t="s">
        <v>2667</v>
      </c>
      <c r="F245" t="s">
        <v>1834</v>
      </c>
      <c r="G245" t="s">
        <v>2668</v>
      </c>
      <c r="H245" t="s">
        <v>2669</v>
      </c>
    </row>
    <row r="246" spans="1:8" x14ac:dyDescent="0.25">
      <c r="A246" t="s">
        <v>491</v>
      </c>
      <c r="B246">
        <f>VLOOKUP(A246,art_category_path_name!A:B,2,FALSE)</f>
        <v>11</v>
      </c>
      <c r="C246" t="s">
        <v>2670</v>
      </c>
      <c r="D246" t="s">
        <v>2671</v>
      </c>
      <c r="E246" t="s">
        <v>2672</v>
      </c>
      <c r="F246" t="s">
        <v>2673</v>
      </c>
      <c r="G246" t="s">
        <v>2674</v>
      </c>
      <c r="H246" t="s">
        <v>2675</v>
      </c>
    </row>
    <row r="247" spans="1:8" x14ac:dyDescent="0.25">
      <c r="A247" t="s">
        <v>492</v>
      </c>
      <c r="B247">
        <f>VLOOKUP(A247,art_category_path_name!A:B,2,FALSE)</f>
        <v>12</v>
      </c>
      <c r="C247" t="s">
        <v>2676</v>
      </c>
      <c r="D247" t="s">
        <v>2677</v>
      </c>
      <c r="F247" t="s">
        <v>1834</v>
      </c>
      <c r="G247" t="s">
        <v>2678</v>
      </c>
      <c r="H247" t="s">
        <v>2679</v>
      </c>
    </row>
    <row r="248" spans="1:8" x14ac:dyDescent="0.25">
      <c r="A248" t="s">
        <v>493</v>
      </c>
      <c r="B248">
        <f>VLOOKUP(A248,art_category_path_name!A:B,2,FALSE)</f>
        <v>13</v>
      </c>
      <c r="C248" t="s">
        <v>2680</v>
      </c>
      <c r="D248" t="s">
        <v>2681</v>
      </c>
      <c r="E248" t="s">
        <v>2682</v>
      </c>
      <c r="F248" t="s">
        <v>2683</v>
      </c>
      <c r="G248" t="s">
        <v>2684</v>
      </c>
      <c r="H248" t="s">
        <v>2685</v>
      </c>
    </row>
    <row r="249" spans="1:8" x14ac:dyDescent="0.25">
      <c r="A249" t="s">
        <v>475</v>
      </c>
      <c r="B249">
        <f>VLOOKUP(A249,art_category_path_name!A:B,2,FALSE)</f>
        <v>15</v>
      </c>
      <c r="C249" t="s">
        <v>2686</v>
      </c>
      <c r="D249" t="s">
        <v>2687</v>
      </c>
      <c r="F249" t="s">
        <v>1834</v>
      </c>
      <c r="G249" t="s">
        <v>2688</v>
      </c>
      <c r="H249" t="s">
        <v>2689</v>
      </c>
    </row>
    <row r="250" spans="1:8" x14ac:dyDescent="0.25">
      <c r="A250" t="s">
        <v>476</v>
      </c>
      <c r="B250">
        <f>VLOOKUP(A250,art_category_path_name!A:B,2,FALSE)</f>
        <v>16</v>
      </c>
      <c r="C250" t="s">
        <v>2690</v>
      </c>
      <c r="D250" t="s">
        <v>2691</v>
      </c>
      <c r="F250" t="s">
        <v>1834</v>
      </c>
      <c r="G250" t="s">
        <v>2692</v>
      </c>
      <c r="H250" t="s">
        <v>2693</v>
      </c>
    </row>
    <row r="251" spans="1:8" x14ac:dyDescent="0.25">
      <c r="A251" t="s">
        <v>477</v>
      </c>
      <c r="B251">
        <f>VLOOKUP(A251,art_category_path_name!A:B,2,FALSE)</f>
        <v>17</v>
      </c>
      <c r="C251" t="s">
        <v>2694</v>
      </c>
      <c r="D251" t="s">
        <v>2695</v>
      </c>
      <c r="F251" t="s">
        <v>1834</v>
      </c>
      <c r="G251" t="s">
        <v>2696</v>
      </c>
      <c r="H251" t="s">
        <v>2697</v>
      </c>
    </row>
    <row r="252" spans="1:8" x14ac:dyDescent="0.25">
      <c r="A252" t="s">
        <v>478</v>
      </c>
      <c r="B252">
        <f>VLOOKUP(A252,art_category_path_name!A:B,2,FALSE)</f>
        <v>18</v>
      </c>
      <c r="C252" t="s">
        <v>2698</v>
      </c>
      <c r="D252" t="s">
        <v>2699</v>
      </c>
      <c r="E252" t="s">
        <v>2700</v>
      </c>
      <c r="F252" t="s">
        <v>2701</v>
      </c>
      <c r="G252" t="s">
        <v>2702</v>
      </c>
      <c r="H252" t="s">
        <v>2703</v>
      </c>
    </row>
    <row r="253" spans="1:8" x14ac:dyDescent="0.25">
      <c r="A253" t="s">
        <v>479</v>
      </c>
      <c r="B253">
        <f>VLOOKUP(A253,art_category_path_name!A:B,2,FALSE)</f>
        <v>19</v>
      </c>
      <c r="C253" t="s">
        <v>2704</v>
      </c>
      <c r="D253" t="s">
        <v>2705</v>
      </c>
      <c r="E253" t="s">
        <v>2706</v>
      </c>
      <c r="F253" t="s">
        <v>2707</v>
      </c>
      <c r="G253" t="s">
        <v>2708</v>
      </c>
      <c r="H253" t="s">
        <v>2709</v>
      </c>
    </row>
    <row r="254" spans="1:8" x14ac:dyDescent="0.25">
      <c r="A254" t="s">
        <v>480</v>
      </c>
      <c r="B254">
        <f>VLOOKUP(A254,art_category_path_name!A:B,2,FALSE)</f>
        <v>20</v>
      </c>
      <c r="C254" t="s">
        <v>2710</v>
      </c>
      <c r="D254" t="s">
        <v>2711</v>
      </c>
      <c r="E254" t="s">
        <v>2712</v>
      </c>
      <c r="F254" t="s">
        <v>2713</v>
      </c>
      <c r="G254" t="s">
        <v>2714</v>
      </c>
      <c r="H254" t="s">
        <v>2715</v>
      </c>
    </row>
    <row r="255" spans="1:8" x14ac:dyDescent="0.25">
      <c r="A255" t="s">
        <v>481</v>
      </c>
      <c r="B255">
        <f>VLOOKUP(A255,art_category_path_name!A:B,2,FALSE)</f>
        <v>21</v>
      </c>
      <c r="C255" t="s">
        <v>2716</v>
      </c>
      <c r="D255" t="s">
        <v>2717</v>
      </c>
      <c r="F255" t="s">
        <v>1834</v>
      </c>
      <c r="G255" t="s">
        <v>2668</v>
      </c>
      <c r="H255" t="s">
        <v>2718</v>
      </c>
    </row>
    <row r="256" spans="1:8" x14ac:dyDescent="0.25">
      <c r="A256" t="s">
        <v>483</v>
      </c>
      <c r="B256">
        <f>VLOOKUP(A256,art_category_path_name!A:B,2,FALSE)</f>
        <v>23</v>
      </c>
      <c r="C256" t="s">
        <v>2719</v>
      </c>
      <c r="D256" t="s">
        <v>2720</v>
      </c>
      <c r="F256" t="s">
        <v>1834</v>
      </c>
      <c r="G256" t="s">
        <v>2721</v>
      </c>
      <c r="H256" t="s">
        <v>2722</v>
      </c>
    </row>
    <row r="257" spans="1:8" x14ac:dyDescent="0.25">
      <c r="A257" t="s">
        <v>484</v>
      </c>
      <c r="B257">
        <f>VLOOKUP(A257,art_category_path_name!A:B,2,FALSE)</f>
        <v>24</v>
      </c>
      <c r="C257" t="s">
        <v>2723</v>
      </c>
      <c r="D257" t="s">
        <v>2724</v>
      </c>
      <c r="F257" t="s">
        <v>1834</v>
      </c>
      <c r="G257" t="s">
        <v>2725</v>
      </c>
      <c r="H257" t="s">
        <v>2726</v>
      </c>
    </row>
    <row r="258" spans="1:8" x14ac:dyDescent="0.25">
      <c r="A258" t="s">
        <v>485</v>
      </c>
      <c r="B258">
        <f>VLOOKUP(A258,art_category_path_name!A:B,2,FALSE)</f>
        <v>25</v>
      </c>
      <c r="C258" t="s">
        <v>2727</v>
      </c>
      <c r="D258" t="s">
        <v>2728</v>
      </c>
      <c r="E258" t="s">
        <v>2729</v>
      </c>
      <c r="F258" t="s">
        <v>2730</v>
      </c>
      <c r="G258" t="s">
        <v>2731</v>
      </c>
      <c r="H258" t="s">
        <v>2732</v>
      </c>
    </row>
    <row r="259" spans="1:8" x14ac:dyDescent="0.25">
      <c r="A259" t="s">
        <v>486</v>
      </c>
      <c r="B259">
        <f>VLOOKUP(A259,art_category_path_name!A:B,2,FALSE)</f>
        <v>26</v>
      </c>
      <c r="C259" t="s">
        <v>2733</v>
      </c>
      <c r="D259" t="s">
        <v>2734</v>
      </c>
      <c r="F259" t="s">
        <v>1834</v>
      </c>
      <c r="G259" t="s">
        <v>2735</v>
      </c>
      <c r="H259" t="s">
        <v>2736</v>
      </c>
    </row>
    <row r="260" spans="1:8" x14ac:dyDescent="0.25">
      <c r="A260" t="s">
        <v>487</v>
      </c>
      <c r="B260">
        <f>VLOOKUP(A260,art_category_path_name!A:B,2,FALSE)</f>
        <v>27</v>
      </c>
      <c r="C260" t="s">
        <v>2737</v>
      </c>
      <c r="D260" t="s">
        <v>2738</v>
      </c>
      <c r="E260" t="s">
        <v>2739</v>
      </c>
      <c r="F260" t="s">
        <v>2740</v>
      </c>
      <c r="G260" t="s">
        <v>2741</v>
      </c>
      <c r="H260" t="s">
        <v>2742</v>
      </c>
    </row>
    <row r="261" spans="1:8" x14ac:dyDescent="0.25">
      <c r="A261" t="s">
        <v>488</v>
      </c>
      <c r="B261">
        <f>VLOOKUP(A261,art_category_path_name!A:B,2,FALSE)</f>
        <v>28</v>
      </c>
      <c r="C261" t="s">
        <v>2743</v>
      </c>
      <c r="D261" t="s">
        <v>2744</v>
      </c>
      <c r="E261" t="s">
        <v>2745</v>
      </c>
      <c r="F261" t="s">
        <v>2746</v>
      </c>
      <c r="G261" t="s">
        <v>2747</v>
      </c>
      <c r="H261" t="s">
        <v>2748</v>
      </c>
    </row>
    <row r="262" spans="1:8" x14ac:dyDescent="0.25">
      <c r="A262" t="s">
        <v>411</v>
      </c>
      <c r="B262">
        <f>VLOOKUP(A262,art_category_path_name!A:B,2,FALSE)</f>
        <v>32</v>
      </c>
      <c r="C262" t="s">
        <v>2749</v>
      </c>
      <c r="D262" t="s">
        <v>2750</v>
      </c>
      <c r="E262" t="s">
        <v>2751</v>
      </c>
      <c r="F262" t="s">
        <v>2752</v>
      </c>
      <c r="G262" t="s">
        <v>2753</v>
      </c>
      <c r="H262" t="s">
        <v>2754</v>
      </c>
    </row>
    <row r="263" spans="1:8" x14ac:dyDescent="0.25">
      <c r="A263" t="s">
        <v>412</v>
      </c>
      <c r="B263">
        <f>VLOOKUP(A263,art_category_path_name!A:B,2,FALSE)</f>
        <v>33</v>
      </c>
      <c r="C263" t="s">
        <v>2755</v>
      </c>
      <c r="D263" t="s">
        <v>2756</v>
      </c>
      <c r="E263" t="s">
        <v>2757</v>
      </c>
      <c r="F263" t="s">
        <v>2758</v>
      </c>
      <c r="G263" t="s">
        <v>2759</v>
      </c>
      <c r="H263" t="s">
        <v>2760</v>
      </c>
    </row>
    <row r="264" spans="1:8" x14ac:dyDescent="0.25">
      <c r="A264" t="s">
        <v>413</v>
      </c>
      <c r="B264">
        <f>VLOOKUP(A264,art_category_path_name!A:B,2,FALSE)</f>
        <v>34</v>
      </c>
      <c r="C264" t="s">
        <v>2761</v>
      </c>
      <c r="D264" t="s">
        <v>2762</v>
      </c>
      <c r="E264" t="s">
        <v>2763</v>
      </c>
      <c r="F264" t="s">
        <v>2758</v>
      </c>
      <c r="G264" t="s">
        <v>2764</v>
      </c>
      <c r="H264" t="s">
        <v>2765</v>
      </c>
    </row>
    <row r="265" spans="1:8" x14ac:dyDescent="0.25">
      <c r="A265" t="s">
        <v>414</v>
      </c>
      <c r="B265">
        <f>VLOOKUP(A265,art_category_path_name!A:B,2,FALSE)</f>
        <v>35</v>
      </c>
      <c r="C265" t="s">
        <v>2766</v>
      </c>
      <c r="D265" t="s">
        <v>2767</v>
      </c>
      <c r="E265" t="s">
        <v>2768</v>
      </c>
      <c r="F265" t="s">
        <v>2769</v>
      </c>
      <c r="G265" t="s">
        <v>2770</v>
      </c>
      <c r="H265" t="s">
        <v>2771</v>
      </c>
    </row>
    <row r="266" spans="1:8" x14ac:dyDescent="0.25">
      <c r="A266" t="s">
        <v>415</v>
      </c>
      <c r="B266">
        <f>VLOOKUP(A266,art_category_path_name!A:B,2,FALSE)</f>
        <v>36</v>
      </c>
      <c r="C266" t="s">
        <v>2772</v>
      </c>
      <c r="D266" t="s">
        <v>2773</v>
      </c>
      <c r="E266" t="s">
        <v>2774</v>
      </c>
      <c r="F266" t="s">
        <v>2775</v>
      </c>
      <c r="G266" t="s">
        <v>2776</v>
      </c>
      <c r="H266" t="s">
        <v>2777</v>
      </c>
    </row>
    <row r="267" spans="1:8" x14ac:dyDescent="0.25">
      <c r="A267" t="s">
        <v>416</v>
      </c>
      <c r="B267">
        <f>VLOOKUP(A267,art_category_path_name!A:B,2,FALSE)</f>
        <v>37</v>
      </c>
      <c r="C267" t="s">
        <v>2778</v>
      </c>
      <c r="D267" t="s">
        <v>2779</v>
      </c>
      <c r="E267" t="s">
        <v>2780</v>
      </c>
      <c r="F267" t="s">
        <v>2781</v>
      </c>
      <c r="G267" t="s">
        <v>2782</v>
      </c>
      <c r="H267" t="s">
        <v>2783</v>
      </c>
    </row>
    <row r="268" spans="1:8" x14ac:dyDescent="0.25">
      <c r="A268" t="s">
        <v>417</v>
      </c>
      <c r="B268">
        <f>VLOOKUP(A268,art_category_path_name!A:B,2,FALSE)</f>
        <v>38</v>
      </c>
      <c r="C268" t="s">
        <v>2784</v>
      </c>
      <c r="G268" t="s">
        <v>2785</v>
      </c>
      <c r="H268" t="s">
        <v>2786</v>
      </c>
    </row>
    <row r="269" spans="1:8" x14ac:dyDescent="0.25">
      <c r="A269" t="s">
        <v>418</v>
      </c>
      <c r="B269">
        <f>VLOOKUP(A269,art_category_path_name!A:B,2,FALSE)</f>
        <v>39</v>
      </c>
      <c r="C269" t="s">
        <v>2787</v>
      </c>
      <c r="G269" t="s">
        <v>2788</v>
      </c>
      <c r="H269" t="s">
        <v>2789</v>
      </c>
    </row>
    <row r="270" spans="1:8" x14ac:dyDescent="0.25">
      <c r="A270" t="s">
        <v>419</v>
      </c>
      <c r="B270">
        <f>VLOOKUP(A270,art_category_path_name!A:B,2,FALSE)</f>
        <v>40</v>
      </c>
      <c r="C270" t="s">
        <v>2790</v>
      </c>
      <c r="G270" t="s">
        <v>2791</v>
      </c>
      <c r="H270" t="s">
        <v>2792</v>
      </c>
    </row>
    <row r="271" spans="1:8" x14ac:dyDescent="0.25">
      <c r="A271" t="s">
        <v>420</v>
      </c>
      <c r="B271">
        <f>VLOOKUP(A271,art_category_path_name!A:B,2,FALSE)</f>
        <v>41</v>
      </c>
      <c r="C271" t="s">
        <v>2793</v>
      </c>
      <c r="D271" t="s">
        <v>2794</v>
      </c>
      <c r="E271" t="s">
        <v>2795</v>
      </c>
      <c r="F271" t="s">
        <v>2781</v>
      </c>
      <c r="G271" t="s">
        <v>2796</v>
      </c>
      <c r="H271" t="s">
        <v>2797</v>
      </c>
    </row>
    <row r="272" spans="1:8" x14ac:dyDescent="0.25">
      <c r="A272" t="s">
        <v>421</v>
      </c>
      <c r="B272">
        <f>VLOOKUP(A272,art_category_path_name!A:B,2,FALSE)</f>
        <v>42</v>
      </c>
      <c r="C272" t="s">
        <v>2798</v>
      </c>
      <c r="G272" t="s">
        <v>2799</v>
      </c>
      <c r="H272" t="s">
        <v>2800</v>
      </c>
    </row>
    <row r="273" spans="1:8" x14ac:dyDescent="0.25">
      <c r="A273" t="s">
        <v>422</v>
      </c>
      <c r="B273">
        <f>VLOOKUP(A273,art_category_path_name!A:B,2,FALSE)</f>
        <v>43</v>
      </c>
      <c r="C273" t="s">
        <v>2801</v>
      </c>
      <c r="D273" t="s">
        <v>2802</v>
      </c>
      <c r="E273" t="s">
        <v>2803</v>
      </c>
      <c r="F273" t="s">
        <v>2781</v>
      </c>
      <c r="G273" t="s">
        <v>2804</v>
      </c>
      <c r="H273" t="s">
        <v>2805</v>
      </c>
    </row>
    <row r="274" spans="1:8" x14ac:dyDescent="0.25">
      <c r="A274" t="s">
        <v>423</v>
      </c>
      <c r="B274">
        <f>VLOOKUP(A274,art_category_path_name!A:B,2,FALSE)</f>
        <v>44</v>
      </c>
      <c r="C274" t="s">
        <v>2806</v>
      </c>
      <c r="D274" t="s">
        <v>2807</v>
      </c>
      <c r="E274" t="s">
        <v>2808</v>
      </c>
      <c r="F274" t="s">
        <v>2781</v>
      </c>
      <c r="G274" t="s">
        <v>2809</v>
      </c>
      <c r="H274" t="s">
        <v>2810</v>
      </c>
    </row>
    <row r="275" spans="1:8" x14ac:dyDescent="0.25">
      <c r="A275" t="s">
        <v>424</v>
      </c>
      <c r="B275">
        <f>VLOOKUP(A275,art_category_path_name!A:B,2,FALSE)</f>
        <v>45</v>
      </c>
      <c r="C275" t="s">
        <v>2811</v>
      </c>
      <c r="D275" t="s">
        <v>2812</v>
      </c>
      <c r="E275" t="s">
        <v>2813</v>
      </c>
      <c r="F275" t="s">
        <v>2781</v>
      </c>
      <c r="G275" t="s">
        <v>2814</v>
      </c>
      <c r="H275" t="s">
        <v>2815</v>
      </c>
    </row>
    <row r="276" spans="1:8" x14ac:dyDescent="0.25">
      <c r="A276" t="s">
        <v>425</v>
      </c>
      <c r="B276">
        <f>VLOOKUP(A276,art_category_path_name!A:B,2,FALSE)</f>
        <v>46</v>
      </c>
      <c r="C276" t="s">
        <v>2816</v>
      </c>
      <c r="D276" t="s">
        <v>2817</v>
      </c>
      <c r="E276" t="s">
        <v>2818</v>
      </c>
      <c r="F276" t="s">
        <v>2781</v>
      </c>
      <c r="G276" t="s">
        <v>2819</v>
      </c>
      <c r="H276" t="s">
        <v>2820</v>
      </c>
    </row>
    <row r="277" spans="1:8" x14ac:dyDescent="0.25">
      <c r="A277" t="s">
        <v>426</v>
      </c>
      <c r="B277">
        <f>VLOOKUP(A277,art_category_path_name!A:B,2,FALSE)</f>
        <v>47</v>
      </c>
      <c r="C277" t="s">
        <v>2821</v>
      </c>
      <c r="D277" t="s">
        <v>2822</v>
      </c>
      <c r="F277" t="s">
        <v>1834</v>
      </c>
      <c r="G277" t="s">
        <v>2823</v>
      </c>
      <c r="H277" t="s">
        <v>2824</v>
      </c>
    </row>
    <row r="278" spans="1:8" x14ac:dyDescent="0.25">
      <c r="A278" t="s">
        <v>710</v>
      </c>
      <c r="B278">
        <f>VLOOKUP(A278,art_category_path_name!A:B,2,FALSE)</f>
        <v>51</v>
      </c>
      <c r="C278" t="s">
        <v>2825</v>
      </c>
      <c r="D278" t="s">
        <v>2826</v>
      </c>
      <c r="E278" t="s">
        <v>2827</v>
      </c>
      <c r="F278" t="s">
        <v>2828</v>
      </c>
      <c r="G278" t="s">
        <v>2829</v>
      </c>
      <c r="H278" t="s">
        <v>2830</v>
      </c>
    </row>
    <row r="279" spans="1:8" x14ac:dyDescent="0.25">
      <c r="A279" t="s">
        <v>711</v>
      </c>
      <c r="B279">
        <f>VLOOKUP(A279,art_category_path_name!A:B,2,FALSE)</f>
        <v>52</v>
      </c>
      <c r="C279" t="s">
        <v>2831</v>
      </c>
      <c r="D279" t="s">
        <v>2832</v>
      </c>
      <c r="E279" t="s">
        <v>2833</v>
      </c>
      <c r="F279" t="s">
        <v>2834</v>
      </c>
      <c r="G279" t="s">
        <v>2835</v>
      </c>
      <c r="H279" t="s">
        <v>2836</v>
      </c>
    </row>
    <row r="280" spans="1:8" x14ac:dyDescent="0.25">
      <c r="A280" t="s">
        <v>712</v>
      </c>
      <c r="B280">
        <f>VLOOKUP(A280,art_category_path_name!A:B,2,FALSE)</f>
        <v>53</v>
      </c>
      <c r="C280" t="s">
        <v>2837</v>
      </c>
      <c r="D280" t="s">
        <v>2838</v>
      </c>
      <c r="E280" t="s">
        <v>2839</v>
      </c>
      <c r="F280" t="s">
        <v>2840</v>
      </c>
      <c r="G280" t="s">
        <v>2841</v>
      </c>
      <c r="H280" t="s">
        <v>2842</v>
      </c>
    </row>
    <row r="281" spans="1:8" x14ac:dyDescent="0.25">
      <c r="A281" t="s">
        <v>713</v>
      </c>
      <c r="B281">
        <f>VLOOKUP(A281,art_category_path_name!A:B,2,FALSE)</f>
        <v>54</v>
      </c>
      <c r="C281" t="s">
        <v>2843</v>
      </c>
      <c r="D281" t="s">
        <v>2844</v>
      </c>
      <c r="E281" t="s">
        <v>2845</v>
      </c>
      <c r="F281" t="s">
        <v>2846</v>
      </c>
      <c r="G281" t="s">
        <v>2847</v>
      </c>
      <c r="H281" t="s">
        <v>2848</v>
      </c>
    </row>
    <row r="282" spans="1:8" x14ac:dyDescent="0.25">
      <c r="A282" t="s">
        <v>714</v>
      </c>
      <c r="B282">
        <f>VLOOKUP(A282,art_category_path_name!A:B,2,FALSE)</f>
        <v>55</v>
      </c>
      <c r="C282" t="s">
        <v>2849</v>
      </c>
      <c r="D282" t="s">
        <v>2850</v>
      </c>
      <c r="E282" t="s">
        <v>2851</v>
      </c>
      <c r="F282" t="s">
        <v>2852</v>
      </c>
      <c r="G282" t="s">
        <v>2853</v>
      </c>
      <c r="H282" t="s">
        <v>2854</v>
      </c>
    </row>
    <row r="283" spans="1:8" x14ac:dyDescent="0.25">
      <c r="A283" t="s">
        <v>715</v>
      </c>
      <c r="B283">
        <f>VLOOKUP(A283,art_category_path_name!A:B,2,FALSE)</f>
        <v>56</v>
      </c>
      <c r="C283" t="s">
        <v>2855</v>
      </c>
      <c r="D283" t="s">
        <v>2856</v>
      </c>
      <c r="E283" t="s">
        <v>2857</v>
      </c>
      <c r="F283" t="s">
        <v>2858</v>
      </c>
      <c r="G283" t="s">
        <v>2859</v>
      </c>
      <c r="H283" t="s">
        <v>2860</v>
      </c>
    </row>
    <row r="284" spans="1:8" x14ac:dyDescent="0.25">
      <c r="A284" t="s">
        <v>716</v>
      </c>
      <c r="B284">
        <f>VLOOKUP(A284,art_category_path_name!A:B,2,FALSE)</f>
        <v>57</v>
      </c>
      <c r="C284" t="s">
        <v>2861</v>
      </c>
      <c r="D284" t="s">
        <v>2862</v>
      </c>
      <c r="E284" t="s">
        <v>2863</v>
      </c>
      <c r="F284" t="s">
        <v>2864</v>
      </c>
      <c r="G284" t="s">
        <v>2865</v>
      </c>
      <c r="H284" t="s">
        <v>2866</v>
      </c>
    </row>
    <row r="285" spans="1:8" x14ac:dyDescent="0.25">
      <c r="A285" t="s">
        <v>717</v>
      </c>
      <c r="B285">
        <f>VLOOKUP(A285,art_category_path_name!A:B,2,FALSE)</f>
        <v>58</v>
      </c>
      <c r="C285" t="s">
        <v>2867</v>
      </c>
      <c r="D285" t="s">
        <v>2868</v>
      </c>
      <c r="F285" t="s">
        <v>1834</v>
      </c>
      <c r="G285" t="s">
        <v>2869</v>
      </c>
      <c r="H285" t="s">
        <v>2870</v>
      </c>
    </row>
    <row r="286" spans="1:8" x14ac:dyDescent="0.25">
      <c r="A286" t="s">
        <v>718</v>
      </c>
      <c r="B286">
        <f>VLOOKUP(A286,art_category_path_name!A:B,2,FALSE)</f>
        <v>59</v>
      </c>
      <c r="C286" t="s">
        <v>2871</v>
      </c>
      <c r="D286" t="s">
        <v>2872</v>
      </c>
      <c r="F286" t="s">
        <v>1834</v>
      </c>
      <c r="G286" t="s">
        <v>2873</v>
      </c>
      <c r="H286" t="s">
        <v>2874</v>
      </c>
    </row>
    <row r="287" spans="1:8" x14ac:dyDescent="0.25">
      <c r="A287" t="s">
        <v>719</v>
      </c>
      <c r="B287">
        <f>VLOOKUP(A287,art_category_path_name!A:B,2,FALSE)</f>
        <v>60</v>
      </c>
      <c r="C287" t="s">
        <v>2875</v>
      </c>
      <c r="D287" t="s">
        <v>2876</v>
      </c>
      <c r="F287" t="s">
        <v>1834</v>
      </c>
      <c r="G287" t="s">
        <v>2877</v>
      </c>
      <c r="H287" t="s">
        <v>2878</v>
      </c>
    </row>
    <row r="288" spans="1:8" x14ac:dyDescent="0.25">
      <c r="A288" t="s">
        <v>720</v>
      </c>
      <c r="B288">
        <f>VLOOKUP(A288,art_category_path_name!A:B,2,FALSE)</f>
        <v>61</v>
      </c>
      <c r="C288" t="s">
        <v>2879</v>
      </c>
      <c r="D288" t="s">
        <v>2880</v>
      </c>
      <c r="F288" t="s">
        <v>1834</v>
      </c>
      <c r="G288" t="s">
        <v>2881</v>
      </c>
      <c r="H288" t="s">
        <v>2882</v>
      </c>
    </row>
    <row r="289" spans="1:8" x14ac:dyDescent="0.25">
      <c r="A289" t="s">
        <v>998</v>
      </c>
      <c r="B289">
        <f>VLOOKUP(A289,art_category_path_name!A:B,2,FALSE)</f>
        <v>65</v>
      </c>
      <c r="C289" t="s">
        <v>2883</v>
      </c>
      <c r="D289" t="s">
        <v>2884</v>
      </c>
      <c r="F289" t="s">
        <v>1834</v>
      </c>
      <c r="G289" t="s">
        <v>2885</v>
      </c>
      <c r="H289" t="s">
        <v>2886</v>
      </c>
    </row>
    <row r="290" spans="1:8" x14ac:dyDescent="0.25">
      <c r="A290" t="s">
        <v>721</v>
      </c>
      <c r="B290">
        <f>VLOOKUP(A290,art_category_path_name!A:B,2,FALSE)</f>
        <v>66</v>
      </c>
      <c r="C290" t="s">
        <v>2887</v>
      </c>
      <c r="D290" t="s">
        <v>2888</v>
      </c>
      <c r="F290" t="s">
        <v>1834</v>
      </c>
      <c r="G290" t="s">
        <v>2889</v>
      </c>
      <c r="H290" t="s">
        <v>2890</v>
      </c>
    </row>
    <row r="291" spans="1:8" x14ac:dyDescent="0.25">
      <c r="A291" t="s">
        <v>722</v>
      </c>
      <c r="B291">
        <f>VLOOKUP(A291,art_category_path_name!A:B,2,FALSE)</f>
        <v>67</v>
      </c>
      <c r="C291" t="s">
        <v>2891</v>
      </c>
      <c r="D291" t="s">
        <v>2892</v>
      </c>
      <c r="F291" t="s">
        <v>1834</v>
      </c>
      <c r="G291" t="s">
        <v>2893</v>
      </c>
      <c r="H291" t="s">
        <v>2894</v>
      </c>
    </row>
    <row r="292" spans="1:8" x14ac:dyDescent="0.25">
      <c r="A292" t="s">
        <v>1383</v>
      </c>
      <c r="B292">
        <f>VLOOKUP(A292,art_category_path_name!A:B,2,FALSE)</f>
        <v>71</v>
      </c>
      <c r="C292" t="s">
        <v>2895</v>
      </c>
      <c r="D292" t="s">
        <v>2896</v>
      </c>
      <c r="E292" t="s">
        <v>2897</v>
      </c>
      <c r="F292" t="s">
        <v>2896</v>
      </c>
      <c r="G292" t="s">
        <v>2898</v>
      </c>
      <c r="H292" t="s">
        <v>2899</v>
      </c>
    </row>
    <row r="293" spans="1:8" x14ac:dyDescent="0.25">
      <c r="A293" t="s">
        <v>1384</v>
      </c>
      <c r="B293">
        <f>VLOOKUP(A293,art_category_path_name!A:B,2,FALSE)</f>
        <v>72</v>
      </c>
      <c r="C293" t="s">
        <v>2900</v>
      </c>
      <c r="D293" t="s">
        <v>2901</v>
      </c>
      <c r="E293" t="s">
        <v>2902</v>
      </c>
      <c r="F293" t="s">
        <v>2903</v>
      </c>
      <c r="G293" t="s">
        <v>2904</v>
      </c>
      <c r="H293" t="s">
        <v>2905</v>
      </c>
    </row>
    <row r="294" spans="1:8" x14ac:dyDescent="0.25">
      <c r="A294" t="s">
        <v>1385</v>
      </c>
      <c r="B294">
        <f>VLOOKUP(A294,art_category_path_name!A:B,2,FALSE)</f>
        <v>73</v>
      </c>
      <c r="C294" t="s">
        <v>2906</v>
      </c>
      <c r="D294" t="s">
        <v>2907</v>
      </c>
      <c r="E294" t="s">
        <v>2908</v>
      </c>
      <c r="F294" t="s">
        <v>2909</v>
      </c>
      <c r="G294" t="s">
        <v>2910</v>
      </c>
      <c r="H294" t="s">
        <v>2911</v>
      </c>
    </row>
    <row r="295" spans="1:8" x14ac:dyDescent="0.25">
      <c r="A295" t="s">
        <v>1386</v>
      </c>
      <c r="B295">
        <f>VLOOKUP(A295,art_category_path_name!A:B,2,FALSE)</f>
        <v>74</v>
      </c>
      <c r="C295" t="s">
        <v>2912</v>
      </c>
      <c r="D295" t="s">
        <v>2913</v>
      </c>
      <c r="E295" t="s">
        <v>2914</v>
      </c>
      <c r="F295" t="s">
        <v>2913</v>
      </c>
      <c r="G295" t="s">
        <v>2915</v>
      </c>
      <c r="H295" t="s">
        <v>2916</v>
      </c>
    </row>
    <row r="296" spans="1:8" x14ac:dyDescent="0.25">
      <c r="A296" t="s">
        <v>1387</v>
      </c>
      <c r="B296">
        <f>VLOOKUP(A296,art_category_path_name!A:B,2,FALSE)</f>
        <v>75</v>
      </c>
      <c r="C296" t="s">
        <v>2917</v>
      </c>
      <c r="D296" t="s">
        <v>2918</v>
      </c>
      <c r="E296" t="s">
        <v>2918</v>
      </c>
      <c r="F296" t="s">
        <v>2918</v>
      </c>
      <c r="G296" t="s">
        <v>2919</v>
      </c>
      <c r="H296" t="s">
        <v>2920</v>
      </c>
    </row>
    <row r="297" spans="1:8" x14ac:dyDescent="0.25">
      <c r="A297" t="s">
        <v>1388</v>
      </c>
      <c r="B297">
        <f>VLOOKUP(A297,art_category_path_name!A:B,2,FALSE)</f>
        <v>76</v>
      </c>
      <c r="C297" t="s">
        <v>2921</v>
      </c>
      <c r="D297" t="s">
        <v>2922</v>
      </c>
      <c r="E297" t="s">
        <v>2923</v>
      </c>
      <c r="F297" t="s">
        <v>2922</v>
      </c>
      <c r="G297" t="s">
        <v>2924</v>
      </c>
      <c r="H297" t="s">
        <v>2925</v>
      </c>
    </row>
    <row r="298" spans="1:8" x14ac:dyDescent="0.25">
      <c r="A298" t="s">
        <v>1389</v>
      </c>
      <c r="B298">
        <f>VLOOKUP(A298,art_category_path_name!A:B,2,FALSE)</f>
        <v>77</v>
      </c>
      <c r="C298" t="s">
        <v>2926</v>
      </c>
      <c r="D298" t="s">
        <v>2927</v>
      </c>
      <c r="E298" t="s">
        <v>2928</v>
      </c>
      <c r="F298" t="s">
        <v>2929</v>
      </c>
      <c r="G298" t="s">
        <v>2930</v>
      </c>
      <c r="H298" t="s">
        <v>2931</v>
      </c>
    </row>
    <row r="299" spans="1:8" x14ac:dyDescent="0.25">
      <c r="A299" t="s">
        <v>1390</v>
      </c>
      <c r="B299">
        <f>VLOOKUP(A299,art_category_path_name!A:B,2,FALSE)</f>
        <v>78</v>
      </c>
      <c r="C299" t="s">
        <v>2932</v>
      </c>
      <c r="D299" t="s">
        <v>2933</v>
      </c>
      <c r="E299" t="s">
        <v>2934</v>
      </c>
      <c r="F299" t="s">
        <v>2933</v>
      </c>
      <c r="G299" t="s">
        <v>2935</v>
      </c>
      <c r="H299" t="s">
        <v>2936</v>
      </c>
    </row>
    <row r="300" spans="1:8" x14ac:dyDescent="0.25">
      <c r="A300" t="s">
        <v>1391</v>
      </c>
      <c r="B300">
        <f>VLOOKUP(A300,art_category_path_name!A:B,2,FALSE)</f>
        <v>79</v>
      </c>
      <c r="C300" t="s">
        <v>2937</v>
      </c>
      <c r="D300" t="s">
        <v>2938</v>
      </c>
      <c r="E300" t="s">
        <v>2939</v>
      </c>
      <c r="F300" t="s">
        <v>2940</v>
      </c>
      <c r="G300" t="s">
        <v>2941</v>
      </c>
      <c r="H300" t="s">
        <v>2942</v>
      </c>
    </row>
    <row r="301" spans="1:8" x14ac:dyDescent="0.25">
      <c r="A301" t="s">
        <v>1392</v>
      </c>
      <c r="B301">
        <f>VLOOKUP(A301,art_category_path_name!A:B,2,FALSE)</f>
        <v>80</v>
      </c>
      <c r="C301" t="s">
        <v>2943</v>
      </c>
      <c r="D301" t="s">
        <v>2944</v>
      </c>
      <c r="E301" t="s">
        <v>2945</v>
      </c>
      <c r="F301" t="s">
        <v>2946</v>
      </c>
      <c r="G301" t="s">
        <v>2947</v>
      </c>
      <c r="H301" t="s">
        <v>2948</v>
      </c>
    </row>
    <row r="302" spans="1:8" x14ac:dyDescent="0.25">
      <c r="A302" t="s">
        <v>1393</v>
      </c>
      <c r="B302">
        <f>VLOOKUP(A302,art_category_path_name!A:B,2,FALSE)</f>
        <v>81</v>
      </c>
      <c r="C302" t="s">
        <v>2949</v>
      </c>
      <c r="D302" t="s">
        <v>2950</v>
      </c>
      <c r="E302" t="s">
        <v>2951</v>
      </c>
      <c r="F302" t="s">
        <v>2952</v>
      </c>
      <c r="G302" t="s">
        <v>2953</v>
      </c>
      <c r="H302" t="s">
        <v>2954</v>
      </c>
    </row>
    <row r="303" spans="1:8" x14ac:dyDescent="0.25">
      <c r="A303" t="s">
        <v>1394</v>
      </c>
      <c r="B303">
        <f>VLOOKUP(A303,art_category_path_name!A:B,2,FALSE)</f>
        <v>82</v>
      </c>
      <c r="C303" t="s">
        <v>2955</v>
      </c>
      <c r="D303" t="s">
        <v>2956</v>
      </c>
      <c r="E303" t="s">
        <v>2957</v>
      </c>
      <c r="F303" t="s">
        <v>2958</v>
      </c>
      <c r="G303" t="s">
        <v>2959</v>
      </c>
      <c r="H303" t="s">
        <v>2960</v>
      </c>
    </row>
    <row r="304" spans="1:8" x14ac:dyDescent="0.25">
      <c r="A304" t="s">
        <v>1395</v>
      </c>
      <c r="B304">
        <f>VLOOKUP(A304,art_category_path_name!A:B,2,FALSE)</f>
        <v>83</v>
      </c>
      <c r="C304" t="s">
        <v>2961</v>
      </c>
      <c r="D304" t="s">
        <v>2962</v>
      </c>
      <c r="E304" t="s">
        <v>2963</v>
      </c>
      <c r="F304" t="s">
        <v>2964</v>
      </c>
      <c r="G304" t="s">
        <v>2965</v>
      </c>
      <c r="H304" t="s">
        <v>2966</v>
      </c>
    </row>
    <row r="305" spans="1:8" x14ac:dyDescent="0.25">
      <c r="A305" t="s">
        <v>1396</v>
      </c>
      <c r="B305">
        <f>VLOOKUP(A305,art_category_path_name!A:B,2,FALSE)</f>
        <v>84</v>
      </c>
      <c r="C305" t="s">
        <v>2967</v>
      </c>
      <c r="D305" t="s">
        <v>2968</v>
      </c>
      <c r="E305" t="s">
        <v>2969</v>
      </c>
      <c r="F305" t="s">
        <v>2970</v>
      </c>
      <c r="G305" t="s">
        <v>2965</v>
      </c>
      <c r="H305" t="s">
        <v>2971</v>
      </c>
    </row>
    <row r="306" spans="1:8" x14ac:dyDescent="0.25">
      <c r="A306" t="s">
        <v>1420</v>
      </c>
      <c r="B306">
        <f>VLOOKUP(A306,art_category_path_name!A:B,2,FALSE)</f>
        <v>86</v>
      </c>
      <c r="C306" t="s">
        <v>2972</v>
      </c>
      <c r="D306" t="s">
        <v>2973</v>
      </c>
      <c r="E306" t="s">
        <v>2974</v>
      </c>
      <c r="F306" t="s">
        <v>2975</v>
      </c>
      <c r="G306" t="s">
        <v>2976</v>
      </c>
      <c r="H306" t="s">
        <v>2977</v>
      </c>
    </row>
    <row r="307" spans="1:8" x14ac:dyDescent="0.25">
      <c r="A307" t="s">
        <v>1421</v>
      </c>
      <c r="B307">
        <f>VLOOKUP(A307,art_category_path_name!A:B,2,FALSE)</f>
        <v>87</v>
      </c>
      <c r="C307" t="s">
        <v>2978</v>
      </c>
      <c r="D307" t="s">
        <v>2979</v>
      </c>
      <c r="E307" t="s">
        <v>2980</v>
      </c>
      <c r="F307" t="s">
        <v>2981</v>
      </c>
      <c r="G307" t="s">
        <v>2982</v>
      </c>
      <c r="H307" t="s">
        <v>2983</v>
      </c>
    </row>
    <row r="308" spans="1:8" x14ac:dyDescent="0.25">
      <c r="A308" t="s">
        <v>1422</v>
      </c>
      <c r="B308">
        <f>VLOOKUP(A308,art_category_path_name!A:B,2,FALSE)</f>
        <v>88</v>
      </c>
      <c r="C308" t="s">
        <v>2984</v>
      </c>
      <c r="D308" t="s">
        <v>2985</v>
      </c>
      <c r="E308" t="s">
        <v>2986</v>
      </c>
      <c r="F308" t="s">
        <v>2987</v>
      </c>
      <c r="G308" t="s">
        <v>2988</v>
      </c>
      <c r="H308" t="s">
        <v>2989</v>
      </c>
    </row>
    <row r="309" spans="1:8" x14ac:dyDescent="0.25">
      <c r="A309" t="s">
        <v>1423</v>
      </c>
      <c r="B309">
        <f>VLOOKUP(A309,art_category_path_name!A:B,2,FALSE)</f>
        <v>89</v>
      </c>
      <c r="C309" t="s">
        <v>2990</v>
      </c>
      <c r="D309" t="s">
        <v>2991</v>
      </c>
      <c r="E309" t="s">
        <v>2992</v>
      </c>
      <c r="F309" t="s">
        <v>2993</v>
      </c>
      <c r="G309" t="s">
        <v>2994</v>
      </c>
      <c r="H309" t="s">
        <v>2995</v>
      </c>
    </row>
    <row r="310" spans="1:8" x14ac:dyDescent="0.25">
      <c r="A310" t="s">
        <v>1424</v>
      </c>
      <c r="B310">
        <f>VLOOKUP(A310,art_category_path_name!A:B,2,FALSE)</f>
        <v>90</v>
      </c>
      <c r="C310" t="s">
        <v>2996</v>
      </c>
      <c r="D310" t="s">
        <v>2997</v>
      </c>
      <c r="E310" t="s">
        <v>2998</v>
      </c>
      <c r="F310" t="s">
        <v>2999</v>
      </c>
      <c r="G310" t="s">
        <v>3000</v>
      </c>
      <c r="H310" t="s">
        <v>3001</v>
      </c>
    </row>
    <row r="311" spans="1:8" x14ac:dyDescent="0.25">
      <c r="A311" t="s">
        <v>1425</v>
      </c>
      <c r="B311">
        <f>VLOOKUP(A311,art_category_path_name!A:B,2,FALSE)</f>
        <v>91</v>
      </c>
      <c r="C311" t="s">
        <v>3002</v>
      </c>
      <c r="D311" t="s">
        <v>3003</v>
      </c>
      <c r="E311" t="s">
        <v>3004</v>
      </c>
      <c r="F311" t="s">
        <v>3005</v>
      </c>
      <c r="G311" t="s">
        <v>3006</v>
      </c>
      <c r="H311" t="s">
        <v>3007</v>
      </c>
    </row>
    <row r="312" spans="1:8" x14ac:dyDescent="0.25">
      <c r="A312" t="s">
        <v>1426</v>
      </c>
      <c r="B312">
        <f>VLOOKUP(A312,art_category_path_name!A:B,2,FALSE)</f>
        <v>92</v>
      </c>
      <c r="C312" t="s">
        <v>3008</v>
      </c>
      <c r="D312" t="s">
        <v>3009</v>
      </c>
      <c r="E312" t="s">
        <v>3010</v>
      </c>
      <c r="F312" t="s">
        <v>3011</v>
      </c>
      <c r="G312" t="s">
        <v>3012</v>
      </c>
      <c r="H312" t="s">
        <v>3013</v>
      </c>
    </row>
    <row r="313" spans="1:8" x14ac:dyDescent="0.25">
      <c r="A313" t="s">
        <v>1427</v>
      </c>
      <c r="B313">
        <f>VLOOKUP(A313,art_category_path_name!A:B,2,FALSE)</f>
        <v>93</v>
      </c>
      <c r="C313" t="s">
        <v>3014</v>
      </c>
      <c r="D313" t="s">
        <v>3015</v>
      </c>
      <c r="E313" t="s">
        <v>3016</v>
      </c>
      <c r="F313" t="s">
        <v>3017</v>
      </c>
      <c r="G313" t="s">
        <v>3018</v>
      </c>
      <c r="H313" t="s">
        <v>3019</v>
      </c>
    </row>
    <row r="314" spans="1:8" x14ac:dyDescent="0.25">
      <c r="A314" t="s">
        <v>1428</v>
      </c>
      <c r="B314">
        <f>VLOOKUP(A314,art_category_path_name!A:B,2,FALSE)</f>
        <v>94</v>
      </c>
      <c r="C314" t="s">
        <v>3020</v>
      </c>
      <c r="D314" t="s">
        <v>3021</v>
      </c>
      <c r="E314" t="s">
        <v>3022</v>
      </c>
      <c r="F314" t="s">
        <v>3023</v>
      </c>
      <c r="G314" t="s">
        <v>3024</v>
      </c>
      <c r="H314" t="s">
        <v>3025</v>
      </c>
    </row>
    <row r="315" spans="1:8" x14ac:dyDescent="0.25">
      <c r="A315" t="s">
        <v>1429</v>
      </c>
      <c r="B315">
        <f>VLOOKUP(A315,art_category_path_name!A:B,2,FALSE)</f>
        <v>95</v>
      </c>
      <c r="C315" t="s">
        <v>3026</v>
      </c>
      <c r="D315" t="s">
        <v>3027</v>
      </c>
      <c r="E315" t="s">
        <v>3028</v>
      </c>
      <c r="F315" t="s">
        <v>3029</v>
      </c>
      <c r="G315" t="s">
        <v>3030</v>
      </c>
      <c r="H315" t="s">
        <v>3031</v>
      </c>
    </row>
    <row r="316" spans="1:8" x14ac:dyDescent="0.25">
      <c r="A316" t="s">
        <v>1430</v>
      </c>
      <c r="B316">
        <f>VLOOKUP(A316,art_category_path_name!A:B,2,FALSE)</f>
        <v>96</v>
      </c>
      <c r="C316" t="s">
        <v>3032</v>
      </c>
      <c r="D316" t="s">
        <v>3033</v>
      </c>
      <c r="E316" t="s">
        <v>3034</v>
      </c>
      <c r="F316" t="s">
        <v>3035</v>
      </c>
      <c r="G316" t="s">
        <v>3036</v>
      </c>
      <c r="H316" t="s">
        <v>3037</v>
      </c>
    </row>
    <row r="317" spans="1:8" x14ac:dyDescent="0.25">
      <c r="A317" t="s">
        <v>1431</v>
      </c>
      <c r="B317">
        <f>VLOOKUP(A317,art_category_path_name!A:B,2,FALSE)</f>
        <v>97</v>
      </c>
      <c r="C317" t="s">
        <v>3038</v>
      </c>
      <c r="D317" t="s">
        <v>3039</v>
      </c>
      <c r="E317" t="s">
        <v>3040</v>
      </c>
      <c r="F317" t="s">
        <v>3041</v>
      </c>
      <c r="G317" t="s">
        <v>3042</v>
      </c>
      <c r="H317" t="s">
        <v>3043</v>
      </c>
    </row>
    <row r="318" spans="1:8" x14ac:dyDescent="0.25">
      <c r="A318" t="s">
        <v>1432</v>
      </c>
      <c r="B318">
        <f>VLOOKUP(A318,art_category_path_name!A:B,2,FALSE)</f>
        <v>98</v>
      </c>
      <c r="C318" t="s">
        <v>3044</v>
      </c>
      <c r="D318" t="s">
        <v>3045</v>
      </c>
      <c r="E318" t="s">
        <v>3046</v>
      </c>
      <c r="F318" t="s">
        <v>3047</v>
      </c>
      <c r="G318" t="s">
        <v>3048</v>
      </c>
      <c r="H318" t="s">
        <v>3049</v>
      </c>
    </row>
    <row r="319" spans="1:8" x14ac:dyDescent="0.25">
      <c r="A319" t="s">
        <v>1433</v>
      </c>
      <c r="B319">
        <f>VLOOKUP(A319,art_category_path_name!A:B,2,FALSE)</f>
        <v>99</v>
      </c>
      <c r="C319" t="s">
        <v>3050</v>
      </c>
      <c r="D319" t="s">
        <v>3051</v>
      </c>
      <c r="E319" t="s">
        <v>3052</v>
      </c>
      <c r="F319" t="s">
        <v>3053</v>
      </c>
      <c r="G319" t="s">
        <v>3054</v>
      </c>
      <c r="H319" t="s">
        <v>3055</v>
      </c>
    </row>
    <row r="320" spans="1:8" x14ac:dyDescent="0.25">
      <c r="A320" t="s">
        <v>1416</v>
      </c>
      <c r="B320">
        <f>VLOOKUP(A320,art_category_path_name!A:B,2,FALSE)</f>
        <v>100</v>
      </c>
      <c r="C320" t="s">
        <v>3056</v>
      </c>
      <c r="D320" t="s">
        <v>3057</v>
      </c>
      <c r="E320" t="s">
        <v>3058</v>
      </c>
      <c r="F320" t="s">
        <v>3059</v>
      </c>
      <c r="G320" t="s">
        <v>3060</v>
      </c>
      <c r="H320" t="s">
        <v>3061</v>
      </c>
    </row>
    <row r="321" spans="1:8" x14ac:dyDescent="0.25">
      <c r="A321" t="s">
        <v>1417</v>
      </c>
      <c r="B321">
        <f>VLOOKUP(A321,art_category_path_name!A:B,2,FALSE)</f>
        <v>101</v>
      </c>
      <c r="C321" t="s">
        <v>3062</v>
      </c>
      <c r="D321" t="s">
        <v>3063</v>
      </c>
      <c r="E321" t="s">
        <v>3064</v>
      </c>
      <c r="F321" t="s">
        <v>3065</v>
      </c>
      <c r="G321" t="s">
        <v>3066</v>
      </c>
      <c r="H321" t="s">
        <v>3067</v>
      </c>
    </row>
    <row r="322" spans="1:8" x14ac:dyDescent="0.25">
      <c r="A322" t="s">
        <v>1418</v>
      </c>
      <c r="B322">
        <f>VLOOKUP(A322,art_category_path_name!A:B,2,FALSE)</f>
        <v>102</v>
      </c>
      <c r="C322" t="s">
        <v>3068</v>
      </c>
      <c r="D322" t="s">
        <v>3069</v>
      </c>
      <c r="E322" t="s">
        <v>3070</v>
      </c>
      <c r="F322" t="s">
        <v>3071</v>
      </c>
      <c r="G322" t="s">
        <v>3072</v>
      </c>
      <c r="H322" t="s">
        <v>3073</v>
      </c>
    </row>
    <row r="323" spans="1:8" x14ac:dyDescent="0.25">
      <c r="A323" t="s">
        <v>1419</v>
      </c>
      <c r="B323">
        <f>VLOOKUP(A323,art_category_path_name!A:B,2,FALSE)</f>
        <v>103</v>
      </c>
      <c r="C323" t="s">
        <v>3074</v>
      </c>
      <c r="D323" t="s">
        <v>3075</v>
      </c>
      <c r="E323" t="s">
        <v>3076</v>
      </c>
      <c r="F323" t="s">
        <v>3077</v>
      </c>
      <c r="G323" t="s">
        <v>3078</v>
      </c>
      <c r="H323" t="s">
        <v>3079</v>
      </c>
    </row>
    <row r="324" spans="1:8" x14ac:dyDescent="0.25">
      <c r="A324" t="s">
        <v>1349</v>
      </c>
      <c r="B324">
        <f>VLOOKUP(A324,art_category_path_name!A:B,2,FALSE)</f>
        <v>105</v>
      </c>
      <c r="C324" t="s">
        <v>3080</v>
      </c>
      <c r="D324" t="s">
        <v>3081</v>
      </c>
      <c r="E324" t="s">
        <v>3082</v>
      </c>
      <c r="F324" t="s">
        <v>3083</v>
      </c>
      <c r="G324" t="s">
        <v>3084</v>
      </c>
      <c r="H324" t="s">
        <v>3085</v>
      </c>
    </row>
    <row r="325" spans="1:8" x14ac:dyDescent="0.25">
      <c r="A325" t="s">
        <v>213</v>
      </c>
      <c r="B325">
        <f>VLOOKUP(A325,art_category_path_name!A:B,2,FALSE)</f>
        <v>108</v>
      </c>
      <c r="C325" t="s">
        <v>3086</v>
      </c>
      <c r="D325" t="s">
        <v>3087</v>
      </c>
      <c r="E325" t="s">
        <v>3088</v>
      </c>
      <c r="F325" t="s">
        <v>3089</v>
      </c>
      <c r="G325" t="s">
        <v>3090</v>
      </c>
      <c r="H325" t="s">
        <v>3091</v>
      </c>
    </row>
    <row r="326" spans="1:8" x14ac:dyDescent="0.25">
      <c r="A326" t="s">
        <v>214</v>
      </c>
      <c r="B326">
        <f>VLOOKUP(A326,art_category_path_name!A:B,2,FALSE)</f>
        <v>109</v>
      </c>
      <c r="C326" t="s">
        <v>3092</v>
      </c>
      <c r="D326" t="s">
        <v>3093</v>
      </c>
      <c r="F326" t="s">
        <v>1834</v>
      </c>
      <c r="G326" t="s">
        <v>3094</v>
      </c>
      <c r="H326" t="s">
        <v>3095</v>
      </c>
    </row>
    <row r="327" spans="1:8" x14ac:dyDescent="0.25">
      <c r="A327" t="s">
        <v>215</v>
      </c>
      <c r="B327">
        <f>VLOOKUP(A327,art_category_path_name!A:B,2,FALSE)</f>
        <v>110</v>
      </c>
      <c r="C327" t="s">
        <v>3096</v>
      </c>
      <c r="D327" t="s">
        <v>3097</v>
      </c>
      <c r="E327" t="s">
        <v>3098</v>
      </c>
      <c r="F327" t="s">
        <v>3099</v>
      </c>
      <c r="G327" t="s">
        <v>3100</v>
      </c>
      <c r="H327" t="s">
        <v>3101</v>
      </c>
    </row>
    <row r="328" spans="1:8" x14ac:dyDescent="0.25">
      <c r="A328" t="s">
        <v>216</v>
      </c>
      <c r="B328">
        <f>VLOOKUP(A328,art_category_path_name!A:B,2,FALSE)</f>
        <v>111</v>
      </c>
      <c r="C328" t="s">
        <v>3102</v>
      </c>
      <c r="D328" t="s">
        <v>3103</v>
      </c>
      <c r="E328" t="s">
        <v>3104</v>
      </c>
      <c r="F328" t="s">
        <v>3105</v>
      </c>
      <c r="G328" t="s">
        <v>3106</v>
      </c>
      <c r="H328" t="s">
        <v>3107</v>
      </c>
    </row>
    <row r="329" spans="1:8" x14ac:dyDescent="0.25">
      <c r="A329" t="s">
        <v>217</v>
      </c>
      <c r="B329">
        <f>VLOOKUP(A329,art_category_path_name!A:B,2,FALSE)</f>
        <v>112</v>
      </c>
      <c r="C329" t="s">
        <v>3108</v>
      </c>
      <c r="D329" t="s">
        <v>3109</v>
      </c>
      <c r="E329" t="s">
        <v>3110</v>
      </c>
      <c r="F329" t="s">
        <v>3111</v>
      </c>
      <c r="G329" t="s">
        <v>3112</v>
      </c>
      <c r="H329" t="s">
        <v>3113</v>
      </c>
    </row>
    <row r="330" spans="1:8" x14ac:dyDescent="0.25">
      <c r="A330" t="s">
        <v>218</v>
      </c>
      <c r="B330">
        <f>VLOOKUP(A330,art_category_path_name!A:B,2,FALSE)</f>
        <v>113</v>
      </c>
      <c r="C330" t="s">
        <v>3114</v>
      </c>
      <c r="D330" t="s">
        <v>3115</v>
      </c>
      <c r="E330" t="s">
        <v>3116</v>
      </c>
      <c r="F330" t="s">
        <v>3117</v>
      </c>
      <c r="G330" t="s">
        <v>3118</v>
      </c>
      <c r="H330" t="s">
        <v>3119</v>
      </c>
    </row>
    <row r="331" spans="1:8" x14ac:dyDescent="0.25">
      <c r="A331" t="s">
        <v>219</v>
      </c>
      <c r="B331">
        <f>VLOOKUP(A331,art_category_path_name!A:B,2,FALSE)</f>
        <v>114</v>
      </c>
      <c r="C331" t="s">
        <v>3120</v>
      </c>
      <c r="D331" t="s">
        <v>3121</v>
      </c>
      <c r="E331" t="s">
        <v>3122</v>
      </c>
      <c r="F331" t="s">
        <v>3121</v>
      </c>
      <c r="G331" t="s">
        <v>3123</v>
      </c>
      <c r="H331" t="s">
        <v>3124</v>
      </c>
    </row>
    <row r="332" spans="1:8" x14ac:dyDescent="0.25">
      <c r="A332" t="s">
        <v>220</v>
      </c>
      <c r="B332">
        <f>VLOOKUP(A332,art_category_path_name!A:B,2,FALSE)</f>
        <v>115</v>
      </c>
      <c r="C332" t="s">
        <v>3125</v>
      </c>
      <c r="D332" t="s">
        <v>3126</v>
      </c>
      <c r="F332" t="s">
        <v>1834</v>
      </c>
      <c r="G332" t="s">
        <v>3127</v>
      </c>
      <c r="H332" t="s">
        <v>3128</v>
      </c>
    </row>
    <row r="333" spans="1:8" x14ac:dyDescent="0.25">
      <c r="A333" t="s">
        <v>343</v>
      </c>
      <c r="B333">
        <f>VLOOKUP(A333,art_category_path_name!A:B,2,FALSE)</f>
        <v>117</v>
      </c>
      <c r="C333" t="s">
        <v>3129</v>
      </c>
      <c r="D333" t="s">
        <v>3130</v>
      </c>
      <c r="F333" t="s">
        <v>1834</v>
      </c>
      <c r="G333" t="s">
        <v>3131</v>
      </c>
      <c r="H333" t="s">
        <v>3132</v>
      </c>
    </row>
    <row r="334" spans="1:8" x14ac:dyDescent="0.25">
      <c r="A334" t="s">
        <v>344</v>
      </c>
      <c r="B334">
        <f>VLOOKUP(A334,art_category_path_name!A:B,2,FALSE)</f>
        <v>118</v>
      </c>
      <c r="C334" t="s">
        <v>3133</v>
      </c>
      <c r="D334" t="s">
        <v>3134</v>
      </c>
      <c r="E334" t="s">
        <v>3135</v>
      </c>
      <c r="F334" t="s">
        <v>3136</v>
      </c>
      <c r="G334" t="s">
        <v>3137</v>
      </c>
      <c r="H334" t="s">
        <v>3138</v>
      </c>
    </row>
    <row r="335" spans="1:8" x14ac:dyDescent="0.25">
      <c r="A335" t="s">
        <v>345</v>
      </c>
      <c r="B335">
        <f>VLOOKUP(A335,art_category_path_name!A:B,2,FALSE)</f>
        <v>119</v>
      </c>
      <c r="C335" t="s">
        <v>3139</v>
      </c>
      <c r="D335" t="s">
        <v>3140</v>
      </c>
      <c r="F335" t="s">
        <v>1834</v>
      </c>
      <c r="G335" t="s">
        <v>3141</v>
      </c>
      <c r="H335" t="s">
        <v>3142</v>
      </c>
    </row>
    <row r="336" spans="1:8" x14ac:dyDescent="0.25">
      <c r="A336" t="s">
        <v>346</v>
      </c>
      <c r="B336">
        <f>VLOOKUP(A336,art_category_path_name!A:B,2,FALSE)</f>
        <v>120</v>
      </c>
      <c r="C336" t="s">
        <v>3143</v>
      </c>
      <c r="D336" t="s">
        <v>3144</v>
      </c>
      <c r="E336" t="s">
        <v>3145</v>
      </c>
      <c r="F336" t="s">
        <v>3146</v>
      </c>
      <c r="G336" t="s">
        <v>3147</v>
      </c>
      <c r="H336" t="s">
        <v>3148</v>
      </c>
    </row>
    <row r="337" spans="1:8" x14ac:dyDescent="0.25">
      <c r="A337" t="s">
        <v>347</v>
      </c>
      <c r="B337">
        <f>VLOOKUP(A337,art_category_path_name!A:B,2,FALSE)</f>
        <v>121</v>
      </c>
      <c r="C337" t="s">
        <v>3149</v>
      </c>
      <c r="D337" t="s">
        <v>3150</v>
      </c>
      <c r="E337" t="s">
        <v>3151</v>
      </c>
      <c r="F337" t="s">
        <v>3150</v>
      </c>
      <c r="G337" t="s">
        <v>3152</v>
      </c>
      <c r="H337" t="s">
        <v>3153</v>
      </c>
    </row>
    <row r="338" spans="1:8" x14ac:dyDescent="0.25">
      <c r="A338" t="s">
        <v>348</v>
      </c>
      <c r="B338">
        <f>VLOOKUP(A338,art_category_path_name!A:B,2,FALSE)</f>
        <v>122</v>
      </c>
      <c r="C338" t="s">
        <v>3154</v>
      </c>
      <c r="D338" t="s">
        <v>3155</v>
      </c>
      <c r="E338" t="s">
        <v>3156</v>
      </c>
      <c r="F338" t="s">
        <v>3157</v>
      </c>
      <c r="G338" t="s">
        <v>3158</v>
      </c>
      <c r="H338" t="s">
        <v>3159</v>
      </c>
    </row>
    <row r="339" spans="1:8" x14ac:dyDescent="0.25">
      <c r="A339" t="s">
        <v>349</v>
      </c>
      <c r="B339">
        <f>VLOOKUP(A339,art_category_path_name!A:B,2,FALSE)</f>
        <v>123</v>
      </c>
      <c r="C339" t="s">
        <v>3160</v>
      </c>
      <c r="D339" t="s">
        <v>3161</v>
      </c>
      <c r="E339" t="s">
        <v>3162</v>
      </c>
      <c r="F339" t="s">
        <v>3163</v>
      </c>
      <c r="G339" t="s">
        <v>3164</v>
      </c>
      <c r="H339" t="s">
        <v>3165</v>
      </c>
    </row>
    <row r="340" spans="1:8" x14ac:dyDescent="0.25">
      <c r="A340" t="s">
        <v>350</v>
      </c>
      <c r="B340">
        <f>VLOOKUP(A340,art_category_path_name!A:B,2,FALSE)</f>
        <v>124</v>
      </c>
      <c r="C340" t="s">
        <v>3166</v>
      </c>
      <c r="D340" t="s">
        <v>3150</v>
      </c>
      <c r="E340" t="s">
        <v>3167</v>
      </c>
      <c r="F340" t="s">
        <v>3150</v>
      </c>
      <c r="G340" t="s">
        <v>3168</v>
      </c>
      <c r="H340" t="s">
        <v>3169</v>
      </c>
    </row>
    <row r="341" spans="1:8" x14ac:dyDescent="0.25">
      <c r="A341" t="s">
        <v>351</v>
      </c>
      <c r="B341">
        <f>VLOOKUP(A341,art_category_path_name!A:B,2,FALSE)</f>
        <v>125</v>
      </c>
      <c r="C341" t="s">
        <v>3170</v>
      </c>
      <c r="D341" t="s">
        <v>3150</v>
      </c>
      <c r="E341" t="s">
        <v>3171</v>
      </c>
      <c r="F341" t="s">
        <v>3150</v>
      </c>
      <c r="G341" t="s">
        <v>3172</v>
      </c>
      <c r="H341" t="s">
        <v>3173</v>
      </c>
    </row>
    <row r="342" spans="1:8" x14ac:dyDescent="0.25">
      <c r="A342" t="s">
        <v>352</v>
      </c>
      <c r="B342">
        <f>VLOOKUP(A342,art_category_path_name!A:B,2,FALSE)</f>
        <v>126</v>
      </c>
      <c r="C342" t="s">
        <v>3174</v>
      </c>
      <c r="D342" t="s">
        <v>3150</v>
      </c>
      <c r="E342" t="s">
        <v>3175</v>
      </c>
      <c r="F342" t="s">
        <v>3150</v>
      </c>
      <c r="G342" t="s">
        <v>3176</v>
      </c>
      <c r="H342" t="s">
        <v>3177</v>
      </c>
    </row>
    <row r="343" spans="1:8" x14ac:dyDescent="0.25">
      <c r="A343" t="s">
        <v>353</v>
      </c>
      <c r="B343">
        <f>VLOOKUP(A343,art_category_path_name!A:B,2,FALSE)</f>
        <v>127</v>
      </c>
      <c r="C343" t="s">
        <v>3178</v>
      </c>
      <c r="D343" t="s">
        <v>3150</v>
      </c>
      <c r="E343" t="s">
        <v>3179</v>
      </c>
      <c r="F343" t="s">
        <v>3150</v>
      </c>
      <c r="G343" t="s">
        <v>3180</v>
      </c>
      <c r="H343" t="s">
        <v>3181</v>
      </c>
    </row>
    <row r="344" spans="1:8" x14ac:dyDescent="0.25">
      <c r="A344" t="s">
        <v>354</v>
      </c>
      <c r="B344">
        <f>VLOOKUP(A344,art_category_path_name!A:B,2,FALSE)</f>
        <v>128</v>
      </c>
      <c r="C344" t="s">
        <v>3182</v>
      </c>
      <c r="D344" t="s">
        <v>3150</v>
      </c>
      <c r="E344" t="s">
        <v>3183</v>
      </c>
      <c r="F344" t="s">
        <v>3150</v>
      </c>
      <c r="G344" t="s">
        <v>3184</v>
      </c>
      <c r="H344" t="s">
        <v>3185</v>
      </c>
    </row>
    <row r="345" spans="1:8" x14ac:dyDescent="0.25">
      <c r="A345" t="s">
        <v>355</v>
      </c>
      <c r="B345">
        <f>VLOOKUP(A345,art_category_path_name!A:B,2,FALSE)</f>
        <v>129</v>
      </c>
      <c r="C345" t="s">
        <v>3186</v>
      </c>
      <c r="D345" t="s">
        <v>3187</v>
      </c>
      <c r="E345" t="s">
        <v>3188</v>
      </c>
      <c r="F345" t="s">
        <v>3189</v>
      </c>
      <c r="G345" t="s">
        <v>3190</v>
      </c>
      <c r="H345" t="s">
        <v>3191</v>
      </c>
    </row>
    <row r="346" spans="1:8" x14ac:dyDescent="0.25">
      <c r="A346" t="s">
        <v>356</v>
      </c>
      <c r="B346">
        <f>VLOOKUP(A346,art_category_path_name!A:B,2,FALSE)</f>
        <v>130</v>
      </c>
      <c r="C346" t="s">
        <v>3192</v>
      </c>
      <c r="D346" t="s">
        <v>3150</v>
      </c>
      <c r="E346" t="s">
        <v>3193</v>
      </c>
      <c r="F346" t="s">
        <v>3150</v>
      </c>
      <c r="G346" t="s">
        <v>3194</v>
      </c>
      <c r="H346" t="s">
        <v>3195</v>
      </c>
    </row>
    <row r="347" spans="1:8" x14ac:dyDescent="0.25">
      <c r="A347" t="s">
        <v>357</v>
      </c>
      <c r="B347">
        <f>VLOOKUP(A347,art_category_path_name!A:B,2,FALSE)</f>
        <v>131</v>
      </c>
      <c r="C347" t="s">
        <v>3196</v>
      </c>
      <c r="D347" t="s">
        <v>3197</v>
      </c>
      <c r="F347" t="s">
        <v>1834</v>
      </c>
      <c r="G347" t="s">
        <v>3198</v>
      </c>
      <c r="H347" t="s">
        <v>3199</v>
      </c>
    </row>
    <row r="348" spans="1:8" x14ac:dyDescent="0.25">
      <c r="A348" t="s">
        <v>358</v>
      </c>
      <c r="B348">
        <f>VLOOKUP(A348,art_category_path_name!A:B,2,FALSE)</f>
        <v>132</v>
      </c>
      <c r="C348" t="s">
        <v>3200</v>
      </c>
      <c r="D348" t="s">
        <v>3201</v>
      </c>
      <c r="F348" t="s">
        <v>1834</v>
      </c>
      <c r="G348" t="s">
        <v>3202</v>
      </c>
      <c r="H348" t="s">
        <v>3203</v>
      </c>
    </row>
    <row r="349" spans="1:8" x14ac:dyDescent="0.25">
      <c r="A349" t="s">
        <v>359</v>
      </c>
      <c r="B349">
        <f>VLOOKUP(A349,art_category_path_name!A:B,2,FALSE)</f>
        <v>133</v>
      </c>
      <c r="C349" t="s">
        <v>3204</v>
      </c>
      <c r="D349" t="s">
        <v>3205</v>
      </c>
      <c r="E349" t="s">
        <v>3206</v>
      </c>
      <c r="F349" t="s">
        <v>3205</v>
      </c>
      <c r="G349" t="s">
        <v>3207</v>
      </c>
      <c r="H349" t="s">
        <v>3208</v>
      </c>
    </row>
    <row r="350" spans="1:8" x14ac:dyDescent="0.25">
      <c r="A350" t="s">
        <v>360</v>
      </c>
      <c r="B350">
        <f>VLOOKUP(A350,art_category_path_name!A:B,2,FALSE)</f>
        <v>134</v>
      </c>
      <c r="C350" t="s">
        <v>3209</v>
      </c>
      <c r="D350" t="s">
        <v>3210</v>
      </c>
      <c r="F350" t="s">
        <v>1834</v>
      </c>
      <c r="G350" t="s">
        <v>3211</v>
      </c>
      <c r="H350" t="s">
        <v>3212</v>
      </c>
    </row>
    <row r="351" spans="1:8" x14ac:dyDescent="0.25">
      <c r="A351" t="s">
        <v>361</v>
      </c>
      <c r="B351">
        <f>VLOOKUP(A351,art_category_path_name!A:B,2,FALSE)</f>
        <v>135</v>
      </c>
      <c r="C351" t="s">
        <v>3213</v>
      </c>
      <c r="D351" t="s">
        <v>3214</v>
      </c>
      <c r="F351" t="s">
        <v>1834</v>
      </c>
      <c r="G351" t="s">
        <v>3215</v>
      </c>
      <c r="H351" t="s">
        <v>3216</v>
      </c>
    </row>
    <row r="352" spans="1:8" x14ac:dyDescent="0.25">
      <c r="A352" t="s">
        <v>362</v>
      </c>
      <c r="B352">
        <f>VLOOKUP(A352,art_category_path_name!A:B,2,FALSE)</f>
        <v>136</v>
      </c>
      <c r="C352" t="s">
        <v>3217</v>
      </c>
      <c r="D352" t="s">
        <v>3218</v>
      </c>
      <c r="F352" t="s">
        <v>1834</v>
      </c>
      <c r="G352" t="s">
        <v>3219</v>
      </c>
      <c r="H352" t="s">
        <v>3220</v>
      </c>
    </row>
    <row r="353" spans="1:8" x14ac:dyDescent="0.25">
      <c r="A353" t="s">
        <v>363</v>
      </c>
      <c r="B353">
        <f>VLOOKUP(A353,art_category_path_name!A:B,2,FALSE)</f>
        <v>137</v>
      </c>
      <c r="C353" t="s">
        <v>3221</v>
      </c>
      <c r="D353" t="s">
        <v>3222</v>
      </c>
      <c r="F353" t="s">
        <v>1834</v>
      </c>
      <c r="G353" t="s">
        <v>3223</v>
      </c>
      <c r="H353" t="s">
        <v>3224</v>
      </c>
    </row>
    <row r="354" spans="1:8" x14ac:dyDescent="0.25">
      <c r="A354" t="s">
        <v>364</v>
      </c>
      <c r="B354">
        <f>VLOOKUP(A354,art_category_path_name!A:B,2,FALSE)</f>
        <v>138</v>
      </c>
      <c r="C354" t="s">
        <v>3225</v>
      </c>
      <c r="D354" t="s">
        <v>3226</v>
      </c>
      <c r="F354" t="s">
        <v>1834</v>
      </c>
      <c r="G354" t="s">
        <v>3227</v>
      </c>
      <c r="H354" t="s">
        <v>3228</v>
      </c>
    </row>
    <row r="355" spans="1:8" x14ac:dyDescent="0.25">
      <c r="A355" t="s">
        <v>365</v>
      </c>
      <c r="B355">
        <f>VLOOKUP(A355,art_category_path_name!A:B,2,FALSE)</f>
        <v>139</v>
      </c>
      <c r="C355" t="s">
        <v>3229</v>
      </c>
      <c r="D355" t="s">
        <v>3230</v>
      </c>
      <c r="E355" t="s">
        <v>3231</v>
      </c>
      <c r="F355" t="s">
        <v>3232</v>
      </c>
      <c r="G355" t="s">
        <v>3233</v>
      </c>
      <c r="H355" t="s">
        <v>3234</v>
      </c>
    </row>
    <row r="356" spans="1:8" x14ac:dyDescent="0.25">
      <c r="A356" t="s">
        <v>366</v>
      </c>
      <c r="B356">
        <f>VLOOKUP(A356,art_category_path_name!A:B,2,FALSE)</f>
        <v>140</v>
      </c>
      <c r="C356" t="s">
        <v>3235</v>
      </c>
      <c r="D356" t="s">
        <v>3150</v>
      </c>
      <c r="E356" t="s">
        <v>3236</v>
      </c>
      <c r="F356" t="s">
        <v>3150</v>
      </c>
      <c r="G356" t="s">
        <v>3237</v>
      </c>
      <c r="H356" t="s">
        <v>3238</v>
      </c>
    </row>
    <row r="357" spans="1:8" x14ac:dyDescent="0.25">
      <c r="A357" t="s">
        <v>367</v>
      </c>
      <c r="B357">
        <f>VLOOKUP(A357,art_category_path_name!A:B,2,FALSE)</f>
        <v>141</v>
      </c>
      <c r="C357" t="s">
        <v>3239</v>
      </c>
      <c r="D357" t="s">
        <v>3240</v>
      </c>
      <c r="F357" t="s">
        <v>1834</v>
      </c>
      <c r="G357" t="s">
        <v>3241</v>
      </c>
      <c r="H357" t="s">
        <v>3242</v>
      </c>
    </row>
    <row r="358" spans="1:8" x14ac:dyDescent="0.25">
      <c r="A358" t="s">
        <v>368</v>
      </c>
      <c r="B358">
        <f>VLOOKUP(A358,art_category_path_name!A:B,2,FALSE)</f>
        <v>142</v>
      </c>
      <c r="C358" t="s">
        <v>3243</v>
      </c>
      <c r="D358" t="s">
        <v>3244</v>
      </c>
      <c r="F358" t="s">
        <v>1834</v>
      </c>
      <c r="G358" t="s">
        <v>3245</v>
      </c>
      <c r="H358" t="s">
        <v>3246</v>
      </c>
    </row>
    <row r="359" spans="1:8" x14ac:dyDescent="0.25">
      <c r="A359" t="s">
        <v>369</v>
      </c>
      <c r="B359">
        <f>VLOOKUP(A359,art_category_path_name!A:B,2,FALSE)</f>
        <v>143</v>
      </c>
      <c r="C359" t="s">
        <v>3247</v>
      </c>
      <c r="D359" t="s">
        <v>3150</v>
      </c>
      <c r="E359" t="s">
        <v>3248</v>
      </c>
      <c r="F359" t="s">
        <v>3150</v>
      </c>
      <c r="G359" t="s">
        <v>3249</v>
      </c>
      <c r="H359" t="s">
        <v>3250</v>
      </c>
    </row>
    <row r="360" spans="1:8" x14ac:dyDescent="0.25">
      <c r="A360" t="s">
        <v>370</v>
      </c>
      <c r="B360">
        <f>VLOOKUP(A360,art_category_path_name!A:B,2,FALSE)</f>
        <v>144</v>
      </c>
      <c r="C360" t="s">
        <v>3251</v>
      </c>
      <c r="D360" t="s">
        <v>3252</v>
      </c>
      <c r="F360" t="s">
        <v>1834</v>
      </c>
      <c r="G360" t="s">
        <v>3253</v>
      </c>
      <c r="H360" t="s">
        <v>3254</v>
      </c>
    </row>
    <row r="361" spans="1:8" x14ac:dyDescent="0.25">
      <c r="A361" t="s">
        <v>371</v>
      </c>
      <c r="B361">
        <f>VLOOKUP(A361,art_category_path_name!A:B,2,FALSE)</f>
        <v>145</v>
      </c>
      <c r="C361" t="s">
        <v>3255</v>
      </c>
      <c r="D361" t="s">
        <v>3256</v>
      </c>
      <c r="F361" t="s">
        <v>1834</v>
      </c>
      <c r="G361" t="s">
        <v>3257</v>
      </c>
      <c r="H361" t="s">
        <v>3258</v>
      </c>
    </row>
    <row r="362" spans="1:8" x14ac:dyDescent="0.25">
      <c r="A362" t="s">
        <v>372</v>
      </c>
      <c r="B362">
        <f>VLOOKUP(A362,art_category_path_name!A:B,2,FALSE)</f>
        <v>146</v>
      </c>
      <c r="C362" t="s">
        <v>3259</v>
      </c>
      <c r="D362" t="s">
        <v>3260</v>
      </c>
      <c r="F362" t="s">
        <v>1834</v>
      </c>
      <c r="G362" t="s">
        <v>3261</v>
      </c>
      <c r="H362" t="s">
        <v>3262</v>
      </c>
    </row>
    <row r="363" spans="1:8" x14ac:dyDescent="0.25">
      <c r="A363" t="s">
        <v>373</v>
      </c>
      <c r="B363">
        <f>VLOOKUP(A363,art_category_path_name!A:B,2,FALSE)</f>
        <v>147</v>
      </c>
      <c r="C363" t="s">
        <v>3263</v>
      </c>
      <c r="D363" t="s">
        <v>3264</v>
      </c>
      <c r="F363" t="s">
        <v>1834</v>
      </c>
      <c r="G363" t="s">
        <v>3265</v>
      </c>
      <c r="H363" t="s">
        <v>3266</v>
      </c>
    </row>
    <row r="364" spans="1:8" x14ac:dyDescent="0.25">
      <c r="A364" t="s">
        <v>374</v>
      </c>
      <c r="B364">
        <f>VLOOKUP(A364,art_category_path_name!A:B,2,FALSE)</f>
        <v>148</v>
      </c>
      <c r="C364" t="s">
        <v>3267</v>
      </c>
      <c r="D364" t="s">
        <v>2991</v>
      </c>
      <c r="E364" t="s">
        <v>2992</v>
      </c>
      <c r="F364" t="s">
        <v>2993</v>
      </c>
      <c r="G364" t="s">
        <v>3268</v>
      </c>
      <c r="H364" t="s">
        <v>3269</v>
      </c>
    </row>
    <row r="365" spans="1:8" x14ac:dyDescent="0.25">
      <c r="A365" t="s">
        <v>375</v>
      </c>
      <c r="B365">
        <f>VLOOKUP(A365,art_category_path_name!A:B,2,FALSE)</f>
        <v>149</v>
      </c>
      <c r="C365" t="s">
        <v>3270</v>
      </c>
      <c r="D365" t="s">
        <v>3271</v>
      </c>
      <c r="E365" t="s">
        <v>3272</v>
      </c>
      <c r="F365" t="s">
        <v>3273</v>
      </c>
      <c r="G365" t="s">
        <v>3274</v>
      </c>
      <c r="H365" t="s">
        <v>3275</v>
      </c>
    </row>
    <row r="366" spans="1:8" x14ac:dyDescent="0.25">
      <c r="A366" t="s">
        <v>1351</v>
      </c>
      <c r="B366">
        <f>VLOOKUP(A366,art_category_path_name!A:B,2,FALSE)</f>
        <v>151</v>
      </c>
      <c r="C366" t="s">
        <v>3276</v>
      </c>
      <c r="D366" t="s">
        <v>3277</v>
      </c>
      <c r="E366" t="s">
        <v>3278</v>
      </c>
      <c r="F366" t="s">
        <v>3279</v>
      </c>
      <c r="G366" t="s">
        <v>3280</v>
      </c>
      <c r="H366" t="s">
        <v>3281</v>
      </c>
    </row>
    <row r="367" spans="1:8" x14ac:dyDescent="0.25">
      <c r="A367" t="s">
        <v>1352</v>
      </c>
      <c r="B367">
        <f>VLOOKUP(A367,art_category_path_name!A:B,2,FALSE)</f>
        <v>152</v>
      </c>
      <c r="C367" t="s">
        <v>3282</v>
      </c>
      <c r="D367" t="s">
        <v>3283</v>
      </c>
      <c r="F367" t="s">
        <v>1834</v>
      </c>
      <c r="G367" t="s">
        <v>3284</v>
      </c>
      <c r="H367" t="s">
        <v>3285</v>
      </c>
    </row>
    <row r="368" spans="1:8" x14ac:dyDescent="0.25">
      <c r="A368" t="s">
        <v>1353</v>
      </c>
      <c r="B368">
        <f>VLOOKUP(A368,art_category_path_name!A:B,2,FALSE)</f>
        <v>153</v>
      </c>
      <c r="C368" t="s">
        <v>3286</v>
      </c>
      <c r="D368" t="s">
        <v>3287</v>
      </c>
      <c r="F368" t="s">
        <v>1834</v>
      </c>
      <c r="G368" t="s">
        <v>3288</v>
      </c>
      <c r="H368" t="s">
        <v>3289</v>
      </c>
    </row>
    <row r="369" spans="1:8" x14ac:dyDescent="0.25">
      <c r="A369" t="s">
        <v>1354</v>
      </c>
      <c r="B369">
        <f>VLOOKUP(A369,art_category_path_name!A:B,2,FALSE)</f>
        <v>154</v>
      </c>
      <c r="C369" t="s">
        <v>3290</v>
      </c>
      <c r="D369" t="s">
        <v>3291</v>
      </c>
      <c r="E369" t="s">
        <v>3292</v>
      </c>
      <c r="F369" t="s">
        <v>3293</v>
      </c>
      <c r="G369" t="s">
        <v>3294</v>
      </c>
      <c r="H369" t="s">
        <v>3295</v>
      </c>
    </row>
    <row r="370" spans="1:8" x14ac:dyDescent="0.25">
      <c r="A370" t="s">
        <v>1355</v>
      </c>
      <c r="B370">
        <f>VLOOKUP(A370,art_category_path_name!A:B,2,FALSE)</f>
        <v>155</v>
      </c>
      <c r="C370" t="s">
        <v>3296</v>
      </c>
      <c r="D370" t="s">
        <v>3297</v>
      </c>
      <c r="F370" t="s">
        <v>1834</v>
      </c>
      <c r="G370" t="s">
        <v>3298</v>
      </c>
      <c r="H370" t="s">
        <v>3299</v>
      </c>
    </row>
    <row r="371" spans="1:8" x14ac:dyDescent="0.25">
      <c r="A371" t="s">
        <v>1356</v>
      </c>
      <c r="B371">
        <f>VLOOKUP(A371,art_category_path_name!A:B,2,FALSE)</f>
        <v>156</v>
      </c>
      <c r="C371" t="s">
        <v>3300</v>
      </c>
      <c r="D371" t="s">
        <v>3301</v>
      </c>
      <c r="E371" t="s">
        <v>3302</v>
      </c>
      <c r="F371" t="s">
        <v>3303</v>
      </c>
      <c r="G371" t="s">
        <v>3304</v>
      </c>
      <c r="H371" t="s">
        <v>3305</v>
      </c>
    </row>
    <row r="372" spans="1:8" x14ac:dyDescent="0.25">
      <c r="A372" t="s">
        <v>1357</v>
      </c>
      <c r="B372">
        <f>VLOOKUP(A372,art_category_path_name!A:B,2,FALSE)</f>
        <v>157</v>
      </c>
      <c r="C372" t="s">
        <v>3306</v>
      </c>
      <c r="D372" t="s">
        <v>3307</v>
      </c>
      <c r="E372" t="s">
        <v>3308</v>
      </c>
      <c r="F372" t="s">
        <v>3309</v>
      </c>
      <c r="G372" t="s">
        <v>3310</v>
      </c>
      <c r="H372" t="s">
        <v>3311</v>
      </c>
    </row>
    <row r="373" spans="1:8" x14ac:dyDescent="0.25">
      <c r="A373" t="s">
        <v>1358</v>
      </c>
      <c r="B373">
        <f>VLOOKUP(A373,art_category_path_name!A:B,2,FALSE)</f>
        <v>158</v>
      </c>
      <c r="C373" t="s">
        <v>3312</v>
      </c>
      <c r="D373" t="s">
        <v>3313</v>
      </c>
      <c r="E373" t="s">
        <v>3314</v>
      </c>
      <c r="F373" t="s">
        <v>3314</v>
      </c>
      <c r="G373" t="s">
        <v>3315</v>
      </c>
      <c r="H373" t="s">
        <v>3316</v>
      </c>
    </row>
    <row r="374" spans="1:8" x14ac:dyDescent="0.25">
      <c r="A374" t="s">
        <v>1359</v>
      </c>
      <c r="B374">
        <f>VLOOKUP(A374,art_category_path_name!A:B,2,FALSE)</f>
        <v>159</v>
      </c>
      <c r="C374" t="s">
        <v>3317</v>
      </c>
      <c r="D374" t="s">
        <v>3318</v>
      </c>
      <c r="F374" t="s">
        <v>1834</v>
      </c>
      <c r="G374" t="s">
        <v>3319</v>
      </c>
      <c r="H374" t="s">
        <v>3320</v>
      </c>
    </row>
    <row r="375" spans="1:8" x14ac:dyDescent="0.25">
      <c r="A375" t="s">
        <v>1360</v>
      </c>
      <c r="B375">
        <f>VLOOKUP(A375,art_category_path_name!A:B,2,FALSE)</f>
        <v>160</v>
      </c>
      <c r="C375" t="s">
        <v>3321</v>
      </c>
      <c r="D375" t="s">
        <v>3322</v>
      </c>
      <c r="F375" t="s">
        <v>1834</v>
      </c>
      <c r="G375" t="s">
        <v>3323</v>
      </c>
      <c r="H375" t="s">
        <v>3324</v>
      </c>
    </row>
    <row r="376" spans="1:8" x14ac:dyDescent="0.25">
      <c r="A376" t="s">
        <v>1361</v>
      </c>
      <c r="B376">
        <f>VLOOKUP(A376,art_category_path_name!A:B,2,FALSE)</f>
        <v>161</v>
      </c>
      <c r="C376" t="s">
        <v>3325</v>
      </c>
      <c r="D376" t="s">
        <v>3326</v>
      </c>
      <c r="E376" t="s">
        <v>3327</v>
      </c>
      <c r="F376" t="s">
        <v>3326</v>
      </c>
      <c r="G376" t="s">
        <v>3328</v>
      </c>
      <c r="H376" t="s">
        <v>3329</v>
      </c>
    </row>
    <row r="377" spans="1:8" x14ac:dyDescent="0.25">
      <c r="A377" t="s">
        <v>1362</v>
      </c>
      <c r="B377">
        <f>VLOOKUP(A377,art_category_path_name!A:B,2,FALSE)</f>
        <v>162</v>
      </c>
      <c r="C377" t="s">
        <v>3330</v>
      </c>
      <c r="D377" t="s">
        <v>3331</v>
      </c>
      <c r="E377" t="s">
        <v>3332</v>
      </c>
      <c r="F377" t="s">
        <v>3331</v>
      </c>
      <c r="G377" t="s">
        <v>3333</v>
      </c>
      <c r="H377" t="s">
        <v>3334</v>
      </c>
    </row>
    <row r="378" spans="1:8" x14ac:dyDescent="0.25">
      <c r="A378" t="s">
        <v>1363</v>
      </c>
      <c r="B378">
        <f>VLOOKUP(A378,art_category_path_name!A:B,2,FALSE)</f>
        <v>163</v>
      </c>
      <c r="C378" t="s">
        <v>3335</v>
      </c>
      <c r="D378" t="s">
        <v>3336</v>
      </c>
      <c r="F378" t="s">
        <v>1834</v>
      </c>
      <c r="G378" t="s">
        <v>3337</v>
      </c>
      <c r="H378" t="s">
        <v>3338</v>
      </c>
    </row>
    <row r="379" spans="1:8" x14ac:dyDescent="0.25">
      <c r="A379" t="s">
        <v>1364</v>
      </c>
      <c r="B379">
        <f>VLOOKUP(A379,art_category_path_name!A:B,2,FALSE)</f>
        <v>164</v>
      </c>
      <c r="C379" t="s">
        <v>3339</v>
      </c>
      <c r="D379" t="s">
        <v>3340</v>
      </c>
      <c r="E379" t="s">
        <v>3341</v>
      </c>
      <c r="F379" t="s">
        <v>3342</v>
      </c>
      <c r="G379" t="s">
        <v>3343</v>
      </c>
      <c r="H379" t="s">
        <v>3344</v>
      </c>
    </row>
    <row r="380" spans="1:8" x14ac:dyDescent="0.25">
      <c r="A380" t="s">
        <v>1367</v>
      </c>
      <c r="B380">
        <f>VLOOKUP(A380,art_category_path_name!A:B,2,FALSE)</f>
        <v>166</v>
      </c>
      <c r="C380" t="s">
        <v>3345</v>
      </c>
      <c r="D380" t="s">
        <v>3346</v>
      </c>
      <c r="E380" t="s">
        <v>3347</v>
      </c>
      <c r="F380" t="s">
        <v>3348</v>
      </c>
      <c r="G380" t="s">
        <v>3349</v>
      </c>
      <c r="H380" t="s">
        <v>3350</v>
      </c>
    </row>
    <row r="381" spans="1:8" x14ac:dyDescent="0.25">
      <c r="A381" t="s">
        <v>1368</v>
      </c>
      <c r="B381">
        <f>VLOOKUP(A381,art_category_path_name!A:B,2,FALSE)</f>
        <v>167</v>
      </c>
      <c r="C381" t="s">
        <v>3351</v>
      </c>
      <c r="D381" t="s">
        <v>3352</v>
      </c>
      <c r="E381" s="1">
        <v>42739</v>
      </c>
      <c r="F381" t="s">
        <v>3353</v>
      </c>
      <c r="G381" t="s">
        <v>3354</v>
      </c>
      <c r="H381" t="s">
        <v>3355</v>
      </c>
    </row>
    <row r="382" spans="1:8" x14ac:dyDescent="0.25">
      <c r="A382" t="s">
        <v>1369</v>
      </c>
      <c r="B382">
        <f>VLOOKUP(A382,art_category_path_name!A:B,2,FALSE)</f>
        <v>168</v>
      </c>
      <c r="C382" t="s">
        <v>3356</v>
      </c>
      <c r="D382" t="s">
        <v>3357</v>
      </c>
      <c r="E382" s="1">
        <v>42743</v>
      </c>
      <c r="F382" t="s">
        <v>3358</v>
      </c>
      <c r="G382" t="s">
        <v>3359</v>
      </c>
      <c r="H382" t="s">
        <v>3360</v>
      </c>
    </row>
    <row r="383" spans="1:8" x14ac:dyDescent="0.25">
      <c r="A383" t="s">
        <v>1370</v>
      </c>
      <c r="B383">
        <f>VLOOKUP(A383,art_category_path_name!A:B,2,FALSE)</f>
        <v>169</v>
      </c>
      <c r="C383" t="s">
        <v>3361</v>
      </c>
      <c r="D383" t="s">
        <v>3362</v>
      </c>
      <c r="E383" t="s">
        <v>3363</v>
      </c>
      <c r="F383" t="s">
        <v>3364</v>
      </c>
      <c r="G383" t="s">
        <v>3365</v>
      </c>
      <c r="H383" t="s">
        <v>3366</v>
      </c>
    </row>
    <row r="384" spans="1:8" x14ac:dyDescent="0.25">
      <c r="A384" t="s">
        <v>1371</v>
      </c>
      <c r="B384">
        <f>VLOOKUP(A384,art_category_path_name!A:B,2,FALSE)</f>
        <v>170</v>
      </c>
      <c r="C384" t="s">
        <v>3367</v>
      </c>
      <c r="D384" t="s">
        <v>3368</v>
      </c>
      <c r="E384" t="s">
        <v>3369</v>
      </c>
      <c r="F384">
        <v>2</v>
      </c>
      <c r="G384" t="s">
        <v>3370</v>
      </c>
      <c r="H384" t="s">
        <v>3371</v>
      </c>
    </row>
    <row r="385" spans="1:8" x14ac:dyDescent="0.25">
      <c r="A385" t="s">
        <v>1372</v>
      </c>
      <c r="B385">
        <f>VLOOKUP(A385,art_category_path_name!A:B,2,FALSE)</f>
        <v>171</v>
      </c>
      <c r="C385" t="s">
        <v>3372</v>
      </c>
      <c r="D385" t="s">
        <v>3373</v>
      </c>
      <c r="E385" t="s">
        <v>3374</v>
      </c>
      <c r="F385" t="s">
        <v>3375</v>
      </c>
      <c r="G385" t="s">
        <v>3376</v>
      </c>
      <c r="H385" t="s">
        <v>3377</v>
      </c>
    </row>
    <row r="386" spans="1:8" x14ac:dyDescent="0.25">
      <c r="A386" t="s">
        <v>1373</v>
      </c>
      <c r="B386">
        <f>VLOOKUP(A386,art_category_path_name!A:B,2,FALSE)</f>
        <v>172</v>
      </c>
      <c r="C386" t="s">
        <v>3378</v>
      </c>
      <c r="D386" t="s">
        <v>3379</v>
      </c>
      <c r="E386" s="1">
        <v>42743</v>
      </c>
      <c r="F386" t="s">
        <v>3380</v>
      </c>
      <c r="G386" t="s">
        <v>3381</v>
      </c>
      <c r="H386" t="s">
        <v>3382</v>
      </c>
    </row>
    <row r="387" spans="1:8" x14ac:dyDescent="0.25">
      <c r="A387" t="s">
        <v>1374</v>
      </c>
      <c r="B387">
        <f>VLOOKUP(A387,art_category_path_name!A:B,2,FALSE)</f>
        <v>173</v>
      </c>
      <c r="C387" t="s">
        <v>3383</v>
      </c>
      <c r="D387" t="s">
        <v>3384</v>
      </c>
      <c r="E387" s="1">
        <v>42739</v>
      </c>
      <c r="F387" t="s">
        <v>3385</v>
      </c>
      <c r="G387" t="s">
        <v>3386</v>
      </c>
      <c r="H387" t="s">
        <v>3387</v>
      </c>
    </row>
    <row r="388" spans="1:8" x14ac:dyDescent="0.25">
      <c r="A388" t="s">
        <v>1375</v>
      </c>
      <c r="B388">
        <f>VLOOKUP(A388,art_category_path_name!A:B,2,FALSE)</f>
        <v>174</v>
      </c>
      <c r="C388" t="s">
        <v>3388</v>
      </c>
      <c r="D388" t="s">
        <v>3389</v>
      </c>
      <c r="E388" s="1">
        <v>42737</v>
      </c>
      <c r="F388" t="s">
        <v>3390</v>
      </c>
      <c r="G388" t="s">
        <v>3354</v>
      </c>
      <c r="H388" t="s">
        <v>3391</v>
      </c>
    </row>
    <row r="389" spans="1:8" x14ac:dyDescent="0.25">
      <c r="A389" t="s">
        <v>1376</v>
      </c>
      <c r="B389">
        <f>VLOOKUP(A389,art_category_path_name!A:B,2,FALSE)</f>
        <v>175</v>
      </c>
      <c r="C389" t="s">
        <v>3392</v>
      </c>
      <c r="D389" t="s">
        <v>3393</v>
      </c>
      <c r="E389" s="1">
        <v>42810</v>
      </c>
      <c r="F389" t="s">
        <v>3394</v>
      </c>
      <c r="G389" t="s">
        <v>3395</v>
      </c>
      <c r="H389" t="s">
        <v>3396</v>
      </c>
    </row>
    <row r="390" spans="1:8" x14ac:dyDescent="0.25">
      <c r="A390" t="s">
        <v>1377</v>
      </c>
      <c r="B390">
        <f>VLOOKUP(A390,art_category_path_name!A:B,2,FALSE)</f>
        <v>176</v>
      </c>
      <c r="C390" t="s">
        <v>3397</v>
      </c>
      <c r="D390" t="s">
        <v>3398</v>
      </c>
      <c r="E390" t="s">
        <v>3399</v>
      </c>
      <c r="F390" t="s">
        <v>3390</v>
      </c>
      <c r="G390" t="s">
        <v>3400</v>
      </c>
      <c r="H390" t="s">
        <v>3401</v>
      </c>
    </row>
    <row r="391" spans="1:8" x14ac:dyDescent="0.25">
      <c r="A391" t="s">
        <v>1378</v>
      </c>
      <c r="B391">
        <f>VLOOKUP(A391,art_category_path_name!A:B,2,FALSE)</f>
        <v>177</v>
      </c>
      <c r="C391" t="s">
        <v>3402</v>
      </c>
      <c r="D391" t="s">
        <v>3403</v>
      </c>
      <c r="E391" s="1">
        <v>42737</v>
      </c>
      <c r="F391" t="s">
        <v>3390</v>
      </c>
      <c r="G391" t="s">
        <v>3404</v>
      </c>
      <c r="H391" t="s">
        <v>3405</v>
      </c>
    </row>
    <row r="392" spans="1:8" x14ac:dyDescent="0.25">
      <c r="A392" t="s">
        <v>1379</v>
      </c>
      <c r="B392">
        <f>VLOOKUP(A392,art_category_path_name!A:B,2,FALSE)</f>
        <v>178</v>
      </c>
      <c r="C392" t="s">
        <v>3406</v>
      </c>
      <c r="D392" t="s">
        <v>3407</v>
      </c>
      <c r="E392" t="s">
        <v>3408</v>
      </c>
      <c r="F392" t="s">
        <v>3409</v>
      </c>
      <c r="G392" t="s">
        <v>3410</v>
      </c>
      <c r="H392" t="s">
        <v>3411</v>
      </c>
    </row>
    <row r="393" spans="1:8" x14ac:dyDescent="0.25">
      <c r="A393" t="s">
        <v>1380</v>
      </c>
      <c r="B393">
        <f>VLOOKUP(A393,art_category_path_name!A:B,2,FALSE)</f>
        <v>179</v>
      </c>
      <c r="C393" t="s">
        <v>3412</v>
      </c>
      <c r="D393" t="s">
        <v>3413</v>
      </c>
      <c r="E393" t="s">
        <v>3414</v>
      </c>
      <c r="F393" t="s">
        <v>3415</v>
      </c>
      <c r="G393" t="s">
        <v>3416</v>
      </c>
      <c r="H393" t="s">
        <v>3417</v>
      </c>
    </row>
    <row r="394" spans="1:8" x14ac:dyDescent="0.25">
      <c r="A394" t="s">
        <v>1381</v>
      </c>
      <c r="B394">
        <f>VLOOKUP(A394,art_category_path_name!A:B,2,FALSE)</f>
        <v>180</v>
      </c>
      <c r="C394" t="s">
        <v>3418</v>
      </c>
      <c r="D394" t="s">
        <v>3419</v>
      </c>
      <c r="E394" t="s">
        <v>3420</v>
      </c>
      <c r="F394" t="s">
        <v>3421</v>
      </c>
      <c r="G394" t="s">
        <v>3422</v>
      </c>
      <c r="H394" t="s">
        <v>3423</v>
      </c>
    </row>
    <row r="395" spans="1:8" x14ac:dyDescent="0.25">
      <c r="A395" t="s">
        <v>52</v>
      </c>
      <c r="B395">
        <f>VLOOKUP(A395,art_category_path_name!A:B,2,FALSE)</f>
        <v>184</v>
      </c>
      <c r="C395" t="s">
        <v>3424</v>
      </c>
      <c r="D395" t="s">
        <v>3425</v>
      </c>
      <c r="F395" t="s">
        <v>1834</v>
      </c>
      <c r="G395" t="s">
        <v>3426</v>
      </c>
      <c r="H395" t="s">
        <v>3427</v>
      </c>
    </row>
    <row r="396" spans="1:8" x14ac:dyDescent="0.25">
      <c r="A396" t="s">
        <v>53</v>
      </c>
      <c r="B396">
        <f>VLOOKUP(A396,art_category_path_name!A:B,2,FALSE)</f>
        <v>185</v>
      </c>
      <c r="C396" t="s">
        <v>3428</v>
      </c>
      <c r="D396" t="s">
        <v>3429</v>
      </c>
      <c r="F396" t="s">
        <v>1834</v>
      </c>
      <c r="G396" t="s">
        <v>3430</v>
      </c>
      <c r="H396" t="s">
        <v>3431</v>
      </c>
    </row>
    <row r="397" spans="1:8" x14ac:dyDescent="0.25">
      <c r="A397" t="s">
        <v>54</v>
      </c>
      <c r="B397">
        <f>VLOOKUP(A397,art_category_path_name!A:B,2,FALSE)</f>
        <v>186</v>
      </c>
      <c r="C397" t="s">
        <v>3432</v>
      </c>
      <c r="D397" t="s">
        <v>3433</v>
      </c>
      <c r="F397" t="s">
        <v>1834</v>
      </c>
      <c r="G397" t="s">
        <v>3434</v>
      </c>
      <c r="H397" t="s">
        <v>3435</v>
      </c>
    </row>
    <row r="398" spans="1:8" x14ac:dyDescent="0.25">
      <c r="A398" t="s">
        <v>55</v>
      </c>
      <c r="B398">
        <f>VLOOKUP(A398,art_category_path_name!A:B,2,FALSE)</f>
        <v>187</v>
      </c>
      <c r="C398" t="s">
        <v>3436</v>
      </c>
      <c r="D398" t="s">
        <v>3437</v>
      </c>
      <c r="F398" t="s">
        <v>1834</v>
      </c>
      <c r="G398" t="s">
        <v>3438</v>
      </c>
      <c r="H398" t="s">
        <v>3439</v>
      </c>
    </row>
    <row r="399" spans="1:8" x14ac:dyDescent="0.25">
      <c r="A399" t="s">
        <v>56</v>
      </c>
      <c r="B399">
        <f>VLOOKUP(A399,art_category_path_name!A:B,2,FALSE)</f>
        <v>188</v>
      </c>
      <c r="C399" t="s">
        <v>3440</v>
      </c>
      <c r="D399" t="s">
        <v>3441</v>
      </c>
      <c r="E399" t="s">
        <v>3442</v>
      </c>
      <c r="F399" t="s">
        <v>3443</v>
      </c>
      <c r="G399" t="s">
        <v>3444</v>
      </c>
      <c r="H399" t="s">
        <v>3445</v>
      </c>
    </row>
    <row r="400" spans="1:8" x14ac:dyDescent="0.25">
      <c r="A400" t="s">
        <v>57</v>
      </c>
      <c r="B400">
        <f>VLOOKUP(A400,art_category_path_name!A:B,2,FALSE)</f>
        <v>189</v>
      </c>
      <c r="C400" t="s">
        <v>3446</v>
      </c>
      <c r="D400" t="s">
        <v>3447</v>
      </c>
      <c r="E400" t="s">
        <v>3448</v>
      </c>
      <c r="F400" t="s">
        <v>3449</v>
      </c>
      <c r="G400" t="s">
        <v>3450</v>
      </c>
      <c r="H400" t="s">
        <v>3451</v>
      </c>
    </row>
    <row r="401" spans="1:8" x14ac:dyDescent="0.25">
      <c r="A401" t="s">
        <v>58</v>
      </c>
      <c r="B401">
        <f>VLOOKUP(A401,art_category_path_name!A:B,2,FALSE)</f>
        <v>190</v>
      </c>
      <c r="C401" t="s">
        <v>3452</v>
      </c>
      <c r="D401" t="s">
        <v>3453</v>
      </c>
      <c r="F401" t="s">
        <v>1834</v>
      </c>
      <c r="G401" t="s">
        <v>3454</v>
      </c>
      <c r="H401" t="s">
        <v>3455</v>
      </c>
    </row>
    <row r="402" spans="1:8" x14ac:dyDescent="0.25">
      <c r="A402" t="s">
        <v>59</v>
      </c>
      <c r="B402">
        <f>VLOOKUP(A402,art_category_path_name!A:B,2,FALSE)</f>
        <v>191</v>
      </c>
      <c r="C402" t="s">
        <v>3456</v>
      </c>
      <c r="D402" t="s">
        <v>3457</v>
      </c>
      <c r="F402" t="s">
        <v>1834</v>
      </c>
      <c r="G402" t="s">
        <v>3458</v>
      </c>
      <c r="H402" t="s">
        <v>3459</v>
      </c>
    </row>
    <row r="403" spans="1:8" x14ac:dyDescent="0.25">
      <c r="A403" t="s">
        <v>60</v>
      </c>
      <c r="B403">
        <f>VLOOKUP(A403,art_category_path_name!A:B,2,FALSE)</f>
        <v>192</v>
      </c>
      <c r="C403" t="s">
        <v>3460</v>
      </c>
      <c r="D403" t="s">
        <v>3461</v>
      </c>
      <c r="F403" t="s">
        <v>1834</v>
      </c>
      <c r="G403" t="s">
        <v>3462</v>
      </c>
      <c r="H403" t="s">
        <v>3463</v>
      </c>
    </row>
    <row r="404" spans="1:8" x14ac:dyDescent="0.25">
      <c r="A404" t="s">
        <v>61</v>
      </c>
      <c r="B404">
        <f>VLOOKUP(A404,art_category_path_name!A:B,2,FALSE)</f>
        <v>193</v>
      </c>
      <c r="C404" t="s">
        <v>3464</v>
      </c>
      <c r="D404" t="s">
        <v>3465</v>
      </c>
      <c r="F404" t="s">
        <v>1834</v>
      </c>
      <c r="G404" t="s">
        <v>3466</v>
      </c>
      <c r="H404" t="s">
        <v>3467</v>
      </c>
    </row>
    <row r="405" spans="1:8" x14ac:dyDescent="0.25">
      <c r="A405" t="s">
        <v>1038</v>
      </c>
      <c r="B405">
        <f>VLOOKUP(A405,art_category_path_name!A:B,2,FALSE)</f>
        <v>196</v>
      </c>
      <c r="C405" t="s">
        <v>3468</v>
      </c>
      <c r="D405" t="s">
        <v>3469</v>
      </c>
      <c r="F405" t="s">
        <v>1834</v>
      </c>
      <c r="G405" t="s">
        <v>3470</v>
      </c>
      <c r="H405" t="s">
        <v>3471</v>
      </c>
    </row>
    <row r="406" spans="1:8" x14ac:dyDescent="0.25">
      <c r="A406" t="s">
        <v>1039</v>
      </c>
      <c r="B406">
        <f>VLOOKUP(A406,art_category_path_name!A:B,2,FALSE)</f>
        <v>197</v>
      </c>
      <c r="C406" t="s">
        <v>3472</v>
      </c>
      <c r="D406" t="s">
        <v>3473</v>
      </c>
      <c r="F406" t="s">
        <v>1834</v>
      </c>
      <c r="G406" t="s">
        <v>3474</v>
      </c>
      <c r="H406" t="s">
        <v>3475</v>
      </c>
    </row>
    <row r="407" spans="1:8" x14ac:dyDescent="0.25">
      <c r="A407" t="s">
        <v>1040</v>
      </c>
      <c r="B407">
        <f>VLOOKUP(A407,art_category_path_name!A:B,2,FALSE)</f>
        <v>198</v>
      </c>
      <c r="C407" t="s">
        <v>3476</v>
      </c>
      <c r="D407" t="s">
        <v>3477</v>
      </c>
      <c r="F407" t="s">
        <v>1834</v>
      </c>
      <c r="G407" t="s">
        <v>3478</v>
      </c>
      <c r="H407" t="s">
        <v>3479</v>
      </c>
    </row>
    <row r="408" spans="1:8" x14ac:dyDescent="0.25">
      <c r="A408" t="s">
        <v>1041</v>
      </c>
      <c r="B408">
        <f>VLOOKUP(A408,art_category_path_name!A:B,2,FALSE)</f>
        <v>199</v>
      </c>
      <c r="C408" t="s">
        <v>3480</v>
      </c>
      <c r="D408" t="s">
        <v>3481</v>
      </c>
      <c r="F408" t="s">
        <v>1834</v>
      </c>
      <c r="G408" t="s">
        <v>3482</v>
      </c>
      <c r="H408" t="s">
        <v>3483</v>
      </c>
    </row>
    <row r="409" spans="1:8" x14ac:dyDescent="0.25">
      <c r="A409" t="s">
        <v>1042</v>
      </c>
      <c r="B409">
        <f>VLOOKUP(A409,art_category_path_name!A:B,2,FALSE)</f>
        <v>200</v>
      </c>
      <c r="C409" t="s">
        <v>3484</v>
      </c>
      <c r="D409" t="s">
        <v>3485</v>
      </c>
      <c r="F409" t="s">
        <v>1834</v>
      </c>
      <c r="G409" t="s">
        <v>3486</v>
      </c>
      <c r="H409" t="s">
        <v>3487</v>
      </c>
    </row>
    <row r="410" spans="1:8" x14ac:dyDescent="0.25">
      <c r="A410" t="s">
        <v>1043</v>
      </c>
      <c r="B410">
        <f>VLOOKUP(A410,art_category_path_name!A:B,2,FALSE)</f>
        <v>201</v>
      </c>
      <c r="C410" t="s">
        <v>3488</v>
      </c>
      <c r="D410" t="s">
        <v>3489</v>
      </c>
      <c r="F410" t="s">
        <v>1834</v>
      </c>
      <c r="G410" t="s">
        <v>3490</v>
      </c>
      <c r="H410" t="s">
        <v>3491</v>
      </c>
    </row>
    <row r="411" spans="1:8" x14ac:dyDescent="0.25">
      <c r="A411" t="s">
        <v>98</v>
      </c>
      <c r="B411">
        <f>VLOOKUP(A411,art_category_path_name!A:B,2,FALSE)</f>
        <v>203</v>
      </c>
      <c r="C411" t="s">
        <v>3492</v>
      </c>
      <c r="D411" t="s">
        <v>3493</v>
      </c>
      <c r="F411" t="s">
        <v>1834</v>
      </c>
      <c r="G411" t="s">
        <v>3494</v>
      </c>
      <c r="H411" t="s">
        <v>3495</v>
      </c>
    </row>
    <row r="412" spans="1:8" x14ac:dyDescent="0.25">
      <c r="A412" t="s">
        <v>99</v>
      </c>
      <c r="B412">
        <f>VLOOKUP(A412,art_category_path_name!A:B,2,FALSE)</f>
        <v>204</v>
      </c>
      <c r="C412" t="s">
        <v>3496</v>
      </c>
      <c r="D412" t="s">
        <v>3497</v>
      </c>
      <c r="F412" t="s">
        <v>1834</v>
      </c>
      <c r="G412" t="s">
        <v>3498</v>
      </c>
      <c r="H412" t="s">
        <v>3499</v>
      </c>
    </row>
    <row r="413" spans="1:8" x14ac:dyDescent="0.25">
      <c r="A413" t="s">
        <v>156</v>
      </c>
      <c r="B413">
        <f>VLOOKUP(A413,art_category_path_name!A:B,2,FALSE)</f>
        <v>207</v>
      </c>
      <c r="C413" t="s">
        <v>3500</v>
      </c>
      <c r="D413" t="s">
        <v>3501</v>
      </c>
      <c r="E413" t="s">
        <v>3502</v>
      </c>
      <c r="F413" t="s">
        <v>3503</v>
      </c>
      <c r="G413" t="s">
        <v>3504</v>
      </c>
      <c r="H413" t="s">
        <v>3505</v>
      </c>
    </row>
    <row r="414" spans="1:8" x14ac:dyDescent="0.25">
      <c r="A414" t="s">
        <v>157</v>
      </c>
      <c r="B414">
        <f>VLOOKUP(A414,art_category_path_name!A:B,2,FALSE)</f>
        <v>208</v>
      </c>
      <c r="C414" t="s">
        <v>3506</v>
      </c>
      <c r="D414" t="s">
        <v>3507</v>
      </c>
      <c r="F414" t="s">
        <v>1834</v>
      </c>
      <c r="G414" t="s">
        <v>3508</v>
      </c>
      <c r="H414" t="s">
        <v>3509</v>
      </c>
    </row>
    <row r="415" spans="1:8" x14ac:dyDescent="0.25">
      <c r="A415" t="s">
        <v>158</v>
      </c>
      <c r="B415">
        <f>VLOOKUP(A415,art_category_path_name!A:B,2,FALSE)</f>
        <v>209</v>
      </c>
      <c r="C415" t="s">
        <v>3510</v>
      </c>
      <c r="D415" t="s">
        <v>3511</v>
      </c>
      <c r="F415" t="s">
        <v>1834</v>
      </c>
      <c r="G415" t="s">
        <v>3512</v>
      </c>
      <c r="H415" t="s">
        <v>3513</v>
      </c>
    </row>
    <row r="416" spans="1:8" x14ac:dyDescent="0.25">
      <c r="A416" t="s">
        <v>159</v>
      </c>
      <c r="B416">
        <f>VLOOKUP(A416,art_category_path_name!A:B,2,FALSE)</f>
        <v>210</v>
      </c>
      <c r="C416" t="s">
        <v>3514</v>
      </c>
      <c r="D416" t="s">
        <v>3515</v>
      </c>
      <c r="F416" t="s">
        <v>1834</v>
      </c>
      <c r="G416" t="s">
        <v>3516</v>
      </c>
      <c r="H416" t="s">
        <v>3517</v>
      </c>
    </row>
    <row r="417" spans="1:8" x14ac:dyDescent="0.25">
      <c r="A417" t="s">
        <v>160</v>
      </c>
      <c r="B417">
        <f>VLOOKUP(A417,art_category_path_name!A:B,2,FALSE)</f>
        <v>211</v>
      </c>
      <c r="C417" t="s">
        <v>3518</v>
      </c>
      <c r="D417" t="s">
        <v>3519</v>
      </c>
      <c r="F417" t="s">
        <v>1834</v>
      </c>
      <c r="G417" t="s">
        <v>3520</v>
      </c>
      <c r="H417" t="s">
        <v>3521</v>
      </c>
    </row>
    <row r="418" spans="1:8" x14ac:dyDescent="0.25">
      <c r="A418" t="s">
        <v>161</v>
      </c>
      <c r="B418">
        <f>VLOOKUP(A418,art_category_path_name!A:B,2,FALSE)</f>
        <v>212</v>
      </c>
      <c r="C418" t="s">
        <v>3522</v>
      </c>
      <c r="D418" t="s">
        <v>3523</v>
      </c>
      <c r="F418" t="s">
        <v>1834</v>
      </c>
      <c r="G418" t="s">
        <v>3524</v>
      </c>
      <c r="H418" t="s">
        <v>3525</v>
      </c>
    </row>
    <row r="419" spans="1:8" x14ac:dyDescent="0.25">
      <c r="A419" t="s">
        <v>162</v>
      </c>
      <c r="B419">
        <f>VLOOKUP(A419,art_category_path_name!A:B,2,FALSE)</f>
        <v>213</v>
      </c>
      <c r="C419" t="s">
        <v>3526</v>
      </c>
      <c r="D419" t="s">
        <v>3527</v>
      </c>
      <c r="F419" t="s">
        <v>1834</v>
      </c>
      <c r="G419" t="s">
        <v>3528</v>
      </c>
      <c r="H419" t="s">
        <v>3529</v>
      </c>
    </row>
    <row r="420" spans="1:8" x14ac:dyDescent="0.25">
      <c r="A420" t="s">
        <v>163</v>
      </c>
      <c r="B420">
        <f>VLOOKUP(A420,art_category_path_name!A:B,2,FALSE)</f>
        <v>214</v>
      </c>
      <c r="C420" t="s">
        <v>3530</v>
      </c>
      <c r="D420" t="s">
        <v>3531</v>
      </c>
      <c r="F420" t="s">
        <v>1834</v>
      </c>
      <c r="G420" t="s">
        <v>3532</v>
      </c>
      <c r="H420" t="s">
        <v>3533</v>
      </c>
    </row>
    <row r="421" spans="1:8" x14ac:dyDescent="0.25">
      <c r="A421" t="s">
        <v>164</v>
      </c>
      <c r="B421">
        <f>VLOOKUP(A421,art_category_path_name!A:B,2,FALSE)</f>
        <v>215</v>
      </c>
      <c r="C421" t="s">
        <v>3534</v>
      </c>
      <c r="D421" t="s">
        <v>3535</v>
      </c>
      <c r="F421" t="s">
        <v>1834</v>
      </c>
      <c r="G421" t="s">
        <v>3536</v>
      </c>
      <c r="H421" t="s">
        <v>3537</v>
      </c>
    </row>
    <row r="422" spans="1:8" x14ac:dyDescent="0.25">
      <c r="A422" t="s">
        <v>165</v>
      </c>
      <c r="B422">
        <f>VLOOKUP(A422,art_category_path_name!A:B,2,FALSE)</f>
        <v>216</v>
      </c>
      <c r="C422" t="s">
        <v>3538</v>
      </c>
      <c r="D422" t="s">
        <v>3539</v>
      </c>
      <c r="F422" t="s">
        <v>1834</v>
      </c>
      <c r="G422" t="s">
        <v>3540</v>
      </c>
      <c r="H422" t="s">
        <v>3541</v>
      </c>
    </row>
    <row r="423" spans="1:8" x14ac:dyDescent="0.25">
      <c r="A423" t="s">
        <v>166</v>
      </c>
      <c r="B423">
        <f>VLOOKUP(A423,art_category_path_name!A:B,2,FALSE)</f>
        <v>217</v>
      </c>
      <c r="C423" t="s">
        <v>3542</v>
      </c>
      <c r="D423" t="s">
        <v>3543</v>
      </c>
      <c r="F423" t="s">
        <v>1834</v>
      </c>
      <c r="G423" t="s">
        <v>3544</v>
      </c>
      <c r="H423" t="s">
        <v>3545</v>
      </c>
    </row>
    <row r="424" spans="1:8" x14ac:dyDescent="0.25">
      <c r="A424" t="s">
        <v>781</v>
      </c>
      <c r="B424">
        <f>VLOOKUP(A424,art_category_path_name!A:B,2,FALSE)</f>
        <v>220</v>
      </c>
      <c r="C424" t="s">
        <v>3546</v>
      </c>
      <c r="D424" t="s">
        <v>3547</v>
      </c>
      <c r="E424" t="s">
        <v>3548</v>
      </c>
      <c r="F424" t="s">
        <v>3549</v>
      </c>
      <c r="G424" t="s">
        <v>3550</v>
      </c>
      <c r="H424" t="s">
        <v>3551</v>
      </c>
    </row>
    <row r="425" spans="1:8" x14ac:dyDescent="0.25">
      <c r="A425" t="s">
        <v>782</v>
      </c>
      <c r="B425">
        <f>VLOOKUP(A425,art_category_path_name!A:B,2,FALSE)</f>
        <v>221</v>
      </c>
      <c r="C425" t="s">
        <v>3552</v>
      </c>
      <c r="D425" t="s">
        <v>3547</v>
      </c>
      <c r="E425" t="s">
        <v>3553</v>
      </c>
      <c r="F425" t="s">
        <v>3554</v>
      </c>
      <c r="G425" t="s">
        <v>3555</v>
      </c>
      <c r="H425" t="s">
        <v>3556</v>
      </c>
    </row>
    <row r="426" spans="1:8" x14ac:dyDescent="0.25">
      <c r="A426" t="s">
        <v>299</v>
      </c>
      <c r="B426">
        <f>VLOOKUP(A426,art_category_path_name!A:B,2,FALSE)</f>
        <v>224</v>
      </c>
      <c r="C426" t="s">
        <v>3557</v>
      </c>
      <c r="D426" t="s">
        <v>3558</v>
      </c>
      <c r="F426" t="s">
        <v>1834</v>
      </c>
      <c r="G426" t="s">
        <v>3559</v>
      </c>
      <c r="H426" t="s">
        <v>3560</v>
      </c>
    </row>
    <row r="427" spans="1:8" x14ac:dyDescent="0.25">
      <c r="A427" t="s">
        <v>300</v>
      </c>
      <c r="B427">
        <f>VLOOKUP(A427,art_category_path_name!A:B,2,FALSE)</f>
        <v>225</v>
      </c>
      <c r="C427" t="s">
        <v>3561</v>
      </c>
      <c r="D427" t="s">
        <v>3562</v>
      </c>
      <c r="F427" t="s">
        <v>1834</v>
      </c>
      <c r="G427" t="s">
        <v>3563</v>
      </c>
      <c r="H427" t="s">
        <v>3564</v>
      </c>
    </row>
    <row r="428" spans="1:8" x14ac:dyDescent="0.25">
      <c r="A428" t="s">
        <v>301</v>
      </c>
      <c r="B428">
        <f>VLOOKUP(A428,art_category_path_name!A:B,2,FALSE)</f>
        <v>226</v>
      </c>
      <c r="C428" t="s">
        <v>3565</v>
      </c>
      <c r="D428" t="s">
        <v>3566</v>
      </c>
      <c r="F428" t="s">
        <v>1834</v>
      </c>
      <c r="G428" t="s">
        <v>3567</v>
      </c>
      <c r="H428" t="s">
        <v>3568</v>
      </c>
    </row>
    <row r="429" spans="1:8" x14ac:dyDescent="0.25">
      <c r="A429" t="s">
        <v>302</v>
      </c>
      <c r="B429">
        <f>VLOOKUP(A429,art_category_path_name!A:B,2,FALSE)</f>
        <v>227</v>
      </c>
      <c r="C429" t="s">
        <v>3569</v>
      </c>
      <c r="D429" t="s">
        <v>3570</v>
      </c>
      <c r="F429" t="s">
        <v>1834</v>
      </c>
      <c r="G429" t="s">
        <v>3571</v>
      </c>
      <c r="H429" t="s">
        <v>3572</v>
      </c>
    </row>
    <row r="430" spans="1:8" x14ac:dyDescent="0.25">
      <c r="A430" t="s">
        <v>303</v>
      </c>
      <c r="B430">
        <f>VLOOKUP(A430,art_category_path_name!A:B,2,FALSE)</f>
        <v>228</v>
      </c>
      <c r="C430" t="s">
        <v>3573</v>
      </c>
      <c r="D430" t="s">
        <v>3574</v>
      </c>
      <c r="F430" t="s">
        <v>1834</v>
      </c>
      <c r="G430" t="s">
        <v>3575</v>
      </c>
      <c r="H430" t="s">
        <v>3576</v>
      </c>
    </row>
    <row r="431" spans="1:8" x14ac:dyDescent="0.25">
      <c r="A431" t="s">
        <v>304</v>
      </c>
      <c r="B431">
        <f>VLOOKUP(A431,art_category_path_name!A:B,2,FALSE)</f>
        <v>229</v>
      </c>
      <c r="C431" t="s">
        <v>3577</v>
      </c>
      <c r="D431" t="s">
        <v>3578</v>
      </c>
      <c r="F431" t="s">
        <v>1834</v>
      </c>
      <c r="G431" t="s">
        <v>3579</v>
      </c>
      <c r="H431" t="s">
        <v>3580</v>
      </c>
    </row>
    <row r="432" spans="1:8" x14ac:dyDescent="0.25">
      <c r="A432" t="s">
        <v>305</v>
      </c>
      <c r="B432">
        <f>VLOOKUP(A432,art_category_path_name!A:B,2,FALSE)</f>
        <v>230</v>
      </c>
      <c r="C432" t="s">
        <v>3581</v>
      </c>
      <c r="D432" t="s">
        <v>3582</v>
      </c>
      <c r="F432" t="s">
        <v>1834</v>
      </c>
      <c r="G432" t="s">
        <v>3583</v>
      </c>
      <c r="H432" t="s">
        <v>3584</v>
      </c>
    </row>
    <row r="433" spans="1:8" x14ac:dyDescent="0.25">
      <c r="A433" t="s">
        <v>306</v>
      </c>
      <c r="B433">
        <f>VLOOKUP(A433,art_category_path_name!A:B,2,FALSE)</f>
        <v>231</v>
      </c>
      <c r="C433" t="s">
        <v>3585</v>
      </c>
      <c r="D433" t="s">
        <v>3586</v>
      </c>
      <c r="F433" t="s">
        <v>1834</v>
      </c>
      <c r="G433" t="s">
        <v>3587</v>
      </c>
      <c r="H433" t="s">
        <v>3588</v>
      </c>
    </row>
    <row r="434" spans="1:8" x14ac:dyDescent="0.25">
      <c r="A434" t="s">
        <v>307</v>
      </c>
      <c r="B434">
        <f>VLOOKUP(A434,art_category_path_name!A:B,2,FALSE)</f>
        <v>232</v>
      </c>
      <c r="C434" t="s">
        <v>3589</v>
      </c>
      <c r="D434" t="s">
        <v>3590</v>
      </c>
      <c r="F434" t="s">
        <v>1834</v>
      </c>
      <c r="G434" t="s">
        <v>3591</v>
      </c>
      <c r="H434" t="s">
        <v>3592</v>
      </c>
    </row>
    <row r="435" spans="1:8" x14ac:dyDescent="0.25">
      <c r="A435" t="s">
        <v>308</v>
      </c>
      <c r="B435">
        <f>VLOOKUP(A435,art_category_path_name!A:B,2,FALSE)</f>
        <v>233</v>
      </c>
      <c r="C435" t="s">
        <v>3593</v>
      </c>
      <c r="D435" t="s">
        <v>3594</v>
      </c>
      <c r="F435" t="s">
        <v>1834</v>
      </c>
      <c r="G435" t="s">
        <v>3595</v>
      </c>
      <c r="H435" t="s">
        <v>3596</v>
      </c>
    </row>
    <row r="436" spans="1:8" x14ac:dyDescent="0.25">
      <c r="A436" t="s">
        <v>310</v>
      </c>
      <c r="B436">
        <f>VLOOKUP(A436,art_category_path_name!A:B,2,FALSE)</f>
        <v>235</v>
      </c>
      <c r="C436" t="s">
        <v>3597</v>
      </c>
      <c r="D436" t="s">
        <v>3598</v>
      </c>
      <c r="F436" t="s">
        <v>1834</v>
      </c>
      <c r="G436" t="s">
        <v>3599</v>
      </c>
      <c r="H436" t="s">
        <v>3600</v>
      </c>
    </row>
    <row r="437" spans="1:8" x14ac:dyDescent="0.25">
      <c r="A437" t="s">
        <v>311</v>
      </c>
      <c r="B437">
        <f>VLOOKUP(A437,art_category_path_name!A:B,2,FALSE)</f>
        <v>236</v>
      </c>
      <c r="C437" t="s">
        <v>3601</v>
      </c>
      <c r="D437" t="s">
        <v>3602</v>
      </c>
      <c r="F437" t="s">
        <v>1834</v>
      </c>
      <c r="G437" t="s">
        <v>3603</v>
      </c>
      <c r="H437" t="s">
        <v>3604</v>
      </c>
    </row>
    <row r="438" spans="1:8" x14ac:dyDescent="0.25">
      <c r="A438" t="s">
        <v>312</v>
      </c>
      <c r="B438">
        <f>VLOOKUP(A438,art_category_path_name!A:B,2,FALSE)</f>
        <v>237</v>
      </c>
      <c r="C438" t="s">
        <v>3605</v>
      </c>
      <c r="D438" t="s">
        <v>3606</v>
      </c>
      <c r="F438" t="s">
        <v>1834</v>
      </c>
      <c r="G438" t="s">
        <v>3607</v>
      </c>
      <c r="H438" t="s">
        <v>3608</v>
      </c>
    </row>
    <row r="439" spans="1:8" x14ac:dyDescent="0.25">
      <c r="A439" t="s">
        <v>313</v>
      </c>
      <c r="B439">
        <f>VLOOKUP(A439,art_category_path_name!A:B,2,FALSE)</f>
        <v>238</v>
      </c>
      <c r="C439" t="s">
        <v>3609</v>
      </c>
      <c r="D439" t="s">
        <v>3610</v>
      </c>
      <c r="F439" t="s">
        <v>1834</v>
      </c>
      <c r="G439" t="s">
        <v>3611</v>
      </c>
      <c r="H439" t="s">
        <v>3612</v>
      </c>
    </row>
    <row r="440" spans="1:8" x14ac:dyDescent="0.25">
      <c r="A440" t="s">
        <v>460</v>
      </c>
      <c r="B440">
        <f>VLOOKUP(A440,art_category_path_name!A:B,2,FALSE)</f>
        <v>240</v>
      </c>
      <c r="C440" t="s">
        <v>3613</v>
      </c>
      <c r="D440" t="s">
        <v>3614</v>
      </c>
      <c r="F440" t="s">
        <v>1834</v>
      </c>
      <c r="G440" t="s">
        <v>3615</v>
      </c>
      <c r="H440" t="s">
        <v>3616</v>
      </c>
    </row>
    <row r="441" spans="1:8" x14ac:dyDescent="0.25">
      <c r="A441" t="s">
        <v>461</v>
      </c>
      <c r="B441">
        <f>VLOOKUP(A441,art_category_path_name!A:B,2,FALSE)</f>
        <v>241</v>
      </c>
      <c r="C441" t="s">
        <v>3617</v>
      </c>
      <c r="D441" t="s">
        <v>3618</v>
      </c>
      <c r="F441" t="s">
        <v>1834</v>
      </c>
      <c r="G441" t="s">
        <v>3619</v>
      </c>
      <c r="H441" t="s">
        <v>3620</v>
      </c>
    </row>
    <row r="442" spans="1:8" x14ac:dyDescent="0.25">
      <c r="A442" t="s">
        <v>462</v>
      </c>
      <c r="B442">
        <f>VLOOKUP(A442,art_category_path_name!A:B,2,FALSE)</f>
        <v>242</v>
      </c>
      <c r="C442" t="s">
        <v>3621</v>
      </c>
      <c r="D442" t="s">
        <v>3622</v>
      </c>
      <c r="E442" t="s">
        <v>3623</v>
      </c>
      <c r="F442" t="s">
        <v>3624</v>
      </c>
      <c r="G442" t="s">
        <v>3625</v>
      </c>
      <c r="H442" t="s">
        <v>3626</v>
      </c>
    </row>
    <row r="443" spans="1:8" x14ac:dyDescent="0.25">
      <c r="A443" t="s">
        <v>463</v>
      </c>
      <c r="B443">
        <f>VLOOKUP(A443,art_category_path_name!A:B,2,FALSE)</f>
        <v>243</v>
      </c>
      <c r="C443" t="s">
        <v>3627</v>
      </c>
      <c r="D443" t="s">
        <v>3628</v>
      </c>
      <c r="F443" t="s">
        <v>1834</v>
      </c>
      <c r="G443" t="s">
        <v>3629</v>
      </c>
      <c r="H443" t="s">
        <v>3630</v>
      </c>
    </row>
    <row r="444" spans="1:8" x14ac:dyDescent="0.25">
      <c r="A444" t="s">
        <v>464</v>
      </c>
      <c r="B444">
        <f>VLOOKUP(A444,art_category_path_name!A:B,2,FALSE)</f>
        <v>244</v>
      </c>
      <c r="C444" t="s">
        <v>3631</v>
      </c>
      <c r="D444" t="s">
        <v>3632</v>
      </c>
      <c r="F444" t="s">
        <v>1834</v>
      </c>
      <c r="G444" t="s">
        <v>3633</v>
      </c>
      <c r="H444" t="s">
        <v>3634</v>
      </c>
    </row>
    <row r="445" spans="1:8" x14ac:dyDescent="0.25">
      <c r="A445" t="s">
        <v>465</v>
      </c>
      <c r="B445">
        <f>VLOOKUP(A445,art_category_path_name!A:B,2,FALSE)</f>
        <v>245</v>
      </c>
      <c r="C445" t="s">
        <v>3635</v>
      </c>
      <c r="D445" t="s">
        <v>3636</v>
      </c>
      <c r="F445" t="s">
        <v>1834</v>
      </c>
      <c r="G445" t="s">
        <v>3637</v>
      </c>
      <c r="H445" t="s">
        <v>3638</v>
      </c>
    </row>
    <row r="446" spans="1:8" x14ac:dyDescent="0.25">
      <c r="A446" t="s">
        <v>466</v>
      </c>
      <c r="B446">
        <f>VLOOKUP(A446,art_category_path_name!A:B,2,FALSE)</f>
        <v>246</v>
      </c>
      <c r="C446" t="s">
        <v>3639</v>
      </c>
      <c r="D446" t="s">
        <v>3640</v>
      </c>
      <c r="F446" t="s">
        <v>1834</v>
      </c>
      <c r="G446" t="s">
        <v>3641</v>
      </c>
      <c r="H446" t="s">
        <v>3642</v>
      </c>
    </row>
    <row r="447" spans="1:8" x14ac:dyDescent="0.25">
      <c r="A447" t="s">
        <v>467</v>
      </c>
      <c r="B447">
        <f>VLOOKUP(A447,art_category_path_name!A:B,2,FALSE)</f>
        <v>247</v>
      </c>
      <c r="C447" t="s">
        <v>3643</v>
      </c>
      <c r="D447" t="s">
        <v>3644</v>
      </c>
      <c r="F447" t="s">
        <v>1834</v>
      </c>
      <c r="G447" t="s">
        <v>3645</v>
      </c>
      <c r="H447" t="s">
        <v>3646</v>
      </c>
    </row>
    <row r="448" spans="1:8" x14ac:dyDescent="0.25">
      <c r="A448" t="s">
        <v>468</v>
      </c>
      <c r="B448">
        <f>VLOOKUP(A448,art_category_path_name!A:B,2,FALSE)</f>
        <v>248</v>
      </c>
      <c r="C448" t="s">
        <v>3647</v>
      </c>
      <c r="D448" t="s">
        <v>3648</v>
      </c>
      <c r="F448" t="s">
        <v>1834</v>
      </c>
      <c r="G448" t="s">
        <v>3649</v>
      </c>
      <c r="H448" t="s">
        <v>3650</v>
      </c>
    </row>
    <row r="449" spans="1:8" x14ac:dyDescent="0.25">
      <c r="A449" t="s">
        <v>470</v>
      </c>
      <c r="B449">
        <f>VLOOKUP(A449,art_category_path_name!A:B,2,FALSE)</f>
        <v>250</v>
      </c>
      <c r="C449" t="s">
        <v>3651</v>
      </c>
      <c r="D449" t="s">
        <v>3652</v>
      </c>
      <c r="F449" t="s">
        <v>1834</v>
      </c>
      <c r="G449" t="s">
        <v>3653</v>
      </c>
      <c r="H449" t="s">
        <v>3654</v>
      </c>
    </row>
    <row r="450" spans="1:8" x14ac:dyDescent="0.25">
      <c r="A450" t="s">
        <v>471</v>
      </c>
      <c r="B450">
        <f>VLOOKUP(A450,art_category_path_name!A:B,2,FALSE)</f>
        <v>251</v>
      </c>
      <c r="C450" t="s">
        <v>3655</v>
      </c>
      <c r="D450" t="s">
        <v>3656</v>
      </c>
      <c r="F450" t="s">
        <v>1834</v>
      </c>
      <c r="G450" t="s">
        <v>3657</v>
      </c>
      <c r="H450" t="s">
        <v>3658</v>
      </c>
    </row>
    <row r="451" spans="1:8" x14ac:dyDescent="0.25">
      <c r="A451" t="s">
        <v>472</v>
      </c>
      <c r="B451">
        <f>VLOOKUP(A451,art_category_path_name!A:B,2,FALSE)</f>
        <v>252</v>
      </c>
      <c r="C451" t="s">
        <v>3659</v>
      </c>
      <c r="D451" t="s">
        <v>3660</v>
      </c>
      <c r="F451" t="s">
        <v>1834</v>
      </c>
      <c r="G451" t="s">
        <v>3661</v>
      </c>
      <c r="H451" t="s">
        <v>3662</v>
      </c>
    </row>
    <row r="452" spans="1:8" x14ac:dyDescent="0.25">
      <c r="A452" t="s">
        <v>644</v>
      </c>
      <c r="B452">
        <f>VLOOKUP(A452,art_category_path_name!A:B,2,FALSE)</f>
        <v>255</v>
      </c>
      <c r="C452" t="s">
        <v>3663</v>
      </c>
      <c r="D452" t="s">
        <v>3664</v>
      </c>
      <c r="E452" t="s">
        <v>3665</v>
      </c>
      <c r="F452" t="s">
        <v>3666</v>
      </c>
      <c r="G452" t="s">
        <v>3667</v>
      </c>
      <c r="H452" t="s">
        <v>3668</v>
      </c>
    </row>
    <row r="453" spans="1:8" x14ac:dyDescent="0.25">
      <c r="A453" t="s">
        <v>645</v>
      </c>
      <c r="B453">
        <f>VLOOKUP(A453,art_category_path_name!A:B,2,FALSE)</f>
        <v>256</v>
      </c>
      <c r="C453" t="s">
        <v>3669</v>
      </c>
      <c r="D453" t="s">
        <v>3670</v>
      </c>
      <c r="E453" t="s">
        <v>3671</v>
      </c>
      <c r="F453" t="s">
        <v>3672</v>
      </c>
      <c r="G453" t="s">
        <v>3673</v>
      </c>
      <c r="H453" t="s">
        <v>3674</v>
      </c>
    </row>
    <row r="454" spans="1:8" x14ac:dyDescent="0.25">
      <c r="A454" t="s">
        <v>70</v>
      </c>
      <c r="B454">
        <f>VLOOKUP(A454,art_category_path_name!A:B,2,FALSE)</f>
        <v>258</v>
      </c>
      <c r="C454" t="s">
        <v>3675</v>
      </c>
      <c r="D454" t="s">
        <v>3676</v>
      </c>
      <c r="E454" t="s">
        <v>3677</v>
      </c>
      <c r="F454" t="s">
        <v>3678</v>
      </c>
      <c r="G454" t="s">
        <v>3679</v>
      </c>
      <c r="H454" t="s">
        <v>3680</v>
      </c>
    </row>
    <row r="455" spans="1:8" x14ac:dyDescent="0.25">
      <c r="A455" t="s">
        <v>71</v>
      </c>
      <c r="B455">
        <f>VLOOKUP(A455,art_category_path_name!A:B,2,FALSE)</f>
        <v>259</v>
      </c>
      <c r="C455" t="s">
        <v>3681</v>
      </c>
      <c r="D455" t="s">
        <v>3682</v>
      </c>
      <c r="F455" t="s">
        <v>1834</v>
      </c>
      <c r="G455" t="s">
        <v>3683</v>
      </c>
      <c r="H455" t="s">
        <v>3684</v>
      </c>
    </row>
    <row r="456" spans="1:8" x14ac:dyDescent="0.25">
      <c r="A456" t="s">
        <v>72</v>
      </c>
      <c r="B456">
        <f>VLOOKUP(A456,art_category_path_name!A:B,2,FALSE)</f>
        <v>260</v>
      </c>
      <c r="C456" t="s">
        <v>3685</v>
      </c>
      <c r="D456" t="s">
        <v>3686</v>
      </c>
      <c r="F456" t="s">
        <v>1834</v>
      </c>
      <c r="G456" t="s">
        <v>3687</v>
      </c>
      <c r="H456" t="s">
        <v>3688</v>
      </c>
    </row>
    <row r="457" spans="1:8" x14ac:dyDescent="0.25">
      <c r="A457" t="s">
        <v>73</v>
      </c>
      <c r="B457">
        <f>VLOOKUP(A457,art_category_path_name!A:B,2,FALSE)</f>
        <v>261</v>
      </c>
      <c r="C457" t="s">
        <v>3689</v>
      </c>
      <c r="D457" t="s">
        <v>3690</v>
      </c>
      <c r="F457" t="s">
        <v>1834</v>
      </c>
      <c r="G457" t="s">
        <v>3691</v>
      </c>
      <c r="H457" t="s">
        <v>3692</v>
      </c>
    </row>
    <row r="458" spans="1:8" x14ac:dyDescent="0.25">
      <c r="A458" t="s">
        <v>879</v>
      </c>
      <c r="B458">
        <f>VLOOKUP(A458,art_category_path_name!A:B,2,FALSE)</f>
        <v>264</v>
      </c>
      <c r="C458" t="s">
        <v>3693</v>
      </c>
      <c r="D458" t="s">
        <v>3694</v>
      </c>
      <c r="E458" t="s">
        <v>3695</v>
      </c>
      <c r="F458" t="s">
        <v>3696</v>
      </c>
      <c r="G458" t="s">
        <v>3697</v>
      </c>
      <c r="H458" t="s">
        <v>3698</v>
      </c>
    </row>
    <row r="459" spans="1:8" x14ac:dyDescent="0.25">
      <c r="A459" t="s">
        <v>880</v>
      </c>
      <c r="B459">
        <f>VLOOKUP(A459,art_category_path_name!A:B,2,FALSE)</f>
        <v>265</v>
      </c>
      <c r="C459" t="s">
        <v>3699</v>
      </c>
      <c r="D459" t="s">
        <v>3700</v>
      </c>
      <c r="F459" t="s">
        <v>1834</v>
      </c>
      <c r="G459" t="s">
        <v>3701</v>
      </c>
      <c r="H459" t="s">
        <v>3702</v>
      </c>
    </row>
    <row r="460" spans="1:8" x14ac:dyDescent="0.25">
      <c r="A460" t="s">
        <v>881</v>
      </c>
      <c r="B460">
        <f>VLOOKUP(A460,art_category_path_name!A:B,2,FALSE)</f>
        <v>266</v>
      </c>
      <c r="C460" t="s">
        <v>3703</v>
      </c>
      <c r="D460" t="s">
        <v>3704</v>
      </c>
      <c r="E460" t="s">
        <v>3705</v>
      </c>
      <c r="F460" t="s">
        <v>3706</v>
      </c>
      <c r="G460" t="s">
        <v>3707</v>
      </c>
      <c r="H460" t="s">
        <v>3708</v>
      </c>
    </row>
    <row r="461" spans="1:8" x14ac:dyDescent="0.25">
      <c r="A461" t="s">
        <v>882</v>
      </c>
      <c r="B461">
        <f>VLOOKUP(A461,art_category_path_name!A:B,2,FALSE)</f>
        <v>267</v>
      </c>
      <c r="C461" t="s">
        <v>3709</v>
      </c>
      <c r="D461" t="s">
        <v>3710</v>
      </c>
      <c r="F461" t="s">
        <v>1834</v>
      </c>
      <c r="G461" t="s">
        <v>3711</v>
      </c>
      <c r="H461" t="s">
        <v>3712</v>
      </c>
    </row>
    <row r="462" spans="1:8" x14ac:dyDescent="0.25">
      <c r="A462" t="s">
        <v>883</v>
      </c>
      <c r="B462">
        <f>VLOOKUP(A462,art_category_path_name!A:B,2,FALSE)</f>
        <v>268</v>
      </c>
      <c r="C462" t="s">
        <v>3713</v>
      </c>
      <c r="D462" t="s">
        <v>3714</v>
      </c>
      <c r="F462" t="s">
        <v>1834</v>
      </c>
      <c r="G462" t="s">
        <v>3715</v>
      </c>
      <c r="H462" t="s">
        <v>3716</v>
      </c>
    </row>
    <row r="463" spans="1:8" x14ac:dyDescent="0.25">
      <c r="A463" t="s">
        <v>319</v>
      </c>
      <c r="B463">
        <f>VLOOKUP(A463,art_category_path_name!A:B,2,FALSE)</f>
        <v>271</v>
      </c>
      <c r="C463" t="s">
        <v>3717</v>
      </c>
      <c r="D463" t="s">
        <v>3718</v>
      </c>
      <c r="E463" t="s">
        <v>3719</v>
      </c>
      <c r="F463" t="s">
        <v>3720</v>
      </c>
      <c r="G463" t="s">
        <v>3721</v>
      </c>
      <c r="H463" t="s">
        <v>3722</v>
      </c>
    </row>
    <row r="464" spans="1:8" x14ac:dyDescent="0.25">
      <c r="A464" t="s">
        <v>320</v>
      </c>
      <c r="B464">
        <f>VLOOKUP(A464,art_category_path_name!A:B,2,FALSE)</f>
        <v>272</v>
      </c>
      <c r="C464" t="s">
        <v>3723</v>
      </c>
      <c r="D464" t="s">
        <v>3724</v>
      </c>
      <c r="E464" t="s">
        <v>3725</v>
      </c>
      <c r="F464" t="s">
        <v>3726</v>
      </c>
      <c r="G464" t="s">
        <v>3727</v>
      </c>
      <c r="H464" t="s">
        <v>3728</v>
      </c>
    </row>
    <row r="465" spans="1:8" x14ac:dyDescent="0.25">
      <c r="A465" t="s">
        <v>321</v>
      </c>
      <c r="B465">
        <f>VLOOKUP(A465,art_category_path_name!A:B,2,FALSE)</f>
        <v>273</v>
      </c>
      <c r="C465" t="s">
        <v>3729</v>
      </c>
      <c r="D465" t="s">
        <v>3730</v>
      </c>
      <c r="E465" t="s">
        <v>3731</v>
      </c>
      <c r="F465" t="s">
        <v>3732</v>
      </c>
      <c r="G465" t="s">
        <v>3733</v>
      </c>
      <c r="H465" t="s">
        <v>3734</v>
      </c>
    </row>
    <row r="466" spans="1:8" x14ac:dyDescent="0.25">
      <c r="A466" t="s">
        <v>322</v>
      </c>
      <c r="B466">
        <f>VLOOKUP(A466,art_category_path_name!A:B,2,FALSE)</f>
        <v>274</v>
      </c>
      <c r="C466" t="s">
        <v>3735</v>
      </c>
      <c r="D466" t="s">
        <v>3736</v>
      </c>
      <c r="E466" t="s">
        <v>3737</v>
      </c>
      <c r="F466" t="s">
        <v>3738</v>
      </c>
      <c r="G466" t="s">
        <v>3739</v>
      </c>
      <c r="H466" t="s">
        <v>3740</v>
      </c>
    </row>
    <row r="467" spans="1:8" x14ac:dyDescent="0.25">
      <c r="A467" t="s">
        <v>323</v>
      </c>
      <c r="B467">
        <f>VLOOKUP(A467,art_category_path_name!A:B,2,FALSE)</f>
        <v>275</v>
      </c>
      <c r="C467" t="s">
        <v>3741</v>
      </c>
      <c r="D467" t="s">
        <v>3742</v>
      </c>
      <c r="E467" t="s">
        <v>3743</v>
      </c>
      <c r="F467" t="s">
        <v>3744</v>
      </c>
      <c r="G467" t="s">
        <v>3745</v>
      </c>
      <c r="H467" t="s">
        <v>3746</v>
      </c>
    </row>
    <row r="468" spans="1:8" x14ac:dyDescent="0.25">
      <c r="A468" t="s">
        <v>324</v>
      </c>
      <c r="B468">
        <f>VLOOKUP(A468,art_category_path_name!A:B,2,FALSE)</f>
        <v>276</v>
      </c>
      <c r="C468" t="s">
        <v>3747</v>
      </c>
      <c r="D468" t="s">
        <v>3748</v>
      </c>
      <c r="E468" t="s">
        <v>3749</v>
      </c>
      <c r="F468" t="s">
        <v>3750</v>
      </c>
      <c r="G468" t="s">
        <v>3751</v>
      </c>
      <c r="H468" t="s">
        <v>3752</v>
      </c>
    </row>
    <row r="469" spans="1:8" x14ac:dyDescent="0.25">
      <c r="A469" t="s">
        <v>1096</v>
      </c>
      <c r="B469">
        <f>VLOOKUP(A469,art_category_path_name!A:B,2,FALSE)</f>
        <v>279</v>
      </c>
      <c r="C469" t="s">
        <v>3753</v>
      </c>
      <c r="D469" t="s">
        <v>3754</v>
      </c>
      <c r="E469" t="s">
        <v>3755</v>
      </c>
      <c r="F469" t="s">
        <v>3756</v>
      </c>
      <c r="G469" t="s">
        <v>3757</v>
      </c>
      <c r="H469" t="s">
        <v>3758</v>
      </c>
    </row>
    <row r="470" spans="1:8" x14ac:dyDescent="0.25">
      <c r="A470" t="s">
        <v>331</v>
      </c>
      <c r="B470">
        <f>VLOOKUP(A470,art_category_path_name!A:B,2,FALSE)</f>
        <v>282</v>
      </c>
      <c r="C470" t="s">
        <v>3759</v>
      </c>
      <c r="D470" t="s">
        <v>3760</v>
      </c>
      <c r="F470" t="s">
        <v>1834</v>
      </c>
      <c r="G470" t="s">
        <v>3761</v>
      </c>
      <c r="H470" t="s">
        <v>3762</v>
      </c>
    </row>
    <row r="471" spans="1:8" x14ac:dyDescent="0.25">
      <c r="A471" t="s">
        <v>332</v>
      </c>
      <c r="B471">
        <f>VLOOKUP(A471,art_category_path_name!A:B,2,FALSE)</f>
        <v>283</v>
      </c>
      <c r="C471" t="s">
        <v>3763</v>
      </c>
      <c r="D471" t="s">
        <v>3764</v>
      </c>
      <c r="F471" t="s">
        <v>1834</v>
      </c>
      <c r="G471" t="s">
        <v>3765</v>
      </c>
      <c r="H471" t="s">
        <v>3766</v>
      </c>
    </row>
    <row r="472" spans="1:8" x14ac:dyDescent="0.25">
      <c r="A472" t="s">
        <v>168</v>
      </c>
      <c r="B472">
        <f>VLOOKUP(A472,art_category_path_name!A:B,2,FALSE)</f>
        <v>285</v>
      </c>
      <c r="C472" t="s">
        <v>3767</v>
      </c>
      <c r="D472" t="s">
        <v>3768</v>
      </c>
      <c r="E472" t="s">
        <v>3769</v>
      </c>
      <c r="F472" t="s">
        <v>3770</v>
      </c>
      <c r="G472" t="s">
        <v>3771</v>
      </c>
      <c r="H472" t="s">
        <v>3772</v>
      </c>
    </row>
    <row r="473" spans="1:8" x14ac:dyDescent="0.25">
      <c r="A473" t="s">
        <v>169</v>
      </c>
      <c r="B473">
        <f>VLOOKUP(A473,art_category_path_name!A:B,2,FALSE)</f>
        <v>286</v>
      </c>
      <c r="C473" t="s">
        <v>3773</v>
      </c>
      <c r="D473" t="s">
        <v>3774</v>
      </c>
      <c r="E473" t="s">
        <v>3775</v>
      </c>
      <c r="F473" t="s">
        <v>3776</v>
      </c>
      <c r="G473" t="s">
        <v>3777</v>
      </c>
      <c r="H473" t="s">
        <v>3778</v>
      </c>
    </row>
    <row r="474" spans="1:8" x14ac:dyDescent="0.25">
      <c r="A474" t="s">
        <v>647</v>
      </c>
      <c r="B474">
        <f>VLOOKUP(A474,art_category_path_name!A:B,2,FALSE)</f>
        <v>288</v>
      </c>
      <c r="C474" t="s">
        <v>3779</v>
      </c>
      <c r="D474" t="s">
        <v>3780</v>
      </c>
      <c r="E474" t="s">
        <v>3781</v>
      </c>
      <c r="F474" t="s">
        <v>3782</v>
      </c>
      <c r="G474" t="s">
        <v>3783</v>
      </c>
      <c r="H474" t="s">
        <v>3784</v>
      </c>
    </row>
    <row r="475" spans="1:8" x14ac:dyDescent="0.25">
      <c r="A475" t="s">
        <v>648</v>
      </c>
      <c r="B475">
        <f>VLOOKUP(A475,art_category_path_name!A:B,2,FALSE)</f>
        <v>289</v>
      </c>
      <c r="C475" t="s">
        <v>3785</v>
      </c>
      <c r="D475" t="s">
        <v>3786</v>
      </c>
      <c r="E475" t="s">
        <v>3787</v>
      </c>
      <c r="F475" t="s">
        <v>3788</v>
      </c>
      <c r="G475" t="s">
        <v>3789</v>
      </c>
      <c r="H475" t="s">
        <v>3790</v>
      </c>
    </row>
    <row r="476" spans="1:8" x14ac:dyDescent="0.25">
      <c r="A476" t="s">
        <v>334</v>
      </c>
      <c r="B476">
        <f>VLOOKUP(A476,art_category_path_name!A:B,2,FALSE)</f>
        <v>291</v>
      </c>
      <c r="C476" t="s">
        <v>3791</v>
      </c>
      <c r="D476" t="s">
        <v>3792</v>
      </c>
      <c r="E476" t="s">
        <v>2204</v>
      </c>
      <c r="F476" t="s">
        <v>3793</v>
      </c>
      <c r="G476" t="s">
        <v>3794</v>
      </c>
      <c r="H476" t="s">
        <v>3795</v>
      </c>
    </row>
    <row r="477" spans="1:8" x14ac:dyDescent="0.25">
      <c r="A477" t="s">
        <v>335</v>
      </c>
      <c r="B477">
        <f>VLOOKUP(A477,art_category_path_name!A:B,2,FALSE)</f>
        <v>292</v>
      </c>
      <c r="C477" t="s">
        <v>3796</v>
      </c>
      <c r="D477" t="s">
        <v>3797</v>
      </c>
      <c r="F477" t="s">
        <v>1834</v>
      </c>
      <c r="G477" t="s">
        <v>3798</v>
      </c>
      <c r="H477" t="s">
        <v>3799</v>
      </c>
    </row>
    <row r="478" spans="1:8" x14ac:dyDescent="0.25">
      <c r="A478" t="s">
        <v>337</v>
      </c>
      <c r="B478">
        <f>VLOOKUP(A478,art_category_path_name!A:B,2,FALSE)</f>
        <v>294</v>
      </c>
      <c r="C478" t="s">
        <v>3800</v>
      </c>
      <c r="D478" t="s">
        <v>3801</v>
      </c>
      <c r="F478" t="s">
        <v>1834</v>
      </c>
      <c r="G478" t="s">
        <v>3802</v>
      </c>
      <c r="H478" t="s">
        <v>3803</v>
      </c>
    </row>
    <row r="479" spans="1:8" x14ac:dyDescent="0.25">
      <c r="A479" t="s">
        <v>339</v>
      </c>
      <c r="B479">
        <f>VLOOKUP(A479,art_category_path_name!A:B,2,FALSE)</f>
        <v>296</v>
      </c>
      <c r="C479" t="s">
        <v>3804</v>
      </c>
      <c r="D479" t="s">
        <v>3805</v>
      </c>
      <c r="F479" t="s">
        <v>1834</v>
      </c>
      <c r="G479" t="s">
        <v>3806</v>
      </c>
      <c r="H479" t="s">
        <v>3807</v>
      </c>
    </row>
    <row r="480" spans="1:8" x14ac:dyDescent="0.25">
      <c r="A480" t="s">
        <v>340</v>
      </c>
      <c r="B480">
        <f>VLOOKUP(A480,art_category_path_name!A:B,2,FALSE)</f>
        <v>297</v>
      </c>
      <c r="C480" t="s">
        <v>3808</v>
      </c>
      <c r="D480" t="s">
        <v>3809</v>
      </c>
      <c r="F480" t="s">
        <v>1834</v>
      </c>
      <c r="G480" t="s">
        <v>3810</v>
      </c>
      <c r="H480" t="s">
        <v>3811</v>
      </c>
    </row>
    <row r="481" spans="1:8" x14ac:dyDescent="0.25">
      <c r="A481" t="s">
        <v>171</v>
      </c>
      <c r="B481">
        <f>VLOOKUP(A481,art_category_path_name!A:B,2,FALSE)</f>
        <v>299</v>
      </c>
      <c r="C481" t="s">
        <v>3812</v>
      </c>
      <c r="D481" t="s">
        <v>3813</v>
      </c>
      <c r="F481" t="s">
        <v>1834</v>
      </c>
      <c r="G481" t="s">
        <v>3814</v>
      </c>
      <c r="H481" t="s">
        <v>3815</v>
      </c>
    </row>
    <row r="482" spans="1:8" x14ac:dyDescent="0.25">
      <c r="A482" t="s">
        <v>172</v>
      </c>
      <c r="B482">
        <f>VLOOKUP(A482,art_category_path_name!A:B,2,FALSE)</f>
        <v>300</v>
      </c>
      <c r="C482" t="s">
        <v>3816</v>
      </c>
      <c r="D482" t="s">
        <v>3817</v>
      </c>
      <c r="F482" t="s">
        <v>1834</v>
      </c>
      <c r="G482" t="s">
        <v>3818</v>
      </c>
      <c r="H482" t="s">
        <v>3819</v>
      </c>
    </row>
    <row r="483" spans="1:8" x14ac:dyDescent="0.25">
      <c r="A483" t="s">
        <v>173</v>
      </c>
      <c r="B483">
        <f>VLOOKUP(A483,art_category_path_name!A:B,2,FALSE)</f>
        <v>301</v>
      </c>
      <c r="C483" t="s">
        <v>3820</v>
      </c>
      <c r="D483" t="s">
        <v>3821</v>
      </c>
      <c r="F483" t="s">
        <v>1834</v>
      </c>
      <c r="G483" t="s">
        <v>3822</v>
      </c>
      <c r="H483" t="s">
        <v>3823</v>
      </c>
    </row>
    <row r="484" spans="1:8" x14ac:dyDescent="0.25">
      <c r="A484" t="s">
        <v>174</v>
      </c>
      <c r="B484">
        <f>VLOOKUP(A484,art_category_path_name!A:B,2,FALSE)</f>
        <v>302</v>
      </c>
      <c r="C484" t="s">
        <v>3824</v>
      </c>
      <c r="D484" t="s">
        <v>3825</v>
      </c>
      <c r="F484" t="s">
        <v>1834</v>
      </c>
      <c r="G484" t="s">
        <v>3826</v>
      </c>
      <c r="H484" t="s">
        <v>3827</v>
      </c>
    </row>
    <row r="485" spans="1:8" x14ac:dyDescent="0.25">
      <c r="A485" t="s">
        <v>175</v>
      </c>
      <c r="B485">
        <f>VLOOKUP(A485,art_category_path_name!A:B,2,FALSE)</f>
        <v>303</v>
      </c>
      <c r="C485" t="s">
        <v>3828</v>
      </c>
      <c r="D485" t="s">
        <v>3829</v>
      </c>
      <c r="F485" t="s">
        <v>1834</v>
      </c>
      <c r="G485" t="s">
        <v>3830</v>
      </c>
      <c r="H485" t="s">
        <v>3831</v>
      </c>
    </row>
    <row r="486" spans="1:8" x14ac:dyDescent="0.25">
      <c r="A486" t="s">
        <v>176</v>
      </c>
      <c r="B486">
        <f>VLOOKUP(A486,art_category_path_name!A:B,2,FALSE)</f>
        <v>304</v>
      </c>
      <c r="C486" t="s">
        <v>3832</v>
      </c>
      <c r="D486" t="s">
        <v>3833</v>
      </c>
      <c r="F486" t="s">
        <v>1834</v>
      </c>
      <c r="G486" t="s">
        <v>3834</v>
      </c>
      <c r="H486" t="s">
        <v>3835</v>
      </c>
    </row>
    <row r="487" spans="1:8" x14ac:dyDescent="0.25">
      <c r="A487" t="s">
        <v>177</v>
      </c>
      <c r="B487">
        <f>VLOOKUP(A487,art_category_path_name!A:B,2,FALSE)</f>
        <v>305</v>
      </c>
      <c r="C487" t="s">
        <v>3836</v>
      </c>
      <c r="D487" t="s">
        <v>3837</v>
      </c>
      <c r="F487" t="s">
        <v>1834</v>
      </c>
      <c r="G487" t="s">
        <v>3838</v>
      </c>
      <c r="H487" t="s">
        <v>3839</v>
      </c>
    </row>
    <row r="488" spans="1:8" x14ac:dyDescent="0.25">
      <c r="A488" t="s">
        <v>179</v>
      </c>
      <c r="B488">
        <f>VLOOKUP(A488,art_category_path_name!A:B,2,FALSE)</f>
        <v>307</v>
      </c>
      <c r="C488" t="s">
        <v>3840</v>
      </c>
      <c r="D488" t="s">
        <v>3841</v>
      </c>
      <c r="E488" t="s">
        <v>3842</v>
      </c>
      <c r="F488" t="s">
        <v>3843</v>
      </c>
      <c r="G488" t="s">
        <v>3844</v>
      </c>
      <c r="H488" t="s">
        <v>3845</v>
      </c>
    </row>
    <row r="489" spans="1:8" x14ac:dyDescent="0.25">
      <c r="A489" t="s">
        <v>180</v>
      </c>
      <c r="B489">
        <f>VLOOKUP(A489,art_category_path_name!A:B,2,FALSE)</f>
        <v>308</v>
      </c>
      <c r="C489" t="s">
        <v>3846</v>
      </c>
      <c r="D489" t="s">
        <v>3847</v>
      </c>
      <c r="E489" t="s">
        <v>3848</v>
      </c>
      <c r="F489" t="s">
        <v>3849</v>
      </c>
      <c r="G489" t="s">
        <v>3844</v>
      </c>
      <c r="H489" t="s">
        <v>3850</v>
      </c>
    </row>
    <row r="490" spans="1:8" x14ac:dyDescent="0.25">
      <c r="A490" t="s">
        <v>1190</v>
      </c>
      <c r="B490">
        <f>VLOOKUP(A490,art_category_path_name!A:B,2,FALSE)</f>
        <v>311</v>
      </c>
      <c r="C490" t="s">
        <v>3851</v>
      </c>
      <c r="D490" t="s">
        <v>3852</v>
      </c>
      <c r="F490" t="s">
        <v>1834</v>
      </c>
      <c r="G490" t="s">
        <v>3853</v>
      </c>
      <c r="H490" t="s">
        <v>3854</v>
      </c>
    </row>
    <row r="491" spans="1:8" x14ac:dyDescent="0.25">
      <c r="A491" t="s">
        <v>1191</v>
      </c>
      <c r="B491">
        <f>VLOOKUP(A491,art_category_path_name!A:B,2,FALSE)</f>
        <v>312</v>
      </c>
      <c r="C491" t="s">
        <v>3855</v>
      </c>
      <c r="D491" t="s">
        <v>3856</v>
      </c>
      <c r="F491" t="s">
        <v>1834</v>
      </c>
      <c r="G491" t="s">
        <v>3857</v>
      </c>
      <c r="H491" t="s">
        <v>3858</v>
      </c>
    </row>
    <row r="492" spans="1:8" x14ac:dyDescent="0.25">
      <c r="A492" t="s">
        <v>1192</v>
      </c>
      <c r="B492">
        <f>VLOOKUP(A492,art_category_path_name!A:B,2,FALSE)</f>
        <v>313</v>
      </c>
      <c r="C492" t="s">
        <v>3859</v>
      </c>
      <c r="D492" t="s">
        <v>3860</v>
      </c>
      <c r="F492" t="s">
        <v>1834</v>
      </c>
      <c r="G492" t="s">
        <v>3861</v>
      </c>
      <c r="H492" t="s">
        <v>3862</v>
      </c>
    </row>
    <row r="493" spans="1:8" x14ac:dyDescent="0.25">
      <c r="A493" t="s">
        <v>1193</v>
      </c>
      <c r="B493">
        <f>VLOOKUP(A493,art_category_path_name!A:B,2,FALSE)</f>
        <v>314</v>
      </c>
      <c r="C493" t="s">
        <v>3863</v>
      </c>
      <c r="D493" t="s">
        <v>3864</v>
      </c>
      <c r="F493" t="s">
        <v>1834</v>
      </c>
      <c r="G493" t="s">
        <v>3865</v>
      </c>
      <c r="H493" t="s">
        <v>3866</v>
      </c>
    </row>
    <row r="494" spans="1:8" x14ac:dyDescent="0.25">
      <c r="A494" t="s">
        <v>1194</v>
      </c>
      <c r="B494">
        <f>VLOOKUP(A494,art_category_path_name!A:B,2,FALSE)</f>
        <v>315</v>
      </c>
      <c r="C494" t="s">
        <v>3867</v>
      </c>
      <c r="D494" t="s">
        <v>3868</v>
      </c>
      <c r="E494" t="s">
        <v>3869</v>
      </c>
      <c r="F494" t="s">
        <v>3870</v>
      </c>
      <c r="G494" t="s">
        <v>3871</v>
      </c>
      <c r="H494" t="s">
        <v>3872</v>
      </c>
    </row>
    <row r="495" spans="1:8" x14ac:dyDescent="0.25">
      <c r="A495" t="s">
        <v>655</v>
      </c>
      <c r="B495">
        <f>VLOOKUP(A495,art_category_path_name!A:B,2,FALSE)</f>
        <v>318</v>
      </c>
      <c r="C495" t="s">
        <v>3873</v>
      </c>
      <c r="D495" t="s">
        <v>3874</v>
      </c>
      <c r="E495" t="s">
        <v>3875</v>
      </c>
      <c r="F495" t="s">
        <v>3876</v>
      </c>
      <c r="G495" t="s">
        <v>3877</v>
      </c>
      <c r="H495" t="s">
        <v>3878</v>
      </c>
    </row>
    <row r="496" spans="1:8" x14ac:dyDescent="0.25">
      <c r="A496" t="s">
        <v>656</v>
      </c>
      <c r="B496">
        <f>VLOOKUP(A496,art_category_path_name!A:B,2,FALSE)</f>
        <v>319</v>
      </c>
      <c r="C496" t="s">
        <v>3879</v>
      </c>
      <c r="D496" t="s">
        <v>3880</v>
      </c>
      <c r="F496" t="s">
        <v>1834</v>
      </c>
      <c r="G496" t="s">
        <v>3881</v>
      </c>
      <c r="H496" t="s">
        <v>3882</v>
      </c>
    </row>
    <row r="497" spans="1:8" x14ac:dyDescent="0.25">
      <c r="A497" t="s">
        <v>63</v>
      </c>
      <c r="B497">
        <f>VLOOKUP(A497,art_category_path_name!A:B,2,FALSE)</f>
        <v>321</v>
      </c>
      <c r="C497" t="s">
        <v>3883</v>
      </c>
      <c r="D497" t="s">
        <v>3884</v>
      </c>
      <c r="F497" t="s">
        <v>1834</v>
      </c>
      <c r="G497" t="s">
        <v>3885</v>
      </c>
      <c r="H497" t="s">
        <v>3886</v>
      </c>
    </row>
    <row r="498" spans="1:8" x14ac:dyDescent="0.25">
      <c r="A498" t="s">
        <v>64</v>
      </c>
      <c r="B498">
        <f>VLOOKUP(A498,art_category_path_name!A:B,2,FALSE)</f>
        <v>322</v>
      </c>
      <c r="C498" t="s">
        <v>3887</v>
      </c>
      <c r="G498" t="s">
        <v>3888</v>
      </c>
      <c r="H498" t="s">
        <v>3889</v>
      </c>
    </row>
    <row r="499" spans="1:8" x14ac:dyDescent="0.25">
      <c r="A499" t="s">
        <v>65</v>
      </c>
      <c r="B499">
        <f>VLOOKUP(A499,art_category_path_name!A:B,2,FALSE)</f>
        <v>323</v>
      </c>
      <c r="C499" t="s">
        <v>3890</v>
      </c>
      <c r="G499" t="s">
        <v>3891</v>
      </c>
      <c r="H499" t="s">
        <v>3892</v>
      </c>
    </row>
    <row r="500" spans="1:8" x14ac:dyDescent="0.25">
      <c r="A500" t="s">
        <v>687</v>
      </c>
      <c r="B500">
        <f>VLOOKUP(A500,art_category_path_name!A:B,2,FALSE)</f>
        <v>326</v>
      </c>
      <c r="C500" t="s">
        <v>3893</v>
      </c>
      <c r="D500" t="s">
        <v>3894</v>
      </c>
      <c r="E500" t="s">
        <v>3895</v>
      </c>
      <c r="F500" t="s">
        <v>3896</v>
      </c>
      <c r="G500" t="s">
        <v>3897</v>
      </c>
      <c r="H500" t="s">
        <v>3898</v>
      </c>
    </row>
    <row r="501" spans="1:8" x14ac:dyDescent="0.25">
      <c r="A501" t="s">
        <v>688</v>
      </c>
      <c r="B501">
        <f>VLOOKUP(A501,art_category_path_name!A:B,2,FALSE)</f>
        <v>327</v>
      </c>
      <c r="C501" t="s">
        <v>3899</v>
      </c>
      <c r="D501" t="s">
        <v>3900</v>
      </c>
      <c r="E501" t="s">
        <v>3901</v>
      </c>
      <c r="F501" t="s">
        <v>3902</v>
      </c>
      <c r="G501" t="s">
        <v>3903</v>
      </c>
      <c r="H501" t="s">
        <v>3904</v>
      </c>
    </row>
    <row r="502" spans="1:8" x14ac:dyDescent="0.25">
      <c r="A502" t="s">
        <v>689</v>
      </c>
      <c r="B502">
        <f>VLOOKUP(A502,art_category_path_name!A:B,2,FALSE)</f>
        <v>328</v>
      </c>
      <c r="C502" t="s">
        <v>3905</v>
      </c>
      <c r="D502" t="s">
        <v>3906</v>
      </c>
      <c r="E502" t="s">
        <v>3907</v>
      </c>
      <c r="F502" t="s">
        <v>3908</v>
      </c>
      <c r="G502" t="s">
        <v>3909</v>
      </c>
      <c r="H502" t="s">
        <v>3910</v>
      </c>
    </row>
    <row r="503" spans="1:8" x14ac:dyDescent="0.25">
      <c r="A503" t="s">
        <v>690</v>
      </c>
      <c r="B503">
        <f>VLOOKUP(A503,art_category_path_name!A:B,2,FALSE)</f>
        <v>329</v>
      </c>
      <c r="C503" t="s">
        <v>3911</v>
      </c>
      <c r="D503" t="s">
        <v>3912</v>
      </c>
      <c r="E503" t="s">
        <v>3913</v>
      </c>
      <c r="F503" t="s">
        <v>3914</v>
      </c>
      <c r="G503" t="s">
        <v>3915</v>
      </c>
      <c r="H503" t="s">
        <v>3916</v>
      </c>
    </row>
    <row r="504" spans="1:8" x14ac:dyDescent="0.25">
      <c r="A504" t="s">
        <v>691</v>
      </c>
      <c r="B504">
        <f>VLOOKUP(A504,art_category_path_name!A:B,2,FALSE)</f>
        <v>330</v>
      </c>
      <c r="C504" t="s">
        <v>3917</v>
      </c>
      <c r="D504" t="s">
        <v>3918</v>
      </c>
      <c r="E504" t="s">
        <v>3919</v>
      </c>
      <c r="F504" t="s">
        <v>3920</v>
      </c>
      <c r="G504" t="s">
        <v>3921</v>
      </c>
      <c r="H504" t="s">
        <v>3922</v>
      </c>
    </row>
    <row r="505" spans="1:8" x14ac:dyDescent="0.25">
      <c r="A505" t="s">
        <v>692</v>
      </c>
      <c r="B505">
        <f>VLOOKUP(A505,art_category_path_name!A:B,2,FALSE)</f>
        <v>331</v>
      </c>
      <c r="C505" t="s">
        <v>3923</v>
      </c>
      <c r="G505" t="s">
        <v>3924</v>
      </c>
      <c r="H505" t="s">
        <v>3925</v>
      </c>
    </row>
    <row r="506" spans="1:8" x14ac:dyDescent="0.25">
      <c r="A506" t="s">
        <v>533</v>
      </c>
      <c r="B506">
        <f>VLOOKUP(A506,art_category_path_name!A:B,2,FALSE)</f>
        <v>334</v>
      </c>
      <c r="C506" t="s">
        <v>3926</v>
      </c>
      <c r="D506" t="s">
        <v>3927</v>
      </c>
      <c r="F506" t="s">
        <v>1834</v>
      </c>
      <c r="G506" t="s">
        <v>3928</v>
      </c>
      <c r="H506" t="s">
        <v>3929</v>
      </c>
    </row>
    <row r="507" spans="1:8" x14ac:dyDescent="0.25">
      <c r="A507" t="s">
        <v>534</v>
      </c>
      <c r="B507">
        <f>VLOOKUP(A507,art_category_path_name!A:B,2,FALSE)</f>
        <v>335</v>
      </c>
      <c r="C507" t="s">
        <v>3930</v>
      </c>
      <c r="D507" t="s">
        <v>3931</v>
      </c>
      <c r="F507" t="s">
        <v>1834</v>
      </c>
      <c r="G507" t="s">
        <v>3932</v>
      </c>
      <c r="H507" t="s">
        <v>3933</v>
      </c>
    </row>
    <row r="508" spans="1:8" x14ac:dyDescent="0.25">
      <c r="A508" t="s">
        <v>535</v>
      </c>
      <c r="B508">
        <f>VLOOKUP(A508,art_category_path_name!A:B,2,FALSE)</f>
        <v>336</v>
      </c>
      <c r="C508" t="s">
        <v>3934</v>
      </c>
      <c r="D508" t="s">
        <v>3935</v>
      </c>
      <c r="F508" t="s">
        <v>1834</v>
      </c>
      <c r="G508" t="s">
        <v>3936</v>
      </c>
      <c r="H508" t="s">
        <v>3937</v>
      </c>
    </row>
    <row r="509" spans="1:8" x14ac:dyDescent="0.25">
      <c r="A509" t="s">
        <v>536</v>
      </c>
      <c r="B509">
        <f>VLOOKUP(A509,art_category_path_name!A:B,2,FALSE)</f>
        <v>337</v>
      </c>
      <c r="C509" t="s">
        <v>3938</v>
      </c>
      <c r="D509" t="s">
        <v>3939</v>
      </c>
      <c r="F509" t="s">
        <v>1834</v>
      </c>
      <c r="G509" t="s">
        <v>3940</v>
      </c>
      <c r="H509" t="s">
        <v>3941</v>
      </c>
    </row>
    <row r="510" spans="1:8" x14ac:dyDescent="0.25">
      <c r="A510" t="s">
        <v>537</v>
      </c>
      <c r="B510">
        <f>VLOOKUP(A510,art_category_path_name!A:B,2,FALSE)</f>
        <v>338</v>
      </c>
      <c r="C510" t="s">
        <v>3942</v>
      </c>
      <c r="D510" t="s">
        <v>3943</v>
      </c>
      <c r="F510" t="s">
        <v>1834</v>
      </c>
      <c r="G510" t="s">
        <v>3944</v>
      </c>
      <c r="H510" t="s">
        <v>3945</v>
      </c>
    </row>
    <row r="511" spans="1:8" x14ac:dyDescent="0.25">
      <c r="A511" t="s">
        <v>538</v>
      </c>
      <c r="B511">
        <f>VLOOKUP(A511,art_category_path_name!A:B,2,FALSE)</f>
        <v>339</v>
      </c>
      <c r="C511" t="s">
        <v>3946</v>
      </c>
      <c r="D511" t="s">
        <v>3947</v>
      </c>
      <c r="F511" t="s">
        <v>1834</v>
      </c>
      <c r="H511" t="s">
        <v>3948</v>
      </c>
    </row>
    <row r="512" spans="1:8" x14ac:dyDescent="0.25">
      <c r="A512" t="s">
        <v>539</v>
      </c>
      <c r="B512">
        <f>VLOOKUP(A512,art_category_path_name!A:B,2,FALSE)</f>
        <v>340</v>
      </c>
      <c r="C512" t="s">
        <v>3949</v>
      </c>
      <c r="D512" t="s">
        <v>3950</v>
      </c>
      <c r="F512" t="s">
        <v>1834</v>
      </c>
      <c r="G512" t="s">
        <v>3932</v>
      </c>
      <c r="H512" t="s">
        <v>3951</v>
      </c>
    </row>
    <row r="513" spans="1:8" x14ac:dyDescent="0.25">
      <c r="A513" t="s">
        <v>540</v>
      </c>
      <c r="B513">
        <f>VLOOKUP(A513,art_category_path_name!A:B,2,FALSE)</f>
        <v>341</v>
      </c>
      <c r="C513" t="s">
        <v>3952</v>
      </c>
      <c r="D513" t="s">
        <v>3953</v>
      </c>
      <c r="F513" t="s">
        <v>1834</v>
      </c>
      <c r="G513" t="s">
        <v>3458</v>
      </c>
      <c r="H513" t="s">
        <v>3954</v>
      </c>
    </row>
    <row r="514" spans="1:8" x14ac:dyDescent="0.25">
      <c r="A514" t="s">
        <v>542</v>
      </c>
      <c r="B514">
        <f>VLOOKUP(A514,art_category_path_name!A:B,2,FALSE)</f>
        <v>343</v>
      </c>
      <c r="C514" t="s">
        <v>3955</v>
      </c>
      <c r="D514" t="s">
        <v>3956</v>
      </c>
      <c r="F514" t="s">
        <v>1834</v>
      </c>
      <c r="G514" t="s">
        <v>3957</v>
      </c>
      <c r="H514" t="s">
        <v>3958</v>
      </c>
    </row>
    <row r="515" spans="1:8" x14ac:dyDescent="0.25">
      <c r="A515" t="s">
        <v>543</v>
      </c>
      <c r="B515">
        <f>VLOOKUP(A515,art_category_path_name!A:B,2,FALSE)</f>
        <v>344</v>
      </c>
      <c r="C515" t="s">
        <v>3955</v>
      </c>
      <c r="D515" t="s">
        <v>3959</v>
      </c>
      <c r="F515" t="s">
        <v>1834</v>
      </c>
      <c r="G515" t="s">
        <v>3960</v>
      </c>
      <c r="H515" t="s">
        <v>3961</v>
      </c>
    </row>
    <row r="516" spans="1:8" x14ac:dyDescent="0.25">
      <c r="A516" t="s">
        <v>544</v>
      </c>
      <c r="B516">
        <f>VLOOKUP(A516,art_category_path_name!A:B,2,FALSE)</f>
        <v>345</v>
      </c>
      <c r="C516" t="s">
        <v>3962</v>
      </c>
      <c r="D516" t="s">
        <v>3963</v>
      </c>
      <c r="F516" t="s">
        <v>1834</v>
      </c>
      <c r="G516" t="s">
        <v>3936</v>
      </c>
      <c r="H516" t="s">
        <v>3964</v>
      </c>
    </row>
    <row r="517" spans="1:8" x14ac:dyDescent="0.25">
      <c r="A517" t="s">
        <v>548</v>
      </c>
      <c r="B517">
        <f>VLOOKUP(A517,art_category_path_name!A:B,2,FALSE)</f>
        <v>347</v>
      </c>
      <c r="C517" t="s">
        <v>3965</v>
      </c>
      <c r="D517" t="s">
        <v>3966</v>
      </c>
      <c r="F517" t="s">
        <v>1834</v>
      </c>
      <c r="G517" t="s">
        <v>3967</v>
      </c>
      <c r="H517" t="s">
        <v>3968</v>
      </c>
    </row>
    <row r="518" spans="1:8" x14ac:dyDescent="0.25">
      <c r="A518" t="s">
        <v>549</v>
      </c>
      <c r="B518">
        <f>VLOOKUP(A518,art_category_path_name!A:B,2,FALSE)</f>
        <v>348</v>
      </c>
      <c r="C518" t="s">
        <v>3969</v>
      </c>
      <c r="D518" t="s">
        <v>3970</v>
      </c>
      <c r="F518" t="s">
        <v>1834</v>
      </c>
      <c r="G518" t="s">
        <v>3971</v>
      </c>
      <c r="H518" t="s">
        <v>3972</v>
      </c>
    </row>
    <row r="519" spans="1:8" x14ac:dyDescent="0.25">
      <c r="A519" t="s">
        <v>550</v>
      </c>
      <c r="B519">
        <f>VLOOKUP(A519,art_category_path_name!A:B,2,FALSE)</f>
        <v>349</v>
      </c>
      <c r="C519" t="s">
        <v>3973</v>
      </c>
      <c r="D519" t="s">
        <v>3974</v>
      </c>
      <c r="F519" t="s">
        <v>1834</v>
      </c>
      <c r="G519" t="s">
        <v>3975</v>
      </c>
      <c r="H519" t="s">
        <v>3976</v>
      </c>
    </row>
    <row r="520" spans="1:8" x14ac:dyDescent="0.25">
      <c r="A520" t="s">
        <v>551</v>
      </c>
      <c r="B520">
        <f>VLOOKUP(A520,art_category_path_name!A:B,2,FALSE)</f>
        <v>350</v>
      </c>
      <c r="C520" t="s">
        <v>3977</v>
      </c>
      <c r="D520" t="s">
        <v>3978</v>
      </c>
      <c r="F520" t="s">
        <v>1834</v>
      </c>
      <c r="G520" t="s">
        <v>3979</v>
      </c>
      <c r="H520" t="s">
        <v>3980</v>
      </c>
    </row>
    <row r="521" spans="1:8" x14ac:dyDescent="0.25">
      <c r="A521" t="s">
        <v>552</v>
      </c>
      <c r="B521">
        <f>VLOOKUP(A521,art_category_path_name!A:B,2,FALSE)</f>
        <v>351</v>
      </c>
      <c r="C521" t="s">
        <v>3981</v>
      </c>
      <c r="D521" t="s">
        <v>3982</v>
      </c>
      <c r="F521" t="s">
        <v>1834</v>
      </c>
      <c r="G521" t="s">
        <v>3983</v>
      </c>
      <c r="H521" t="s">
        <v>3984</v>
      </c>
    </row>
    <row r="522" spans="1:8" x14ac:dyDescent="0.25">
      <c r="A522" t="s">
        <v>553</v>
      </c>
      <c r="B522">
        <f>VLOOKUP(A522,art_category_path_name!A:B,2,FALSE)</f>
        <v>352</v>
      </c>
      <c r="C522" t="s">
        <v>3985</v>
      </c>
      <c r="D522" t="s">
        <v>3986</v>
      </c>
      <c r="F522" t="s">
        <v>1834</v>
      </c>
      <c r="G522" t="s">
        <v>3987</v>
      </c>
      <c r="H522" t="s">
        <v>3988</v>
      </c>
    </row>
    <row r="523" spans="1:8" x14ac:dyDescent="0.25">
      <c r="A523" t="s">
        <v>554</v>
      </c>
      <c r="B523">
        <f>VLOOKUP(A523,art_category_path_name!A:B,2,FALSE)</f>
        <v>353</v>
      </c>
      <c r="C523" t="s">
        <v>3989</v>
      </c>
      <c r="D523" t="s">
        <v>3990</v>
      </c>
      <c r="F523" t="s">
        <v>1834</v>
      </c>
      <c r="G523" t="s">
        <v>3567</v>
      </c>
      <c r="H523" t="s">
        <v>3991</v>
      </c>
    </row>
    <row r="524" spans="1:8" x14ac:dyDescent="0.25">
      <c r="A524" t="s">
        <v>555</v>
      </c>
      <c r="B524">
        <f>VLOOKUP(A524,art_category_path_name!A:B,2,FALSE)</f>
        <v>354</v>
      </c>
      <c r="C524" t="s">
        <v>3992</v>
      </c>
      <c r="D524" t="s">
        <v>3993</v>
      </c>
      <c r="F524" t="s">
        <v>1834</v>
      </c>
      <c r="G524" t="s">
        <v>3994</v>
      </c>
      <c r="H524" t="s">
        <v>3995</v>
      </c>
    </row>
    <row r="525" spans="1:8" x14ac:dyDescent="0.25">
      <c r="A525" t="s">
        <v>556</v>
      </c>
      <c r="B525">
        <f>VLOOKUP(A525,art_category_path_name!A:B,2,FALSE)</f>
        <v>355</v>
      </c>
      <c r="C525" t="s">
        <v>3996</v>
      </c>
      <c r="D525" t="s">
        <v>3997</v>
      </c>
      <c r="F525" t="s">
        <v>1834</v>
      </c>
      <c r="G525" t="s">
        <v>3998</v>
      </c>
      <c r="H525" t="s">
        <v>3999</v>
      </c>
    </row>
    <row r="526" spans="1:8" x14ac:dyDescent="0.25">
      <c r="A526" t="s">
        <v>557</v>
      </c>
      <c r="B526">
        <f>VLOOKUP(A526,art_category_path_name!A:B,2,FALSE)</f>
        <v>356</v>
      </c>
      <c r="C526" t="s">
        <v>4000</v>
      </c>
      <c r="D526" t="s">
        <v>4001</v>
      </c>
      <c r="F526" t="s">
        <v>1834</v>
      </c>
      <c r="G526" t="s">
        <v>3745</v>
      </c>
      <c r="H526" t="s">
        <v>4002</v>
      </c>
    </row>
    <row r="527" spans="1:8" x14ac:dyDescent="0.25">
      <c r="A527" t="s">
        <v>558</v>
      </c>
      <c r="B527">
        <f>VLOOKUP(A527,art_category_path_name!A:B,2,FALSE)</f>
        <v>357</v>
      </c>
      <c r="C527" t="s">
        <v>4003</v>
      </c>
      <c r="D527" t="s">
        <v>4004</v>
      </c>
      <c r="F527" t="s">
        <v>1834</v>
      </c>
      <c r="G527" t="s">
        <v>4005</v>
      </c>
      <c r="H527" t="s">
        <v>4006</v>
      </c>
    </row>
    <row r="528" spans="1:8" x14ac:dyDescent="0.25">
      <c r="A528" t="s">
        <v>559</v>
      </c>
      <c r="B528">
        <f>VLOOKUP(A528,art_category_path_name!A:B,2,FALSE)</f>
        <v>358</v>
      </c>
      <c r="C528" t="s">
        <v>4007</v>
      </c>
      <c r="D528" t="s">
        <v>4008</v>
      </c>
      <c r="F528" t="s">
        <v>1834</v>
      </c>
      <c r="G528" t="s">
        <v>4009</v>
      </c>
      <c r="H528" t="s">
        <v>4010</v>
      </c>
    </row>
    <row r="529" spans="1:8" x14ac:dyDescent="0.25">
      <c r="A529" t="s">
        <v>560</v>
      </c>
      <c r="B529">
        <f>VLOOKUP(A529,art_category_path_name!A:B,2,FALSE)</f>
        <v>359</v>
      </c>
      <c r="C529" t="s">
        <v>4011</v>
      </c>
      <c r="D529" t="s">
        <v>4012</v>
      </c>
      <c r="F529" t="s">
        <v>1834</v>
      </c>
      <c r="G529" t="s">
        <v>4013</v>
      </c>
      <c r="H529" t="s">
        <v>4014</v>
      </c>
    </row>
    <row r="530" spans="1:8" x14ac:dyDescent="0.25">
      <c r="A530" t="s">
        <v>561</v>
      </c>
      <c r="B530">
        <f>VLOOKUP(A530,art_category_path_name!A:B,2,FALSE)</f>
        <v>360</v>
      </c>
      <c r="C530" t="s">
        <v>4015</v>
      </c>
      <c r="D530" t="s">
        <v>4016</v>
      </c>
      <c r="F530" t="s">
        <v>1834</v>
      </c>
      <c r="G530" t="s">
        <v>4017</v>
      </c>
      <c r="H530" t="s">
        <v>4018</v>
      </c>
    </row>
    <row r="531" spans="1:8" x14ac:dyDescent="0.25">
      <c r="A531" t="s">
        <v>562</v>
      </c>
      <c r="B531">
        <f>VLOOKUP(A531,art_category_path_name!A:B,2,FALSE)</f>
        <v>361</v>
      </c>
      <c r="C531" t="s">
        <v>3934</v>
      </c>
      <c r="D531" t="s">
        <v>4019</v>
      </c>
      <c r="F531" t="s">
        <v>1834</v>
      </c>
      <c r="G531" t="s">
        <v>4020</v>
      </c>
      <c r="H531" t="s">
        <v>4021</v>
      </c>
    </row>
    <row r="532" spans="1:8" x14ac:dyDescent="0.25">
      <c r="A532" t="s">
        <v>563</v>
      </c>
      <c r="B532">
        <f>VLOOKUP(A532,art_category_path_name!A:B,2,FALSE)</f>
        <v>362</v>
      </c>
      <c r="C532" t="s">
        <v>3934</v>
      </c>
      <c r="D532" t="s">
        <v>4022</v>
      </c>
      <c r="F532" t="s">
        <v>1834</v>
      </c>
      <c r="G532" t="s">
        <v>4023</v>
      </c>
      <c r="H532" t="s">
        <v>4024</v>
      </c>
    </row>
    <row r="533" spans="1:8" x14ac:dyDescent="0.25">
      <c r="A533" t="s">
        <v>564</v>
      </c>
      <c r="B533">
        <f>VLOOKUP(A533,art_category_path_name!A:B,2,FALSE)</f>
        <v>363</v>
      </c>
      <c r="C533" t="s">
        <v>4025</v>
      </c>
      <c r="D533" t="s">
        <v>4026</v>
      </c>
      <c r="F533" t="s">
        <v>1834</v>
      </c>
      <c r="G533" t="s">
        <v>4027</v>
      </c>
      <c r="H533" t="s">
        <v>4028</v>
      </c>
    </row>
    <row r="534" spans="1:8" x14ac:dyDescent="0.25">
      <c r="A534" t="s">
        <v>565</v>
      </c>
      <c r="B534">
        <f>VLOOKUP(A534,art_category_path_name!A:B,2,FALSE)</f>
        <v>364</v>
      </c>
      <c r="C534" t="s">
        <v>4029</v>
      </c>
      <c r="D534" t="s">
        <v>4030</v>
      </c>
      <c r="F534" t="s">
        <v>1834</v>
      </c>
      <c r="G534" t="s">
        <v>4031</v>
      </c>
      <c r="H534" t="s">
        <v>4032</v>
      </c>
    </row>
    <row r="535" spans="1:8" x14ac:dyDescent="0.25">
      <c r="A535" t="s">
        <v>569</v>
      </c>
      <c r="B535">
        <f>VLOOKUP(A535,art_category_path_name!A:B,2,FALSE)</f>
        <v>366</v>
      </c>
      <c r="C535" t="s">
        <v>4033</v>
      </c>
      <c r="D535" t="s">
        <v>4034</v>
      </c>
      <c r="F535" t="s">
        <v>1834</v>
      </c>
      <c r="G535" t="s">
        <v>4035</v>
      </c>
      <c r="H535" t="s">
        <v>4036</v>
      </c>
    </row>
    <row r="536" spans="1:8" x14ac:dyDescent="0.25">
      <c r="A536" t="s">
        <v>570</v>
      </c>
      <c r="B536">
        <f>VLOOKUP(A536,art_category_path_name!A:B,2,FALSE)</f>
        <v>367</v>
      </c>
      <c r="C536" t="s">
        <v>4037</v>
      </c>
      <c r="D536" t="s">
        <v>4038</v>
      </c>
      <c r="F536" t="s">
        <v>1834</v>
      </c>
      <c r="G536" t="s">
        <v>4039</v>
      </c>
      <c r="H536" t="s">
        <v>4040</v>
      </c>
    </row>
    <row r="537" spans="1:8" x14ac:dyDescent="0.25">
      <c r="A537" t="s">
        <v>571</v>
      </c>
      <c r="B537">
        <f>VLOOKUP(A537,art_category_path_name!A:B,2,FALSE)</f>
        <v>368</v>
      </c>
      <c r="C537" t="s">
        <v>4041</v>
      </c>
      <c r="D537" t="s">
        <v>4042</v>
      </c>
      <c r="F537" t="s">
        <v>1834</v>
      </c>
      <c r="G537" t="s">
        <v>4043</v>
      </c>
      <c r="H537" t="s">
        <v>4044</v>
      </c>
    </row>
    <row r="538" spans="1:8" x14ac:dyDescent="0.25">
      <c r="A538" t="s">
        <v>572</v>
      </c>
      <c r="B538">
        <f>VLOOKUP(A538,art_category_path_name!A:B,2,FALSE)</f>
        <v>369</v>
      </c>
      <c r="C538" t="s">
        <v>4045</v>
      </c>
      <c r="D538" t="s">
        <v>4046</v>
      </c>
      <c r="F538" t="s">
        <v>1834</v>
      </c>
      <c r="G538" t="s">
        <v>4047</v>
      </c>
      <c r="H538" t="s">
        <v>4048</v>
      </c>
    </row>
    <row r="539" spans="1:8" x14ac:dyDescent="0.25">
      <c r="A539" t="s">
        <v>573</v>
      </c>
      <c r="B539">
        <f>VLOOKUP(A539,art_category_path_name!A:B,2,FALSE)</f>
        <v>370</v>
      </c>
      <c r="C539" t="s">
        <v>4049</v>
      </c>
      <c r="D539" t="s">
        <v>4050</v>
      </c>
      <c r="F539" t="s">
        <v>1834</v>
      </c>
      <c r="G539" t="s">
        <v>4051</v>
      </c>
      <c r="H539" t="s">
        <v>4052</v>
      </c>
    </row>
    <row r="540" spans="1:8" x14ac:dyDescent="0.25">
      <c r="A540" t="s">
        <v>574</v>
      </c>
      <c r="B540">
        <f>VLOOKUP(A540,art_category_path_name!A:B,2,FALSE)</f>
        <v>371</v>
      </c>
      <c r="C540" t="s">
        <v>4053</v>
      </c>
      <c r="D540" t="s">
        <v>4054</v>
      </c>
      <c r="F540" t="s">
        <v>1834</v>
      </c>
      <c r="G540" t="s">
        <v>4055</v>
      </c>
      <c r="H540" t="s">
        <v>4056</v>
      </c>
    </row>
    <row r="541" spans="1:8" x14ac:dyDescent="0.25">
      <c r="A541" t="s">
        <v>575</v>
      </c>
      <c r="B541">
        <f>VLOOKUP(A541,art_category_path_name!A:B,2,FALSE)</f>
        <v>372</v>
      </c>
      <c r="C541" t="s">
        <v>4057</v>
      </c>
      <c r="D541" t="s">
        <v>4058</v>
      </c>
      <c r="F541" t="s">
        <v>1834</v>
      </c>
      <c r="G541" t="s">
        <v>4059</v>
      </c>
      <c r="H541" t="s">
        <v>4060</v>
      </c>
    </row>
    <row r="542" spans="1:8" x14ac:dyDescent="0.25">
      <c r="A542" t="s">
        <v>576</v>
      </c>
      <c r="B542">
        <f>VLOOKUP(A542,art_category_path_name!A:B,2,FALSE)</f>
        <v>373</v>
      </c>
      <c r="C542" t="s">
        <v>4061</v>
      </c>
      <c r="D542" t="s">
        <v>4062</v>
      </c>
      <c r="F542" t="s">
        <v>1834</v>
      </c>
      <c r="G542" t="s">
        <v>4063</v>
      </c>
      <c r="H542" t="s">
        <v>4064</v>
      </c>
    </row>
    <row r="543" spans="1:8" x14ac:dyDescent="0.25">
      <c r="A543" t="s">
        <v>577</v>
      </c>
      <c r="B543">
        <f>VLOOKUP(A543,art_category_path_name!A:B,2,FALSE)</f>
        <v>374</v>
      </c>
      <c r="C543" t="s">
        <v>4065</v>
      </c>
      <c r="D543" t="s">
        <v>4066</v>
      </c>
      <c r="F543" t="s">
        <v>1834</v>
      </c>
      <c r="G543" t="s">
        <v>4067</v>
      </c>
      <c r="H543" t="s">
        <v>4068</v>
      </c>
    </row>
    <row r="544" spans="1:8" x14ac:dyDescent="0.25">
      <c r="A544" t="s">
        <v>578</v>
      </c>
      <c r="B544">
        <f>VLOOKUP(A544,art_category_path_name!A:B,2,FALSE)</f>
        <v>375</v>
      </c>
      <c r="C544" t="s">
        <v>4069</v>
      </c>
      <c r="D544" t="s">
        <v>4070</v>
      </c>
      <c r="F544" t="s">
        <v>1834</v>
      </c>
      <c r="G544" t="s">
        <v>4071</v>
      </c>
      <c r="H544" t="s">
        <v>4072</v>
      </c>
    </row>
    <row r="545" spans="1:8" x14ac:dyDescent="0.25">
      <c r="A545" t="s">
        <v>579</v>
      </c>
      <c r="B545">
        <f>VLOOKUP(A545,art_category_path_name!A:B,2,FALSE)</f>
        <v>376</v>
      </c>
      <c r="C545" t="s">
        <v>4073</v>
      </c>
      <c r="D545" t="s">
        <v>4074</v>
      </c>
      <c r="F545" t="s">
        <v>1834</v>
      </c>
      <c r="G545" t="s">
        <v>4075</v>
      </c>
      <c r="H545" t="s">
        <v>4076</v>
      </c>
    </row>
    <row r="546" spans="1:8" x14ac:dyDescent="0.25">
      <c r="A546" t="s">
        <v>580</v>
      </c>
      <c r="B546">
        <f>VLOOKUP(A546,art_category_path_name!A:B,2,FALSE)</f>
        <v>377</v>
      </c>
      <c r="C546" t="s">
        <v>4077</v>
      </c>
      <c r="D546" t="s">
        <v>4078</v>
      </c>
      <c r="F546" t="s">
        <v>1834</v>
      </c>
      <c r="G546" t="s">
        <v>4079</v>
      </c>
      <c r="H546" t="s">
        <v>4080</v>
      </c>
    </row>
    <row r="547" spans="1:8" x14ac:dyDescent="0.25">
      <c r="A547" t="s">
        <v>581</v>
      </c>
      <c r="B547">
        <f>VLOOKUP(A547,art_category_path_name!A:B,2,FALSE)</f>
        <v>378</v>
      </c>
      <c r="C547" t="s">
        <v>4081</v>
      </c>
      <c r="D547" t="s">
        <v>4082</v>
      </c>
      <c r="F547" t="s">
        <v>1834</v>
      </c>
      <c r="G547" t="s">
        <v>4083</v>
      </c>
      <c r="H547" t="s">
        <v>4084</v>
      </c>
    </row>
    <row r="548" spans="1:8" x14ac:dyDescent="0.25">
      <c r="A548" t="s">
        <v>582</v>
      </c>
      <c r="B548">
        <f>VLOOKUP(A548,art_category_path_name!A:B,2,FALSE)</f>
        <v>379</v>
      </c>
      <c r="C548" t="s">
        <v>4085</v>
      </c>
      <c r="D548" t="s">
        <v>4086</v>
      </c>
      <c r="F548" t="s">
        <v>1834</v>
      </c>
      <c r="G548" t="s">
        <v>4087</v>
      </c>
      <c r="H548" t="s">
        <v>4088</v>
      </c>
    </row>
    <row r="549" spans="1:8" x14ac:dyDescent="0.25">
      <c r="A549" t="s">
        <v>583</v>
      </c>
      <c r="B549">
        <f>VLOOKUP(A549,art_category_path_name!A:B,2,FALSE)</f>
        <v>380</v>
      </c>
      <c r="C549" t="s">
        <v>4089</v>
      </c>
      <c r="D549" t="s">
        <v>4090</v>
      </c>
      <c r="F549" t="s">
        <v>1834</v>
      </c>
      <c r="G549" t="s">
        <v>4091</v>
      </c>
      <c r="H549" t="s">
        <v>4092</v>
      </c>
    </row>
    <row r="550" spans="1:8" x14ac:dyDescent="0.25">
      <c r="A550" t="s">
        <v>584</v>
      </c>
      <c r="B550">
        <f>VLOOKUP(A550,art_category_path_name!A:B,2,FALSE)</f>
        <v>381</v>
      </c>
      <c r="C550" t="s">
        <v>4093</v>
      </c>
      <c r="D550" t="s">
        <v>4094</v>
      </c>
      <c r="F550" t="s">
        <v>1834</v>
      </c>
      <c r="G550" t="s">
        <v>4091</v>
      </c>
      <c r="H550" t="s">
        <v>4095</v>
      </c>
    </row>
    <row r="551" spans="1:8" x14ac:dyDescent="0.25">
      <c r="A551" t="s">
        <v>585</v>
      </c>
      <c r="B551">
        <f>VLOOKUP(A551,art_category_path_name!A:B,2,FALSE)</f>
        <v>382</v>
      </c>
      <c r="C551" t="s">
        <v>4096</v>
      </c>
      <c r="D551" t="s">
        <v>4097</v>
      </c>
      <c r="F551" t="s">
        <v>1834</v>
      </c>
      <c r="G551" t="s">
        <v>4098</v>
      </c>
      <c r="H551" t="s">
        <v>4099</v>
      </c>
    </row>
    <row r="552" spans="1:8" x14ac:dyDescent="0.25">
      <c r="A552" t="s">
        <v>590</v>
      </c>
      <c r="B552">
        <f>VLOOKUP(A552,art_category_path_name!A:B,2,FALSE)</f>
        <v>384</v>
      </c>
      <c r="C552" t="s">
        <v>4100</v>
      </c>
      <c r="D552" t="s">
        <v>4101</v>
      </c>
      <c r="F552" t="s">
        <v>1834</v>
      </c>
      <c r="G552" t="s">
        <v>4102</v>
      </c>
      <c r="H552" t="s">
        <v>4103</v>
      </c>
    </row>
    <row r="553" spans="1:8" x14ac:dyDescent="0.25">
      <c r="A553" t="s">
        <v>591</v>
      </c>
      <c r="B553">
        <f>VLOOKUP(A553,art_category_path_name!A:B,2,FALSE)</f>
        <v>385</v>
      </c>
      <c r="C553" t="s">
        <v>3934</v>
      </c>
      <c r="D553" t="s">
        <v>4104</v>
      </c>
      <c r="F553" t="s">
        <v>1834</v>
      </c>
      <c r="G553" t="s">
        <v>4105</v>
      </c>
      <c r="H553" t="s">
        <v>4106</v>
      </c>
    </row>
    <row r="554" spans="1:8" x14ac:dyDescent="0.25">
      <c r="A554" t="s">
        <v>592</v>
      </c>
      <c r="B554">
        <f>VLOOKUP(A554,art_category_path_name!A:B,2,FALSE)</f>
        <v>386</v>
      </c>
      <c r="C554" t="s">
        <v>4107</v>
      </c>
      <c r="D554" t="s">
        <v>4108</v>
      </c>
      <c r="F554" t="s">
        <v>1834</v>
      </c>
      <c r="G554" t="s">
        <v>4109</v>
      </c>
      <c r="H554" t="s">
        <v>4110</v>
      </c>
    </row>
    <row r="555" spans="1:8" x14ac:dyDescent="0.25">
      <c r="A555" t="s">
        <v>593</v>
      </c>
      <c r="B555">
        <f>VLOOKUP(A555,art_category_path_name!A:B,2,FALSE)</f>
        <v>387</v>
      </c>
      <c r="C555" t="s">
        <v>3934</v>
      </c>
      <c r="D555" t="s">
        <v>4111</v>
      </c>
      <c r="F555" t="s">
        <v>1834</v>
      </c>
      <c r="G555" t="s">
        <v>4112</v>
      </c>
      <c r="H555" t="s">
        <v>4113</v>
      </c>
    </row>
    <row r="556" spans="1:8" x14ac:dyDescent="0.25">
      <c r="A556" t="s">
        <v>594</v>
      </c>
      <c r="B556">
        <f>VLOOKUP(A556,art_category_path_name!A:B,2,FALSE)</f>
        <v>388</v>
      </c>
      <c r="C556" t="s">
        <v>4114</v>
      </c>
      <c r="D556" t="s">
        <v>4115</v>
      </c>
      <c r="F556" t="s">
        <v>1834</v>
      </c>
      <c r="G556" t="s">
        <v>4116</v>
      </c>
      <c r="H556" t="s">
        <v>4117</v>
      </c>
    </row>
    <row r="557" spans="1:8" x14ac:dyDescent="0.25">
      <c r="A557" t="s">
        <v>595</v>
      </c>
      <c r="B557">
        <f>VLOOKUP(A557,art_category_path_name!A:B,2,FALSE)</f>
        <v>389</v>
      </c>
      <c r="C557" t="s">
        <v>3934</v>
      </c>
      <c r="D557" t="s">
        <v>4118</v>
      </c>
      <c r="F557" t="s">
        <v>1834</v>
      </c>
      <c r="G557" t="s">
        <v>4119</v>
      </c>
      <c r="H557" t="s">
        <v>4120</v>
      </c>
    </row>
    <row r="558" spans="1:8" x14ac:dyDescent="0.25">
      <c r="A558" t="s">
        <v>596</v>
      </c>
      <c r="B558">
        <f>VLOOKUP(A558,art_category_path_name!A:B,2,FALSE)</f>
        <v>390</v>
      </c>
      <c r="C558" t="s">
        <v>4121</v>
      </c>
      <c r="D558" t="s">
        <v>4122</v>
      </c>
      <c r="F558" t="s">
        <v>1834</v>
      </c>
      <c r="G558" t="s">
        <v>4123</v>
      </c>
      <c r="H558" t="s">
        <v>4124</v>
      </c>
    </row>
    <row r="559" spans="1:8" x14ac:dyDescent="0.25">
      <c r="A559" t="s">
        <v>597</v>
      </c>
      <c r="B559">
        <f>VLOOKUP(A559,art_category_path_name!A:B,2,FALSE)</f>
        <v>391</v>
      </c>
      <c r="C559" t="s">
        <v>4125</v>
      </c>
      <c r="D559" t="s">
        <v>4126</v>
      </c>
      <c r="F559" t="s">
        <v>1834</v>
      </c>
      <c r="G559" t="s">
        <v>4127</v>
      </c>
      <c r="H559" t="s">
        <v>4128</v>
      </c>
    </row>
    <row r="560" spans="1:8" x14ac:dyDescent="0.25">
      <c r="A560" t="s">
        <v>599</v>
      </c>
      <c r="B560">
        <f>VLOOKUP(A560,art_category_path_name!A:B,2,FALSE)</f>
        <v>393</v>
      </c>
      <c r="C560" t="s">
        <v>4129</v>
      </c>
      <c r="D560" t="s">
        <v>4130</v>
      </c>
      <c r="F560" t="s">
        <v>1834</v>
      </c>
      <c r="G560" t="s">
        <v>4131</v>
      </c>
      <c r="H560" t="s">
        <v>4132</v>
      </c>
    </row>
    <row r="561" spans="1:8" x14ac:dyDescent="0.25">
      <c r="A561" t="s">
        <v>600</v>
      </c>
      <c r="B561">
        <f>VLOOKUP(A561,art_category_path_name!A:B,2,FALSE)</f>
        <v>394</v>
      </c>
      <c r="C561" t="s">
        <v>4133</v>
      </c>
      <c r="D561" t="s">
        <v>4134</v>
      </c>
      <c r="F561" t="s">
        <v>1834</v>
      </c>
      <c r="G561" t="s">
        <v>4135</v>
      </c>
      <c r="H561" t="s">
        <v>4136</v>
      </c>
    </row>
    <row r="562" spans="1:8" x14ac:dyDescent="0.25">
      <c r="A562" t="s">
        <v>601</v>
      </c>
      <c r="B562">
        <f>VLOOKUP(A562,art_category_path_name!A:B,2,FALSE)</f>
        <v>395</v>
      </c>
      <c r="C562" t="s">
        <v>4137</v>
      </c>
      <c r="D562" t="s">
        <v>4138</v>
      </c>
      <c r="F562" t="s">
        <v>1834</v>
      </c>
      <c r="G562" t="s">
        <v>4139</v>
      </c>
      <c r="H562" t="s">
        <v>4140</v>
      </c>
    </row>
    <row r="563" spans="1:8" x14ac:dyDescent="0.25">
      <c r="A563" t="s">
        <v>602</v>
      </c>
      <c r="B563">
        <f>VLOOKUP(A563,art_category_path_name!A:B,2,FALSE)</f>
        <v>396</v>
      </c>
      <c r="C563" t="s">
        <v>3934</v>
      </c>
      <c r="D563" t="s">
        <v>4141</v>
      </c>
      <c r="F563" t="s">
        <v>1834</v>
      </c>
      <c r="G563" t="s">
        <v>4142</v>
      </c>
      <c r="H563" t="s">
        <v>4143</v>
      </c>
    </row>
    <row r="564" spans="1:8" x14ac:dyDescent="0.25">
      <c r="A564" t="s">
        <v>603</v>
      </c>
      <c r="B564">
        <f>VLOOKUP(A564,art_category_path_name!A:B,2,FALSE)</f>
        <v>397</v>
      </c>
      <c r="C564" t="s">
        <v>3934</v>
      </c>
      <c r="D564" t="s">
        <v>4144</v>
      </c>
      <c r="F564" t="s">
        <v>1834</v>
      </c>
      <c r="G564" t="s">
        <v>4145</v>
      </c>
      <c r="H564" t="s">
        <v>4146</v>
      </c>
    </row>
    <row r="565" spans="1:8" x14ac:dyDescent="0.25">
      <c r="A565" t="s">
        <v>604</v>
      </c>
      <c r="B565">
        <f>VLOOKUP(A565,art_category_path_name!A:B,2,FALSE)</f>
        <v>398</v>
      </c>
      <c r="C565" t="s">
        <v>3934</v>
      </c>
      <c r="D565" t="s">
        <v>4147</v>
      </c>
      <c r="F565" t="s">
        <v>1834</v>
      </c>
      <c r="G565" t="s">
        <v>4148</v>
      </c>
      <c r="H565" t="s">
        <v>4149</v>
      </c>
    </row>
    <row r="566" spans="1:8" x14ac:dyDescent="0.25">
      <c r="A566" t="s">
        <v>605</v>
      </c>
      <c r="B566">
        <f>VLOOKUP(A566,art_category_path_name!A:B,2,FALSE)</f>
        <v>399</v>
      </c>
      <c r="C566" t="s">
        <v>3934</v>
      </c>
      <c r="D566" t="s">
        <v>4150</v>
      </c>
      <c r="F566" t="s">
        <v>1834</v>
      </c>
      <c r="G566" t="s">
        <v>4151</v>
      </c>
      <c r="H566" t="s">
        <v>4152</v>
      </c>
    </row>
    <row r="567" spans="1:8" x14ac:dyDescent="0.25">
      <c r="A567" t="s">
        <v>606</v>
      </c>
      <c r="B567">
        <f>VLOOKUP(A567,art_category_path_name!A:B,2,FALSE)</f>
        <v>400</v>
      </c>
      <c r="C567" t="s">
        <v>3934</v>
      </c>
      <c r="D567" t="s">
        <v>4153</v>
      </c>
      <c r="F567" t="s">
        <v>1834</v>
      </c>
      <c r="G567" t="s">
        <v>4154</v>
      </c>
      <c r="H567" t="s">
        <v>4155</v>
      </c>
    </row>
    <row r="568" spans="1:8" x14ac:dyDescent="0.25">
      <c r="A568" t="s">
        <v>607</v>
      </c>
      <c r="B568">
        <f>VLOOKUP(A568,art_category_path_name!A:B,2,FALSE)</f>
        <v>401</v>
      </c>
      <c r="C568" t="s">
        <v>3934</v>
      </c>
      <c r="D568" t="s">
        <v>4156</v>
      </c>
      <c r="F568" t="s">
        <v>1834</v>
      </c>
      <c r="G568" t="s">
        <v>4157</v>
      </c>
      <c r="H568" t="s">
        <v>4158</v>
      </c>
    </row>
    <row r="569" spans="1:8" x14ac:dyDescent="0.25">
      <c r="A569" t="s">
        <v>608</v>
      </c>
      <c r="B569">
        <f>VLOOKUP(A569,art_category_path_name!A:B,2,FALSE)</f>
        <v>402</v>
      </c>
      <c r="C569" t="s">
        <v>1585</v>
      </c>
      <c r="D569" t="s">
        <v>4159</v>
      </c>
      <c r="F569" t="s">
        <v>1834</v>
      </c>
      <c r="G569" t="s">
        <v>4160</v>
      </c>
      <c r="H569" t="s">
        <v>4161</v>
      </c>
    </row>
    <row r="570" spans="1:8" x14ac:dyDescent="0.25">
      <c r="A570" t="s">
        <v>609</v>
      </c>
      <c r="B570">
        <f>VLOOKUP(A570,art_category_path_name!A:B,2,FALSE)</f>
        <v>403</v>
      </c>
      <c r="C570" t="s">
        <v>4162</v>
      </c>
      <c r="D570" t="s">
        <v>4163</v>
      </c>
      <c r="F570" t="s">
        <v>1834</v>
      </c>
      <c r="G570" t="s">
        <v>4164</v>
      </c>
      <c r="H570" t="s">
        <v>4165</v>
      </c>
    </row>
    <row r="571" spans="1:8" x14ac:dyDescent="0.25">
      <c r="A571" t="s">
        <v>610</v>
      </c>
      <c r="B571">
        <f>VLOOKUP(A571,art_category_path_name!A:B,2,FALSE)</f>
        <v>404</v>
      </c>
      <c r="C571" t="s">
        <v>4166</v>
      </c>
      <c r="D571" t="s">
        <v>4167</v>
      </c>
      <c r="F571" t="s">
        <v>1834</v>
      </c>
      <c r="G571" t="s">
        <v>4168</v>
      </c>
      <c r="H571" t="s">
        <v>4169</v>
      </c>
    </row>
    <row r="572" spans="1:8" x14ac:dyDescent="0.25">
      <c r="A572" t="s">
        <v>611</v>
      </c>
      <c r="B572">
        <f>VLOOKUP(A572,art_category_path_name!A:B,2,FALSE)</f>
        <v>405</v>
      </c>
      <c r="C572" t="s">
        <v>4170</v>
      </c>
      <c r="D572" t="s">
        <v>4171</v>
      </c>
      <c r="F572" t="s">
        <v>1834</v>
      </c>
      <c r="G572" t="s">
        <v>4172</v>
      </c>
      <c r="H572" t="s">
        <v>4173</v>
      </c>
    </row>
    <row r="573" spans="1:8" x14ac:dyDescent="0.25">
      <c r="A573" t="s">
        <v>612</v>
      </c>
      <c r="B573">
        <f>VLOOKUP(A573,art_category_path_name!A:B,2,FALSE)</f>
        <v>406</v>
      </c>
      <c r="C573" t="s">
        <v>4174</v>
      </c>
      <c r="D573" t="s">
        <v>4175</v>
      </c>
      <c r="F573" t="s">
        <v>1834</v>
      </c>
      <c r="G573" t="s">
        <v>4176</v>
      </c>
      <c r="H573" t="s">
        <v>4177</v>
      </c>
    </row>
    <row r="574" spans="1:8" x14ac:dyDescent="0.25">
      <c r="A574" t="s">
        <v>613</v>
      </c>
      <c r="B574">
        <f>VLOOKUP(A574,art_category_path_name!A:B,2,FALSE)</f>
        <v>407</v>
      </c>
      <c r="C574" t="s">
        <v>4178</v>
      </c>
      <c r="D574" t="s">
        <v>4179</v>
      </c>
      <c r="F574" t="s">
        <v>1834</v>
      </c>
      <c r="G574" t="s">
        <v>4180</v>
      </c>
      <c r="H574" t="s">
        <v>4181</v>
      </c>
    </row>
    <row r="575" spans="1:8" x14ac:dyDescent="0.25">
      <c r="A575" t="s">
        <v>614</v>
      </c>
      <c r="B575">
        <f>VLOOKUP(A575,art_category_path_name!A:B,2,FALSE)</f>
        <v>408</v>
      </c>
      <c r="C575" t="s">
        <v>4182</v>
      </c>
      <c r="D575" t="s">
        <v>4183</v>
      </c>
      <c r="F575" t="s">
        <v>1834</v>
      </c>
      <c r="G575" t="s">
        <v>4184</v>
      </c>
      <c r="H575" t="s">
        <v>4185</v>
      </c>
    </row>
    <row r="576" spans="1:8" x14ac:dyDescent="0.25">
      <c r="A576" t="s">
        <v>1196</v>
      </c>
      <c r="B576">
        <f>VLOOKUP(A576,art_category_path_name!A:B,2,FALSE)</f>
        <v>410</v>
      </c>
      <c r="C576" t="s">
        <v>4186</v>
      </c>
      <c r="D576" t="s">
        <v>4187</v>
      </c>
      <c r="E576" t="s">
        <v>4188</v>
      </c>
      <c r="F576" t="s">
        <v>4189</v>
      </c>
      <c r="G576" t="s">
        <v>4190</v>
      </c>
      <c r="H576" t="s">
        <v>4191</v>
      </c>
    </row>
    <row r="577" spans="1:8" x14ac:dyDescent="0.25">
      <c r="A577" t="s">
        <v>1197</v>
      </c>
      <c r="B577">
        <f>VLOOKUP(A577,art_category_path_name!A:B,2,FALSE)</f>
        <v>411</v>
      </c>
      <c r="C577" t="s">
        <v>4192</v>
      </c>
      <c r="D577" t="s">
        <v>4193</v>
      </c>
      <c r="F577" t="s">
        <v>1834</v>
      </c>
      <c r="G577" t="s">
        <v>4194</v>
      </c>
      <c r="H577" t="s">
        <v>4195</v>
      </c>
    </row>
    <row r="578" spans="1:8" x14ac:dyDescent="0.25">
      <c r="A578" t="s">
        <v>1198</v>
      </c>
      <c r="B578">
        <f>VLOOKUP(A578,art_category_path_name!A:B,2,FALSE)</f>
        <v>412</v>
      </c>
      <c r="C578" t="s">
        <v>4196</v>
      </c>
      <c r="D578" t="s">
        <v>4197</v>
      </c>
      <c r="E578" t="s">
        <v>4198</v>
      </c>
      <c r="F578" t="s">
        <v>4199</v>
      </c>
      <c r="G578" t="s">
        <v>4200</v>
      </c>
      <c r="H578" t="s">
        <v>4201</v>
      </c>
    </row>
    <row r="579" spans="1:8" x14ac:dyDescent="0.25">
      <c r="A579" t="s">
        <v>1199</v>
      </c>
      <c r="B579">
        <f>VLOOKUP(A579,art_category_path_name!A:B,2,FALSE)</f>
        <v>413</v>
      </c>
      <c r="C579" t="s">
        <v>4202</v>
      </c>
      <c r="D579" t="s">
        <v>4203</v>
      </c>
      <c r="F579" t="s">
        <v>1834</v>
      </c>
      <c r="G579" t="s">
        <v>4204</v>
      </c>
      <c r="H579" t="s">
        <v>4205</v>
      </c>
    </row>
    <row r="580" spans="1:8" x14ac:dyDescent="0.25">
      <c r="A580" t="s">
        <v>1200</v>
      </c>
      <c r="B580">
        <f>VLOOKUP(A580,art_category_path_name!A:B,2,FALSE)</f>
        <v>414</v>
      </c>
      <c r="C580" t="s">
        <v>4206</v>
      </c>
      <c r="D580" t="s">
        <v>4207</v>
      </c>
      <c r="F580" t="s">
        <v>1834</v>
      </c>
      <c r="G580" t="s">
        <v>4208</v>
      </c>
      <c r="H580" t="s">
        <v>4209</v>
      </c>
    </row>
    <row r="581" spans="1:8" x14ac:dyDescent="0.25">
      <c r="A581" t="s">
        <v>1201</v>
      </c>
      <c r="B581">
        <f>VLOOKUP(A581,art_category_path_name!A:B,2,FALSE)</f>
        <v>415</v>
      </c>
      <c r="C581" t="s">
        <v>4210</v>
      </c>
      <c r="D581" t="s">
        <v>4211</v>
      </c>
      <c r="F581" t="s">
        <v>1834</v>
      </c>
      <c r="G581" t="s">
        <v>4212</v>
      </c>
      <c r="H581" t="s">
        <v>4213</v>
      </c>
    </row>
    <row r="582" spans="1:8" x14ac:dyDescent="0.25">
      <c r="A582" t="s">
        <v>1202</v>
      </c>
      <c r="B582">
        <f>VLOOKUP(A582,art_category_path_name!A:B,2,FALSE)</f>
        <v>416</v>
      </c>
      <c r="C582" t="s">
        <v>4214</v>
      </c>
      <c r="D582" t="s">
        <v>4215</v>
      </c>
      <c r="F582" t="s">
        <v>1834</v>
      </c>
      <c r="G582" t="s">
        <v>4216</v>
      </c>
      <c r="H582" t="s">
        <v>4217</v>
      </c>
    </row>
    <row r="583" spans="1:8" x14ac:dyDescent="0.25">
      <c r="A583" t="s">
        <v>1203</v>
      </c>
      <c r="B583">
        <f>VLOOKUP(A583,art_category_path_name!A:B,2,FALSE)</f>
        <v>417</v>
      </c>
      <c r="C583" t="s">
        <v>4218</v>
      </c>
      <c r="D583" t="s">
        <v>4219</v>
      </c>
      <c r="E583" t="s">
        <v>4220</v>
      </c>
      <c r="F583" t="s">
        <v>4221</v>
      </c>
      <c r="G583" t="s">
        <v>4222</v>
      </c>
      <c r="H583" t="s">
        <v>4223</v>
      </c>
    </row>
    <row r="584" spans="1:8" x14ac:dyDescent="0.25">
      <c r="A584" t="s">
        <v>1204</v>
      </c>
      <c r="B584">
        <f>VLOOKUP(A584,art_category_path_name!A:B,2,FALSE)</f>
        <v>418</v>
      </c>
      <c r="C584" t="s">
        <v>4224</v>
      </c>
      <c r="D584" t="s">
        <v>4225</v>
      </c>
      <c r="F584" t="s">
        <v>1834</v>
      </c>
      <c r="G584" t="s">
        <v>4226</v>
      </c>
      <c r="H584" t="s">
        <v>4227</v>
      </c>
    </row>
    <row r="585" spans="1:8" x14ac:dyDescent="0.25">
      <c r="A585" t="s">
        <v>1205</v>
      </c>
      <c r="B585">
        <f>VLOOKUP(A585,art_category_path_name!A:B,2,FALSE)</f>
        <v>419</v>
      </c>
      <c r="C585" t="s">
        <v>4228</v>
      </c>
      <c r="D585" t="s">
        <v>4229</v>
      </c>
      <c r="E585" t="s">
        <v>4230</v>
      </c>
      <c r="F585" t="s">
        <v>4231</v>
      </c>
      <c r="G585" t="s">
        <v>4232</v>
      </c>
      <c r="H585" t="s">
        <v>4233</v>
      </c>
    </row>
    <row r="586" spans="1:8" x14ac:dyDescent="0.25">
      <c r="A586" t="s">
        <v>1206</v>
      </c>
      <c r="B586">
        <f>VLOOKUP(A586,art_category_path_name!A:B,2,FALSE)</f>
        <v>420</v>
      </c>
      <c r="C586" t="s">
        <v>4234</v>
      </c>
      <c r="D586" t="s">
        <v>4235</v>
      </c>
      <c r="E586" t="s">
        <v>4236</v>
      </c>
      <c r="F586" t="s">
        <v>4237</v>
      </c>
      <c r="G586" t="s">
        <v>4238</v>
      </c>
      <c r="H586" t="s">
        <v>4239</v>
      </c>
    </row>
    <row r="587" spans="1:8" x14ac:dyDescent="0.25">
      <c r="A587" t="s">
        <v>1207</v>
      </c>
      <c r="B587">
        <f>VLOOKUP(A587,art_category_path_name!A:B,2,FALSE)</f>
        <v>421</v>
      </c>
      <c r="C587" t="s">
        <v>4240</v>
      </c>
      <c r="D587" t="s">
        <v>4241</v>
      </c>
      <c r="E587" t="s">
        <v>4242</v>
      </c>
      <c r="F587" t="s">
        <v>4243</v>
      </c>
      <c r="G587" t="s">
        <v>4244</v>
      </c>
      <c r="H587" t="s">
        <v>4245</v>
      </c>
    </row>
    <row r="588" spans="1:8" x14ac:dyDescent="0.25">
      <c r="A588" t="s">
        <v>1208</v>
      </c>
      <c r="B588">
        <f>VLOOKUP(A588,art_category_path_name!A:B,2,FALSE)</f>
        <v>422</v>
      </c>
      <c r="C588" t="s">
        <v>4246</v>
      </c>
      <c r="D588" t="s">
        <v>4247</v>
      </c>
      <c r="F588" t="s">
        <v>1834</v>
      </c>
      <c r="G588" t="s">
        <v>4248</v>
      </c>
      <c r="H588" t="s">
        <v>4249</v>
      </c>
    </row>
    <row r="589" spans="1:8" x14ac:dyDescent="0.25">
      <c r="A589" t="s">
        <v>1209</v>
      </c>
      <c r="B589">
        <f>VLOOKUP(A589,art_category_path_name!A:B,2,FALSE)</f>
        <v>423</v>
      </c>
      <c r="C589" t="s">
        <v>4250</v>
      </c>
      <c r="D589" t="s">
        <v>4251</v>
      </c>
      <c r="F589" t="s">
        <v>1834</v>
      </c>
      <c r="G589" t="s">
        <v>4252</v>
      </c>
      <c r="H589" t="s">
        <v>4253</v>
      </c>
    </row>
    <row r="590" spans="1:8" x14ac:dyDescent="0.25">
      <c r="A590" t="s">
        <v>1210</v>
      </c>
      <c r="B590">
        <f>VLOOKUP(A590,art_category_path_name!A:B,2,FALSE)</f>
        <v>424</v>
      </c>
      <c r="C590" t="s">
        <v>4254</v>
      </c>
      <c r="D590" t="s">
        <v>4255</v>
      </c>
      <c r="E590" t="s">
        <v>4256</v>
      </c>
      <c r="F590" t="s">
        <v>4257</v>
      </c>
      <c r="G590" t="s">
        <v>4258</v>
      </c>
      <c r="H590" t="s">
        <v>4259</v>
      </c>
    </row>
    <row r="591" spans="1:8" x14ac:dyDescent="0.25">
      <c r="A591" t="s">
        <v>1211</v>
      </c>
      <c r="B591">
        <f>VLOOKUP(A591,art_category_path_name!A:B,2,FALSE)</f>
        <v>425</v>
      </c>
      <c r="C591" t="s">
        <v>4260</v>
      </c>
      <c r="D591" t="s">
        <v>4261</v>
      </c>
      <c r="E591" t="s">
        <v>4262</v>
      </c>
      <c r="F591" t="s">
        <v>4263</v>
      </c>
      <c r="G591" t="s">
        <v>4264</v>
      </c>
      <c r="H591" t="s">
        <v>4265</v>
      </c>
    </row>
    <row r="592" spans="1:8" x14ac:dyDescent="0.25">
      <c r="A592" t="s">
        <v>1212</v>
      </c>
      <c r="B592">
        <f>VLOOKUP(A592,art_category_path_name!A:B,2,FALSE)</f>
        <v>426</v>
      </c>
      <c r="C592" t="s">
        <v>4266</v>
      </c>
      <c r="D592" t="s">
        <v>4267</v>
      </c>
      <c r="F592" t="s">
        <v>1834</v>
      </c>
      <c r="G592" t="s">
        <v>4268</v>
      </c>
      <c r="H592" t="s">
        <v>4269</v>
      </c>
    </row>
    <row r="593" spans="1:8" x14ac:dyDescent="0.25">
      <c r="A593" t="s">
        <v>1213</v>
      </c>
      <c r="B593">
        <f>VLOOKUP(A593,art_category_path_name!A:B,2,FALSE)</f>
        <v>427</v>
      </c>
      <c r="C593" t="s">
        <v>4270</v>
      </c>
      <c r="D593" t="s">
        <v>4271</v>
      </c>
      <c r="F593" t="s">
        <v>1834</v>
      </c>
      <c r="G593" t="s">
        <v>4272</v>
      </c>
      <c r="H593" t="s">
        <v>4273</v>
      </c>
    </row>
    <row r="594" spans="1:8" x14ac:dyDescent="0.25">
      <c r="A594" t="s">
        <v>75</v>
      </c>
      <c r="B594">
        <f>VLOOKUP(A594,art_category_path_name!A:B,2,FALSE)</f>
        <v>429</v>
      </c>
      <c r="C594" t="s">
        <v>4274</v>
      </c>
      <c r="D594" t="s">
        <v>4275</v>
      </c>
      <c r="E594" t="s">
        <v>4276</v>
      </c>
      <c r="F594" t="s">
        <v>4277</v>
      </c>
      <c r="G594" t="s">
        <v>4278</v>
      </c>
      <c r="H594" t="s">
        <v>4279</v>
      </c>
    </row>
    <row r="595" spans="1:8" x14ac:dyDescent="0.25">
      <c r="A595" t="s">
        <v>76</v>
      </c>
      <c r="B595">
        <f>VLOOKUP(A595,art_category_path_name!A:B,2,FALSE)</f>
        <v>430</v>
      </c>
      <c r="C595" t="s">
        <v>4280</v>
      </c>
      <c r="D595" t="s">
        <v>4281</v>
      </c>
      <c r="E595" t="s">
        <v>4282</v>
      </c>
      <c r="F595" t="s">
        <v>4283</v>
      </c>
      <c r="G595" t="s">
        <v>4284</v>
      </c>
      <c r="H595" t="s">
        <v>4285</v>
      </c>
    </row>
    <row r="596" spans="1:8" x14ac:dyDescent="0.25">
      <c r="A596" t="s">
        <v>1045</v>
      </c>
      <c r="B596">
        <f>VLOOKUP(A596,art_category_path_name!A:B,2,FALSE)</f>
        <v>432</v>
      </c>
      <c r="C596" t="s">
        <v>4286</v>
      </c>
      <c r="D596" t="s">
        <v>4287</v>
      </c>
      <c r="F596" t="s">
        <v>1834</v>
      </c>
      <c r="G596" t="s">
        <v>4288</v>
      </c>
      <c r="H596" t="s">
        <v>4289</v>
      </c>
    </row>
    <row r="597" spans="1:8" x14ac:dyDescent="0.25">
      <c r="A597" t="s">
        <v>1046</v>
      </c>
      <c r="B597">
        <f>VLOOKUP(A597,art_category_path_name!A:B,2,FALSE)</f>
        <v>433</v>
      </c>
      <c r="C597" t="s">
        <v>4290</v>
      </c>
      <c r="D597" t="s">
        <v>4291</v>
      </c>
      <c r="F597" t="s">
        <v>1834</v>
      </c>
      <c r="G597" t="s">
        <v>4292</v>
      </c>
      <c r="H597" t="s">
        <v>4293</v>
      </c>
    </row>
    <row r="598" spans="1:8" x14ac:dyDescent="0.25">
      <c r="A598" t="s">
        <v>1047</v>
      </c>
      <c r="B598">
        <f>VLOOKUP(A598,art_category_path_name!A:B,2,FALSE)</f>
        <v>434</v>
      </c>
      <c r="C598" t="s">
        <v>4294</v>
      </c>
      <c r="D598" t="s">
        <v>4295</v>
      </c>
      <c r="F598" t="s">
        <v>1834</v>
      </c>
      <c r="G598" t="s">
        <v>4292</v>
      </c>
      <c r="H598" t="s">
        <v>4296</v>
      </c>
    </row>
    <row r="599" spans="1:8" x14ac:dyDescent="0.25">
      <c r="A599" t="s">
        <v>1048</v>
      </c>
      <c r="B599">
        <f>VLOOKUP(A599,art_category_path_name!A:B,2,FALSE)</f>
        <v>435</v>
      </c>
      <c r="C599" t="s">
        <v>4297</v>
      </c>
      <c r="D599" t="s">
        <v>4298</v>
      </c>
      <c r="F599" t="s">
        <v>1834</v>
      </c>
      <c r="G599" t="s">
        <v>4299</v>
      </c>
      <c r="H599" t="s">
        <v>4300</v>
      </c>
    </row>
    <row r="600" spans="1:8" x14ac:dyDescent="0.25">
      <c r="A600" t="s">
        <v>1049</v>
      </c>
      <c r="B600">
        <f>VLOOKUP(A600,art_category_path_name!A:B,2,FALSE)</f>
        <v>436</v>
      </c>
      <c r="C600" t="s">
        <v>4301</v>
      </c>
      <c r="D600" t="s">
        <v>4302</v>
      </c>
      <c r="F600" t="s">
        <v>1834</v>
      </c>
      <c r="G600" t="s">
        <v>4303</v>
      </c>
      <c r="H600" t="s">
        <v>4304</v>
      </c>
    </row>
    <row r="601" spans="1:8" x14ac:dyDescent="0.25">
      <c r="A601" t="s">
        <v>1050</v>
      </c>
      <c r="B601">
        <f>VLOOKUP(A601,art_category_path_name!A:B,2,FALSE)</f>
        <v>437</v>
      </c>
      <c r="C601" t="s">
        <v>4305</v>
      </c>
      <c r="D601" t="s">
        <v>4306</v>
      </c>
      <c r="F601" t="s">
        <v>1834</v>
      </c>
      <c r="G601" t="s">
        <v>4307</v>
      </c>
      <c r="H601" t="s">
        <v>4308</v>
      </c>
    </row>
    <row r="602" spans="1:8" x14ac:dyDescent="0.25">
      <c r="A602" t="s">
        <v>1051</v>
      </c>
      <c r="B602">
        <f>VLOOKUP(A602,art_category_path_name!A:B,2,FALSE)</f>
        <v>438</v>
      </c>
      <c r="C602" t="s">
        <v>4309</v>
      </c>
      <c r="D602" t="s">
        <v>4310</v>
      </c>
      <c r="F602" t="s">
        <v>1834</v>
      </c>
      <c r="G602" t="s">
        <v>4311</v>
      </c>
      <c r="H602" t="s">
        <v>4312</v>
      </c>
    </row>
    <row r="603" spans="1:8" x14ac:dyDescent="0.25">
      <c r="A603" t="s">
        <v>1052</v>
      </c>
      <c r="B603">
        <f>VLOOKUP(A603,art_category_path_name!A:B,2,FALSE)</f>
        <v>439</v>
      </c>
      <c r="C603" t="s">
        <v>4313</v>
      </c>
      <c r="D603" t="s">
        <v>4314</v>
      </c>
      <c r="F603" t="s">
        <v>1834</v>
      </c>
      <c r="G603" t="s">
        <v>4311</v>
      </c>
      <c r="H603" t="s">
        <v>4315</v>
      </c>
    </row>
    <row r="604" spans="1:8" x14ac:dyDescent="0.25">
      <c r="A604" t="s">
        <v>1053</v>
      </c>
      <c r="B604">
        <f>VLOOKUP(A604,art_category_path_name!A:B,2,FALSE)</f>
        <v>440</v>
      </c>
      <c r="C604" t="s">
        <v>4316</v>
      </c>
      <c r="D604" t="s">
        <v>4317</v>
      </c>
      <c r="F604" t="s">
        <v>1834</v>
      </c>
      <c r="G604" t="s">
        <v>4318</v>
      </c>
      <c r="H604" t="s">
        <v>4319</v>
      </c>
    </row>
    <row r="605" spans="1:8" x14ac:dyDescent="0.25">
      <c r="A605" t="s">
        <v>1215</v>
      </c>
      <c r="B605">
        <f>VLOOKUP(A605,art_category_path_name!A:B,2,FALSE)</f>
        <v>442</v>
      </c>
      <c r="C605" t="s">
        <v>4320</v>
      </c>
      <c r="D605" t="s">
        <v>4321</v>
      </c>
      <c r="F605" t="s">
        <v>1834</v>
      </c>
      <c r="G605" t="s">
        <v>4322</v>
      </c>
      <c r="H605" t="s">
        <v>4323</v>
      </c>
    </row>
    <row r="606" spans="1:8" x14ac:dyDescent="0.25">
      <c r="A606" t="s">
        <v>1216</v>
      </c>
      <c r="B606">
        <f>VLOOKUP(A606,art_category_path_name!A:B,2,FALSE)</f>
        <v>443</v>
      </c>
      <c r="C606" t="s">
        <v>4324</v>
      </c>
      <c r="D606" t="s">
        <v>4325</v>
      </c>
      <c r="F606" t="s">
        <v>1834</v>
      </c>
      <c r="G606" t="s">
        <v>4326</v>
      </c>
      <c r="H606" t="s">
        <v>4327</v>
      </c>
    </row>
    <row r="607" spans="1:8" x14ac:dyDescent="0.25">
      <c r="A607" t="s">
        <v>1217</v>
      </c>
      <c r="B607">
        <f>VLOOKUP(A607,art_category_path_name!A:B,2,FALSE)</f>
        <v>444</v>
      </c>
      <c r="C607" t="s">
        <v>4328</v>
      </c>
      <c r="D607" t="s">
        <v>4329</v>
      </c>
      <c r="F607" t="s">
        <v>1834</v>
      </c>
      <c r="G607" t="s">
        <v>4330</v>
      </c>
      <c r="H607" t="s">
        <v>4331</v>
      </c>
    </row>
    <row r="608" spans="1:8" x14ac:dyDescent="0.25">
      <c r="A608" t="s">
        <v>1218</v>
      </c>
      <c r="B608">
        <f>VLOOKUP(A608,art_category_path_name!A:B,2,FALSE)</f>
        <v>445</v>
      </c>
      <c r="C608" t="s">
        <v>4332</v>
      </c>
      <c r="D608" t="s">
        <v>4333</v>
      </c>
      <c r="F608" t="s">
        <v>1834</v>
      </c>
      <c r="G608" t="s">
        <v>4334</v>
      </c>
      <c r="H608" t="s">
        <v>4335</v>
      </c>
    </row>
    <row r="609" spans="1:8" x14ac:dyDescent="0.25">
      <c r="A609" t="s">
        <v>430</v>
      </c>
      <c r="B609">
        <f>VLOOKUP(A609,art_category_path_name!A:B,2,FALSE)</f>
        <v>448</v>
      </c>
      <c r="C609" t="s">
        <v>4336</v>
      </c>
      <c r="D609" t="s">
        <v>4337</v>
      </c>
      <c r="F609" t="s">
        <v>1834</v>
      </c>
      <c r="G609" t="s">
        <v>4338</v>
      </c>
      <c r="H609" t="s">
        <v>4339</v>
      </c>
    </row>
    <row r="610" spans="1:8" x14ac:dyDescent="0.25">
      <c r="A610" t="s">
        <v>1055</v>
      </c>
      <c r="B610">
        <f>VLOOKUP(A610,art_category_path_name!A:B,2,FALSE)</f>
        <v>450</v>
      </c>
      <c r="C610" t="s">
        <v>4340</v>
      </c>
      <c r="D610" t="s">
        <v>4341</v>
      </c>
      <c r="F610" t="s">
        <v>1834</v>
      </c>
      <c r="G610" t="s">
        <v>4342</v>
      </c>
      <c r="H610" t="s">
        <v>4343</v>
      </c>
    </row>
    <row r="611" spans="1:8" x14ac:dyDescent="0.25">
      <c r="A611" t="s">
        <v>1056</v>
      </c>
      <c r="B611">
        <f>VLOOKUP(A611,art_category_path_name!A:B,2,FALSE)</f>
        <v>451</v>
      </c>
      <c r="C611" t="s">
        <v>4344</v>
      </c>
      <c r="D611" t="s">
        <v>4345</v>
      </c>
      <c r="F611" t="s">
        <v>1834</v>
      </c>
      <c r="G611" t="s">
        <v>4346</v>
      </c>
      <c r="H611" t="s">
        <v>4347</v>
      </c>
    </row>
    <row r="612" spans="1:8" x14ac:dyDescent="0.25">
      <c r="A612" t="s">
        <v>919</v>
      </c>
      <c r="B612">
        <f>VLOOKUP(A612,art_category_path_name!A:B,2,FALSE)</f>
        <v>454</v>
      </c>
      <c r="C612" t="s">
        <v>4348</v>
      </c>
      <c r="D612" t="s">
        <v>4349</v>
      </c>
      <c r="E612" t="s">
        <v>4350</v>
      </c>
      <c r="F612" t="s">
        <v>4351</v>
      </c>
      <c r="G612" t="s">
        <v>4352</v>
      </c>
      <c r="H612" t="s">
        <v>4353</v>
      </c>
    </row>
    <row r="613" spans="1:8" x14ac:dyDescent="0.25">
      <c r="A613" t="s">
        <v>920</v>
      </c>
      <c r="B613">
        <f>VLOOKUP(A613,art_category_path_name!A:B,2,FALSE)</f>
        <v>455</v>
      </c>
      <c r="C613" t="s">
        <v>4354</v>
      </c>
      <c r="D613" t="s">
        <v>4355</v>
      </c>
      <c r="E613" t="s">
        <v>4356</v>
      </c>
      <c r="F613" t="s">
        <v>4357</v>
      </c>
      <c r="G613" t="s">
        <v>4358</v>
      </c>
      <c r="H613" t="s">
        <v>4359</v>
      </c>
    </row>
    <row r="614" spans="1:8" x14ac:dyDescent="0.25">
      <c r="A614" t="s">
        <v>921</v>
      </c>
      <c r="B614">
        <f>VLOOKUP(A614,art_category_path_name!A:B,2,FALSE)</f>
        <v>456</v>
      </c>
      <c r="C614" t="s">
        <v>4360</v>
      </c>
      <c r="D614" t="s">
        <v>4361</v>
      </c>
      <c r="E614" t="s">
        <v>4362</v>
      </c>
      <c r="F614" t="s">
        <v>4363</v>
      </c>
      <c r="G614" t="s">
        <v>4364</v>
      </c>
      <c r="H614" t="s">
        <v>4365</v>
      </c>
    </row>
    <row r="615" spans="1:8" x14ac:dyDescent="0.25">
      <c r="A615" t="s">
        <v>961</v>
      </c>
      <c r="B615">
        <f>VLOOKUP(A615,art_category_path_name!A:B,2,FALSE)</f>
        <v>459</v>
      </c>
      <c r="C615" t="s">
        <v>4366</v>
      </c>
      <c r="D615" t="s">
        <v>4367</v>
      </c>
      <c r="E615" t="s">
        <v>4368</v>
      </c>
      <c r="F615" t="s">
        <v>4369</v>
      </c>
      <c r="G615" t="s">
        <v>4370</v>
      </c>
      <c r="H615" t="s">
        <v>4371</v>
      </c>
    </row>
    <row r="616" spans="1:8" x14ac:dyDescent="0.25">
      <c r="A616" t="s">
        <v>975</v>
      </c>
      <c r="B616">
        <f>VLOOKUP(A616,art_category_path_name!A:B,2,FALSE)</f>
        <v>461</v>
      </c>
      <c r="C616" t="s">
        <v>4372</v>
      </c>
      <c r="D616" t="s">
        <v>4373</v>
      </c>
      <c r="E616" t="s">
        <v>4374</v>
      </c>
      <c r="F616" t="s">
        <v>4375</v>
      </c>
      <c r="G616" t="s">
        <v>4376</v>
      </c>
      <c r="H616" t="s">
        <v>4377</v>
      </c>
    </row>
    <row r="617" spans="1:8" x14ac:dyDescent="0.25">
      <c r="A617" t="s">
        <v>784</v>
      </c>
      <c r="B617">
        <f>VLOOKUP(A617,art_category_path_name!A:B,2,FALSE)</f>
        <v>463</v>
      </c>
      <c r="C617" t="s">
        <v>4378</v>
      </c>
      <c r="D617" t="s">
        <v>4379</v>
      </c>
      <c r="E617" t="s">
        <v>4380</v>
      </c>
      <c r="F617" t="s">
        <v>4381</v>
      </c>
      <c r="G617" t="s">
        <v>4382</v>
      </c>
      <c r="H617" t="s">
        <v>4383</v>
      </c>
    </row>
    <row r="618" spans="1:8" x14ac:dyDescent="0.25">
      <c r="A618" t="s">
        <v>785</v>
      </c>
      <c r="B618">
        <f>VLOOKUP(A618,art_category_path_name!A:B,2,FALSE)</f>
        <v>464</v>
      </c>
      <c r="C618" t="s">
        <v>4384</v>
      </c>
      <c r="D618" t="s">
        <v>4385</v>
      </c>
      <c r="E618" t="s">
        <v>4386</v>
      </c>
      <c r="F618" t="s">
        <v>4387</v>
      </c>
      <c r="G618" t="s">
        <v>4388</v>
      </c>
      <c r="H618" t="s">
        <v>4389</v>
      </c>
    </row>
    <row r="619" spans="1:8" x14ac:dyDescent="0.25">
      <c r="A619" t="s">
        <v>786</v>
      </c>
      <c r="B619">
        <f>VLOOKUP(A619,art_category_path_name!A:B,2,FALSE)</f>
        <v>465</v>
      </c>
      <c r="C619" t="s">
        <v>4390</v>
      </c>
      <c r="D619" t="s">
        <v>4391</v>
      </c>
      <c r="E619" t="s">
        <v>4392</v>
      </c>
      <c r="F619" t="s">
        <v>4393</v>
      </c>
      <c r="G619" t="s">
        <v>4394</v>
      </c>
      <c r="H619" t="s">
        <v>4395</v>
      </c>
    </row>
    <row r="620" spans="1:8" x14ac:dyDescent="0.25">
      <c r="A620" t="s">
        <v>787</v>
      </c>
      <c r="B620">
        <f>VLOOKUP(A620,art_category_path_name!A:B,2,FALSE)</f>
        <v>466</v>
      </c>
      <c r="C620" t="s">
        <v>4396</v>
      </c>
      <c r="D620" t="s">
        <v>4397</v>
      </c>
      <c r="E620" t="s">
        <v>4398</v>
      </c>
      <c r="F620" t="s">
        <v>4399</v>
      </c>
      <c r="G620" t="s">
        <v>4400</v>
      </c>
      <c r="H620" t="s">
        <v>4401</v>
      </c>
    </row>
    <row r="621" spans="1:8" x14ac:dyDescent="0.25">
      <c r="A621" t="s">
        <v>788</v>
      </c>
      <c r="B621">
        <f>VLOOKUP(A621,art_category_path_name!A:B,2,FALSE)</f>
        <v>467</v>
      </c>
      <c r="C621" t="s">
        <v>4402</v>
      </c>
      <c r="D621" t="s">
        <v>4403</v>
      </c>
      <c r="E621" t="s">
        <v>4404</v>
      </c>
      <c r="F621" t="s">
        <v>4405</v>
      </c>
      <c r="G621" t="s">
        <v>4406</v>
      </c>
      <c r="H621" t="s">
        <v>4407</v>
      </c>
    </row>
    <row r="622" spans="1:8" x14ac:dyDescent="0.25">
      <c r="A622" t="s">
        <v>789</v>
      </c>
      <c r="B622">
        <f>VLOOKUP(A622,art_category_path_name!A:B,2,FALSE)</f>
        <v>468</v>
      </c>
      <c r="C622" t="s">
        <v>4408</v>
      </c>
      <c r="D622" t="s">
        <v>4409</v>
      </c>
      <c r="E622" t="s">
        <v>4410</v>
      </c>
      <c r="F622" t="s">
        <v>4411</v>
      </c>
      <c r="G622" t="s">
        <v>4412</v>
      </c>
      <c r="H622" t="s">
        <v>4413</v>
      </c>
    </row>
    <row r="623" spans="1:8" x14ac:dyDescent="0.25">
      <c r="A623" t="s">
        <v>790</v>
      </c>
      <c r="B623">
        <f>VLOOKUP(A623,art_category_path_name!A:B,2,FALSE)</f>
        <v>469</v>
      </c>
      <c r="C623" t="s">
        <v>4414</v>
      </c>
      <c r="D623" t="s">
        <v>4415</v>
      </c>
      <c r="E623" t="s">
        <v>4416</v>
      </c>
      <c r="F623" t="s">
        <v>4417</v>
      </c>
      <c r="G623" t="s">
        <v>4418</v>
      </c>
      <c r="H623" t="s">
        <v>4419</v>
      </c>
    </row>
    <row r="624" spans="1:8" x14ac:dyDescent="0.25">
      <c r="A624" t="s">
        <v>791</v>
      </c>
      <c r="B624">
        <f>VLOOKUP(A624,art_category_path_name!A:B,2,FALSE)</f>
        <v>470</v>
      </c>
      <c r="C624" t="s">
        <v>4420</v>
      </c>
      <c r="D624" t="s">
        <v>4421</v>
      </c>
      <c r="E624" t="s">
        <v>4422</v>
      </c>
      <c r="F624" t="s">
        <v>4423</v>
      </c>
      <c r="G624" t="s">
        <v>4424</v>
      </c>
      <c r="H624" t="s">
        <v>4425</v>
      </c>
    </row>
    <row r="625" spans="1:8" x14ac:dyDescent="0.25">
      <c r="A625" t="s">
        <v>792</v>
      </c>
      <c r="B625">
        <f>VLOOKUP(A625,art_category_path_name!A:B,2,FALSE)</f>
        <v>471</v>
      </c>
      <c r="C625" t="s">
        <v>4426</v>
      </c>
      <c r="D625" t="s">
        <v>4427</v>
      </c>
      <c r="E625" t="s">
        <v>4428</v>
      </c>
      <c r="F625" t="s">
        <v>4429</v>
      </c>
      <c r="G625" t="s">
        <v>4430</v>
      </c>
      <c r="H625" t="s">
        <v>4431</v>
      </c>
    </row>
    <row r="626" spans="1:8" x14ac:dyDescent="0.25">
      <c r="A626" t="s">
        <v>793</v>
      </c>
      <c r="B626">
        <f>VLOOKUP(A626,art_category_path_name!A:B,2,FALSE)</f>
        <v>472</v>
      </c>
      <c r="C626" t="s">
        <v>4432</v>
      </c>
      <c r="D626" t="s">
        <v>4433</v>
      </c>
      <c r="E626" t="s">
        <v>4434</v>
      </c>
      <c r="F626" t="s">
        <v>4435</v>
      </c>
      <c r="G626" t="s">
        <v>4436</v>
      </c>
      <c r="H626" t="s">
        <v>4437</v>
      </c>
    </row>
    <row r="627" spans="1:8" x14ac:dyDescent="0.25">
      <c r="A627" t="s">
        <v>794</v>
      </c>
      <c r="B627">
        <f>VLOOKUP(A627,art_category_path_name!A:B,2,FALSE)</f>
        <v>473</v>
      </c>
      <c r="C627" t="s">
        <v>4438</v>
      </c>
      <c r="D627" t="s">
        <v>4439</v>
      </c>
      <c r="E627" t="s">
        <v>4440</v>
      </c>
      <c r="F627" t="s">
        <v>4441</v>
      </c>
      <c r="G627" t="s">
        <v>4442</v>
      </c>
      <c r="H627" t="s">
        <v>4443</v>
      </c>
    </row>
    <row r="628" spans="1:8" x14ac:dyDescent="0.25">
      <c r="A628" t="s">
        <v>795</v>
      </c>
      <c r="B628">
        <f>VLOOKUP(A628,art_category_path_name!A:B,2,FALSE)</f>
        <v>474</v>
      </c>
      <c r="C628" t="s">
        <v>4444</v>
      </c>
      <c r="D628" t="s">
        <v>4445</v>
      </c>
      <c r="E628" t="s">
        <v>4446</v>
      </c>
      <c r="F628" t="s">
        <v>4447</v>
      </c>
      <c r="G628" t="s">
        <v>4448</v>
      </c>
      <c r="H628" t="s">
        <v>4449</v>
      </c>
    </row>
    <row r="629" spans="1:8" x14ac:dyDescent="0.25">
      <c r="A629" t="s">
        <v>796</v>
      </c>
      <c r="B629">
        <f>VLOOKUP(A629,art_category_path_name!A:B,2,FALSE)</f>
        <v>475</v>
      </c>
      <c r="C629" t="s">
        <v>4450</v>
      </c>
      <c r="D629" t="s">
        <v>4451</v>
      </c>
      <c r="E629" t="s">
        <v>4452</v>
      </c>
      <c r="F629" t="s">
        <v>4453</v>
      </c>
      <c r="G629" t="s">
        <v>4454</v>
      </c>
      <c r="H629" t="s">
        <v>4455</v>
      </c>
    </row>
    <row r="630" spans="1:8" x14ac:dyDescent="0.25">
      <c r="A630" t="s">
        <v>797</v>
      </c>
      <c r="B630">
        <f>VLOOKUP(A630,art_category_path_name!A:B,2,FALSE)</f>
        <v>476</v>
      </c>
      <c r="C630" t="s">
        <v>4456</v>
      </c>
      <c r="D630" t="s">
        <v>4457</v>
      </c>
      <c r="E630" t="s">
        <v>4458</v>
      </c>
      <c r="F630" t="s">
        <v>4459</v>
      </c>
      <c r="G630" t="s">
        <v>4460</v>
      </c>
      <c r="H630" t="s">
        <v>4461</v>
      </c>
    </row>
    <row r="631" spans="1:8" x14ac:dyDescent="0.25">
      <c r="A631" t="s">
        <v>798</v>
      </c>
      <c r="B631">
        <f>VLOOKUP(A631,art_category_path_name!A:B,2,FALSE)</f>
        <v>477</v>
      </c>
      <c r="C631" t="s">
        <v>4462</v>
      </c>
      <c r="D631" t="s">
        <v>4463</v>
      </c>
      <c r="E631" t="s">
        <v>4464</v>
      </c>
      <c r="F631" t="s">
        <v>4465</v>
      </c>
      <c r="G631" t="s">
        <v>4466</v>
      </c>
      <c r="H631" t="s">
        <v>4467</v>
      </c>
    </row>
    <row r="632" spans="1:8" x14ac:dyDescent="0.25">
      <c r="A632" t="s">
        <v>799</v>
      </c>
      <c r="B632">
        <f>VLOOKUP(A632,art_category_path_name!A:B,2,FALSE)</f>
        <v>478</v>
      </c>
      <c r="C632" t="s">
        <v>4468</v>
      </c>
      <c r="D632" t="s">
        <v>4385</v>
      </c>
      <c r="E632" t="s">
        <v>4386</v>
      </c>
      <c r="F632" t="s">
        <v>4387</v>
      </c>
      <c r="G632" t="s">
        <v>4469</v>
      </c>
      <c r="H632" t="s">
        <v>4470</v>
      </c>
    </row>
    <row r="633" spans="1:8" x14ac:dyDescent="0.25">
      <c r="A633" t="s">
        <v>800</v>
      </c>
      <c r="B633">
        <f>VLOOKUP(A633,art_category_path_name!A:B,2,FALSE)</f>
        <v>479</v>
      </c>
      <c r="C633" t="s">
        <v>4471</v>
      </c>
      <c r="D633" t="s">
        <v>4472</v>
      </c>
      <c r="E633" t="s">
        <v>4473</v>
      </c>
      <c r="F633" t="s">
        <v>4381</v>
      </c>
      <c r="G633" t="s">
        <v>4474</v>
      </c>
      <c r="H633" t="s">
        <v>4475</v>
      </c>
    </row>
    <row r="634" spans="1:8" x14ac:dyDescent="0.25">
      <c r="A634" t="s">
        <v>801</v>
      </c>
      <c r="B634">
        <f>VLOOKUP(A634,art_category_path_name!A:B,2,FALSE)</f>
        <v>480</v>
      </c>
      <c r="C634" t="s">
        <v>4476</v>
      </c>
      <c r="D634" t="s">
        <v>4477</v>
      </c>
      <c r="F634" t="s">
        <v>1834</v>
      </c>
      <c r="G634" t="s">
        <v>4478</v>
      </c>
      <c r="H634" t="s">
        <v>4479</v>
      </c>
    </row>
    <row r="635" spans="1:8" x14ac:dyDescent="0.25">
      <c r="A635" t="s">
        <v>802</v>
      </c>
      <c r="B635">
        <f>VLOOKUP(A635,art_category_path_name!A:B,2,FALSE)</f>
        <v>481</v>
      </c>
      <c r="C635" t="s">
        <v>4480</v>
      </c>
      <c r="D635" t="s">
        <v>4481</v>
      </c>
      <c r="F635" t="s">
        <v>1834</v>
      </c>
      <c r="G635" t="s">
        <v>4482</v>
      </c>
      <c r="H635" t="s">
        <v>4483</v>
      </c>
    </row>
    <row r="636" spans="1:8" x14ac:dyDescent="0.25">
      <c r="A636" t="s">
        <v>803</v>
      </c>
      <c r="B636">
        <f>VLOOKUP(A636,art_category_path_name!A:B,2,FALSE)</f>
        <v>482</v>
      </c>
      <c r="C636" t="s">
        <v>4484</v>
      </c>
      <c r="D636" t="s">
        <v>4485</v>
      </c>
      <c r="F636" t="s">
        <v>1834</v>
      </c>
      <c r="G636" t="s">
        <v>4486</v>
      </c>
      <c r="H636" t="s">
        <v>4487</v>
      </c>
    </row>
    <row r="637" spans="1:8" x14ac:dyDescent="0.25">
      <c r="A637" t="s">
        <v>658</v>
      </c>
      <c r="B637">
        <f>VLOOKUP(A637,art_category_path_name!A:B,2,FALSE)</f>
        <v>484</v>
      </c>
      <c r="C637" t="s">
        <v>4488</v>
      </c>
      <c r="D637" t="s">
        <v>4489</v>
      </c>
      <c r="F637" t="s">
        <v>1834</v>
      </c>
      <c r="G637" t="s">
        <v>4490</v>
      </c>
      <c r="H637" t="s">
        <v>4491</v>
      </c>
    </row>
    <row r="638" spans="1:8" x14ac:dyDescent="0.25">
      <c r="A638" t="s">
        <v>659</v>
      </c>
      <c r="B638">
        <f>VLOOKUP(A638,art_category_path_name!A:B,2,FALSE)</f>
        <v>485</v>
      </c>
      <c r="C638" t="s">
        <v>4492</v>
      </c>
      <c r="D638" t="s">
        <v>4493</v>
      </c>
      <c r="F638" t="s">
        <v>1834</v>
      </c>
      <c r="G638" t="s">
        <v>4494</v>
      </c>
      <c r="H638" t="s">
        <v>4495</v>
      </c>
    </row>
    <row r="639" spans="1:8" x14ac:dyDescent="0.25">
      <c r="A639" t="s">
        <v>660</v>
      </c>
      <c r="B639">
        <f>VLOOKUP(A639,art_category_path_name!A:B,2,FALSE)</f>
        <v>486</v>
      </c>
      <c r="C639" t="s">
        <v>4496</v>
      </c>
      <c r="D639" t="s">
        <v>4497</v>
      </c>
      <c r="F639" t="s">
        <v>1834</v>
      </c>
      <c r="G639" t="s">
        <v>4498</v>
      </c>
      <c r="H639" t="s">
        <v>4499</v>
      </c>
    </row>
    <row r="640" spans="1:8" x14ac:dyDescent="0.25">
      <c r="A640" t="s">
        <v>661</v>
      </c>
      <c r="B640">
        <f>VLOOKUP(A640,art_category_path_name!A:B,2,FALSE)</f>
        <v>487</v>
      </c>
      <c r="C640" t="s">
        <v>4500</v>
      </c>
      <c r="D640" t="s">
        <v>4501</v>
      </c>
      <c r="F640" t="s">
        <v>1834</v>
      </c>
      <c r="G640" t="s">
        <v>4502</v>
      </c>
      <c r="H640" t="s">
        <v>4503</v>
      </c>
    </row>
    <row r="641" spans="1:8" x14ac:dyDescent="0.25">
      <c r="A641" t="s">
        <v>662</v>
      </c>
      <c r="B641">
        <f>VLOOKUP(A641,art_category_path_name!A:B,2,FALSE)</f>
        <v>488</v>
      </c>
      <c r="C641" t="s">
        <v>4504</v>
      </c>
      <c r="D641" t="s">
        <v>4505</v>
      </c>
      <c r="F641" t="s">
        <v>1834</v>
      </c>
      <c r="G641" t="s">
        <v>4506</v>
      </c>
      <c r="H641" t="s">
        <v>4507</v>
      </c>
    </row>
    <row r="642" spans="1:8" x14ac:dyDescent="0.25">
      <c r="A642" t="s">
        <v>663</v>
      </c>
      <c r="B642">
        <f>VLOOKUP(A642,art_category_path_name!A:B,2,FALSE)</f>
        <v>489</v>
      </c>
      <c r="C642" t="s">
        <v>4508</v>
      </c>
      <c r="D642" t="s">
        <v>4509</v>
      </c>
      <c r="F642" t="s">
        <v>1834</v>
      </c>
      <c r="G642" t="s">
        <v>4510</v>
      </c>
      <c r="H642" t="s">
        <v>4511</v>
      </c>
    </row>
    <row r="643" spans="1:8" x14ac:dyDescent="0.25">
      <c r="A643" t="s">
        <v>664</v>
      </c>
      <c r="B643">
        <f>VLOOKUP(A643,art_category_path_name!A:B,2,FALSE)</f>
        <v>490</v>
      </c>
      <c r="C643" t="s">
        <v>4512</v>
      </c>
      <c r="D643" t="s">
        <v>4513</v>
      </c>
      <c r="F643" t="s">
        <v>1834</v>
      </c>
      <c r="G643" t="s">
        <v>4514</v>
      </c>
      <c r="H643" t="s">
        <v>4515</v>
      </c>
    </row>
    <row r="644" spans="1:8" x14ac:dyDescent="0.25">
      <c r="A644" t="s">
        <v>806</v>
      </c>
      <c r="B644">
        <f>VLOOKUP(A644,art_category_path_name!A:B,2,FALSE)</f>
        <v>492</v>
      </c>
      <c r="C644" t="s">
        <v>4516</v>
      </c>
      <c r="D644" t="s">
        <v>4517</v>
      </c>
      <c r="E644" t="s">
        <v>4518</v>
      </c>
      <c r="F644" t="s">
        <v>4519</v>
      </c>
      <c r="G644" t="s">
        <v>4520</v>
      </c>
      <c r="H644" t="s">
        <v>4521</v>
      </c>
    </row>
    <row r="645" spans="1:8" x14ac:dyDescent="0.25">
      <c r="A645" t="s">
        <v>807</v>
      </c>
      <c r="B645">
        <f>VLOOKUP(A645,art_category_path_name!A:B,2,FALSE)</f>
        <v>493</v>
      </c>
      <c r="C645" t="s">
        <v>4522</v>
      </c>
      <c r="D645" t="s">
        <v>4523</v>
      </c>
      <c r="E645" t="s">
        <v>4524</v>
      </c>
      <c r="F645" t="s">
        <v>4525</v>
      </c>
      <c r="G645" t="s">
        <v>4526</v>
      </c>
      <c r="H645" t="s">
        <v>4527</v>
      </c>
    </row>
    <row r="646" spans="1:8" x14ac:dyDescent="0.25">
      <c r="A646" t="s">
        <v>808</v>
      </c>
      <c r="B646">
        <f>VLOOKUP(A646,art_category_path_name!A:B,2,FALSE)</f>
        <v>494</v>
      </c>
      <c r="C646" t="s">
        <v>4528</v>
      </c>
      <c r="D646" t="s">
        <v>4529</v>
      </c>
      <c r="E646" t="s">
        <v>4530</v>
      </c>
      <c r="F646" t="s">
        <v>4531</v>
      </c>
      <c r="G646" t="s">
        <v>4532</v>
      </c>
      <c r="H646" t="s">
        <v>4533</v>
      </c>
    </row>
    <row r="647" spans="1:8" x14ac:dyDescent="0.25">
      <c r="A647" t="s">
        <v>809</v>
      </c>
      <c r="B647">
        <f>VLOOKUP(A647,art_category_path_name!A:B,2,FALSE)</f>
        <v>495</v>
      </c>
      <c r="C647" t="s">
        <v>4534</v>
      </c>
      <c r="D647" t="s">
        <v>4535</v>
      </c>
      <c r="E647" t="s">
        <v>4536</v>
      </c>
      <c r="F647" t="s">
        <v>4537</v>
      </c>
      <c r="G647" t="s">
        <v>4538</v>
      </c>
      <c r="H647" t="s">
        <v>4539</v>
      </c>
    </row>
    <row r="648" spans="1:8" x14ac:dyDescent="0.25">
      <c r="A648" t="s">
        <v>810</v>
      </c>
      <c r="B648">
        <f>VLOOKUP(A648,art_category_path_name!A:B,2,FALSE)</f>
        <v>496</v>
      </c>
      <c r="C648" t="s">
        <v>4540</v>
      </c>
      <c r="D648" t="s">
        <v>4541</v>
      </c>
      <c r="E648" t="s">
        <v>4542</v>
      </c>
      <c r="F648" t="s">
        <v>4543</v>
      </c>
      <c r="G648" t="s">
        <v>4544</v>
      </c>
      <c r="H648" t="s">
        <v>4545</v>
      </c>
    </row>
    <row r="649" spans="1:8" x14ac:dyDescent="0.25">
      <c r="A649" t="s">
        <v>811</v>
      </c>
      <c r="B649">
        <f>VLOOKUP(A649,art_category_path_name!A:B,2,FALSE)</f>
        <v>497</v>
      </c>
      <c r="C649" t="s">
        <v>4546</v>
      </c>
      <c r="D649" t="s">
        <v>4547</v>
      </c>
      <c r="E649" t="s">
        <v>4548</v>
      </c>
      <c r="F649" t="s">
        <v>4549</v>
      </c>
      <c r="G649" t="s">
        <v>4550</v>
      </c>
      <c r="H649" t="s">
        <v>4551</v>
      </c>
    </row>
    <row r="650" spans="1:8" x14ac:dyDescent="0.25">
      <c r="A650" t="s">
        <v>769</v>
      </c>
      <c r="B650">
        <f>VLOOKUP(A650,art_category_path_name!A:B,2,FALSE)</f>
        <v>500</v>
      </c>
      <c r="C650" t="s">
        <v>4552</v>
      </c>
      <c r="D650" t="s">
        <v>4553</v>
      </c>
      <c r="E650" t="s">
        <v>4554</v>
      </c>
      <c r="F650" t="s">
        <v>4555</v>
      </c>
      <c r="G650" t="s">
        <v>4556</v>
      </c>
      <c r="H650" t="s">
        <v>4557</v>
      </c>
    </row>
    <row r="651" spans="1:8" x14ac:dyDescent="0.25">
      <c r="A651" t="s">
        <v>770</v>
      </c>
      <c r="B651">
        <f>VLOOKUP(A651,art_category_path_name!A:B,2,FALSE)</f>
        <v>501</v>
      </c>
      <c r="C651" t="s">
        <v>4558</v>
      </c>
      <c r="D651" t="s">
        <v>4559</v>
      </c>
      <c r="E651" t="s">
        <v>4560</v>
      </c>
      <c r="F651" t="s">
        <v>4561</v>
      </c>
      <c r="G651" t="s">
        <v>4562</v>
      </c>
      <c r="H651" t="s">
        <v>4563</v>
      </c>
    </row>
    <row r="652" spans="1:8" x14ac:dyDescent="0.25">
      <c r="A652" t="s">
        <v>725</v>
      </c>
      <c r="B652">
        <f>VLOOKUP(A652,art_category_path_name!A:B,2,FALSE)</f>
        <v>503</v>
      </c>
      <c r="C652" t="s">
        <v>4564</v>
      </c>
      <c r="D652" t="s">
        <v>4565</v>
      </c>
      <c r="E652" t="s">
        <v>4566</v>
      </c>
      <c r="F652" t="s">
        <v>4567</v>
      </c>
      <c r="G652" t="s">
        <v>4568</v>
      </c>
      <c r="H652" t="s">
        <v>4569</v>
      </c>
    </row>
    <row r="653" spans="1:8" x14ac:dyDescent="0.25">
      <c r="A653" t="s">
        <v>726</v>
      </c>
      <c r="B653">
        <f>VLOOKUP(A653,art_category_path_name!A:B,2,FALSE)</f>
        <v>504</v>
      </c>
      <c r="C653" t="s">
        <v>4570</v>
      </c>
      <c r="D653" t="s">
        <v>4571</v>
      </c>
      <c r="E653" t="s">
        <v>4572</v>
      </c>
      <c r="F653" t="s">
        <v>4573</v>
      </c>
      <c r="G653" t="s">
        <v>4574</v>
      </c>
      <c r="H653" t="s">
        <v>4575</v>
      </c>
    </row>
    <row r="654" spans="1:8" x14ac:dyDescent="0.25">
      <c r="A654" t="s">
        <v>727</v>
      </c>
      <c r="B654">
        <f>VLOOKUP(A654,art_category_path_name!A:B,2,FALSE)</f>
        <v>505</v>
      </c>
      <c r="C654" t="s">
        <v>4576</v>
      </c>
      <c r="D654" t="s">
        <v>4577</v>
      </c>
      <c r="E654" t="s">
        <v>4578</v>
      </c>
      <c r="F654" t="s">
        <v>4579</v>
      </c>
      <c r="G654" t="s">
        <v>4580</v>
      </c>
      <c r="H654" t="s">
        <v>4581</v>
      </c>
    </row>
    <row r="655" spans="1:8" x14ac:dyDescent="0.25">
      <c r="A655" t="s">
        <v>729</v>
      </c>
      <c r="B655">
        <f>VLOOKUP(A655,art_category_path_name!A:B,2,FALSE)</f>
        <v>507</v>
      </c>
      <c r="C655" t="s">
        <v>4582</v>
      </c>
      <c r="D655" t="s">
        <v>4583</v>
      </c>
      <c r="E655" t="s">
        <v>4584</v>
      </c>
      <c r="F655" t="s">
        <v>4585</v>
      </c>
      <c r="G655" t="s">
        <v>4586</v>
      </c>
      <c r="H655" t="s">
        <v>4587</v>
      </c>
    </row>
    <row r="656" spans="1:8" x14ac:dyDescent="0.25">
      <c r="A656" t="s">
        <v>730</v>
      </c>
      <c r="B656">
        <f>VLOOKUP(A656,art_category_path_name!A:B,2,FALSE)</f>
        <v>508</v>
      </c>
      <c r="C656" t="s">
        <v>4588</v>
      </c>
      <c r="D656" t="s">
        <v>4583</v>
      </c>
      <c r="E656" t="s">
        <v>4584</v>
      </c>
      <c r="F656" t="s">
        <v>4585</v>
      </c>
      <c r="G656" t="s">
        <v>4589</v>
      </c>
      <c r="H656" t="s">
        <v>4590</v>
      </c>
    </row>
    <row r="657" spans="1:8" x14ac:dyDescent="0.25">
      <c r="A657" t="s">
        <v>732</v>
      </c>
      <c r="B657">
        <f>VLOOKUP(A657,art_category_path_name!A:B,2,FALSE)</f>
        <v>510</v>
      </c>
      <c r="C657" t="s">
        <v>4591</v>
      </c>
      <c r="D657" t="s">
        <v>4592</v>
      </c>
      <c r="E657" t="s">
        <v>4593</v>
      </c>
      <c r="F657" t="s">
        <v>4594</v>
      </c>
      <c r="G657" t="s">
        <v>4595</v>
      </c>
      <c r="H657" t="s">
        <v>4596</v>
      </c>
    </row>
    <row r="658" spans="1:8" x14ac:dyDescent="0.25">
      <c r="A658" t="s">
        <v>733</v>
      </c>
      <c r="B658">
        <f>VLOOKUP(A658,art_category_path_name!A:B,2,FALSE)</f>
        <v>511</v>
      </c>
      <c r="C658" t="s">
        <v>4597</v>
      </c>
      <c r="D658" t="s">
        <v>4598</v>
      </c>
      <c r="E658" t="s">
        <v>4599</v>
      </c>
      <c r="F658" t="s">
        <v>4600</v>
      </c>
      <c r="G658" t="s">
        <v>4601</v>
      </c>
      <c r="H658" t="s">
        <v>4602</v>
      </c>
    </row>
    <row r="659" spans="1:8" x14ac:dyDescent="0.25">
      <c r="A659" t="s">
        <v>734</v>
      </c>
      <c r="B659">
        <f>VLOOKUP(A659,art_category_path_name!A:B,2,FALSE)</f>
        <v>512</v>
      </c>
      <c r="C659" t="s">
        <v>4603</v>
      </c>
      <c r="D659" t="s">
        <v>4592</v>
      </c>
      <c r="E659" t="s">
        <v>4604</v>
      </c>
      <c r="F659" t="s">
        <v>4594</v>
      </c>
      <c r="G659" t="s">
        <v>4605</v>
      </c>
      <c r="H659" t="s">
        <v>4606</v>
      </c>
    </row>
    <row r="660" spans="1:8" x14ac:dyDescent="0.25">
      <c r="A660" t="s">
        <v>752</v>
      </c>
      <c r="B660">
        <f>VLOOKUP(A660,art_category_path_name!A:B,2,FALSE)</f>
        <v>515</v>
      </c>
      <c r="C660" t="s">
        <v>4607</v>
      </c>
      <c r="D660" t="s">
        <v>4608</v>
      </c>
      <c r="E660" t="s">
        <v>4609</v>
      </c>
      <c r="F660" t="s">
        <v>4610</v>
      </c>
      <c r="G660" t="s">
        <v>4611</v>
      </c>
      <c r="H660" t="s">
        <v>4612</v>
      </c>
    </row>
    <row r="661" spans="1:8" x14ac:dyDescent="0.25">
      <c r="A661" t="s">
        <v>753</v>
      </c>
      <c r="B661">
        <f>VLOOKUP(A661,art_category_path_name!A:B,2,FALSE)</f>
        <v>516</v>
      </c>
      <c r="C661" t="s">
        <v>4613</v>
      </c>
      <c r="D661" t="s">
        <v>4614</v>
      </c>
      <c r="E661" t="s">
        <v>4615</v>
      </c>
      <c r="F661" t="s">
        <v>4616</v>
      </c>
      <c r="G661" t="s">
        <v>4617</v>
      </c>
      <c r="H661" t="s">
        <v>4618</v>
      </c>
    </row>
    <row r="662" spans="1:8" x14ac:dyDescent="0.25">
      <c r="A662" t="s">
        <v>754</v>
      </c>
      <c r="B662">
        <f>VLOOKUP(A662,art_category_path_name!A:B,2,FALSE)</f>
        <v>517</v>
      </c>
      <c r="C662" t="s">
        <v>4619</v>
      </c>
      <c r="D662" t="s">
        <v>4620</v>
      </c>
      <c r="E662" t="s">
        <v>4621</v>
      </c>
      <c r="F662" t="s">
        <v>4622</v>
      </c>
      <c r="G662" t="s">
        <v>4623</v>
      </c>
      <c r="H662" t="s">
        <v>4624</v>
      </c>
    </row>
    <row r="663" spans="1:8" x14ac:dyDescent="0.25">
      <c r="A663" t="s">
        <v>755</v>
      </c>
      <c r="B663">
        <f>VLOOKUP(A663,art_category_path_name!A:B,2,FALSE)</f>
        <v>518</v>
      </c>
      <c r="C663" t="s">
        <v>4625</v>
      </c>
      <c r="D663" t="s">
        <v>4626</v>
      </c>
      <c r="F663" t="s">
        <v>1834</v>
      </c>
      <c r="G663" t="s">
        <v>4627</v>
      </c>
      <c r="H663" t="s">
        <v>4628</v>
      </c>
    </row>
    <row r="664" spans="1:8" x14ac:dyDescent="0.25">
      <c r="A664" t="s">
        <v>756</v>
      </c>
      <c r="B664">
        <f>VLOOKUP(A664,art_category_path_name!A:B,2,FALSE)</f>
        <v>519</v>
      </c>
      <c r="C664" t="s">
        <v>4629</v>
      </c>
      <c r="D664" t="s">
        <v>4630</v>
      </c>
      <c r="F664" t="s">
        <v>1834</v>
      </c>
      <c r="G664" t="s">
        <v>4631</v>
      </c>
      <c r="H664" t="s">
        <v>4632</v>
      </c>
    </row>
    <row r="665" spans="1:8" x14ac:dyDescent="0.25">
      <c r="A665" t="s">
        <v>923</v>
      </c>
      <c r="B665">
        <f>VLOOKUP(A665,art_category_path_name!A:B,2,FALSE)</f>
        <v>521</v>
      </c>
      <c r="C665" t="s">
        <v>4633</v>
      </c>
      <c r="D665" t="s">
        <v>4634</v>
      </c>
      <c r="E665" t="s">
        <v>4635</v>
      </c>
      <c r="F665" t="s">
        <v>4636</v>
      </c>
      <c r="G665" t="s">
        <v>4637</v>
      </c>
      <c r="H665" t="s">
        <v>4638</v>
      </c>
    </row>
    <row r="666" spans="1:8" x14ac:dyDescent="0.25">
      <c r="A666" t="s">
        <v>924</v>
      </c>
      <c r="B666">
        <f>VLOOKUP(A666,art_category_path_name!A:B,2,FALSE)</f>
        <v>522</v>
      </c>
      <c r="C666" t="s">
        <v>4639</v>
      </c>
      <c r="D666" t="s">
        <v>4640</v>
      </c>
      <c r="E666" t="s">
        <v>4641</v>
      </c>
      <c r="F666" t="s">
        <v>4642</v>
      </c>
      <c r="G666" t="s">
        <v>4643</v>
      </c>
      <c r="H666" t="s">
        <v>4644</v>
      </c>
    </row>
    <row r="667" spans="1:8" x14ac:dyDescent="0.25">
      <c r="A667" t="s">
        <v>925</v>
      </c>
      <c r="B667">
        <f>VLOOKUP(A667,art_category_path_name!A:B,2,FALSE)</f>
        <v>523</v>
      </c>
      <c r="C667" t="s">
        <v>4645</v>
      </c>
      <c r="D667" t="s">
        <v>4646</v>
      </c>
      <c r="E667" t="s">
        <v>4647</v>
      </c>
      <c r="F667" t="s">
        <v>4648</v>
      </c>
      <c r="G667" t="s">
        <v>4649</v>
      </c>
      <c r="H667" t="s">
        <v>4650</v>
      </c>
    </row>
    <row r="668" spans="1:8" x14ac:dyDescent="0.25">
      <c r="A668" t="s">
        <v>926</v>
      </c>
      <c r="B668">
        <f>VLOOKUP(A668,art_category_path_name!A:B,2,FALSE)</f>
        <v>524</v>
      </c>
      <c r="C668" t="s">
        <v>4651</v>
      </c>
      <c r="D668" t="s">
        <v>4652</v>
      </c>
      <c r="E668" t="s">
        <v>4653</v>
      </c>
      <c r="F668" t="s">
        <v>4654</v>
      </c>
      <c r="G668" t="s">
        <v>4655</v>
      </c>
      <c r="H668" t="s">
        <v>4656</v>
      </c>
    </row>
    <row r="669" spans="1:8" x14ac:dyDescent="0.25">
      <c r="A669" t="s">
        <v>927</v>
      </c>
      <c r="B669">
        <f>VLOOKUP(A669,art_category_path_name!A:B,2,FALSE)</f>
        <v>525</v>
      </c>
      <c r="C669" t="s">
        <v>4657</v>
      </c>
      <c r="D669" t="s">
        <v>4658</v>
      </c>
      <c r="E669" t="s">
        <v>4659</v>
      </c>
      <c r="F669" t="s">
        <v>4660</v>
      </c>
      <c r="G669" t="s">
        <v>4661</v>
      </c>
      <c r="H669" t="s">
        <v>4662</v>
      </c>
    </row>
    <row r="670" spans="1:8" x14ac:dyDescent="0.25">
      <c r="A670" t="s">
        <v>928</v>
      </c>
      <c r="B670">
        <f>VLOOKUP(A670,art_category_path_name!A:B,2,FALSE)</f>
        <v>526</v>
      </c>
      <c r="C670" t="s">
        <v>4663</v>
      </c>
      <c r="D670" t="s">
        <v>4664</v>
      </c>
      <c r="E670" t="s">
        <v>4665</v>
      </c>
      <c r="F670" t="s">
        <v>4666</v>
      </c>
      <c r="G670" t="s">
        <v>4667</v>
      </c>
      <c r="H670" t="s">
        <v>4668</v>
      </c>
    </row>
    <row r="671" spans="1:8" x14ac:dyDescent="0.25">
      <c r="A671" t="s">
        <v>929</v>
      </c>
      <c r="B671">
        <f>VLOOKUP(A671,art_category_path_name!A:B,2,FALSE)</f>
        <v>527</v>
      </c>
      <c r="C671" t="s">
        <v>4669</v>
      </c>
      <c r="D671" t="s">
        <v>4670</v>
      </c>
      <c r="E671" t="s">
        <v>4671</v>
      </c>
      <c r="F671" t="s">
        <v>4672</v>
      </c>
      <c r="G671" t="s">
        <v>4673</v>
      </c>
      <c r="H671" t="s">
        <v>4674</v>
      </c>
    </row>
    <row r="672" spans="1:8" x14ac:dyDescent="0.25">
      <c r="A672" t="s">
        <v>79</v>
      </c>
      <c r="B672">
        <f>VLOOKUP(A672,art_category_path_name!A:B,2,FALSE)</f>
        <v>529</v>
      </c>
      <c r="C672" t="s">
        <v>4675</v>
      </c>
      <c r="D672" t="s">
        <v>4676</v>
      </c>
      <c r="E672" t="s">
        <v>4677</v>
      </c>
      <c r="F672" t="s">
        <v>4678</v>
      </c>
      <c r="G672" t="s">
        <v>4679</v>
      </c>
      <c r="H672" t="s">
        <v>4680</v>
      </c>
    </row>
    <row r="673" spans="1:8" x14ac:dyDescent="0.25">
      <c r="A673" t="s">
        <v>80</v>
      </c>
      <c r="B673">
        <f>VLOOKUP(A673,art_category_path_name!A:B,2,FALSE)</f>
        <v>530</v>
      </c>
      <c r="C673" t="s">
        <v>4681</v>
      </c>
      <c r="D673" t="s">
        <v>4682</v>
      </c>
      <c r="E673" t="s">
        <v>4683</v>
      </c>
      <c r="F673" t="s">
        <v>4684</v>
      </c>
      <c r="G673" t="s">
        <v>4685</v>
      </c>
      <c r="H673" t="s">
        <v>4686</v>
      </c>
    </row>
    <row r="674" spans="1:8" x14ac:dyDescent="0.25">
      <c r="A674" t="s">
        <v>81</v>
      </c>
      <c r="B674">
        <f>VLOOKUP(A674,art_category_path_name!A:B,2,FALSE)</f>
        <v>531</v>
      </c>
      <c r="C674" t="s">
        <v>4687</v>
      </c>
      <c r="D674" t="s">
        <v>4688</v>
      </c>
      <c r="E674" t="s">
        <v>4689</v>
      </c>
      <c r="F674" t="s">
        <v>4690</v>
      </c>
      <c r="G674" t="s">
        <v>4691</v>
      </c>
      <c r="H674" t="s">
        <v>4692</v>
      </c>
    </row>
    <row r="675" spans="1:8" x14ac:dyDescent="0.25">
      <c r="A675" t="s">
        <v>82</v>
      </c>
      <c r="B675">
        <f>VLOOKUP(A675,art_category_path_name!A:B,2,FALSE)</f>
        <v>532</v>
      </c>
      <c r="C675" t="s">
        <v>4693</v>
      </c>
      <c r="D675" t="s">
        <v>4694</v>
      </c>
      <c r="E675" t="s">
        <v>4695</v>
      </c>
      <c r="F675" t="s">
        <v>4696</v>
      </c>
      <c r="G675" t="s">
        <v>4697</v>
      </c>
      <c r="H675" t="s">
        <v>4698</v>
      </c>
    </row>
    <row r="676" spans="1:8" x14ac:dyDescent="0.25">
      <c r="A676" t="s">
        <v>977</v>
      </c>
      <c r="B676">
        <f>VLOOKUP(A676,art_category_path_name!A:B,2,FALSE)</f>
        <v>534</v>
      </c>
      <c r="C676" t="s">
        <v>4699</v>
      </c>
      <c r="D676" t="s">
        <v>4700</v>
      </c>
      <c r="E676" t="s">
        <v>4701</v>
      </c>
      <c r="F676" t="s">
        <v>4702</v>
      </c>
      <c r="G676" t="s">
        <v>4703</v>
      </c>
      <c r="H676" t="s">
        <v>4704</v>
      </c>
    </row>
    <row r="677" spans="1:8" x14ac:dyDescent="0.25">
      <c r="A677" t="s">
        <v>978</v>
      </c>
      <c r="B677">
        <f>VLOOKUP(A677,art_category_path_name!A:B,2,FALSE)</f>
        <v>535</v>
      </c>
      <c r="C677" t="s">
        <v>4705</v>
      </c>
      <c r="D677" t="s">
        <v>4706</v>
      </c>
      <c r="E677" t="s">
        <v>4707</v>
      </c>
      <c r="F677" t="s">
        <v>4708</v>
      </c>
      <c r="G677" t="s">
        <v>4709</v>
      </c>
      <c r="H677" t="s">
        <v>4710</v>
      </c>
    </row>
    <row r="678" spans="1:8" x14ac:dyDescent="0.25">
      <c r="A678" t="s">
        <v>979</v>
      </c>
      <c r="B678">
        <f>VLOOKUP(A678,art_category_path_name!A:B,2,FALSE)</f>
        <v>536</v>
      </c>
      <c r="C678" t="s">
        <v>4711</v>
      </c>
      <c r="D678" t="s">
        <v>4706</v>
      </c>
      <c r="E678" t="s">
        <v>4707</v>
      </c>
      <c r="F678" t="s">
        <v>4708</v>
      </c>
      <c r="G678" t="s">
        <v>4712</v>
      </c>
      <c r="H678" t="s">
        <v>4713</v>
      </c>
    </row>
    <row r="679" spans="1:8" x14ac:dyDescent="0.25">
      <c r="A679" t="s">
        <v>981</v>
      </c>
      <c r="B679">
        <f>VLOOKUP(A679,art_category_path_name!A:B,2,FALSE)</f>
        <v>538</v>
      </c>
      <c r="C679" t="s">
        <v>4714</v>
      </c>
      <c r="D679" t="s">
        <v>4715</v>
      </c>
      <c r="E679" t="s">
        <v>4716</v>
      </c>
      <c r="F679" t="s">
        <v>4717</v>
      </c>
      <c r="G679" t="s">
        <v>4718</v>
      </c>
      <c r="H679" t="s">
        <v>4719</v>
      </c>
    </row>
    <row r="680" spans="1:8" x14ac:dyDescent="0.25">
      <c r="A680" t="s">
        <v>982</v>
      </c>
      <c r="B680">
        <f>VLOOKUP(A680,art_category_path_name!A:B,2,FALSE)</f>
        <v>539</v>
      </c>
      <c r="C680" t="s">
        <v>4720</v>
      </c>
      <c r="D680" t="s">
        <v>4721</v>
      </c>
      <c r="E680" t="s">
        <v>4722</v>
      </c>
      <c r="F680" t="s">
        <v>4723</v>
      </c>
      <c r="G680" t="s">
        <v>4724</v>
      </c>
      <c r="H680" t="s">
        <v>4725</v>
      </c>
    </row>
    <row r="681" spans="1:8" x14ac:dyDescent="0.25">
      <c r="A681" t="s">
        <v>983</v>
      </c>
      <c r="B681">
        <f>VLOOKUP(A681,art_category_path_name!A:B,2,FALSE)</f>
        <v>540</v>
      </c>
      <c r="C681" t="s">
        <v>4726</v>
      </c>
      <c r="G681" t="s">
        <v>4727</v>
      </c>
      <c r="H681" t="s">
        <v>4728</v>
      </c>
    </row>
    <row r="682" spans="1:8" x14ac:dyDescent="0.25">
      <c r="A682" t="s">
        <v>984</v>
      </c>
      <c r="B682">
        <f>VLOOKUP(A682,art_category_path_name!A:B,2,FALSE)</f>
        <v>541</v>
      </c>
      <c r="C682" t="s">
        <v>4729</v>
      </c>
      <c r="D682" t="s">
        <v>4730</v>
      </c>
      <c r="E682" t="s">
        <v>4731</v>
      </c>
      <c r="F682" t="s">
        <v>4732</v>
      </c>
      <c r="G682" t="s">
        <v>4733</v>
      </c>
      <c r="H682" t="s">
        <v>4734</v>
      </c>
    </row>
    <row r="683" spans="1:8" x14ac:dyDescent="0.25">
      <c r="A683" t="s">
        <v>985</v>
      </c>
      <c r="B683">
        <f>VLOOKUP(A683,art_category_path_name!A:B,2,FALSE)</f>
        <v>542</v>
      </c>
      <c r="C683" t="s">
        <v>4735</v>
      </c>
      <c r="D683" t="s">
        <v>4736</v>
      </c>
      <c r="E683" t="s">
        <v>4737</v>
      </c>
      <c r="F683" t="s">
        <v>4738</v>
      </c>
      <c r="G683" t="s">
        <v>4739</v>
      </c>
      <c r="H683" t="s">
        <v>4740</v>
      </c>
    </row>
    <row r="684" spans="1:8" x14ac:dyDescent="0.25">
      <c r="A684" t="s">
        <v>986</v>
      </c>
      <c r="B684">
        <f>VLOOKUP(A684,art_category_path_name!A:B,2,FALSE)</f>
        <v>543</v>
      </c>
      <c r="C684" t="s">
        <v>4741</v>
      </c>
      <c r="D684" t="s">
        <v>4742</v>
      </c>
      <c r="E684" t="s">
        <v>4743</v>
      </c>
      <c r="F684" t="s">
        <v>4744</v>
      </c>
      <c r="G684" t="s">
        <v>4745</v>
      </c>
      <c r="H684" t="s">
        <v>4746</v>
      </c>
    </row>
    <row r="685" spans="1:8" x14ac:dyDescent="0.25">
      <c r="A685" t="s">
        <v>987</v>
      </c>
      <c r="B685">
        <f>VLOOKUP(A685,art_category_path_name!A:B,2,FALSE)</f>
        <v>544</v>
      </c>
      <c r="C685" t="s">
        <v>4747</v>
      </c>
      <c r="D685" t="s">
        <v>4742</v>
      </c>
      <c r="E685" t="s">
        <v>4743</v>
      </c>
      <c r="F685" t="s">
        <v>4744</v>
      </c>
      <c r="G685" t="s">
        <v>4748</v>
      </c>
      <c r="H685" t="s">
        <v>4749</v>
      </c>
    </row>
    <row r="686" spans="1:8" x14ac:dyDescent="0.25">
      <c r="A686" t="s">
        <v>988</v>
      </c>
      <c r="B686">
        <f>VLOOKUP(A686,art_category_path_name!A:B,2,FALSE)</f>
        <v>545</v>
      </c>
      <c r="C686" t="s">
        <v>4750</v>
      </c>
      <c r="D686" t="s">
        <v>4742</v>
      </c>
      <c r="E686" t="s">
        <v>4743</v>
      </c>
      <c r="F686" t="s">
        <v>4744</v>
      </c>
      <c r="G686" t="s">
        <v>4751</v>
      </c>
      <c r="H686" t="s">
        <v>4752</v>
      </c>
    </row>
    <row r="687" spans="1:8" x14ac:dyDescent="0.25">
      <c r="A687" t="s">
        <v>989</v>
      </c>
      <c r="B687">
        <f>VLOOKUP(A687,art_category_path_name!A:B,2,FALSE)</f>
        <v>546</v>
      </c>
      <c r="C687" t="s">
        <v>4753</v>
      </c>
      <c r="D687" t="s">
        <v>4730</v>
      </c>
      <c r="E687" t="s">
        <v>4731</v>
      </c>
      <c r="F687" t="s">
        <v>4732</v>
      </c>
      <c r="G687" t="s">
        <v>4754</v>
      </c>
      <c r="H687" t="s">
        <v>4755</v>
      </c>
    </row>
    <row r="688" spans="1:8" x14ac:dyDescent="0.25">
      <c r="A688" t="s">
        <v>990</v>
      </c>
      <c r="B688">
        <f>VLOOKUP(A688,art_category_path_name!A:B,2,FALSE)</f>
        <v>547</v>
      </c>
      <c r="C688" t="s">
        <v>4756</v>
      </c>
      <c r="D688" t="s">
        <v>4730</v>
      </c>
      <c r="E688" t="s">
        <v>4731</v>
      </c>
      <c r="F688" t="s">
        <v>4732</v>
      </c>
      <c r="G688" t="s">
        <v>4757</v>
      </c>
      <c r="H688" t="s">
        <v>4758</v>
      </c>
    </row>
    <row r="689" spans="1:8" x14ac:dyDescent="0.25">
      <c r="A689" t="s">
        <v>991</v>
      </c>
      <c r="B689">
        <f>VLOOKUP(A689,art_category_path_name!A:B,2,FALSE)</f>
        <v>548</v>
      </c>
      <c r="C689" t="s">
        <v>4759</v>
      </c>
      <c r="D689" t="s">
        <v>4730</v>
      </c>
      <c r="E689" t="s">
        <v>4731</v>
      </c>
      <c r="F689" t="s">
        <v>4732</v>
      </c>
      <c r="G689" t="s">
        <v>4760</v>
      </c>
      <c r="H689" t="s">
        <v>4761</v>
      </c>
    </row>
    <row r="690" spans="1:8" x14ac:dyDescent="0.25">
      <c r="A690" t="s">
        <v>992</v>
      </c>
      <c r="B690">
        <f>VLOOKUP(A690,art_category_path_name!A:B,2,FALSE)</f>
        <v>549</v>
      </c>
      <c r="C690" t="s">
        <v>4762</v>
      </c>
      <c r="D690" t="s">
        <v>4730</v>
      </c>
      <c r="E690" t="s">
        <v>4731</v>
      </c>
      <c r="F690" t="s">
        <v>4732</v>
      </c>
      <c r="G690" t="s">
        <v>4763</v>
      </c>
      <c r="H690" t="s">
        <v>4764</v>
      </c>
    </row>
    <row r="691" spans="1:8" x14ac:dyDescent="0.25">
      <c r="A691" t="s">
        <v>993</v>
      </c>
      <c r="B691">
        <f>VLOOKUP(A691,art_category_path_name!A:B,2,FALSE)</f>
        <v>550</v>
      </c>
      <c r="C691" t="s">
        <v>4765</v>
      </c>
      <c r="D691" t="s">
        <v>4730</v>
      </c>
      <c r="E691" t="s">
        <v>4731</v>
      </c>
      <c r="F691" t="s">
        <v>4732</v>
      </c>
      <c r="G691" t="s">
        <v>4766</v>
      </c>
      <c r="H691" t="s">
        <v>4767</v>
      </c>
    </row>
    <row r="692" spans="1:8" x14ac:dyDescent="0.25">
      <c r="A692" t="s">
        <v>994</v>
      </c>
      <c r="B692">
        <f>VLOOKUP(A692,art_category_path_name!A:B,2,FALSE)</f>
        <v>551</v>
      </c>
      <c r="C692" t="s">
        <v>4768</v>
      </c>
      <c r="D692" t="s">
        <v>4769</v>
      </c>
      <c r="E692" t="s">
        <v>4770</v>
      </c>
      <c r="F692" t="s">
        <v>4771</v>
      </c>
      <c r="G692" t="s">
        <v>4772</v>
      </c>
      <c r="H692" t="s">
        <v>4773</v>
      </c>
    </row>
    <row r="693" spans="1:8" x14ac:dyDescent="0.25">
      <c r="A693" t="s">
        <v>995</v>
      </c>
      <c r="B693">
        <f>VLOOKUP(A693,art_category_path_name!A:B,2,FALSE)</f>
        <v>552</v>
      </c>
      <c r="C693" t="s">
        <v>4774</v>
      </c>
      <c r="D693" t="s">
        <v>4775</v>
      </c>
      <c r="E693" t="s">
        <v>4776</v>
      </c>
      <c r="F693" t="s">
        <v>4777</v>
      </c>
      <c r="G693" t="s">
        <v>4778</v>
      </c>
      <c r="H693" t="s">
        <v>4779</v>
      </c>
    </row>
    <row r="694" spans="1:8" x14ac:dyDescent="0.25">
      <c r="A694" t="s">
        <v>996</v>
      </c>
      <c r="B694">
        <f>VLOOKUP(A694,art_category_path_name!A:B,2,FALSE)</f>
        <v>553</v>
      </c>
      <c r="C694" t="s">
        <v>4780</v>
      </c>
      <c r="G694" t="s">
        <v>4781</v>
      </c>
      <c r="H694" t="s">
        <v>4782</v>
      </c>
    </row>
    <row r="695" spans="1:8" x14ac:dyDescent="0.25">
      <c r="A695" t="s">
        <v>694</v>
      </c>
      <c r="B695">
        <f>VLOOKUP(A695,art_category_path_name!A:B,2,FALSE)</f>
        <v>555</v>
      </c>
      <c r="C695" t="s">
        <v>4783</v>
      </c>
      <c r="D695" t="s">
        <v>4784</v>
      </c>
      <c r="E695" t="s">
        <v>4785</v>
      </c>
      <c r="F695" t="s">
        <v>4786</v>
      </c>
      <c r="G695" t="s">
        <v>4787</v>
      </c>
      <c r="H695" t="s">
        <v>4788</v>
      </c>
    </row>
    <row r="696" spans="1:8" x14ac:dyDescent="0.25">
      <c r="A696" t="s">
        <v>695</v>
      </c>
      <c r="B696">
        <f>VLOOKUP(A696,art_category_path_name!A:B,2,FALSE)</f>
        <v>556</v>
      </c>
      <c r="C696" t="s">
        <v>4789</v>
      </c>
      <c r="D696" t="s">
        <v>4790</v>
      </c>
      <c r="E696" t="s">
        <v>4791</v>
      </c>
      <c r="F696" t="s">
        <v>4792</v>
      </c>
      <c r="G696" t="s">
        <v>4793</v>
      </c>
      <c r="H696" t="s">
        <v>4794</v>
      </c>
    </row>
    <row r="697" spans="1:8" x14ac:dyDescent="0.25">
      <c r="A697" t="s">
        <v>696</v>
      </c>
      <c r="B697">
        <f>VLOOKUP(A697,art_category_path_name!A:B,2,FALSE)</f>
        <v>557</v>
      </c>
      <c r="C697" t="s">
        <v>4795</v>
      </c>
      <c r="D697" t="s">
        <v>4796</v>
      </c>
      <c r="E697" t="s">
        <v>4797</v>
      </c>
      <c r="F697" t="s">
        <v>4798</v>
      </c>
      <c r="G697" t="s">
        <v>4799</v>
      </c>
      <c r="H697" t="s">
        <v>4800</v>
      </c>
    </row>
    <row r="698" spans="1:8" x14ac:dyDescent="0.25">
      <c r="A698" t="s">
        <v>697</v>
      </c>
      <c r="B698">
        <f>VLOOKUP(A698,art_category_path_name!A:B,2,FALSE)</f>
        <v>558</v>
      </c>
      <c r="C698" t="s">
        <v>4801</v>
      </c>
      <c r="D698" t="s">
        <v>3670</v>
      </c>
      <c r="E698" t="s">
        <v>3671</v>
      </c>
      <c r="F698" t="s">
        <v>3672</v>
      </c>
      <c r="G698" t="s">
        <v>4802</v>
      </c>
      <c r="H698" t="s">
        <v>4803</v>
      </c>
    </row>
    <row r="699" spans="1:8" x14ac:dyDescent="0.25">
      <c r="A699" t="s">
        <v>698</v>
      </c>
      <c r="B699">
        <f>VLOOKUP(A699,art_category_path_name!A:B,2,FALSE)</f>
        <v>559</v>
      </c>
      <c r="C699" t="s">
        <v>4804</v>
      </c>
      <c r="D699" t="s">
        <v>4805</v>
      </c>
      <c r="E699" t="s">
        <v>4806</v>
      </c>
      <c r="F699" t="s">
        <v>4807</v>
      </c>
      <c r="G699" t="s">
        <v>4808</v>
      </c>
      <c r="H699" t="s">
        <v>4809</v>
      </c>
    </row>
    <row r="700" spans="1:8" x14ac:dyDescent="0.25">
      <c r="A700" t="s">
        <v>699</v>
      </c>
      <c r="B700">
        <f>VLOOKUP(A700,art_category_path_name!A:B,2,FALSE)</f>
        <v>560</v>
      </c>
      <c r="C700" t="s">
        <v>4810</v>
      </c>
      <c r="D700" t="s">
        <v>4811</v>
      </c>
      <c r="E700" t="s">
        <v>4812</v>
      </c>
      <c r="F700" t="s">
        <v>4813</v>
      </c>
      <c r="G700" t="s">
        <v>4814</v>
      </c>
      <c r="H700" t="s">
        <v>4815</v>
      </c>
    </row>
    <row r="701" spans="1:8" x14ac:dyDescent="0.25">
      <c r="A701" t="s">
        <v>813</v>
      </c>
      <c r="B701">
        <f>VLOOKUP(A701,art_category_path_name!A:B,2,FALSE)</f>
        <v>562</v>
      </c>
      <c r="C701" t="s">
        <v>4816</v>
      </c>
      <c r="D701" t="s">
        <v>4817</v>
      </c>
      <c r="E701" t="s">
        <v>4818</v>
      </c>
      <c r="F701" t="s">
        <v>4819</v>
      </c>
      <c r="G701" t="s">
        <v>4820</v>
      </c>
      <c r="H701" t="s">
        <v>4821</v>
      </c>
    </row>
    <row r="702" spans="1:8" x14ac:dyDescent="0.25">
      <c r="A702" t="s">
        <v>326</v>
      </c>
      <c r="B702">
        <f>VLOOKUP(A702,art_category_path_name!A:B,2,FALSE)</f>
        <v>564</v>
      </c>
      <c r="C702" t="s">
        <v>4822</v>
      </c>
      <c r="D702" t="s">
        <v>4823</v>
      </c>
      <c r="E702" t="s">
        <v>2277</v>
      </c>
      <c r="F702" t="s">
        <v>4824</v>
      </c>
      <c r="G702" t="s">
        <v>3983</v>
      </c>
      <c r="H702" t="s">
        <v>4825</v>
      </c>
    </row>
    <row r="703" spans="1:8" x14ac:dyDescent="0.25">
      <c r="A703" t="s">
        <v>327</v>
      </c>
      <c r="B703">
        <f>VLOOKUP(A703,art_category_path_name!A:B,2,FALSE)</f>
        <v>565</v>
      </c>
      <c r="C703" t="s">
        <v>4826</v>
      </c>
      <c r="D703" t="s">
        <v>4827</v>
      </c>
      <c r="E703" t="s">
        <v>4828</v>
      </c>
      <c r="F703" t="s">
        <v>4829</v>
      </c>
      <c r="G703" t="s">
        <v>3983</v>
      </c>
      <c r="H703" t="s">
        <v>4830</v>
      </c>
    </row>
    <row r="704" spans="1:8" x14ac:dyDescent="0.25">
      <c r="A704" t="s">
        <v>328</v>
      </c>
      <c r="B704">
        <f>VLOOKUP(A704,art_category_path_name!A:B,2,FALSE)</f>
        <v>566</v>
      </c>
      <c r="C704" t="s">
        <v>4831</v>
      </c>
      <c r="D704" t="s">
        <v>4832</v>
      </c>
      <c r="E704" t="s">
        <v>4833</v>
      </c>
      <c r="F704" t="s">
        <v>4834</v>
      </c>
      <c r="G704" t="s">
        <v>3983</v>
      </c>
      <c r="H704" t="s">
        <v>4835</v>
      </c>
    </row>
    <row r="705" spans="1:8" x14ac:dyDescent="0.25">
      <c r="A705" t="s">
        <v>1235</v>
      </c>
      <c r="B705">
        <f>VLOOKUP(A705,art_category_path_name!A:B,2,FALSE)</f>
        <v>568</v>
      </c>
      <c r="C705" t="s">
        <v>4836</v>
      </c>
      <c r="D705" t="s">
        <v>4837</v>
      </c>
      <c r="F705" t="s">
        <v>1834</v>
      </c>
      <c r="G705" t="s">
        <v>4838</v>
      </c>
      <c r="H705" t="s">
        <v>4839</v>
      </c>
    </row>
    <row r="706" spans="1:8" x14ac:dyDescent="0.25">
      <c r="A706" t="s">
        <v>1236</v>
      </c>
      <c r="B706">
        <f>VLOOKUP(A706,art_category_path_name!A:B,2,FALSE)</f>
        <v>569</v>
      </c>
      <c r="C706" t="s">
        <v>4840</v>
      </c>
      <c r="D706" t="s">
        <v>4841</v>
      </c>
      <c r="F706" t="s">
        <v>1834</v>
      </c>
      <c r="G706" t="s">
        <v>4842</v>
      </c>
      <c r="H706" t="s">
        <v>4843</v>
      </c>
    </row>
    <row r="707" spans="1:8" x14ac:dyDescent="0.25">
      <c r="A707" t="s">
        <v>1237</v>
      </c>
      <c r="B707">
        <f>VLOOKUP(A707,art_category_path_name!A:B,2,FALSE)</f>
        <v>570</v>
      </c>
      <c r="C707" t="s">
        <v>4844</v>
      </c>
      <c r="D707" t="s">
        <v>4845</v>
      </c>
      <c r="F707" t="s">
        <v>1834</v>
      </c>
      <c r="G707" t="s">
        <v>4846</v>
      </c>
      <c r="H707" t="s">
        <v>4847</v>
      </c>
    </row>
    <row r="708" spans="1:8" x14ac:dyDescent="0.25">
      <c r="A708" t="s">
        <v>1238</v>
      </c>
      <c r="B708">
        <f>VLOOKUP(A708,art_category_path_name!A:B,2,FALSE)</f>
        <v>571</v>
      </c>
      <c r="C708" t="s">
        <v>4848</v>
      </c>
      <c r="D708" t="s">
        <v>4849</v>
      </c>
      <c r="F708" t="s">
        <v>1834</v>
      </c>
      <c r="G708" t="s">
        <v>4850</v>
      </c>
      <c r="H708" t="s">
        <v>4851</v>
      </c>
    </row>
    <row r="709" spans="1:8" x14ac:dyDescent="0.25">
      <c r="A709" t="s">
        <v>1239</v>
      </c>
      <c r="B709">
        <f>VLOOKUP(A709,art_category_path_name!A:B,2,FALSE)</f>
        <v>572</v>
      </c>
      <c r="C709" t="s">
        <v>4852</v>
      </c>
      <c r="D709" t="s">
        <v>4853</v>
      </c>
      <c r="E709" t="s">
        <v>4854</v>
      </c>
      <c r="F709" t="s">
        <v>4855</v>
      </c>
      <c r="G709" t="s">
        <v>4856</v>
      </c>
      <c r="H709" t="s">
        <v>4857</v>
      </c>
    </row>
    <row r="710" spans="1:8" x14ac:dyDescent="0.25">
      <c r="A710" t="s">
        <v>1240</v>
      </c>
      <c r="B710">
        <f>VLOOKUP(A710,art_category_path_name!A:B,2,FALSE)</f>
        <v>573</v>
      </c>
      <c r="C710" t="s">
        <v>4858</v>
      </c>
      <c r="D710" t="s">
        <v>4859</v>
      </c>
      <c r="F710" t="s">
        <v>1834</v>
      </c>
      <c r="G710" t="s">
        <v>4860</v>
      </c>
      <c r="H710" t="s">
        <v>4861</v>
      </c>
    </row>
    <row r="711" spans="1:8" x14ac:dyDescent="0.25">
      <c r="A711" t="s">
        <v>1241</v>
      </c>
      <c r="B711">
        <f>VLOOKUP(A711,art_category_path_name!A:B,2,FALSE)</f>
        <v>574</v>
      </c>
      <c r="C711" t="s">
        <v>4862</v>
      </c>
      <c r="D711" t="s">
        <v>4863</v>
      </c>
      <c r="F711" t="s">
        <v>1834</v>
      </c>
      <c r="G711" t="s">
        <v>4864</v>
      </c>
      <c r="H711" t="s">
        <v>4865</v>
      </c>
    </row>
    <row r="712" spans="1:8" x14ac:dyDescent="0.25">
      <c r="A712" t="s">
        <v>1242</v>
      </c>
      <c r="B712">
        <f>VLOOKUP(A712,art_category_path_name!A:B,2,FALSE)</f>
        <v>575</v>
      </c>
      <c r="C712" t="s">
        <v>4866</v>
      </c>
      <c r="D712" t="s">
        <v>4867</v>
      </c>
      <c r="F712" t="s">
        <v>1834</v>
      </c>
      <c r="G712" t="s">
        <v>4868</v>
      </c>
      <c r="H712" t="s">
        <v>4869</v>
      </c>
    </row>
    <row r="713" spans="1:8" x14ac:dyDescent="0.25">
      <c r="A713" t="s">
        <v>758</v>
      </c>
      <c r="B713">
        <f>VLOOKUP(A713,art_category_path_name!A:B,2,FALSE)</f>
        <v>577</v>
      </c>
      <c r="C713" t="s">
        <v>4870</v>
      </c>
      <c r="D713" t="s">
        <v>4871</v>
      </c>
      <c r="E713" t="s">
        <v>4872</v>
      </c>
      <c r="F713" t="s">
        <v>4873</v>
      </c>
      <c r="G713" t="s">
        <v>4874</v>
      </c>
      <c r="H713" t="s">
        <v>4875</v>
      </c>
    </row>
    <row r="714" spans="1:8" x14ac:dyDescent="0.25">
      <c r="A714" t="s">
        <v>759</v>
      </c>
      <c r="B714">
        <f>VLOOKUP(A714,art_category_path_name!A:B,2,FALSE)</f>
        <v>578</v>
      </c>
      <c r="C714" t="s">
        <v>4876</v>
      </c>
      <c r="D714" t="s">
        <v>4877</v>
      </c>
      <c r="F714" t="s">
        <v>1834</v>
      </c>
      <c r="G714" t="s">
        <v>4878</v>
      </c>
      <c r="H714" t="s">
        <v>4879</v>
      </c>
    </row>
    <row r="715" spans="1:8" x14ac:dyDescent="0.25">
      <c r="A715" t="s">
        <v>500</v>
      </c>
      <c r="B715">
        <f>VLOOKUP(A715,art_category_path_name!A:B,2,FALSE)</f>
        <v>581</v>
      </c>
      <c r="C715" t="s">
        <v>1935</v>
      </c>
      <c r="D715" t="s">
        <v>4880</v>
      </c>
      <c r="F715" t="s">
        <v>1834</v>
      </c>
      <c r="G715" t="s">
        <v>4881</v>
      </c>
      <c r="H715" t="s">
        <v>4882</v>
      </c>
    </row>
    <row r="716" spans="1:8" x14ac:dyDescent="0.25">
      <c r="A716" t="s">
        <v>501</v>
      </c>
      <c r="B716">
        <f>VLOOKUP(A716,art_category_path_name!A:B,2,FALSE)</f>
        <v>582</v>
      </c>
      <c r="C716" t="s">
        <v>4883</v>
      </c>
      <c r="D716" t="s">
        <v>4884</v>
      </c>
      <c r="F716" t="s">
        <v>1834</v>
      </c>
      <c r="G716" t="s">
        <v>4885</v>
      </c>
      <c r="H716" t="s">
        <v>4886</v>
      </c>
    </row>
    <row r="717" spans="1:8" x14ac:dyDescent="0.25">
      <c r="A717" t="s">
        <v>502</v>
      </c>
      <c r="B717">
        <f>VLOOKUP(A717,art_category_path_name!A:B,2,FALSE)</f>
        <v>583</v>
      </c>
      <c r="C717" t="s">
        <v>4887</v>
      </c>
      <c r="D717" t="s">
        <v>4888</v>
      </c>
      <c r="F717" t="s">
        <v>1834</v>
      </c>
      <c r="G717" t="s">
        <v>4889</v>
      </c>
      <c r="H717" t="s">
        <v>4890</v>
      </c>
    </row>
    <row r="718" spans="1:8" x14ac:dyDescent="0.25">
      <c r="A718" t="s">
        <v>503</v>
      </c>
      <c r="B718">
        <f>VLOOKUP(A718,art_category_path_name!A:B,2,FALSE)</f>
        <v>584</v>
      </c>
      <c r="C718" t="s">
        <v>4891</v>
      </c>
      <c r="D718" t="s">
        <v>4892</v>
      </c>
      <c r="F718" t="s">
        <v>1834</v>
      </c>
      <c r="G718" t="s">
        <v>4893</v>
      </c>
      <c r="H718" t="s">
        <v>4894</v>
      </c>
    </row>
    <row r="719" spans="1:8" x14ac:dyDescent="0.25">
      <c r="A719" t="s">
        <v>504</v>
      </c>
      <c r="B719">
        <f>VLOOKUP(A719,art_category_path_name!A:B,2,FALSE)</f>
        <v>585</v>
      </c>
      <c r="C719" t="s">
        <v>4895</v>
      </c>
      <c r="D719" t="s">
        <v>4896</v>
      </c>
      <c r="F719" t="s">
        <v>1834</v>
      </c>
      <c r="G719" t="s">
        <v>4897</v>
      </c>
      <c r="H719" t="s">
        <v>4898</v>
      </c>
    </row>
    <row r="720" spans="1:8" x14ac:dyDescent="0.25">
      <c r="A720" t="s">
        <v>505</v>
      </c>
      <c r="B720">
        <f>VLOOKUP(A720,art_category_path_name!A:B,2,FALSE)</f>
        <v>586</v>
      </c>
      <c r="C720" t="s">
        <v>4899</v>
      </c>
      <c r="D720" t="s">
        <v>4900</v>
      </c>
      <c r="F720" t="s">
        <v>1834</v>
      </c>
      <c r="G720" t="s">
        <v>4901</v>
      </c>
      <c r="H720" t="s">
        <v>4902</v>
      </c>
    </row>
    <row r="721" spans="1:8" x14ac:dyDescent="0.25">
      <c r="A721" t="s">
        <v>506</v>
      </c>
      <c r="B721">
        <f>VLOOKUP(A721,art_category_path_name!A:B,2,FALSE)</f>
        <v>587</v>
      </c>
      <c r="C721" t="s">
        <v>4903</v>
      </c>
      <c r="D721" t="s">
        <v>4904</v>
      </c>
      <c r="F721" t="s">
        <v>1834</v>
      </c>
      <c r="G721" t="s">
        <v>4905</v>
      </c>
      <c r="H721" t="s">
        <v>4906</v>
      </c>
    </row>
    <row r="722" spans="1:8" x14ac:dyDescent="0.25">
      <c r="A722" t="s">
        <v>507</v>
      </c>
      <c r="B722">
        <f>VLOOKUP(A722,art_category_path_name!A:B,2,FALSE)</f>
        <v>588</v>
      </c>
      <c r="C722" t="s">
        <v>4907</v>
      </c>
      <c r="D722" t="s">
        <v>4908</v>
      </c>
      <c r="F722" t="s">
        <v>1834</v>
      </c>
      <c r="G722" t="s">
        <v>4909</v>
      </c>
      <c r="H722" t="s">
        <v>4910</v>
      </c>
    </row>
    <row r="723" spans="1:8" x14ac:dyDescent="0.25">
      <c r="A723" t="s">
        <v>509</v>
      </c>
      <c r="B723">
        <f>VLOOKUP(A723,art_category_path_name!A:B,2,FALSE)</f>
        <v>590</v>
      </c>
      <c r="C723" t="s">
        <v>4911</v>
      </c>
      <c r="D723" t="s">
        <v>4912</v>
      </c>
      <c r="F723" t="s">
        <v>1834</v>
      </c>
      <c r="G723" t="s">
        <v>4913</v>
      </c>
      <c r="H723" t="s">
        <v>4914</v>
      </c>
    </row>
    <row r="724" spans="1:8" x14ac:dyDescent="0.25">
      <c r="A724" t="s">
        <v>510</v>
      </c>
      <c r="B724">
        <f>VLOOKUP(A724,art_category_path_name!A:B,2,FALSE)</f>
        <v>591</v>
      </c>
      <c r="C724" t="s">
        <v>4915</v>
      </c>
      <c r="D724" t="s">
        <v>4916</v>
      </c>
      <c r="F724" t="s">
        <v>1834</v>
      </c>
      <c r="G724" t="s">
        <v>4917</v>
      </c>
      <c r="H724" t="s">
        <v>4918</v>
      </c>
    </row>
    <row r="725" spans="1:8" x14ac:dyDescent="0.25">
      <c r="A725" t="s">
        <v>511</v>
      </c>
      <c r="B725">
        <f>VLOOKUP(A725,art_category_path_name!A:B,2,FALSE)</f>
        <v>592</v>
      </c>
      <c r="C725" t="s">
        <v>4919</v>
      </c>
      <c r="D725" t="s">
        <v>4920</v>
      </c>
      <c r="F725" t="s">
        <v>1834</v>
      </c>
      <c r="G725" t="s">
        <v>4921</v>
      </c>
      <c r="H725" t="s">
        <v>4922</v>
      </c>
    </row>
    <row r="726" spans="1:8" x14ac:dyDescent="0.25">
      <c r="A726" t="s">
        <v>815</v>
      </c>
      <c r="B726">
        <f>VLOOKUP(A726,art_category_path_name!A:B,2,FALSE)</f>
        <v>594</v>
      </c>
      <c r="C726" t="s">
        <v>4923</v>
      </c>
      <c r="D726" t="s">
        <v>4924</v>
      </c>
      <c r="E726" t="s">
        <v>4925</v>
      </c>
      <c r="F726" t="s">
        <v>4926</v>
      </c>
      <c r="G726" t="s">
        <v>4927</v>
      </c>
      <c r="H726" t="s">
        <v>4928</v>
      </c>
    </row>
    <row r="727" spans="1:8" x14ac:dyDescent="0.25">
      <c r="A727" t="s">
        <v>816</v>
      </c>
      <c r="B727">
        <f>VLOOKUP(A727,art_category_path_name!A:B,2,FALSE)</f>
        <v>595</v>
      </c>
      <c r="C727" t="s">
        <v>4929</v>
      </c>
      <c r="D727" t="s">
        <v>4930</v>
      </c>
      <c r="E727" t="s">
        <v>4931</v>
      </c>
      <c r="F727" t="s">
        <v>4932</v>
      </c>
      <c r="G727" t="s">
        <v>4933</v>
      </c>
      <c r="H727" t="s">
        <v>4934</v>
      </c>
    </row>
    <row r="728" spans="1:8" x14ac:dyDescent="0.25">
      <c r="A728" t="s">
        <v>817</v>
      </c>
      <c r="B728">
        <f>VLOOKUP(A728,art_category_path_name!A:B,2,FALSE)</f>
        <v>596</v>
      </c>
      <c r="C728" t="s">
        <v>4935</v>
      </c>
      <c r="D728" t="s">
        <v>4936</v>
      </c>
      <c r="E728" t="s">
        <v>4937</v>
      </c>
      <c r="F728" t="s">
        <v>4938</v>
      </c>
      <c r="G728" t="s">
        <v>4939</v>
      </c>
      <c r="H728" t="s">
        <v>4940</v>
      </c>
    </row>
    <row r="729" spans="1:8" x14ac:dyDescent="0.25">
      <c r="A729" t="s">
        <v>818</v>
      </c>
      <c r="B729">
        <f>VLOOKUP(A729,art_category_path_name!A:B,2,FALSE)</f>
        <v>597</v>
      </c>
      <c r="C729" t="s">
        <v>4941</v>
      </c>
      <c r="D729" t="s">
        <v>4942</v>
      </c>
      <c r="E729" t="s">
        <v>4943</v>
      </c>
      <c r="F729" t="s">
        <v>4944</v>
      </c>
      <c r="G729" t="s">
        <v>4945</v>
      </c>
      <c r="H729" t="s">
        <v>4946</v>
      </c>
    </row>
    <row r="730" spans="1:8" x14ac:dyDescent="0.25">
      <c r="A730" t="s">
        <v>819</v>
      </c>
      <c r="B730">
        <f>VLOOKUP(A730,art_category_path_name!A:B,2,FALSE)</f>
        <v>598</v>
      </c>
      <c r="C730" t="s">
        <v>4947</v>
      </c>
      <c r="D730" t="s">
        <v>4948</v>
      </c>
      <c r="E730" t="s">
        <v>4949</v>
      </c>
      <c r="F730" t="s">
        <v>4950</v>
      </c>
      <c r="G730" t="s">
        <v>4951</v>
      </c>
      <c r="H730" t="s">
        <v>4952</v>
      </c>
    </row>
    <row r="731" spans="1:8" x14ac:dyDescent="0.25">
      <c r="A731" t="s">
        <v>820</v>
      </c>
      <c r="B731">
        <f>VLOOKUP(A731,art_category_path_name!A:B,2,FALSE)</f>
        <v>599</v>
      </c>
      <c r="C731" t="s">
        <v>4953</v>
      </c>
      <c r="D731" t="s">
        <v>4954</v>
      </c>
      <c r="E731" t="s">
        <v>4955</v>
      </c>
      <c r="F731" t="s">
        <v>4956</v>
      </c>
      <c r="G731" t="s">
        <v>4957</v>
      </c>
      <c r="H731" t="s">
        <v>4958</v>
      </c>
    </row>
    <row r="732" spans="1:8" x14ac:dyDescent="0.25">
      <c r="A732" t="s">
        <v>821</v>
      </c>
      <c r="B732">
        <f>VLOOKUP(A732,art_category_path_name!A:B,2,FALSE)</f>
        <v>600</v>
      </c>
      <c r="C732" t="s">
        <v>4959</v>
      </c>
      <c r="D732" t="s">
        <v>4960</v>
      </c>
      <c r="E732" t="s">
        <v>4961</v>
      </c>
      <c r="F732" t="s">
        <v>4962</v>
      </c>
      <c r="G732" t="s">
        <v>4963</v>
      </c>
      <c r="H732" t="s">
        <v>4964</v>
      </c>
    </row>
    <row r="733" spans="1:8" x14ac:dyDescent="0.25">
      <c r="A733" t="s">
        <v>823</v>
      </c>
      <c r="B733">
        <f>VLOOKUP(A733,art_category_path_name!A:B,2,FALSE)</f>
        <v>602</v>
      </c>
      <c r="C733" t="s">
        <v>4965</v>
      </c>
      <c r="D733" t="s">
        <v>4966</v>
      </c>
      <c r="E733" t="s">
        <v>4967</v>
      </c>
      <c r="F733" t="s">
        <v>4968</v>
      </c>
      <c r="G733" t="s">
        <v>4969</v>
      </c>
      <c r="H733" t="s">
        <v>4970</v>
      </c>
    </row>
    <row r="734" spans="1:8" x14ac:dyDescent="0.25">
      <c r="A734" t="s">
        <v>84</v>
      </c>
      <c r="B734">
        <f>VLOOKUP(A734,art_category_path_name!A:B,2,FALSE)</f>
        <v>604</v>
      </c>
      <c r="C734" t="s">
        <v>4971</v>
      </c>
      <c r="D734" t="s">
        <v>4972</v>
      </c>
      <c r="E734" t="s">
        <v>4973</v>
      </c>
      <c r="F734" t="s">
        <v>4974</v>
      </c>
      <c r="G734" t="s">
        <v>4975</v>
      </c>
      <c r="H734" t="s">
        <v>4976</v>
      </c>
    </row>
    <row r="735" spans="1:8" x14ac:dyDescent="0.25">
      <c r="A735" t="s">
        <v>85</v>
      </c>
      <c r="B735">
        <f>VLOOKUP(A735,art_category_path_name!A:B,2,FALSE)</f>
        <v>605</v>
      </c>
      <c r="C735" t="s">
        <v>4977</v>
      </c>
      <c r="D735" t="s">
        <v>4978</v>
      </c>
      <c r="E735" t="s">
        <v>4979</v>
      </c>
      <c r="F735" t="s">
        <v>4980</v>
      </c>
      <c r="G735" t="s">
        <v>4981</v>
      </c>
      <c r="H735" t="s">
        <v>4982</v>
      </c>
    </row>
    <row r="736" spans="1:8" x14ac:dyDescent="0.25">
      <c r="A736" t="s">
        <v>86</v>
      </c>
      <c r="B736">
        <f>VLOOKUP(A736,art_category_path_name!A:B,2,FALSE)</f>
        <v>606</v>
      </c>
      <c r="C736" t="s">
        <v>4983</v>
      </c>
      <c r="D736" t="s">
        <v>4984</v>
      </c>
      <c r="F736" t="s">
        <v>1834</v>
      </c>
      <c r="G736" t="s">
        <v>4985</v>
      </c>
      <c r="H736" t="s">
        <v>4986</v>
      </c>
    </row>
    <row r="737" spans="1:8" x14ac:dyDescent="0.25">
      <c r="A737" t="s">
        <v>963</v>
      </c>
      <c r="B737">
        <f>VLOOKUP(A737,art_category_path_name!A:B,2,FALSE)</f>
        <v>608</v>
      </c>
      <c r="C737" t="s">
        <v>4987</v>
      </c>
      <c r="D737" t="s">
        <v>4988</v>
      </c>
      <c r="E737" t="s">
        <v>4989</v>
      </c>
      <c r="F737" t="s">
        <v>4990</v>
      </c>
      <c r="G737" t="s">
        <v>4991</v>
      </c>
      <c r="H737" t="s">
        <v>4992</v>
      </c>
    </row>
    <row r="738" spans="1:8" x14ac:dyDescent="0.25">
      <c r="A738" t="s">
        <v>964</v>
      </c>
      <c r="B738">
        <f>VLOOKUP(A738,art_category_path_name!A:B,2,FALSE)</f>
        <v>609</v>
      </c>
      <c r="C738" t="s">
        <v>4993</v>
      </c>
      <c r="D738" t="s">
        <v>4994</v>
      </c>
      <c r="E738" t="s">
        <v>4995</v>
      </c>
      <c r="F738" t="s">
        <v>4996</v>
      </c>
      <c r="G738" t="s">
        <v>4997</v>
      </c>
      <c r="H738" t="s">
        <v>4998</v>
      </c>
    </row>
    <row r="739" spans="1:8" x14ac:dyDescent="0.25">
      <c r="A739" t="s">
        <v>965</v>
      </c>
      <c r="B739">
        <f>VLOOKUP(A739,art_category_path_name!A:B,2,FALSE)</f>
        <v>610</v>
      </c>
      <c r="C739" t="s">
        <v>4999</v>
      </c>
      <c r="D739" t="s">
        <v>5000</v>
      </c>
      <c r="E739" t="s">
        <v>5001</v>
      </c>
      <c r="F739" t="s">
        <v>5002</v>
      </c>
      <c r="G739" t="s">
        <v>5003</v>
      </c>
      <c r="H739" t="s">
        <v>5004</v>
      </c>
    </row>
    <row r="740" spans="1:8" x14ac:dyDescent="0.25">
      <c r="A740" t="s">
        <v>650</v>
      </c>
      <c r="B740">
        <f>VLOOKUP(A740,art_category_path_name!A:B,2,FALSE)</f>
        <v>612</v>
      </c>
      <c r="C740" t="s">
        <v>5005</v>
      </c>
      <c r="D740" t="s">
        <v>5006</v>
      </c>
      <c r="E740" t="s">
        <v>5007</v>
      </c>
      <c r="F740" t="s">
        <v>5008</v>
      </c>
      <c r="G740" t="s">
        <v>5009</v>
      </c>
      <c r="H740" t="s">
        <v>5010</v>
      </c>
    </row>
    <row r="741" spans="1:8" x14ac:dyDescent="0.25">
      <c r="A741" t="s">
        <v>182</v>
      </c>
      <c r="B741">
        <f>VLOOKUP(A741,art_category_path_name!A:B,2,FALSE)</f>
        <v>614</v>
      </c>
      <c r="C741" t="s">
        <v>5011</v>
      </c>
      <c r="D741" t="s">
        <v>5012</v>
      </c>
      <c r="E741" t="s">
        <v>5013</v>
      </c>
      <c r="F741" t="s">
        <v>5014</v>
      </c>
      <c r="G741" t="s">
        <v>5015</v>
      </c>
      <c r="H741" t="s">
        <v>5016</v>
      </c>
    </row>
    <row r="742" spans="1:8" x14ac:dyDescent="0.25">
      <c r="A742" t="s">
        <v>183</v>
      </c>
      <c r="B742">
        <f>VLOOKUP(A742,art_category_path_name!A:B,2,FALSE)</f>
        <v>615</v>
      </c>
      <c r="C742" t="s">
        <v>5017</v>
      </c>
      <c r="D742" t="s">
        <v>5018</v>
      </c>
      <c r="E742" t="s">
        <v>5019</v>
      </c>
      <c r="F742" t="s">
        <v>5020</v>
      </c>
      <c r="G742" t="s">
        <v>5021</v>
      </c>
      <c r="H742" t="s">
        <v>5022</v>
      </c>
    </row>
    <row r="743" spans="1:8" x14ac:dyDescent="0.25">
      <c r="A743" t="s">
        <v>184</v>
      </c>
      <c r="B743">
        <f>VLOOKUP(A743,art_category_path_name!A:B,2,FALSE)</f>
        <v>616</v>
      </c>
      <c r="C743" t="s">
        <v>5023</v>
      </c>
      <c r="D743" t="s">
        <v>5024</v>
      </c>
      <c r="E743" t="s">
        <v>5025</v>
      </c>
      <c r="F743" t="s">
        <v>5026</v>
      </c>
      <c r="G743" t="s">
        <v>5027</v>
      </c>
      <c r="H743" t="s">
        <v>5028</v>
      </c>
    </row>
    <row r="744" spans="1:8" x14ac:dyDescent="0.25">
      <c r="A744" t="s">
        <v>185</v>
      </c>
      <c r="B744">
        <f>VLOOKUP(A744,art_category_path_name!A:B,2,FALSE)</f>
        <v>617</v>
      </c>
      <c r="C744" t="s">
        <v>5029</v>
      </c>
      <c r="D744" t="s">
        <v>5030</v>
      </c>
      <c r="F744" t="s">
        <v>1834</v>
      </c>
      <c r="G744" t="s">
        <v>5031</v>
      </c>
      <c r="H744" t="s">
        <v>5032</v>
      </c>
    </row>
    <row r="745" spans="1:8" x14ac:dyDescent="0.25">
      <c r="A745" t="s">
        <v>186</v>
      </c>
      <c r="B745">
        <f>VLOOKUP(A745,art_category_path_name!A:B,2,FALSE)</f>
        <v>618</v>
      </c>
      <c r="C745" t="s">
        <v>5033</v>
      </c>
      <c r="D745" t="s">
        <v>5034</v>
      </c>
      <c r="E745" t="s">
        <v>5035</v>
      </c>
      <c r="F745" t="s">
        <v>5036</v>
      </c>
      <c r="G745" t="s">
        <v>5037</v>
      </c>
      <c r="H745" t="s">
        <v>5038</v>
      </c>
    </row>
    <row r="746" spans="1:8" x14ac:dyDescent="0.25">
      <c r="A746" t="s">
        <v>187</v>
      </c>
      <c r="B746">
        <f>VLOOKUP(A746,art_category_path_name!A:B,2,FALSE)</f>
        <v>619</v>
      </c>
      <c r="C746" t="s">
        <v>5039</v>
      </c>
      <c r="D746" t="s">
        <v>5040</v>
      </c>
      <c r="E746" t="s">
        <v>5041</v>
      </c>
      <c r="F746" t="s">
        <v>5042</v>
      </c>
      <c r="G746" t="s">
        <v>5043</v>
      </c>
      <c r="H746" t="s">
        <v>5044</v>
      </c>
    </row>
    <row r="747" spans="1:8" x14ac:dyDescent="0.25">
      <c r="A747" t="s">
        <v>1259</v>
      </c>
      <c r="B747">
        <f>VLOOKUP(A747,art_category_path_name!A:B,2,FALSE)</f>
        <v>622</v>
      </c>
      <c r="C747" t="s">
        <v>5045</v>
      </c>
      <c r="D747" t="s">
        <v>5046</v>
      </c>
      <c r="F747" t="s">
        <v>1834</v>
      </c>
      <c r="G747" t="s">
        <v>5047</v>
      </c>
      <c r="H747" t="s">
        <v>5048</v>
      </c>
    </row>
    <row r="748" spans="1:8" x14ac:dyDescent="0.25">
      <c r="A748" t="s">
        <v>1260</v>
      </c>
      <c r="B748">
        <f>VLOOKUP(A748,art_category_path_name!A:B,2,FALSE)</f>
        <v>623</v>
      </c>
      <c r="C748" t="s">
        <v>5049</v>
      </c>
      <c r="D748" t="s">
        <v>5050</v>
      </c>
      <c r="F748" t="s">
        <v>1834</v>
      </c>
      <c r="G748" t="s">
        <v>5051</v>
      </c>
      <c r="H748" t="s">
        <v>5052</v>
      </c>
    </row>
    <row r="749" spans="1:8" x14ac:dyDescent="0.25">
      <c r="A749" t="s">
        <v>1261</v>
      </c>
      <c r="B749">
        <f>VLOOKUP(A749,art_category_path_name!A:B,2,FALSE)</f>
        <v>624</v>
      </c>
      <c r="C749" t="s">
        <v>5049</v>
      </c>
      <c r="D749" t="s">
        <v>5053</v>
      </c>
      <c r="F749" t="s">
        <v>1834</v>
      </c>
      <c r="G749" t="s">
        <v>5054</v>
      </c>
      <c r="H749" t="s">
        <v>5055</v>
      </c>
    </row>
    <row r="750" spans="1:8" x14ac:dyDescent="0.25">
      <c r="A750" t="s">
        <v>1262</v>
      </c>
      <c r="B750">
        <f>VLOOKUP(A750,art_category_path_name!A:B,2,FALSE)</f>
        <v>625</v>
      </c>
      <c r="C750" t="s">
        <v>5049</v>
      </c>
      <c r="D750" t="s">
        <v>5056</v>
      </c>
      <c r="F750" t="s">
        <v>1834</v>
      </c>
      <c r="G750" t="s">
        <v>5057</v>
      </c>
      <c r="H750" t="s">
        <v>5058</v>
      </c>
    </row>
    <row r="751" spans="1:8" x14ac:dyDescent="0.25">
      <c r="A751" t="s">
        <v>1263</v>
      </c>
      <c r="B751">
        <f>VLOOKUP(A751,art_category_path_name!A:B,2,FALSE)</f>
        <v>626</v>
      </c>
      <c r="C751" t="s">
        <v>5049</v>
      </c>
      <c r="D751" t="s">
        <v>5059</v>
      </c>
      <c r="F751" t="s">
        <v>1834</v>
      </c>
      <c r="G751" t="s">
        <v>5060</v>
      </c>
      <c r="H751" t="s">
        <v>5061</v>
      </c>
    </row>
    <row r="752" spans="1:8" x14ac:dyDescent="0.25">
      <c r="A752" t="s">
        <v>1264</v>
      </c>
      <c r="B752">
        <f>VLOOKUP(A752,art_category_path_name!A:B,2,FALSE)</f>
        <v>627</v>
      </c>
      <c r="C752" t="s">
        <v>5062</v>
      </c>
      <c r="D752" t="s">
        <v>5063</v>
      </c>
      <c r="F752" t="s">
        <v>1834</v>
      </c>
      <c r="G752" t="s">
        <v>5064</v>
      </c>
      <c r="H752" t="s">
        <v>5065</v>
      </c>
    </row>
    <row r="753" spans="1:8" x14ac:dyDescent="0.25">
      <c r="A753" t="s">
        <v>1265</v>
      </c>
      <c r="B753">
        <f>VLOOKUP(A753,art_category_path_name!A:B,2,FALSE)</f>
        <v>628</v>
      </c>
      <c r="C753" t="s">
        <v>1585</v>
      </c>
      <c r="D753" t="s">
        <v>5066</v>
      </c>
      <c r="F753" t="s">
        <v>1834</v>
      </c>
      <c r="G753" t="s">
        <v>5067</v>
      </c>
      <c r="H753" t="s">
        <v>5068</v>
      </c>
    </row>
    <row r="754" spans="1:8" x14ac:dyDescent="0.25">
      <c r="A754" t="s">
        <v>1266</v>
      </c>
      <c r="B754">
        <f>VLOOKUP(A754,art_category_path_name!A:B,2,FALSE)</f>
        <v>629</v>
      </c>
      <c r="C754" t="s">
        <v>5049</v>
      </c>
      <c r="D754" t="s">
        <v>5069</v>
      </c>
      <c r="F754" t="s">
        <v>1834</v>
      </c>
      <c r="G754" t="s">
        <v>5070</v>
      </c>
      <c r="H754" t="s">
        <v>5071</v>
      </c>
    </row>
    <row r="755" spans="1:8" x14ac:dyDescent="0.25">
      <c r="A755" t="s">
        <v>222</v>
      </c>
      <c r="B755">
        <f>VLOOKUP(A755,art_category_path_name!A:B,2,FALSE)</f>
        <v>631</v>
      </c>
      <c r="C755" t="s">
        <v>5072</v>
      </c>
      <c r="D755" t="s">
        <v>5073</v>
      </c>
      <c r="E755" t="s">
        <v>5074</v>
      </c>
      <c r="F755" t="s">
        <v>5075</v>
      </c>
      <c r="G755" t="s">
        <v>5076</v>
      </c>
      <c r="H755" t="s">
        <v>5077</v>
      </c>
    </row>
    <row r="756" spans="1:8" x14ac:dyDescent="0.25">
      <c r="A756" t="s">
        <v>223</v>
      </c>
      <c r="B756">
        <f>VLOOKUP(A756,art_category_path_name!A:B,2,FALSE)</f>
        <v>632</v>
      </c>
      <c r="C756" t="s">
        <v>5078</v>
      </c>
      <c r="D756" t="s">
        <v>5079</v>
      </c>
      <c r="E756" t="s">
        <v>5080</v>
      </c>
      <c r="F756" t="s">
        <v>5081</v>
      </c>
      <c r="G756" t="s">
        <v>5082</v>
      </c>
      <c r="H756" t="s">
        <v>5083</v>
      </c>
    </row>
    <row r="757" spans="1:8" x14ac:dyDescent="0.25">
      <c r="A757" t="s">
        <v>225</v>
      </c>
      <c r="B757">
        <f>VLOOKUP(A757,art_category_path_name!A:B,2,FALSE)</f>
        <v>634</v>
      </c>
      <c r="C757" t="s">
        <v>5084</v>
      </c>
      <c r="D757" t="s">
        <v>5085</v>
      </c>
      <c r="E757" t="s">
        <v>5086</v>
      </c>
      <c r="F757" t="s">
        <v>5087</v>
      </c>
      <c r="G757" t="s">
        <v>5088</v>
      </c>
      <c r="H757" t="s">
        <v>5089</v>
      </c>
    </row>
    <row r="758" spans="1:8" x14ac:dyDescent="0.25">
      <c r="A758" t="s">
        <v>226</v>
      </c>
      <c r="B758">
        <f>VLOOKUP(A758,art_category_path_name!A:B,2,FALSE)</f>
        <v>635</v>
      </c>
      <c r="C758" t="s">
        <v>5090</v>
      </c>
      <c r="D758" t="s">
        <v>5091</v>
      </c>
      <c r="E758" t="s">
        <v>5092</v>
      </c>
      <c r="F758" t="s">
        <v>5093</v>
      </c>
      <c r="G758" t="s">
        <v>5094</v>
      </c>
      <c r="H758" t="s">
        <v>5095</v>
      </c>
    </row>
    <row r="759" spans="1:8" x14ac:dyDescent="0.25">
      <c r="A759" t="s">
        <v>227</v>
      </c>
      <c r="B759">
        <f>VLOOKUP(A759,art_category_path_name!A:B,2,FALSE)</f>
        <v>636</v>
      </c>
      <c r="C759" t="s">
        <v>5096</v>
      </c>
      <c r="D759" t="s">
        <v>5097</v>
      </c>
      <c r="E759" t="s">
        <v>5098</v>
      </c>
      <c r="F759" t="s">
        <v>5099</v>
      </c>
      <c r="G759" t="s">
        <v>5100</v>
      </c>
      <c r="H759" t="s">
        <v>5101</v>
      </c>
    </row>
    <row r="760" spans="1:8" x14ac:dyDescent="0.25">
      <c r="A760" t="s">
        <v>228</v>
      </c>
      <c r="B760">
        <f>VLOOKUP(A760,art_category_path_name!A:B,2,FALSE)</f>
        <v>637</v>
      </c>
      <c r="C760" t="s">
        <v>5102</v>
      </c>
      <c r="D760" t="s">
        <v>5103</v>
      </c>
      <c r="E760" t="s">
        <v>5104</v>
      </c>
      <c r="F760" t="s">
        <v>5105</v>
      </c>
      <c r="G760" t="s">
        <v>5106</v>
      </c>
      <c r="H760" t="s">
        <v>5107</v>
      </c>
    </row>
    <row r="761" spans="1:8" x14ac:dyDescent="0.25">
      <c r="A761" t="s">
        <v>229</v>
      </c>
      <c r="B761">
        <f>VLOOKUP(A761,art_category_path_name!A:B,2,FALSE)</f>
        <v>638</v>
      </c>
      <c r="C761" t="s">
        <v>5108</v>
      </c>
      <c r="D761" t="s">
        <v>5109</v>
      </c>
      <c r="E761" t="s">
        <v>5110</v>
      </c>
      <c r="F761" t="s">
        <v>5111</v>
      </c>
      <c r="G761" t="s">
        <v>5112</v>
      </c>
      <c r="H761" t="s">
        <v>5113</v>
      </c>
    </row>
    <row r="762" spans="1:8" x14ac:dyDescent="0.25">
      <c r="A762" t="s">
        <v>231</v>
      </c>
      <c r="B762">
        <f>VLOOKUP(A762,art_category_path_name!A:B,2,FALSE)</f>
        <v>640</v>
      </c>
      <c r="C762" t="s">
        <v>5114</v>
      </c>
      <c r="D762" t="s">
        <v>5115</v>
      </c>
      <c r="E762" t="s">
        <v>5116</v>
      </c>
      <c r="F762" t="s">
        <v>5117</v>
      </c>
      <c r="G762" t="s">
        <v>5118</v>
      </c>
      <c r="H762" t="s">
        <v>5119</v>
      </c>
    </row>
    <row r="763" spans="1:8" x14ac:dyDescent="0.25">
      <c r="A763" t="s">
        <v>232</v>
      </c>
      <c r="B763">
        <f>VLOOKUP(A763,art_category_path_name!A:B,2,FALSE)</f>
        <v>641</v>
      </c>
      <c r="C763" t="s">
        <v>5120</v>
      </c>
      <c r="D763" t="s">
        <v>5121</v>
      </c>
      <c r="E763" t="s">
        <v>5122</v>
      </c>
      <c r="F763" t="s">
        <v>5123</v>
      </c>
      <c r="G763" t="s">
        <v>5124</v>
      </c>
      <c r="H763" t="s">
        <v>5125</v>
      </c>
    </row>
    <row r="764" spans="1:8" x14ac:dyDescent="0.25">
      <c r="A764" t="s">
        <v>233</v>
      </c>
      <c r="B764">
        <f>VLOOKUP(A764,art_category_path_name!A:B,2,FALSE)</f>
        <v>642</v>
      </c>
      <c r="C764" t="s">
        <v>5126</v>
      </c>
      <c r="D764" t="s">
        <v>5127</v>
      </c>
      <c r="E764" t="s">
        <v>5128</v>
      </c>
      <c r="F764" t="s">
        <v>5129</v>
      </c>
      <c r="G764" t="s">
        <v>5130</v>
      </c>
      <c r="H764" t="s">
        <v>5131</v>
      </c>
    </row>
    <row r="765" spans="1:8" x14ac:dyDescent="0.25">
      <c r="A765" t="s">
        <v>234</v>
      </c>
      <c r="B765">
        <f>VLOOKUP(A765,art_category_path_name!A:B,2,FALSE)</f>
        <v>643</v>
      </c>
      <c r="C765" t="s">
        <v>5132</v>
      </c>
      <c r="D765" t="s">
        <v>5133</v>
      </c>
      <c r="E765" t="s">
        <v>5134</v>
      </c>
      <c r="F765" t="s">
        <v>5135</v>
      </c>
      <c r="G765" t="s">
        <v>5136</v>
      </c>
      <c r="H765" t="s">
        <v>5137</v>
      </c>
    </row>
    <row r="766" spans="1:8" x14ac:dyDescent="0.25">
      <c r="A766" t="s">
        <v>236</v>
      </c>
      <c r="B766">
        <f>VLOOKUP(A766,art_category_path_name!A:B,2,FALSE)</f>
        <v>645</v>
      </c>
      <c r="C766" t="s">
        <v>5138</v>
      </c>
      <c r="D766" t="s">
        <v>5139</v>
      </c>
      <c r="F766" t="s">
        <v>1834</v>
      </c>
      <c r="G766" t="s">
        <v>5140</v>
      </c>
      <c r="H766" t="s">
        <v>5141</v>
      </c>
    </row>
    <row r="767" spans="1:8" x14ac:dyDescent="0.25">
      <c r="A767" t="s">
        <v>237</v>
      </c>
      <c r="B767">
        <f>VLOOKUP(A767,art_category_path_name!A:B,2,FALSE)</f>
        <v>646</v>
      </c>
      <c r="C767" t="s">
        <v>5142</v>
      </c>
      <c r="D767" t="s">
        <v>5143</v>
      </c>
      <c r="E767" t="s">
        <v>5144</v>
      </c>
      <c r="F767" t="s">
        <v>5145</v>
      </c>
      <c r="G767" t="s">
        <v>5146</v>
      </c>
      <c r="H767" t="s">
        <v>5147</v>
      </c>
    </row>
    <row r="768" spans="1:8" x14ac:dyDescent="0.25">
      <c r="A768" t="s">
        <v>238</v>
      </c>
      <c r="B768">
        <f>VLOOKUP(A768,art_category_path_name!A:B,2,FALSE)</f>
        <v>647</v>
      </c>
      <c r="C768" t="s">
        <v>5148</v>
      </c>
      <c r="D768" t="s">
        <v>5149</v>
      </c>
      <c r="F768" t="s">
        <v>1834</v>
      </c>
      <c r="G768" t="s">
        <v>5150</v>
      </c>
      <c r="H768" t="s">
        <v>5151</v>
      </c>
    </row>
    <row r="769" spans="1:8" x14ac:dyDescent="0.25">
      <c r="A769" t="s">
        <v>239</v>
      </c>
      <c r="B769">
        <f>VLOOKUP(A769,art_category_path_name!A:B,2,FALSE)</f>
        <v>648</v>
      </c>
      <c r="C769" t="s">
        <v>5152</v>
      </c>
      <c r="D769" t="s">
        <v>5153</v>
      </c>
      <c r="F769" t="s">
        <v>1834</v>
      </c>
      <c r="G769" t="s">
        <v>5154</v>
      </c>
      <c r="H769" t="s">
        <v>5155</v>
      </c>
    </row>
    <row r="770" spans="1:8" x14ac:dyDescent="0.25">
      <c r="A770" t="s">
        <v>240</v>
      </c>
      <c r="B770">
        <f>VLOOKUP(A770,art_category_path_name!A:B,2,FALSE)</f>
        <v>649</v>
      </c>
      <c r="C770" t="s">
        <v>5156</v>
      </c>
      <c r="D770" t="s">
        <v>5157</v>
      </c>
      <c r="F770" t="s">
        <v>1834</v>
      </c>
      <c r="G770" t="s">
        <v>5158</v>
      </c>
      <c r="H770" t="s">
        <v>5159</v>
      </c>
    </row>
    <row r="771" spans="1:8" x14ac:dyDescent="0.25">
      <c r="A771" t="s">
        <v>241</v>
      </c>
      <c r="B771">
        <f>VLOOKUP(A771,art_category_path_name!A:B,2,FALSE)</f>
        <v>650</v>
      </c>
      <c r="C771" t="s">
        <v>5160</v>
      </c>
      <c r="D771" t="s">
        <v>5161</v>
      </c>
      <c r="F771" t="s">
        <v>1834</v>
      </c>
      <c r="G771" t="s">
        <v>5162</v>
      </c>
      <c r="H771" t="s">
        <v>5163</v>
      </c>
    </row>
    <row r="772" spans="1:8" x14ac:dyDescent="0.25">
      <c r="A772" t="s">
        <v>242</v>
      </c>
      <c r="B772">
        <f>VLOOKUP(A772,art_category_path_name!A:B,2,FALSE)</f>
        <v>651</v>
      </c>
      <c r="C772" t="s">
        <v>5164</v>
      </c>
      <c r="D772" t="s">
        <v>5165</v>
      </c>
      <c r="E772" t="s">
        <v>5166</v>
      </c>
      <c r="F772" t="s">
        <v>5167</v>
      </c>
      <c r="G772" t="s">
        <v>5168</v>
      </c>
      <c r="H772" t="s">
        <v>5169</v>
      </c>
    </row>
    <row r="773" spans="1:8" x14ac:dyDescent="0.25">
      <c r="A773" t="s">
        <v>243</v>
      </c>
      <c r="B773">
        <f>VLOOKUP(A773,art_category_path_name!A:B,2,FALSE)</f>
        <v>652</v>
      </c>
      <c r="C773" t="s">
        <v>5170</v>
      </c>
      <c r="D773" t="s">
        <v>5171</v>
      </c>
      <c r="E773" t="s">
        <v>5172</v>
      </c>
      <c r="F773" t="s">
        <v>5173</v>
      </c>
      <c r="G773" t="s">
        <v>5174</v>
      </c>
      <c r="H773" t="s">
        <v>5175</v>
      </c>
    </row>
    <row r="774" spans="1:8" x14ac:dyDescent="0.25">
      <c r="A774" t="s">
        <v>244</v>
      </c>
      <c r="B774">
        <f>VLOOKUP(A774,art_category_path_name!A:B,2,FALSE)</f>
        <v>653</v>
      </c>
      <c r="C774" t="s">
        <v>5176</v>
      </c>
      <c r="D774" t="s">
        <v>5177</v>
      </c>
      <c r="F774" t="s">
        <v>1834</v>
      </c>
      <c r="G774" t="s">
        <v>5178</v>
      </c>
      <c r="H774" t="s">
        <v>5179</v>
      </c>
    </row>
    <row r="775" spans="1:8" x14ac:dyDescent="0.25">
      <c r="A775" t="s">
        <v>245</v>
      </c>
      <c r="B775">
        <f>VLOOKUP(A775,art_category_path_name!A:B,2,FALSE)</f>
        <v>654</v>
      </c>
      <c r="C775" t="s">
        <v>5180</v>
      </c>
      <c r="D775" t="s">
        <v>5181</v>
      </c>
      <c r="E775" t="s">
        <v>5182</v>
      </c>
      <c r="F775" t="s">
        <v>5183</v>
      </c>
      <c r="G775" t="s">
        <v>5184</v>
      </c>
      <c r="H775" t="s">
        <v>5185</v>
      </c>
    </row>
    <row r="776" spans="1:8" x14ac:dyDescent="0.25">
      <c r="A776" t="s">
        <v>246</v>
      </c>
      <c r="B776">
        <f>VLOOKUP(A776,art_category_path_name!A:B,2,FALSE)</f>
        <v>655</v>
      </c>
      <c r="C776" t="s">
        <v>5186</v>
      </c>
      <c r="D776" t="s">
        <v>5187</v>
      </c>
      <c r="E776" t="s">
        <v>5188</v>
      </c>
      <c r="F776" t="s">
        <v>5189</v>
      </c>
      <c r="G776" t="s">
        <v>5190</v>
      </c>
      <c r="H776" t="s">
        <v>5191</v>
      </c>
    </row>
    <row r="777" spans="1:8" x14ac:dyDescent="0.25">
      <c r="A777" t="s">
        <v>247</v>
      </c>
      <c r="B777">
        <f>VLOOKUP(A777,art_category_path_name!A:B,2,FALSE)</f>
        <v>656</v>
      </c>
      <c r="C777" t="s">
        <v>5192</v>
      </c>
      <c r="D777" t="s">
        <v>5193</v>
      </c>
      <c r="E777" t="s">
        <v>5194</v>
      </c>
      <c r="F777" t="s">
        <v>5195</v>
      </c>
      <c r="G777" t="s">
        <v>5196</v>
      </c>
      <c r="H777" t="s">
        <v>5197</v>
      </c>
    </row>
    <row r="778" spans="1:8" x14ac:dyDescent="0.25">
      <c r="A778" t="s">
        <v>248</v>
      </c>
      <c r="B778">
        <f>VLOOKUP(A778,art_category_path_name!A:B,2,FALSE)</f>
        <v>657</v>
      </c>
      <c r="C778" t="s">
        <v>5198</v>
      </c>
      <c r="D778" t="s">
        <v>5199</v>
      </c>
      <c r="F778" t="s">
        <v>1834</v>
      </c>
      <c r="G778" t="s">
        <v>5200</v>
      </c>
      <c r="H778" t="s">
        <v>5201</v>
      </c>
    </row>
    <row r="779" spans="1:8" x14ac:dyDescent="0.25">
      <c r="A779" t="s">
        <v>249</v>
      </c>
      <c r="B779">
        <f>VLOOKUP(A779,art_category_path_name!A:B,2,FALSE)</f>
        <v>658</v>
      </c>
      <c r="C779" t="s">
        <v>5202</v>
      </c>
      <c r="D779" t="s">
        <v>5203</v>
      </c>
      <c r="E779" t="s">
        <v>5204</v>
      </c>
      <c r="F779" t="s">
        <v>5205</v>
      </c>
      <c r="G779" t="s">
        <v>5206</v>
      </c>
      <c r="H779" t="s">
        <v>5207</v>
      </c>
    </row>
    <row r="780" spans="1:8" x14ac:dyDescent="0.25">
      <c r="A780" t="s">
        <v>250</v>
      </c>
      <c r="B780">
        <f>VLOOKUP(A780,art_category_path_name!A:B,2,FALSE)</f>
        <v>659</v>
      </c>
      <c r="C780" t="s">
        <v>5208</v>
      </c>
      <c r="D780" t="s">
        <v>5209</v>
      </c>
      <c r="E780" t="s">
        <v>5210</v>
      </c>
      <c r="F780" t="s">
        <v>5211</v>
      </c>
      <c r="G780" t="s">
        <v>5212</v>
      </c>
      <c r="H780" t="s">
        <v>5213</v>
      </c>
    </row>
    <row r="781" spans="1:8" x14ac:dyDescent="0.25">
      <c r="A781" t="s">
        <v>251</v>
      </c>
      <c r="B781">
        <f>VLOOKUP(A781,art_category_path_name!A:B,2,FALSE)</f>
        <v>660</v>
      </c>
      <c r="C781" t="s">
        <v>5214</v>
      </c>
      <c r="D781" t="s">
        <v>5215</v>
      </c>
      <c r="F781" t="s">
        <v>1834</v>
      </c>
      <c r="G781" t="s">
        <v>5216</v>
      </c>
      <c r="H781" t="s">
        <v>5217</v>
      </c>
    </row>
    <row r="782" spans="1:8" x14ac:dyDescent="0.25">
      <c r="A782" t="s">
        <v>252</v>
      </c>
      <c r="B782">
        <f>VLOOKUP(A782,art_category_path_name!A:B,2,FALSE)</f>
        <v>661</v>
      </c>
      <c r="C782" t="s">
        <v>5218</v>
      </c>
      <c r="D782" t="s">
        <v>5219</v>
      </c>
      <c r="E782" t="s">
        <v>5220</v>
      </c>
      <c r="F782" t="s">
        <v>5221</v>
      </c>
      <c r="G782" t="s">
        <v>5222</v>
      </c>
      <c r="H782" t="s">
        <v>5223</v>
      </c>
    </row>
    <row r="783" spans="1:8" x14ac:dyDescent="0.25">
      <c r="A783" t="s">
        <v>253</v>
      </c>
      <c r="B783">
        <f>VLOOKUP(A783,art_category_path_name!A:B,2,FALSE)</f>
        <v>662</v>
      </c>
      <c r="C783" t="s">
        <v>5224</v>
      </c>
      <c r="D783" t="s">
        <v>5225</v>
      </c>
      <c r="F783" t="s">
        <v>1834</v>
      </c>
      <c r="G783" t="s">
        <v>5226</v>
      </c>
      <c r="H783" t="s">
        <v>5227</v>
      </c>
    </row>
    <row r="784" spans="1:8" x14ac:dyDescent="0.25">
      <c r="A784" t="s">
        <v>254</v>
      </c>
      <c r="B784">
        <f>VLOOKUP(A784,art_category_path_name!A:B,2,FALSE)</f>
        <v>663</v>
      </c>
      <c r="C784" t="s">
        <v>5228</v>
      </c>
      <c r="D784" t="s">
        <v>5229</v>
      </c>
      <c r="E784" t="s">
        <v>5230</v>
      </c>
      <c r="F784" t="s">
        <v>5231</v>
      </c>
      <c r="G784" t="s">
        <v>5232</v>
      </c>
      <c r="H784" t="s">
        <v>5233</v>
      </c>
    </row>
    <row r="785" spans="1:8" x14ac:dyDescent="0.25">
      <c r="A785" t="s">
        <v>255</v>
      </c>
      <c r="B785">
        <f>VLOOKUP(A785,art_category_path_name!A:B,2,FALSE)</f>
        <v>664</v>
      </c>
      <c r="C785" t="s">
        <v>5234</v>
      </c>
      <c r="D785" t="s">
        <v>5235</v>
      </c>
      <c r="E785" t="s">
        <v>5236</v>
      </c>
      <c r="F785" t="s">
        <v>5237</v>
      </c>
      <c r="G785" t="s">
        <v>5238</v>
      </c>
      <c r="H785" t="s">
        <v>5239</v>
      </c>
    </row>
    <row r="786" spans="1:8" x14ac:dyDescent="0.25">
      <c r="A786" t="s">
        <v>256</v>
      </c>
      <c r="B786">
        <f>VLOOKUP(A786,art_category_path_name!A:B,2,FALSE)</f>
        <v>665</v>
      </c>
      <c r="C786" t="s">
        <v>5240</v>
      </c>
      <c r="D786" t="s">
        <v>5241</v>
      </c>
      <c r="E786" t="s">
        <v>5242</v>
      </c>
      <c r="F786" t="s">
        <v>5243</v>
      </c>
      <c r="G786" t="s">
        <v>5244</v>
      </c>
      <c r="H786" t="s">
        <v>5245</v>
      </c>
    </row>
    <row r="787" spans="1:8" x14ac:dyDescent="0.25">
      <c r="A787" t="s">
        <v>1271</v>
      </c>
      <c r="B787">
        <f>VLOOKUP(A787,art_category_path_name!A:B,2,FALSE)</f>
        <v>667</v>
      </c>
      <c r="C787" t="s">
        <v>5246</v>
      </c>
      <c r="D787" t="s">
        <v>5247</v>
      </c>
      <c r="E787" t="s">
        <v>5248</v>
      </c>
      <c r="F787" t="s">
        <v>5249</v>
      </c>
      <c r="G787" t="s">
        <v>5250</v>
      </c>
      <c r="H787" t="s">
        <v>5251</v>
      </c>
    </row>
    <row r="788" spans="1:8" x14ac:dyDescent="0.25">
      <c r="A788" t="s">
        <v>1272</v>
      </c>
      <c r="B788">
        <f>VLOOKUP(A788,art_category_path_name!A:B,2,FALSE)</f>
        <v>668</v>
      </c>
      <c r="C788" t="s">
        <v>5252</v>
      </c>
      <c r="D788" t="s">
        <v>5253</v>
      </c>
      <c r="E788" t="s">
        <v>5254</v>
      </c>
      <c r="F788" t="s">
        <v>5255</v>
      </c>
      <c r="G788" t="s">
        <v>5256</v>
      </c>
      <c r="H788" t="s">
        <v>5257</v>
      </c>
    </row>
    <row r="789" spans="1:8" x14ac:dyDescent="0.25">
      <c r="A789" t="s">
        <v>1273</v>
      </c>
      <c r="B789">
        <f>VLOOKUP(A789,art_category_path_name!A:B,2,FALSE)</f>
        <v>669</v>
      </c>
      <c r="C789" t="s">
        <v>5258</v>
      </c>
      <c r="D789" t="s">
        <v>5259</v>
      </c>
      <c r="E789" t="s">
        <v>5260</v>
      </c>
      <c r="F789" t="s">
        <v>5261</v>
      </c>
      <c r="G789" t="s">
        <v>5262</v>
      </c>
      <c r="H789" t="s">
        <v>5263</v>
      </c>
    </row>
    <row r="790" spans="1:8" x14ac:dyDescent="0.25">
      <c r="A790" t="s">
        <v>1274</v>
      </c>
      <c r="B790">
        <f>VLOOKUP(A790,art_category_path_name!A:B,2,FALSE)</f>
        <v>670</v>
      </c>
      <c r="C790" t="s">
        <v>5264</v>
      </c>
      <c r="D790" t="s">
        <v>5265</v>
      </c>
      <c r="E790" t="s">
        <v>5266</v>
      </c>
      <c r="F790" t="s">
        <v>5267</v>
      </c>
      <c r="G790" t="s">
        <v>5268</v>
      </c>
      <c r="H790" t="s">
        <v>5269</v>
      </c>
    </row>
    <row r="791" spans="1:8" x14ac:dyDescent="0.25">
      <c r="A791" t="s">
        <v>1275</v>
      </c>
      <c r="B791">
        <f>VLOOKUP(A791,art_category_path_name!A:B,2,FALSE)</f>
        <v>671</v>
      </c>
      <c r="C791" t="s">
        <v>5270</v>
      </c>
      <c r="D791" t="s">
        <v>5271</v>
      </c>
      <c r="E791" t="s">
        <v>5272</v>
      </c>
      <c r="F791" t="s">
        <v>5273</v>
      </c>
      <c r="G791" t="s">
        <v>5274</v>
      </c>
      <c r="H791" t="s">
        <v>5275</v>
      </c>
    </row>
    <row r="792" spans="1:8" x14ac:dyDescent="0.25">
      <c r="A792" t="s">
        <v>1276</v>
      </c>
      <c r="B792">
        <f>VLOOKUP(A792,art_category_path_name!A:B,2,FALSE)</f>
        <v>672</v>
      </c>
      <c r="C792" t="s">
        <v>5276</v>
      </c>
      <c r="D792" t="s">
        <v>5277</v>
      </c>
      <c r="E792" t="s">
        <v>5278</v>
      </c>
      <c r="F792" t="s">
        <v>5279</v>
      </c>
      <c r="G792" t="s">
        <v>5280</v>
      </c>
      <c r="H792" t="s">
        <v>5281</v>
      </c>
    </row>
    <row r="793" spans="1:8" x14ac:dyDescent="0.25">
      <c r="A793" t="s">
        <v>1277</v>
      </c>
      <c r="B793">
        <f>VLOOKUP(A793,art_category_path_name!A:B,2,FALSE)</f>
        <v>673</v>
      </c>
      <c r="C793" t="s">
        <v>5282</v>
      </c>
      <c r="D793" t="s">
        <v>5283</v>
      </c>
      <c r="E793" t="s">
        <v>5284</v>
      </c>
      <c r="F793" t="s">
        <v>5285</v>
      </c>
      <c r="G793" t="s">
        <v>5286</v>
      </c>
      <c r="H793" t="s">
        <v>5287</v>
      </c>
    </row>
    <row r="794" spans="1:8" x14ac:dyDescent="0.25">
      <c r="A794" t="s">
        <v>1278</v>
      </c>
      <c r="B794">
        <f>VLOOKUP(A794,art_category_path_name!A:B,2,FALSE)</f>
        <v>674</v>
      </c>
      <c r="C794" t="s">
        <v>5288</v>
      </c>
      <c r="D794" t="s">
        <v>5289</v>
      </c>
      <c r="E794" t="s">
        <v>5290</v>
      </c>
      <c r="F794" t="s">
        <v>5291</v>
      </c>
      <c r="G794" t="s">
        <v>5292</v>
      </c>
      <c r="H794" t="s">
        <v>5293</v>
      </c>
    </row>
    <row r="795" spans="1:8" x14ac:dyDescent="0.25">
      <c r="A795" t="s">
        <v>1279</v>
      </c>
      <c r="B795">
        <f>VLOOKUP(A795,art_category_path_name!A:B,2,FALSE)</f>
        <v>675</v>
      </c>
      <c r="C795" t="s">
        <v>5294</v>
      </c>
      <c r="D795" t="s">
        <v>5295</v>
      </c>
      <c r="E795" t="s">
        <v>5296</v>
      </c>
      <c r="F795" t="s">
        <v>5297</v>
      </c>
      <c r="G795" t="s">
        <v>5298</v>
      </c>
      <c r="H795" t="s">
        <v>5299</v>
      </c>
    </row>
    <row r="796" spans="1:8" x14ac:dyDescent="0.25">
      <c r="A796" t="s">
        <v>1280</v>
      </c>
      <c r="B796">
        <f>VLOOKUP(A796,art_category_path_name!A:B,2,FALSE)</f>
        <v>676</v>
      </c>
      <c r="C796" t="s">
        <v>5300</v>
      </c>
      <c r="D796" t="s">
        <v>5301</v>
      </c>
      <c r="E796" t="s">
        <v>5302</v>
      </c>
      <c r="F796" t="s">
        <v>5303</v>
      </c>
      <c r="G796" t="s">
        <v>5304</v>
      </c>
      <c r="H796" t="s">
        <v>5305</v>
      </c>
    </row>
    <row r="797" spans="1:8" x14ac:dyDescent="0.25">
      <c r="A797" t="s">
        <v>432</v>
      </c>
      <c r="B797">
        <f>VLOOKUP(A797,art_category_path_name!A:B,2,FALSE)</f>
        <v>678</v>
      </c>
      <c r="C797" t="s">
        <v>5306</v>
      </c>
      <c r="D797" t="s">
        <v>5307</v>
      </c>
      <c r="F797" t="s">
        <v>1834</v>
      </c>
      <c r="G797" t="s">
        <v>4017</v>
      </c>
      <c r="H797" t="s">
        <v>5308</v>
      </c>
    </row>
    <row r="798" spans="1:8" x14ac:dyDescent="0.25">
      <c r="A798" t="s">
        <v>433</v>
      </c>
      <c r="B798">
        <f>VLOOKUP(A798,art_category_path_name!A:B,2,FALSE)</f>
        <v>679</v>
      </c>
      <c r="C798" t="s">
        <v>5309</v>
      </c>
      <c r="D798" t="s">
        <v>5310</v>
      </c>
      <c r="F798" t="s">
        <v>1834</v>
      </c>
      <c r="G798" t="s">
        <v>5311</v>
      </c>
      <c r="H798" t="s">
        <v>5312</v>
      </c>
    </row>
    <row r="799" spans="1:8" x14ac:dyDescent="0.25">
      <c r="A799" t="s">
        <v>1291</v>
      </c>
      <c r="B799">
        <f>VLOOKUP(A799,art_category_path_name!A:B,2,FALSE)</f>
        <v>682</v>
      </c>
      <c r="C799" t="s">
        <v>5313</v>
      </c>
      <c r="D799" t="s">
        <v>5314</v>
      </c>
      <c r="E799" t="s">
        <v>5315</v>
      </c>
      <c r="F799" t="s">
        <v>5314</v>
      </c>
      <c r="G799" t="s">
        <v>5316</v>
      </c>
      <c r="H799" t="s">
        <v>5317</v>
      </c>
    </row>
    <row r="800" spans="1:8" x14ac:dyDescent="0.25">
      <c r="A800" t="s">
        <v>1292</v>
      </c>
      <c r="B800">
        <f>VLOOKUP(A800,art_category_path_name!A:B,2,FALSE)</f>
        <v>683</v>
      </c>
      <c r="C800" t="s">
        <v>5318</v>
      </c>
      <c r="D800" t="s">
        <v>5319</v>
      </c>
      <c r="E800" t="s">
        <v>5320</v>
      </c>
      <c r="F800" t="s">
        <v>5321</v>
      </c>
      <c r="G800" t="s">
        <v>5322</v>
      </c>
      <c r="H800" t="s">
        <v>5323</v>
      </c>
    </row>
    <row r="801" spans="1:8" x14ac:dyDescent="0.25">
      <c r="A801" t="s">
        <v>1293</v>
      </c>
      <c r="B801">
        <f>VLOOKUP(A801,art_category_path_name!A:B,2,FALSE)</f>
        <v>684</v>
      </c>
      <c r="C801" t="s">
        <v>5324</v>
      </c>
      <c r="D801" t="s">
        <v>5325</v>
      </c>
      <c r="E801" t="s">
        <v>5326</v>
      </c>
      <c r="F801" t="s">
        <v>5327</v>
      </c>
      <c r="G801" t="s">
        <v>5328</v>
      </c>
      <c r="H801" t="s">
        <v>5329</v>
      </c>
    </row>
    <row r="802" spans="1:8" x14ac:dyDescent="0.25">
      <c r="A802" t="s">
        <v>1294</v>
      </c>
      <c r="B802">
        <f>VLOOKUP(A802,art_category_path_name!A:B,2,FALSE)</f>
        <v>685</v>
      </c>
      <c r="C802" t="s">
        <v>5330</v>
      </c>
      <c r="D802" t="s">
        <v>5331</v>
      </c>
      <c r="E802" t="s">
        <v>5332</v>
      </c>
      <c r="F802" t="s">
        <v>5333</v>
      </c>
      <c r="G802" t="s">
        <v>5334</v>
      </c>
      <c r="H802" t="s">
        <v>5335</v>
      </c>
    </row>
    <row r="803" spans="1:8" x14ac:dyDescent="0.25">
      <c r="A803" t="s">
        <v>1295</v>
      </c>
      <c r="B803">
        <f>VLOOKUP(A803,art_category_path_name!A:B,2,FALSE)</f>
        <v>686</v>
      </c>
      <c r="C803" t="s">
        <v>5336</v>
      </c>
      <c r="D803" t="s">
        <v>5337</v>
      </c>
      <c r="E803" t="s">
        <v>5338</v>
      </c>
      <c r="F803" t="s">
        <v>5339</v>
      </c>
      <c r="G803" t="s">
        <v>5340</v>
      </c>
      <c r="H803" t="s">
        <v>5341</v>
      </c>
    </row>
    <row r="804" spans="1:8" x14ac:dyDescent="0.25">
      <c r="A804" t="s">
        <v>1296</v>
      </c>
      <c r="B804">
        <f>VLOOKUP(A804,art_category_path_name!A:B,2,FALSE)</f>
        <v>687</v>
      </c>
      <c r="C804" t="s">
        <v>5342</v>
      </c>
      <c r="D804" t="s">
        <v>5343</v>
      </c>
      <c r="E804" t="s">
        <v>5344</v>
      </c>
      <c r="F804" t="s">
        <v>5345</v>
      </c>
      <c r="G804" t="s">
        <v>5346</v>
      </c>
      <c r="H804" t="s">
        <v>5347</v>
      </c>
    </row>
    <row r="805" spans="1:8" x14ac:dyDescent="0.25">
      <c r="A805" t="s">
        <v>1297</v>
      </c>
      <c r="B805">
        <f>VLOOKUP(A805,art_category_path_name!A:B,2,FALSE)</f>
        <v>688</v>
      </c>
      <c r="C805" t="s">
        <v>5348</v>
      </c>
      <c r="D805" t="s">
        <v>5349</v>
      </c>
      <c r="E805" t="s">
        <v>5350</v>
      </c>
      <c r="F805" t="s">
        <v>5351</v>
      </c>
      <c r="G805" t="s">
        <v>5352</v>
      </c>
      <c r="H805" t="s">
        <v>5353</v>
      </c>
    </row>
    <row r="806" spans="1:8" x14ac:dyDescent="0.25">
      <c r="A806" t="s">
        <v>1298</v>
      </c>
      <c r="B806">
        <f>VLOOKUP(A806,art_category_path_name!A:B,2,FALSE)</f>
        <v>689</v>
      </c>
      <c r="C806" t="s">
        <v>5354</v>
      </c>
      <c r="D806" t="s">
        <v>5355</v>
      </c>
      <c r="E806" t="s">
        <v>5356</v>
      </c>
      <c r="F806" t="s">
        <v>5357</v>
      </c>
      <c r="G806" t="s">
        <v>5358</v>
      </c>
      <c r="H806" t="s">
        <v>5359</v>
      </c>
    </row>
    <row r="807" spans="1:8" x14ac:dyDescent="0.25">
      <c r="A807" t="s">
        <v>1299</v>
      </c>
      <c r="B807">
        <f>VLOOKUP(A807,art_category_path_name!A:B,2,FALSE)</f>
        <v>690</v>
      </c>
      <c r="C807" t="s">
        <v>5360</v>
      </c>
      <c r="D807" t="s">
        <v>5361</v>
      </c>
      <c r="E807" t="s">
        <v>5362</v>
      </c>
      <c r="F807" t="s">
        <v>5363</v>
      </c>
      <c r="G807" t="s">
        <v>5364</v>
      </c>
      <c r="H807" t="s">
        <v>5365</v>
      </c>
    </row>
    <row r="808" spans="1:8" x14ac:dyDescent="0.25">
      <c r="A808" t="s">
        <v>1300</v>
      </c>
      <c r="B808">
        <f>VLOOKUP(A808,art_category_path_name!A:B,2,FALSE)</f>
        <v>691</v>
      </c>
      <c r="C808" t="s">
        <v>5366</v>
      </c>
      <c r="D808" t="s">
        <v>5367</v>
      </c>
      <c r="E808" t="s">
        <v>5368</v>
      </c>
      <c r="F808" t="s">
        <v>5369</v>
      </c>
      <c r="G808" t="s">
        <v>5370</v>
      </c>
      <c r="H808" t="s">
        <v>5371</v>
      </c>
    </row>
    <row r="809" spans="1:8" x14ac:dyDescent="0.25">
      <c r="A809" t="s">
        <v>1301</v>
      </c>
      <c r="B809">
        <f>VLOOKUP(A809,art_category_path_name!A:B,2,FALSE)</f>
        <v>692</v>
      </c>
      <c r="C809" t="s">
        <v>5372</v>
      </c>
      <c r="D809" t="s">
        <v>5373</v>
      </c>
      <c r="E809" t="s">
        <v>5374</v>
      </c>
      <c r="F809" t="s">
        <v>5375</v>
      </c>
      <c r="G809" t="s">
        <v>5376</v>
      </c>
      <c r="H809" t="s">
        <v>5377</v>
      </c>
    </row>
    <row r="810" spans="1:8" x14ac:dyDescent="0.25">
      <c r="A810" t="s">
        <v>1302</v>
      </c>
      <c r="B810">
        <f>VLOOKUP(A810,art_category_path_name!A:B,2,FALSE)</f>
        <v>693</v>
      </c>
      <c r="C810" t="s">
        <v>5378</v>
      </c>
      <c r="D810" t="s">
        <v>5379</v>
      </c>
      <c r="E810" t="s">
        <v>5380</v>
      </c>
      <c r="F810" t="s">
        <v>5381</v>
      </c>
      <c r="G810" t="s">
        <v>5382</v>
      </c>
      <c r="H810" t="s">
        <v>5383</v>
      </c>
    </row>
    <row r="811" spans="1:8" x14ac:dyDescent="0.25">
      <c r="A811" t="s">
        <v>1303</v>
      </c>
      <c r="B811">
        <f>VLOOKUP(A811,art_category_path_name!A:B,2,FALSE)</f>
        <v>694</v>
      </c>
      <c r="C811" t="s">
        <v>5384</v>
      </c>
      <c r="D811" t="s">
        <v>5385</v>
      </c>
      <c r="E811" t="s">
        <v>5386</v>
      </c>
      <c r="F811" t="s">
        <v>5387</v>
      </c>
      <c r="G811" t="s">
        <v>5388</v>
      </c>
      <c r="H811" t="s">
        <v>5389</v>
      </c>
    </row>
    <row r="812" spans="1:8" x14ac:dyDescent="0.25">
      <c r="A812" t="s">
        <v>1304</v>
      </c>
      <c r="B812">
        <f>VLOOKUP(A812,art_category_path_name!A:B,2,FALSE)</f>
        <v>695</v>
      </c>
      <c r="C812" t="s">
        <v>5390</v>
      </c>
      <c r="D812" t="s">
        <v>5391</v>
      </c>
      <c r="E812" t="s">
        <v>5392</v>
      </c>
      <c r="F812" t="s">
        <v>5393</v>
      </c>
      <c r="G812" t="s">
        <v>5394</v>
      </c>
      <c r="H812" t="s">
        <v>5395</v>
      </c>
    </row>
    <row r="813" spans="1:8" x14ac:dyDescent="0.25">
      <c r="A813" t="s">
        <v>1305</v>
      </c>
      <c r="B813">
        <f>VLOOKUP(A813,art_category_path_name!A:B,2,FALSE)</f>
        <v>696</v>
      </c>
      <c r="C813" t="s">
        <v>5396</v>
      </c>
      <c r="D813" t="s">
        <v>5397</v>
      </c>
      <c r="E813" t="s">
        <v>5398</v>
      </c>
      <c r="F813" t="s">
        <v>5399</v>
      </c>
      <c r="G813" t="s">
        <v>5400</v>
      </c>
      <c r="H813" t="s">
        <v>5401</v>
      </c>
    </row>
    <row r="814" spans="1:8" x14ac:dyDescent="0.25">
      <c r="A814" t="s">
        <v>1306</v>
      </c>
      <c r="B814">
        <f>VLOOKUP(A814,art_category_path_name!A:B,2,FALSE)</f>
        <v>697</v>
      </c>
      <c r="C814" t="s">
        <v>5402</v>
      </c>
      <c r="D814" t="s">
        <v>5403</v>
      </c>
      <c r="E814" t="s">
        <v>5404</v>
      </c>
      <c r="F814" t="s">
        <v>5405</v>
      </c>
      <c r="G814" t="s">
        <v>5406</v>
      </c>
      <c r="H814" t="s">
        <v>5407</v>
      </c>
    </row>
    <row r="815" spans="1:8" x14ac:dyDescent="0.25">
      <c r="A815" t="s">
        <v>1307</v>
      </c>
      <c r="B815">
        <f>VLOOKUP(A815,art_category_path_name!A:B,2,FALSE)</f>
        <v>698</v>
      </c>
      <c r="C815" t="s">
        <v>5408</v>
      </c>
      <c r="D815" t="s">
        <v>5409</v>
      </c>
      <c r="E815" t="s">
        <v>5410</v>
      </c>
      <c r="F815" t="s">
        <v>5411</v>
      </c>
      <c r="G815" t="s">
        <v>5412</v>
      </c>
      <c r="H815" t="s">
        <v>5413</v>
      </c>
    </row>
    <row r="816" spans="1:8" x14ac:dyDescent="0.25">
      <c r="A816" t="s">
        <v>1308</v>
      </c>
      <c r="B816">
        <f>VLOOKUP(A816,art_category_path_name!A:B,2,FALSE)</f>
        <v>699</v>
      </c>
      <c r="C816" t="s">
        <v>5414</v>
      </c>
      <c r="D816" t="s">
        <v>5415</v>
      </c>
      <c r="E816" t="s">
        <v>5416</v>
      </c>
      <c r="F816" t="s">
        <v>5417</v>
      </c>
      <c r="G816" t="s">
        <v>5418</v>
      </c>
      <c r="H816" t="s">
        <v>5419</v>
      </c>
    </row>
    <row r="817" spans="1:8" x14ac:dyDescent="0.25">
      <c r="A817" t="s">
        <v>1309</v>
      </c>
      <c r="B817">
        <f>VLOOKUP(A817,art_category_path_name!A:B,2,FALSE)</f>
        <v>700</v>
      </c>
      <c r="C817" t="s">
        <v>5420</v>
      </c>
      <c r="D817" t="s">
        <v>5421</v>
      </c>
      <c r="E817" t="s">
        <v>5422</v>
      </c>
      <c r="F817" t="s">
        <v>5423</v>
      </c>
      <c r="G817" t="s">
        <v>5424</v>
      </c>
      <c r="H817" t="s">
        <v>5425</v>
      </c>
    </row>
    <row r="818" spans="1:8" x14ac:dyDescent="0.25">
      <c r="A818" t="s">
        <v>1310</v>
      </c>
      <c r="B818">
        <f>VLOOKUP(A818,art_category_path_name!A:B,2,FALSE)</f>
        <v>701</v>
      </c>
      <c r="C818" t="s">
        <v>5426</v>
      </c>
      <c r="D818" t="s">
        <v>5427</v>
      </c>
      <c r="E818" t="s">
        <v>5428</v>
      </c>
      <c r="F818" t="s">
        <v>5429</v>
      </c>
      <c r="G818" t="s">
        <v>5430</v>
      </c>
      <c r="H818" t="s">
        <v>5431</v>
      </c>
    </row>
    <row r="819" spans="1:8" x14ac:dyDescent="0.25">
      <c r="A819" t="s">
        <v>1058</v>
      </c>
      <c r="B819">
        <f>VLOOKUP(A819,art_category_path_name!A:B,2,FALSE)</f>
        <v>703</v>
      </c>
      <c r="C819" t="s">
        <v>5432</v>
      </c>
      <c r="D819" t="s">
        <v>5433</v>
      </c>
      <c r="F819" t="s">
        <v>1834</v>
      </c>
      <c r="G819" t="s">
        <v>5434</v>
      </c>
      <c r="H819" t="s">
        <v>5435</v>
      </c>
    </row>
    <row r="820" spans="1:8" x14ac:dyDescent="0.25">
      <c r="A820" t="s">
        <v>1059</v>
      </c>
      <c r="B820">
        <f>VLOOKUP(A820,art_category_path_name!A:B,2,FALSE)</f>
        <v>704</v>
      </c>
      <c r="C820" t="s">
        <v>5436</v>
      </c>
      <c r="D820" t="s">
        <v>5437</v>
      </c>
      <c r="F820" t="s">
        <v>1834</v>
      </c>
      <c r="G820" t="s">
        <v>5438</v>
      </c>
      <c r="H820" t="s">
        <v>5439</v>
      </c>
    </row>
    <row r="821" spans="1:8" x14ac:dyDescent="0.25">
      <c r="A821" t="s">
        <v>825</v>
      </c>
      <c r="B821">
        <f>VLOOKUP(A821,art_category_path_name!A:B,2,FALSE)</f>
        <v>706</v>
      </c>
      <c r="C821" t="s">
        <v>5440</v>
      </c>
      <c r="D821" t="s">
        <v>5441</v>
      </c>
      <c r="E821" t="s">
        <v>5442</v>
      </c>
      <c r="F821" t="s">
        <v>5443</v>
      </c>
      <c r="G821" t="s">
        <v>5444</v>
      </c>
      <c r="H821" t="s">
        <v>5445</v>
      </c>
    </row>
    <row r="822" spans="1:8" x14ac:dyDescent="0.25">
      <c r="A822" t="s">
        <v>826</v>
      </c>
      <c r="B822">
        <f>VLOOKUP(A822,art_category_path_name!A:B,2,FALSE)</f>
        <v>707</v>
      </c>
      <c r="C822" t="s">
        <v>5446</v>
      </c>
      <c r="D822" t="s">
        <v>5441</v>
      </c>
      <c r="E822" t="s">
        <v>5442</v>
      </c>
      <c r="F822" t="s">
        <v>5443</v>
      </c>
      <c r="G822" t="s">
        <v>5447</v>
      </c>
      <c r="H822" t="s">
        <v>5448</v>
      </c>
    </row>
    <row r="823" spans="1:8" x14ac:dyDescent="0.25">
      <c r="A823" t="s">
        <v>827</v>
      </c>
      <c r="B823">
        <f>VLOOKUP(A823,art_category_path_name!A:B,2,FALSE)</f>
        <v>708</v>
      </c>
      <c r="C823" t="s">
        <v>5449</v>
      </c>
      <c r="D823" t="s">
        <v>5441</v>
      </c>
      <c r="E823" t="s">
        <v>5442</v>
      </c>
      <c r="F823" t="s">
        <v>5443</v>
      </c>
      <c r="G823" t="s">
        <v>5450</v>
      </c>
      <c r="H823" t="s">
        <v>5451</v>
      </c>
    </row>
    <row r="824" spans="1:8" x14ac:dyDescent="0.25">
      <c r="A824" t="s">
        <v>828</v>
      </c>
      <c r="B824">
        <f>VLOOKUP(A824,art_category_path_name!A:B,2,FALSE)</f>
        <v>709</v>
      </c>
      <c r="C824" t="s">
        <v>5452</v>
      </c>
      <c r="D824" t="s">
        <v>5441</v>
      </c>
      <c r="E824" t="s">
        <v>5442</v>
      </c>
      <c r="F824" t="s">
        <v>5443</v>
      </c>
      <c r="G824" t="s">
        <v>5453</v>
      </c>
      <c r="H824" t="s">
        <v>5454</v>
      </c>
    </row>
    <row r="825" spans="1:8" x14ac:dyDescent="0.25">
      <c r="A825" t="s">
        <v>701</v>
      </c>
      <c r="B825">
        <f>VLOOKUP(A825,art_category_path_name!A:B,2,FALSE)</f>
        <v>711</v>
      </c>
      <c r="C825" t="s">
        <v>5455</v>
      </c>
      <c r="D825" t="s">
        <v>5456</v>
      </c>
      <c r="E825" t="s">
        <v>5457</v>
      </c>
      <c r="F825" t="s">
        <v>5458</v>
      </c>
      <c r="G825" t="s">
        <v>5459</v>
      </c>
      <c r="H825" t="s">
        <v>5460</v>
      </c>
    </row>
    <row r="826" spans="1:8" x14ac:dyDescent="0.25">
      <c r="A826" t="s">
        <v>702</v>
      </c>
      <c r="B826">
        <f>VLOOKUP(A826,art_category_path_name!A:B,2,FALSE)</f>
        <v>712</v>
      </c>
      <c r="C826" t="s">
        <v>5461</v>
      </c>
      <c r="D826" t="s">
        <v>5462</v>
      </c>
      <c r="E826" t="s">
        <v>5463</v>
      </c>
      <c r="F826" t="s">
        <v>5464</v>
      </c>
      <c r="G826" t="s">
        <v>5465</v>
      </c>
      <c r="H826" t="s">
        <v>5466</v>
      </c>
    </row>
    <row r="827" spans="1:8" x14ac:dyDescent="0.25">
      <c r="A827" t="s">
        <v>703</v>
      </c>
      <c r="B827">
        <f>VLOOKUP(A827,art_category_path_name!A:B,2,FALSE)</f>
        <v>713</v>
      </c>
      <c r="C827" t="s">
        <v>5467</v>
      </c>
      <c r="D827" t="s">
        <v>5468</v>
      </c>
      <c r="E827" t="s">
        <v>5469</v>
      </c>
      <c r="F827" t="s">
        <v>5470</v>
      </c>
      <c r="G827" t="s">
        <v>5471</v>
      </c>
      <c r="H827" t="s">
        <v>5472</v>
      </c>
    </row>
    <row r="828" spans="1:8" x14ac:dyDescent="0.25">
      <c r="A828" t="s">
        <v>704</v>
      </c>
      <c r="B828">
        <f>VLOOKUP(A828,art_category_path_name!A:B,2,FALSE)</f>
        <v>714</v>
      </c>
      <c r="C828" t="s">
        <v>5473</v>
      </c>
      <c r="D828" t="s">
        <v>5474</v>
      </c>
      <c r="E828" t="s">
        <v>5475</v>
      </c>
      <c r="F828" t="s">
        <v>5476</v>
      </c>
      <c r="G828" t="s">
        <v>5477</v>
      </c>
      <c r="H828" t="s">
        <v>5478</v>
      </c>
    </row>
    <row r="829" spans="1:8" x14ac:dyDescent="0.25">
      <c r="A829" t="s">
        <v>1312</v>
      </c>
      <c r="B829">
        <f>VLOOKUP(A829,art_category_path_name!A:B,2,FALSE)</f>
        <v>716</v>
      </c>
      <c r="C829" t="s">
        <v>5479</v>
      </c>
      <c r="D829" t="s">
        <v>5480</v>
      </c>
      <c r="E829" t="s">
        <v>5481</v>
      </c>
      <c r="F829" t="s">
        <v>5482</v>
      </c>
      <c r="G829" t="s">
        <v>5483</v>
      </c>
      <c r="H829" t="s">
        <v>5484</v>
      </c>
    </row>
    <row r="830" spans="1:8" x14ac:dyDescent="0.25">
      <c r="A830" t="s">
        <v>1313</v>
      </c>
      <c r="B830">
        <f>VLOOKUP(A830,art_category_path_name!A:B,2,FALSE)</f>
        <v>717</v>
      </c>
      <c r="C830" t="s">
        <v>5485</v>
      </c>
      <c r="D830" t="s">
        <v>5486</v>
      </c>
      <c r="E830" t="s">
        <v>5487</v>
      </c>
      <c r="F830" t="s">
        <v>5486</v>
      </c>
      <c r="G830" t="s">
        <v>5488</v>
      </c>
      <c r="H830" t="s">
        <v>5489</v>
      </c>
    </row>
    <row r="831" spans="1:8" x14ac:dyDescent="0.25">
      <c r="A831" t="s">
        <v>1314</v>
      </c>
      <c r="B831">
        <f>VLOOKUP(A831,art_category_path_name!A:B,2,FALSE)</f>
        <v>718</v>
      </c>
      <c r="C831" t="s">
        <v>5490</v>
      </c>
      <c r="D831" t="s">
        <v>5491</v>
      </c>
      <c r="E831" t="s">
        <v>5492</v>
      </c>
      <c r="F831" t="s">
        <v>5493</v>
      </c>
      <c r="G831" t="s">
        <v>5494</v>
      </c>
      <c r="H831" t="s">
        <v>5495</v>
      </c>
    </row>
    <row r="832" spans="1:8" x14ac:dyDescent="0.25">
      <c r="A832" t="s">
        <v>1315</v>
      </c>
      <c r="B832">
        <f>VLOOKUP(A832,art_category_path_name!A:B,2,FALSE)</f>
        <v>719</v>
      </c>
      <c r="C832" t="s">
        <v>5496</v>
      </c>
      <c r="D832" t="s">
        <v>5497</v>
      </c>
      <c r="E832" t="s">
        <v>5498</v>
      </c>
      <c r="F832" t="s">
        <v>5499</v>
      </c>
      <c r="G832" t="s">
        <v>5500</v>
      </c>
      <c r="H832" t="s">
        <v>5501</v>
      </c>
    </row>
    <row r="833" spans="1:8" x14ac:dyDescent="0.25">
      <c r="A833" t="s">
        <v>1316</v>
      </c>
      <c r="B833">
        <f>VLOOKUP(A833,art_category_path_name!A:B,2,FALSE)</f>
        <v>720</v>
      </c>
      <c r="C833" t="s">
        <v>5502</v>
      </c>
      <c r="D833" t="s">
        <v>5503</v>
      </c>
      <c r="E833" t="s">
        <v>5504</v>
      </c>
      <c r="F833" t="s">
        <v>5503</v>
      </c>
      <c r="G833" t="s">
        <v>5505</v>
      </c>
      <c r="H833" t="s">
        <v>5506</v>
      </c>
    </row>
    <row r="834" spans="1:8" x14ac:dyDescent="0.25">
      <c r="A834" t="s">
        <v>1317</v>
      </c>
      <c r="B834">
        <f>VLOOKUP(A834,art_category_path_name!A:B,2,FALSE)</f>
        <v>721</v>
      </c>
      <c r="C834" t="s">
        <v>5507</v>
      </c>
      <c r="D834" t="s">
        <v>5508</v>
      </c>
      <c r="E834" t="s">
        <v>5509</v>
      </c>
      <c r="F834" t="s">
        <v>5508</v>
      </c>
      <c r="G834" t="s">
        <v>5510</v>
      </c>
      <c r="H834" t="s">
        <v>5511</v>
      </c>
    </row>
    <row r="835" spans="1:8" x14ac:dyDescent="0.25">
      <c r="A835" t="s">
        <v>1318</v>
      </c>
      <c r="B835">
        <f>VLOOKUP(A835,art_category_path_name!A:B,2,FALSE)</f>
        <v>722</v>
      </c>
      <c r="C835" t="s">
        <v>5512</v>
      </c>
      <c r="D835" t="s">
        <v>5513</v>
      </c>
      <c r="E835" t="s">
        <v>5514</v>
      </c>
      <c r="F835" t="s">
        <v>5515</v>
      </c>
      <c r="G835" t="s">
        <v>5516</v>
      </c>
      <c r="H835" t="s">
        <v>5517</v>
      </c>
    </row>
    <row r="836" spans="1:8" x14ac:dyDescent="0.25">
      <c r="A836" t="s">
        <v>1319</v>
      </c>
      <c r="B836">
        <f>VLOOKUP(A836,art_category_path_name!A:B,2,FALSE)</f>
        <v>723</v>
      </c>
      <c r="C836" t="s">
        <v>5518</v>
      </c>
      <c r="D836" t="s">
        <v>5519</v>
      </c>
      <c r="E836" t="s">
        <v>5520</v>
      </c>
      <c r="F836" t="s">
        <v>5521</v>
      </c>
      <c r="G836" t="s">
        <v>5522</v>
      </c>
      <c r="H836" t="s">
        <v>5523</v>
      </c>
    </row>
    <row r="837" spans="1:8" x14ac:dyDescent="0.25">
      <c r="A837" t="s">
        <v>1320</v>
      </c>
      <c r="B837">
        <f>VLOOKUP(A837,art_category_path_name!A:B,2,FALSE)</f>
        <v>724</v>
      </c>
      <c r="C837" t="s">
        <v>5524</v>
      </c>
      <c r="D837" t="s">
        <v>5525</v>
      </c>
      <c r="E837" t="s">
        <v>5526</v>
      </c>
      <c r="F837" t="s">
        <v>5525</v>
      </c>
      <c r="G837" t="s">
        <v>5527</v>
      </c>
      <c r="H837" t="s">
        <v>5528</v>
      </c>
    </row>
    <row r="838" spans="1:8" x14ac:dyDescent="0.25">
      <c r="A838" t="s">
        <v>1321</v>
      </c>
      <c r="B838">
        <f>VLOOKUP(A838,art_category_path_name!A:B,2,FALSE)</f>
        <v>725</v>
      </c>
      <c r="C838" t="s">
        <v>5529</v>
      </c>
      <c r="D838" t="s">
        <v>5530</v>
      </c>
      <c r="E838" t="s">
        <v>5531</v>
      </c>
      <c r="F838" t="s">
        <v>5530</v>
      </c>
      <c r="G838" t="s">
        <v>5532</v>
      </c>
      <c r="H838" t="s">
        <v>5533</v>
      </c>
    </row>
    <row r="839" spans="1:8" x14ac:dyDescent="0.25">
      <c r="A839" t="s">
        <v>1322</v>
      </c>
      <c r="B839">
        <f>VLOOKUP(A839,art_category_path_name!A:B,2,FALSE)</f>
        <v>726</v>
      </c>
      <c r="C839" t="s">
        <v>5534</v>
      </c>
      <c r="D839" t="s">
        <v>5535</v>
      </c>
      <c r="E839" t="s">
        <v>5536</v>
      </c>
      <c r="F839" t="s">
        <v>5535</v>
      </c>
      <c r="G839" t="s">
        <v>5537</v>
      </c>
      <c r="H839" t="s">
        <v>5538</v>
      </c>
    </row>
    <row r="840" spans="1:8" x14ac:dyDescent="0.25">
      <c r="A840" t="s">
        <v>1323</v>
      </c>
      <c r="B840">
        <f>VLOOKUP(A840,art_category_path_name!A:B,2,FALSE)</f>
        <v>727</v>
      </c>
      <c r="C840" t="s">
        <v>5539</v>
      </c>
      <c r="D840" t="s">
        <v>5540</v>
      </c>
      <c r="E840" t="s">
        <v>5541</v>
      </c>
      <c r="F840" t="s">
        <v>5542</v>
      </c>
      <c r="G840" t="s">
        <v>5543</v>
      </c>
      <c r="H840" t="s">
        <v>5544</v>
      </c>
    </row>
    <row r="841" spans="1:8" x14ac:dyDescent="0.25">
      <c r="A841" t="s">
        <v>1324</v>
      </c>
      <c r="B841">
        <f>VLOOKUP(A841,art_category_path_name!A:B,2,FALSE)</f>
        <v>728</v>
      </c>
      <c r="C841" t="s">
        <v>5545</v>
      </c>
      <c r="D841" t="s">
        <v>5546</v>
      </c>
      <c r="E841" t="s">
        <v>5547</v>
      </c>
      <c r="F841" t="s">
        <v>5546</v>
      </c>
      <c r="G841" t="s">
        <v>5548</v>
      </c>
      <c r="H841" t="s">
        <v>5549</v>
      </c>
    </row>
    <row r="842" spans="1:8" x14ac:dyDescent="0.25">
      <c r="A842" t="s">
        <v>1325</v>
      </c>
      <c r="B842">
        <f>VLOOKUP(A842,art_category_path_name!A:B,2,FALSE)</f>
        <v>729</v>
      </c>
      <c r="C842" t="s">
        <v>5550</v>
      </c>
      <c r="D842" t="s">
        <v>5551</v>
      </c>
      <c r="E842" t="s">
        <v>5552</v>
      </c>
      <c r="F842" t="s">
        <v>5551</v>
      </c>
      <c r="G842" t="s">
        <v>5553</v>
      </c>
      <c r="H842" t="s">
        <v>5554</v>
      </c>
    </row>
    <row r="843" spans="1:8" x14ac:dyDescent="0.25">
      <c r="A843" t="s">
        <v>1326</v>
      </c>
      <c r="B843">
        <f>VLOOKUP(A843,art_category_path_name!A:B,2,FALSE)</f>
        <v>730</v>
      </c>
      <c r="C843" t="s">
        <v>5555</v>
      </c>
      <c r="D843" t="s">
        <v>5556</v>
      </c>
      <c r="E843" t="s">
        <v>5557</v>
      </c>
      <c r="F843" t="s">
        <v>5558</v>
      </c>
      <c r="G843" t="s">
        <v>5559</v>
      </c>
      <c r="H843" t="s">
        <v>5560</v>
      </c>
    </row>
    <row r="844" spans="1:8" x14ac:dyDescent="0.25">
      <c r="A844" t="s">
        <v>1327</v>
      </c>
      <c r="B844">
        <f>VLOOKUP(A844,art_category_path_name!A:B,2,FALSE)</f>
        <v>731</v>
      </c>
      <c r="C844" t="s">
        <v>5561</v>
      </c>
      <c r="D844" t="s">
        <v>5508</v>
      </c>
      <c r="E844" t="s">
        <v>5562</v>
      </c>
      <c r="F844" t="s">
        <v>5508</v>
      </c>
      <c r="G844" t="s">
        <v>5563</v>
      </c>
      <c r="H844" t="s">
        <v>5564</v>
      </c>
    </row>
    <row r="845" spans="1:8" x14ac:dyDescent="0.25">
      <c r="A845" t="s">
        <v>1328</v>
      </c>
      <c r="B845">
        <f>VLOOKUP(A845,art_category_path_name!A:B,2,FALSE)</f>
        <v>732</v>
      </c>
      <c r="C845" t="s">
        <v>5565</v>
      </c>
      <c r="D845" t="s">
        <v>5508</v>
      </c>
      <c r="E845" t="s">
        <v>5566</v>
      </c>
      <c r="F845" t="s">
        <v>5508</v>
      </c>
      <c r="G845" t="s">
        <v>5567</v>
      </c>
      <c r="H845" t="s">
        <v>5568</v>
      </c>
    </row>
    <row r="846" spans="1:8" x14ac:dyDescent="0.25">
      <c r="A846" t="s">
        <v>1329</v>
      </c>
      <c r="B846">
        <f>VLOOKUP(A846,art_category_path_name!A:B,2,FALSE)</f>
        <v>733</v>
      </c>
      <c r="C846" t="s">
        <v>5569</v>
      </c>
      <c r="D846" t="s">
        <v>5570</v>
      </c>
      <c r="E846" t="s">
        <v>5571</v>
      </c>
      <c r="F846" t="s">
        <v>5570</v>
      </c>
      <c r="G846" t="s">
        <v>5572</v>
      </c>
      <c r="H846" t="s">
        <v>5573</v>
      </c>
    </row>
    <row r="847" spans="1:8" x14ac:dyDescent="0.25">
      <c r="A847" t="s">
        <v>1330</v>
      </c>
      <c r="B847">
        <f>VLOOKUP(A847,art_category_path_name!A:B,2,FALSE)</f>
        <v>734</v>
      </c>
      <c r="C847" t="s">
        <v>5574</v>
      </c>
      <c r="D847" t="s">
        <v>5519</v>
      </c>
      <c r="E847" t="s">
        <v>5575</v>
      </c>
      <c r="F847" t="s">
        <v>5576</v>
      </c>
      <c r="G847" t="s">
        <v>5577</v>
      </c>
      <c r="H847" t="s">
        <v>5578</v>
      </c>
    </row>
    <row r="848" spans="1:8" x14ac:dyDescent="0.25">
      <c r="A848" t="s">
        <v>669</v>
      </c>
      <c r="B848">
        <f>VLOOKUP(A848,art_category_path_name!A:B,2,FALSE)</f>
        <v>736</v>
      </c>
      <c r="C848" t="s">
        <v>5579</v>
      </c>
      <c r="D848" t="s">
        <v>5580</v>
      </c>
      <c r="E848" t="s">
        <v>5581</v>
      </c>
      <c r="F848" t="s">
        <v>5582</v>
      </c>
      <c r="G848" t="s">
        <v>5583</v>
      </c>
      <c r="H848" t="s">
        <v>5584</v>
      </c>
    </row>
    <row r="849" spans="1:8" x14ac:dyDescent="0.25">
      <c r="A849" t="s">
        <v>670</v>
      </c>
      <c r="B849">
        <f>VLOOKUP(A849,art_category_path_name!A:B,2,FALSE)</f>
        <v>737</v>
      </c>
      <c r="C849" t="s">
        <v>5585</v>
      </c>
      <c r="D849" t="s">
        <v>5586</v>
      </c>
      <c r="E849" t="s">
        <v>5587</v>
      </c>
      <c r="F849" t="s">
        <v>5588</v>
      </c>
      <c r="G849" t="s">
        <v>5589</v>
      </c>
      <c r="H849" t="s">
        <v>5590</v>
      </c>
    </row>
    <row r="850" spans="1:8" x14ac:dyDescent="0.25">
      <c r="A850" t="s">
        <v>885</v>
      </c>
      <c r="B850">
        <f>VLOOKUP(A850,art_category_path_name!A:B,2,FALSE)</f>
        <v>739</v>
      </c>
      <c r="C850" t="s">
        <v>5591</v>
      </c>
      <c r="D850" t="s">
        <v>5592</v>
      </c>
      <c r="E850" t="s">
        <v>5593</v>
      </c>
      <c r="F850" t="s">
        <v>5594</v>
      </c>
      <c r="G850" t="s">
        <v>5595</v>
      </c>
      <c r="H850" t="s">
        <v>5596</v>
      </c>
    </row>
    <row r="851" spans="1:8" x14ac:dyDescent="0.25">
      <c r="A851" t="s">
        <v>886</v>
      </c>
      <c r="B851">
        <f>VLOOKUP(A851,art_category_path_name!A:B,2,FALSE)</f>
        <v>740</v>
      </c>
      <c r="C851" t="s">
        <v>5597</v>
      </c>
      <c r="D851" t="s">
        <v>5598</v>
      </c>
      <c r="E851" t="s">
        <v>5599</v>
      </c>
      <c r="F851" t="s">
        <v>5600</v>
      </c>
      <c r="G851" t="s">
        <v>5601</v>
      </c>
      <c r="H851" t="s">
        <v>5602</v>
      </c>
    </row>
    <row r="852" spans="1:8" x14ac:dyDescent="0.25">
      <c r="A852" t="s">
        <v>672</v>
      </c>
      <c r="B852">
        <f>VLOOKUP(A852,art_category_path_name!A:B,2,FALSE)</f>
        <v>742</v>
      </c>
      <c r="C852" t="s">
        <v>5603</v>
      </c>
      <c r="D852" t="s">
        <v>5604</v>
      </c>
      <c r="E852" t="s">
        <v>5605</v>
      </c>
      <c r="F852" t="s">
        <v>5606</v>
      </c>
      <c r="G852" t="s">
        <v>5607</v>
      </c>
      <c r="H852" t="s">
        <v>5608</v>
      </c>
    </row>
    <row r="853" spans="1:8" x14ac:dyDescent="0.25">
      <c r="A853" t="s">
        <v>673</v>
      </c>
      <c r="B853">
        <f>VLOOKUP(A853,art_category_path_name!A:B,2,FALSE)</f>
        <v>743</v>
      </c>
      <c r="C853" t="s">
        <v>5609</v>
      </c>
      <c r="D853" t="s">
        <v>5610</v>
      </c>
      <c r="E853" t="s">
        <v>5611</v>
      </c>
      <c r="F853" t="s">
        <v>5612</v>
      </c>
      <c r="G853" t="s">
        <v>5607</v>
      </c>
      <c r="H853" t="s">
        <v>5613</v>
      </c>
    </row>
    <row r="854" spans="1:8" x14ac:dyDescent="0.25">
      <c r="A854" t="s">
        <v>675</v>
      </c>
      <c r="B854">
        <f>VLOOKUP(A854,art_category_path_name!A:B,2,FALSE)</f>
        <v>745</v>
      </c>
      <c r="C854" t="s">
        <v>5614</v>
      </c>
      <c r="D854" t="s">
        <v>5474</v>
      </c>
      <c r="E854" t="s">
        <v>5475</v>
      </c>
      <c r="F854" t="s">
        <v>5476</v>
      </c>
      <c r="G854" t="s">
        <v>5615</v>
      </c>
      <c r="H854" t="s">
        <v>5616</v>
      </c>
    </row>
    <row r="855" spans="1:8" x14ac:dyDescent="0.25">
      <c r="A855" t="s">
        <v>676</v>
      </c>
      <c r="B855">
        <f>VLOOKUP(A855,art_category_path_name!A:B,2,FALSE)</f>
        <v>746</v>
      </c>
      <c r="C855" t="s">
        <v>5617</v>
      </c>
      <c r="D855" t="s">
        <v>5618</v>
      </c>
      <c r="E855" t="s">
        <v>5619</v>
      </c>
      <c r="F855" t="s">
        <v>5620</v>
      </c>
      <c r="G855" t="s">
        <v>5621</v>
      </c>
      <c r="H855" t="s">
        <v>5622</v>
      </c>
    </row>
    <row r="856" spans="1:8" x14ac:dyDescent="0.25">
      <c r="A856" t="s">
        <v>677</v>
      </c>
      <c r="B856">
        <f>VLOOKUP(A856,art_category_path_name!A:B,2,FALSE)</f>
        <v>747</v>
      </c>
      <c r="C856" t="s">
        <v>5623</v>
      </c>
      <c r="D856" t="s">
        <v>5624</v>
      </c>
      <c r="F856" t="s">
        <v>1834</v>
      </c>
      <c r="G856" t="s">
        <v>5625</v>
      </c>
      <c r="H856" t="s">
        <v>5626</v>
      </c>
    </row>
    <row r="857" spans="1:8" x14ac:dyDescent="0.25">
      <c r="A857" t="s">
        <v>1061</v>
      </c>
      <c r="B857">
        <f>VLOOKUP(A857,art_category_path_name!A:B,2,FALSE)</f>
        <v>749</v>
      </c>
      <c r="C857" t="s">
        <v>5627</v>
      </c>
      <c r="D857" t="s">
        <v>5628</v>
      </c>
      <c r="F857" t="s">
        <v>1834</v>
      </c>
      <c r="G857" t="s">
        <v>5629</v>
      </c>
      <c r="H857" t="s">
        <v>5630</v>
      </c>
    </row>
    <row r="858" spans="1:8" x14ac:dyDescent="0.25">
      <c r="A858" t="s">
        <v>1062</v>
      </c>
      <c r="B858">
        <f>VLOOKUP(A858,art_category_path_name!A:B,2,FALSE)</f>
        <v>750</v>
      </c>
      <c r="C858" t="s">
        <v>5631</v>
      </c>
      <c r="D858" t="s">
        <v>5632</v>
      </c>
      <c r="F858" t="s">
        <v>1834</v>
      </c>
      <c r="G858" t="s">
        <v>5633</v>
      </c>
      <c r="H858" t="s">
        <v>5634</v>
      </c>
    </row>
    <row r="859" spans="1:8" x14ac:dyDescent="0.25">
      <c r="A859" t="s">
        <v>189</v>
      </c>
      <c r="B859">
        <f>VLOOKUP(A859,art_category_path_name!A:B,2,FALSE)</f>
        <v>752</v>
      </c>
      <c r="C859" t="s">
        <v>5635</v>
      </c>
      <c r="D859" t="s">
        <v>5636</v>
      </c>
      <c r="E859" t="s">
        <v>5637</v>
      </c>
      <c r="F859" t="s">
        <v>5638</v>
      </c>
      <c r="G859" t="s">
        <v>5639</v>
      </c>
      <c r="H859" t="s">
        <v>5640</v>
      </c>
    </row>
    <row r="860" spans="1:8" x14ac:dyDescent="0.25">
      <c r="A860" t="s">
        <v>100</v>
      </c>
      <c r="B860">
        <f>VLOOKUP(A860,art_category_path_name!A:B,2,FALSE)</f>
        <v>753</v>
      </c>
      <c r="C860" t="s">
        <v>5641</v>
      </c>
      <c r="D860" t="s">
        <v>5642</v>
      </c>
      <c r="E860" t="s">
        <v>5643</v>
      </c>
      <c r="F860" t="s">
        <v>5644</v>
      </c>
      <c r="G860" t="s">
        <v>5645</v>
      </c>
      <c r="H860" t="s">
        <v>5646</v>
      </c>
    </row>
    <row r="861" spans="1:8" x14ac:dyDescent="0.25">
      <c r="A861" t="s">
        <v>190</v>
      </c>
      <c r="B861">
        <f>VLOOKUP(A861,art_category_path_name!A:B,2,FALSE)</f>
        <v>754</v>
      </c>
      <c r="C861" t="s">
        <v>5647</v>
      </c>
      <c r="D861" t="s">
        <v>5648</v>
      </c>
      <c r="E861" t="s">
        <v>5649</v>
      </c>
      <c r="F861" t="s">
        <v>5650</v>
      </c>
      <c r="G861" t="s">
        <v>5651</v>
      </c>
      <c r="H861" t="s">
        <v>5652</v>
      </c>
    </row>
    <row r="862" spans="1:8" x14ac:dyDescent="0.25">
      <c r="A862" t="s">
        <v>191</v>
      </c>
      <c r="B862">
        <f>VLOOKUP(A862,art_category_path_name!A:B,2,FALSE)</f>
        <v>755</v>
      </c>
      <c r="C862" t="s">
        <v>5653</v>
      </c>
      <c r="D862" t="s">
        <v>5654</v>
      </c>
      <c r="E862" t="s">
        <v>5655</v>
      </c>
      <c r="F862" t="s">
        <v>5656</v>
      </c>
      <c r="G862" t="s">
        <v>5657</v>
      </c>
      <c r="H862" t="s">
        <v>5658</v>
      </c>
    </row>
    <row r="863" spans="1:8" x14ac:dyDescent="0.25">
      <c r="A863" t="s">
        <v>192</v>
      </c>
      <c r="B863">
        <f>VLOOKUP(A863,art_category_path_name!A:B,2,FALSE)</f>
        <v>756</v>
      </c>
      <c r="C863" t="s">
        <v>5659</v>
      </c>
      <c r="D863" t="s">
        <v>5660</v>
      </c>
      <c r="F863" t="s">
        <v>1834</v>
      </c>
      <c r="G863" t="s">
        <v>5657</v>
      </c>
      <c r="H863" t="s">
        <v>5661</v>
      </c>
    </row>
    <row r="864" spans="1:8" x14ac:dyDescent="0.25">
      <c r="A864" t="s">
        <v>193</v>
      </c>
      <c r="B864">
        <f>VLOOKUP(A864,art_category_path_name!A:B,2,FALSE)</f>
        <v>757</v>
      </c>
      <c r="C864" t="s">
        <v>5662</v>
      </c>
      <c r="D864" t="s">
        <v>5663</v>
      </c>
      <c r="E864" t="s">
        <v>5664</v>
      </c>
      <c r="F864" t="s">
        <v>5665</v>
      </c>
      <c r="G864" t="s">
        <v>5666</v>
      </c>
      <c r="H864" t="s">
        <v>5667</v>
      </c>
    </row>
    <row r="865" spans="1:8" x14ac:dyDescent="0.25">
      <c r="A865" t="s">
        <v>194</v>
      </c>
      <c r="B865">
        <f>VLOOKUP(A865,art_category_path_name!A:B,2,FALSE)</f>
        <v>758</v>
      </c>
      <c r="C865" t="s">
        <v>5668</v>
      </c>
      <c r="D865" t="s">
        <v>5669</v>
      </c>
      <c r="F865" t="s">
        <v>1834</v>
      </c>
      <c r="G865" t="s">
        <v>5657</v>
      </c>
      <c r="H865" t="s">
        <v>5670</v>
      </c>
    </row>
    <row r="866" spans="1:8" x14ac:dyDescent="0.25">
      <c r="A866" t="s">
        <v>830</v>
      </c>
      <c r="B866">
        <f>VLOOKUP(A866,art_category_path_name!A:B,2,FALSE)</f>
        <v>760</v>
      </c>
      <c r="C866" t="s">
        <v>5671</v>
      </c>
      <c r="D866" t="s">
        <v>5672</v>
      </c>
      <c r="E866" t="s">
        <v>5673</v>
      </c>
      <c r="F866" t="s">
        <v>5674</v>
      </c>
      <c r="G866" t="s">
        <v>5675</v>
      </c>
      <c r="H866" t="s">
        <v>5676</v>
      </c>
    </row>
    <row r="867" spans="1:8" x14ac:dyDescent="0.25">
      <c r="A867" t="s">
        <v>831</v>
      </c>
      <c r="B867">
        <f>VLOOKUP(A867,art_category_path_name!A:B,2,FALSE)</f>
        <v>761</v>
      </c>
      <c r="C867" t="s">
        <v>5677</v>
      </c>
      <c r="D867" t="s">
        <v>5678</v>
      </c>
      <c r="E867" t="s">
        <v>5679</v>
      </c>
      <c r="F867" t="s">
        <v>5680</v>
      </c>
      <c r="G867" t="s">
        <v>5681</v>
      </c>
      <c r="H867" t="s">
        <v>5682</v>
      </c>
    </row>
    <row r="868" spans="1:8" x14ac:dyDescent="0.25">
      <c r="A868" t="s">
        <v>832</v>
      </c>
      <c r="B868">
        <f>VLOOKUP(A868,art_category_path_name!A:B,2,FALSE)</f>
        <v>762</v>
      </c>
      <c r="C868" t="s">
        <v>5683</v>
      </c>
      <c r="D868" t="s">
        <v>5684</v>
      </c>
      <c r="E868" t="s">
        <v>5685</v>
      </c>
      <c r="F868" t="s">
        <v>5686</v>
      </c>
      <c r="G868" t="s">
        <v>5687</v>
      </c>
      <c r="H868" t="s">
        <v>5688</v>
      </c>
    </row>
    <row r="869" spans="1:8" x14ac:dyDescent="0.25">
      <c r="A869" t="s">
        <v>1398</v>
      </c>
      <c r="B869">
        <f>VLOOKUP(A869,art_category_path_name!A:B,2,FALSE)</f>
        <v>764</v>
      </c>
      <c r="C869" t="s">
        <v>1585</v>
      </c>
      <c r="D869" t="s">
        <v>5689</v>
      </c>
      <c r="E869" t="s">
        <v>5690</v>
      </c>
      <c r="F869">
        <v>14</v>
      </c>
      <c r="G869" t="s">
        <v>5691</v>
      </c>
      <c r="H869" t="s">
        <v>5692</v>
      </c>
    </row>
    <row r="870" spans="1:8" x14ac:dyDescent="0.25">
      <c r="A870" t="s">
        <v>1399</v>
      </c>
      <c r="B870">
        <f>VLOOKUP(A870,art_category_path_name!A:B,2,FALSE)</f>
        <v>765</v>
      </c>
      <c r="C870" t="s">
        <v>5693</v>
      </c>
      <c r="D870" t="s">
        <v>5694</v>
      </c>
      <c r="E870" t="s">
        <v>5695</v>
      </c>
      <c r="F870" t="s">
        <v>5696</v>
      </c>
      <c r="G870" t="s">
        <v>5697</v>
      </c>
      <c r="H870" t="s">
        <v>5698</v>
      </c>
    </row>
    <row r="871" spans="1:8" x14ac:dyDescent="0.25">
      <c r="A871" t="s">
        <v>1400</v>
      </c>
      <c r="B871">
        <f>VLOOKUP(A871,art_category_path_name!A:B,2,FALSE)</f>
        <v>766</v>
      </c>
      <c r="C871" t="s">
        <v>1585</v>
      </c>
      <c r="D871" t="s">
        <v>5699</v>
      </c>
      <c r="E871" t="s">
        <v>5700</v>
      </c>
      <c r="F871" t="s">
        <v>5701</v>
      </c>
      <c r="G871" t="s">
        <v>5702</v>
      </c>
      <c r="H871" t="s">
        <v>5703</v>
      </c>
    </row>
    <row r="872" spans="1:8" x14ac:dyDescent="0.25">
      <c r="A872" t="s">
        <v>1401</v>
      </c>
      <c r="B872">
        <f>VLOOKUP(A872,art_category_path_name!A:B,2,FALSE)</f>
        <v>767</v>
      </c>
      <c r="C872" t="s">
        <v>5704</v>
      </c>
      <c r="D872" t="s">
        <v>5705</v>
      </c>
      <c r="E872" t="s">
        <v>5706</v>
      </c>
      <c r="F872" t="s">
        <v>5707</v>
      </c>
      <c r="G872" t="s">
        <v>5708</v>
      </c>
      <c r="H872" t="s">
        <v>5709</v>
      </c>
    </row>
    <row r="873" spans="1:8" x14ac:dyDescent="0.25">
      <c r="A873" t="s">
        <v>1402</v>
      </c>
      <c r="B873">
        <f>VLOOKUP(A873,art_category_path_name!A:B,2,FALSE)</f>
        <v>768</v>
      </c>
      <c r="C873" t="s">
        <v>5710</v>
      </c>
      <c r="D873" t="s">
        <v>5711</v>
      </c>
      <c r="E873" t="s">
        <v>5712</v>
      </c>
      <c r="F873" t="s">
        <v>5713</v>
      </c>
      <c r="G873" t="s">
        <v>5714</v>
      </c>
      <c r="H873" t="s">
        <v>5715</v>
      </c>
    </row>
    <row r="874" spans="1:8" x14ac:dyDescent="0.25">
      <c r="A874" t="s">
        <v>1403</v>
      </c>
      <c r="B874">
        <f>VLOOKUP(A874,art_category_path_name!A:B,2,FALSE)</f>
        <v>769</v>
      </c>
      <c r="C874" t="s">
        <v>5716</v>
      </c>
      <c r="D874" t="s">
        <v>5717</v>
      </c>
      <c r="E874" t="s">
        <v>5718</v>
      </c>
      <c r="F874" t="s">
        <v>5719</v>
      </c>
      <c r="G874" t="s">
        <v>5720</v>
      </c>
      <c r="H874" t="s">
        <v>5721</v>
      </c>
    </row>
    <row r="875" spans="1:8" x14ac:dyDescent="0.25">
      <c r="A875" t="s">
        <v>1404</v>
      </c>
      <c r="B875">
        <f>VLOOKUP(A875,art_category_path_name!A:B,2,FALSE)</f>
        <v>770</v>
      </c>
      <c r="C875" t="s">
        <v>1585</v>
      </c>
      <c r="D875" t="s">
        <v>5722</v>
      </c>
      <c r="E875" t="s">
        <v>5723</v>
      </c>
      <c r="F875" t="s">
        <v>5724</v>
      </c>
      <c r="G875" t="s">
        <v>5725</v>
      </c>
      <c r="H875" t="s">
        <v>5726</v>
      </c>
    </row>
    <row r="876" spans="1:8" x14ac:dyDescent="0.25">
      <c r="A876" t="s">
        <v>1405</v>
      </c>
      <c r="B876">
        <f>VLOOKUP(A876,art_category_path_name!A:B,2,FALSE)</f>
        <v>771</v>
      </c>
      <c r="C876" t="s">
        <v>5727</v>
      </c>
      <c r="D876" t="s">
        <v>5728</v>
      </c>
      <c r="E876" t="s">
        <v>5729</v>
      </c>
      <c r="F876" t="s">
        <v>5730</v>
      </c>
      <c r="G876" t="s">
        <v>5731</v>
      </c>
      <c r="H876" t="s">
        <v>5732</v>
      </c>
    </row>
    <row r="877" spans="1:8" x14ac:dyDescent="0.25">
      <c r="A877" t="s">
        <v>1406</v>
      </c>
      <c r="B877">
        <f>VLOOKUP(A877,art_category_path_name!A:B,2,FALSE)</f>
        <v>772</v>
      </c>
      <c r="C877" t="s">
        <v>5733</v>
      </c>
      <c r="D877" t="s">
        <v>5734</v>
      </c>
      <c r="E877" t="s">
        <v>5735</v>
      </c>
      <c r="F877" t="s">
        <v>5736</v>
      </c>
      <c r="G877" t="s">
        <v>5737</v>
      </c>
      <c r="H877" t="s">
        <v>5738</v>
      </c>
    </row>
    <row r="878" spans="1:8" x14ac:dyDescent="0.25">
      <c r="A878" t="s">
        <v>1407</v>
      </c>
      <c r="B878">
        <f>VLOOKUP(A878,art_category_path_name!A:B,2,FALSE)</f>
        <v>773</v>
      </c>
      <c r="C878" t="s">
        <v>5739</v>
      </c>
      <c r="D878" t="s">
        <v>5740</v>
      </c>
      <c r="E878" t="s">
        <v>5741</v>
      </c>
      <c r="F878" t="s">
        <v>5742</v>
      </c>
      <c r="G878" t="s">
        <v>5743</v>
      </c>
      <c r="H878" t="s">
        <v>5744</v>
      </c>
    </row>
    <row r="879" spans="1:8" x14ac:dyDescent="0.25">
      <c r="A879" t="s">
        <v>1408</v>
      </c>
      <c r="B879">
        <f>VLOOKUP(A879,art_category_path_name!A:B,2,FALSE)</f>
        <v>774</v>
      </c>
      <c r="C879" t="s">
        <v>1585</v>
      </c>
      <c r="D879" t="s">
        <v>5745</v>
      </c>
      <c r="E879" t="s">
        <v>5746</v>
      </c>
      <c r="F879" t="s">
        <v>5747</v>
      </c>
      <c r="G879" t="s">
        <v>5748</v>
      </c>
      <c r="H879" t="s">
        <v>5749</v>
      </c>
    </row>
    <row r="880" spans="1:8" x14ac:dyDescent="0.25">
      <c r="A880" t="s">
        <v>1409</v>
      </c>
      <c r="B880">
        <f>VLOOKUP(A880,art_category_path_name!A:B,2,FALSE)</f>
        <v>775</v>
      </c>
      <c r="C880" t="s">
        <v>5750</v>
      </c>
      <c r="D880" t="s">
        <v>5751</v>
      </c>
      <c r="E880" t="s">
        <v>5752</v>
      </c>
      <c r="F880" t="s">
        <v>5753</v>
      </c>
      <c r="G880" t="s">
        <v>5754</v>
      </c>
      <c r="H880" t="s">
        <v>5755</v>
      </c>
    </row>
    <row r="881" spans="1:8" x14ac:dyDescent="0.25">
      <c r="A881" t="s">
        <v>1410</v>
      </c>
      <c r="B881">
        <f>VLOOKUP(A881,art_category_path_name!A:B,2,FALSE)</f>
        <v>776</v>
      </c>
      <c r="C881" t="s">
        <v>5756</v>
      </c>
      <c r="D881" t="s">
        <v>5757</v>
      </c>
      <c r="E881" t="s">
        <v>5758</v>
      </c>
      <c r="F881" t="s">
        <v>5759</v>
      </c>
      <c r="G881" t="s">
        <v>5760</v>
      </c>
      <c r="H881" t="s">
        <v>5761</v>
      </c>
    </row>
    <row r="882" spans="1:8" x14ac:dyDescent="0.25">
      <c r="A882" t="s">
        <v>1411</v>
      </c>
      <c r="B882">
        <f>VLOOKUP(A882,art_category_path_name!A:B,2,FALSE)</f>
        <v>777</v>
      </c>
      <c r="C882" t="s">
        <v>5762</v>
      </c>
      <c r="D882" t="s">
        <v>5763</v>
      </c>
      <c r="E882" t="s">
        <v>5764</v>
      </c>
      <c r="F882" t="s">
        <v>5765</v>
      </c>
      <c r="G882" t="s">
        <v>5766</v>
      </c>
      <c r="H882" t="s">
        <v>5767</v>
      </c>
    </row>
    <row r="883" spans="1:8" x14ac:dyDescent="0.25">
      <c r="A883" t="s">
        <v>1412</v>
      </c>
      <c r="B883">
        <f>VLOOKUP(A883,art_category_path_name!A:B,2,FALSE)</f>
        <v>778</v>
      </c>
      <c r="C883" t="s">
        <v>5768</v>
      </c>
      <c r="D883" t="s">
        <v>5769</v>
      </c>
      <c r="F883" t="s">
        <v>1834</v>
      </c>
      <c r="G883" t="s">
        <v>5770</v>
      </c>
      <c r="H883" t="s">
        <v>5771</v>
      </c>
    </row>
    <row r="884" spans="1:8" x14ac:dyDescent="0.25">
      <c r="A884" t="s">
        <v>1413</v>
      </c>
      <c r="B884">
        <f>VLOOKUP(A884,art_category_path_name!A:B,2,FALSE)</f>
        <v>779</v>
      </c>
      <c r="C884" t="s">
        <v>5772</v>
      </c>
      <c r="D884" t="s">
        <v>5773</v>
      </c>
      <c r="E884" t="s">
        <v>5774</v>
      </c>
      <c r="F884" t="s">
        <v>5775</v>
      </c>
      <c r="G884" t="s">
        <v>5776</v>
      </c>
      <c r="H884" t="s">
        <v>5777</v>
      </c>
    </row>
    <row r="885" spans="1:8" x14ac:dyDescent="0.25">
      <c r="A885" t="s">
        <v>1414</v>
      </c>
      <c r="B885">
        <f>VLOOKUP(A885,art_category_path_name!A:B,2,FALSE)</f>
        <v>780</v>
      </c>
      <c r="C885" t="s">
        <v>5778</v>
      </c>
      <c r="D885" t="s">
        <v>5779</v>
      </c>
      <c r="E885" t="s">
        <v>5780</v>
      </c>
      <c r="F885" t="s">
        <v>5781</v>
      </c>
      <c r="G885" t="s">
        <v>5782</v>
      </c>
      <c r="H885" t="s">
        <v>5783</v>
      </c>
    </row>
    <row r="886" spans="1:8" x14ac:dyDescent="0.25">
      <c r="A886" t="s">
        <v>834</v>
      </c>
      <c r="B886">
        <f>VLOOKUP(A886,art_category_path_name!A:B,2,FALSE)</f>
        <v>782</v>
      </c>
      <c r="C886" t="s">
        <v>5784</v>
      </c>
      <c r="D886" t="s">
        <v>5785</v>
      </c>
      <c r="E886" t="s">
        <v>5786</v>
      </c>
      <c r="F886" t="s">
        <v>5787</v>
      </c>
      <c r="G886" t="s">
        <v>5788</v>
      </c>
      <c r="H886" t="s">
        <v>5789</v>
      </c>
    </row>
    <row r="887" spans="1:8" x14ac:dyDescent="0.25">
      <c r="A887" t="s">
        <v>835</v>
      </c>
      <c r="B887">
        <f>VLOOKUP(A887,art_category_path_name!A:B,2,FALSE)</f>
        <v>783</v>
      </c>
      <c r="C887" t="s">
        <v>5790</v>
      </c>
      <c r="D887" t="s">
        <v>5791</v>
      </c>
      <c r="E887" t="s">
        <v>5792</v>
      </c>
      <c r="F887" t="s">
        <v>5793</v>
      </c>
      <c r="G887" t="s">
        <v>5794</v>
      </c>
      <c r="H887" t="s">
        <v>5795</v>
      </c>
    </row>
    <row r="888" spans="1:8" x14ac:dyDescent="0.25">
      <c r="A888" t="s">
        <v>836</v>
      </c>
      <c r="B888">
        <f>VLOOKUP(A888,art_category_path_name!A:B,2,FALSE)</f>
        <v>784</v>
      </c>
      <c r="C888" t="s">
        <v>5796</v>
      </c>
      <c r="D888" t="s">
        <v>5797</v>
      </c>
      <c r="E888" t="s">
        <v>5798</v>
      </c>
      <c r="F888" t="s">
        <v>5799</v>
      </c>
      <c r="G888" t="s">
        <v>5800</v>
      </c>
      <c r="H888" t="s">
        <v>5801</v>
      </c>
    </row>
    <row r="889" spans="1:8" x14ac:dyDescent="0.25">
      <c r="A889" t="s">
        <v>837</v>
      </c>
      <c r="B889">
        <f>VLOOKUP(A889,art_category_path_name!A:B,2,FALSE)</f>
        <v>785</v>
      </c>
      <c r="C889" t="s">
        <v>5802</v>
      </c>
      <c r="D889" t="s">
        <v>5803</v>
      </c>
      <c r="E889" t="s">
        <v>5804</v>
      </c>
      <c r="F889" t="s">
        <v>5805</v>
      </c>
      <c r="G889" t="s">
        <v>5806</v>
      </c>
      <c r="H889" t="s">
        <v>5807</v>
      </c>
    </row>
    <row r="890" spans="1:8" x14ac:dyDescent="0.25">
      <c r="A890" t="s">
        <v>838</v>
      </c>
      <c r="B890">
        <f>VLOOKUP(A890,art_category_path_name!A:B,2,FALSE)</f>
        <v>786</v>
      </c>
      <c r="C890" t="s">
        <v>5808</v>
      </c>
      <c r="D890" t="s">
        <v>5809</v>
      </c>
      <c r="E890" t="s">
        <v>5810</v>
      </c>
      <c r="F890" t="s">
        <v>5811</v>
      </c>
      <c r="G890" t="s">
        <v>5812</v>
      </c>
      <c r="H890" t="s">
        <v>5813</v>
      </c>
    </row>
    <row r="891" spans="1:8" x14ac:dyDescent="0.25">
      <c r="A891" t="s">
        <v>839</v>
      </c>
      <c r="B891">
        <f>VLOOKUP(A891,art_category_path_name!A:B,2,FALSE)</f>
        <v>787</v>
      </c>
      <c r="C891" t="s">
        <v>5814</v>
      </c>
      <c r="D891" t="s">
        <v>5815</v>
      </c>
      <c r="E891" t="s">
        <v>5816</v>
      </c>
      <c r="F891" t="s">
        <v>5817</v>
      </c>
      <c r="G891" t="s">
        <v>5818</v>
      </c>
      <c r="H891" t="s">
        <v>5819</v>
      </c>
    </row>
    <row r="892" spans="1:8" x14ac:dyDescent="0.25">
      <c r="A892" t="s">
        <v>840</v>
      </c>
      <c r="B892">
        <f>VLOOKUP(A892,art_category_path_name!A:B,2,FALSE)</f>
        <v>788</v>
      </c>
      <c r="C892" t="s">
        <v>5820</v>
      </c>
      <c r="D892" t="s">
        <v>5821</v>
      </c>
      <c r="E892" t="s">
        <v>5822</v>
      </c>
      <c r="F892" t="s">
        <v>5823</v>
      </c>
      <c r="G892" t="s">
        <v>5824</v>
      </c>
      <c r="H892" t="s">
        <v>5825</v>
      </c>
    </row>
    <row r="893" spans="1:8" x14ac:dyDescent="0.25">
      <c r="A893" t="s">
        <v>841</v>
      </c>
      <c r="B893">
        <f>VLOOKUP(A893,art_category_path_name!A:B,2,FALSE)</f>
        <v>789</v>
      </c>
      <c r="C893" t="s">
        <v>5826</v>
      </c>
      <c r="D893" t="s">
        <v>5827</v>
      </c>
      <c r="E893" t="s">
        <v>5828</v>
      </c>
      <c r="F893" t="s">
        <v>5829</v>
      </c>
      <c r="G893" t="s">
        <v>5812</v>
      </c>
      <c r="H893" t="s">
        <v>5830</v>
      </c>
    </row>
    <row r="894" spans="1:8" x14ac:dyDescent="0.25">
      <c r="A894" t="s">
        <v>842</v>
      </c>
      <c r="B894">
        <f>VLOOKUP(A894,art_category_path_name!A:B,2,FALSE)</f>
        <v>790</v>
      </c>
      <c r="C894" t="s">
        <v>5831</v>
      </c>
      <c r="D894" t="s">
        <v>5832</v>
      </c>
      <c r="F894" t="s">
        <v>1834</v>
      </c>
      <c r="G894" t="s">
        <v>5833</v>
      </c>
      <c r="H894" t="s">
        <v>5834</v>
      </c>
    </row>
    <row r="895" spans="1:8" x14ac:dyDescent="0.25">
      <c r="A895" t="s">
        <v>843</v>
      </c>
      <c r="B895">
        <f>VLOOKUP(A895,art_category_path_name!A:B,2,FALSE)</f>
        <v>791</v>
      </c>
      <c r="C895" t="s">
        <v>5835</v>
      </c>
      <c r="D895" t="s">
        <v>5836</v>
      </c>
      <c r="F895" t="s">
        <v>1834</v>
      </c>
      <c r="G895" t="s">
        <v>5837</v>
      </c>
      <c r="H895" t="s">
        <v>5838</v>
      </c>
    </row>
    <row r="896" spans="1:8" x14ac:dyDescent="0.25">
      <c r="A896" t="s">
        <v>844</v>
      </c>
      <c r="B896">
        <f>VLOOKUP(A896,art_category_path_name!A:B,2,FALSE)</f>
        <v>792</v>
      </c>
      <c r="C896" t="s">
        <v>5839</v>
      </c>
      <c r="D896" t="s">
        <v>5840</v>
      </c>
      <c r="E896" t="s">
        <v>5841</v>
      </c>
      <c r="F896" t="s">
        <v>5842</v>
      </c>
      <c r="G896" t="s">
        <v>5794</v>
      </c>
      <c r="H896" t="s">
        <v>5843</v>
      </c>
    </row>
    <row r="897" spans="1:8" x14ac:dyDescent="0.25">
      <c r="A897" t="s">
        <v>846</v>
      </c>
      <c r="B897">
        <f>VLOOKUP(A897,art_category_path_name!A:B,2,FALSE)</f>
        <v>794</v>
      </c>
      <c r="C897" t="s">
        <v>5844</v>
      </c>
      <c r="D897" t="s">
        <v>5845</v>
      </c>
      <c r="F897" t="s">
        <v>1834</v>
      </c>
      <c r="G897" t="s">
        <v>5846</v>
      </c>
      <c r="H897" t="s">
        <v>5847</v>
      </c>
    </row>
    <row r="898" spans="1:8" x14ac:dyDescent="0.25">
      <c r="A898" t="s">
        <v>847</v>
      </c>
      <c r="B898">
        <f>VLOOKUP(A898,art_category_path_name!A:B,2,FALSE)</f>
        <v>795</v>
      </c>
      <c r="C898" t="s">
        <v>5848</v>
      </c>
      <c r="D898" t="s">
        <v>5849</v>
      </c>
      <c r="F898" t="s">
        <v>1834</v>
      </c>
      <c r="G898" t="s">
        <v>5850</v>
      </c>
      <c r="H898" t="s">
        <v>5851</v>
      </c>
    </row>
    <row r="899" spans="1:8" x14ac:dyDescent="0.25">
      <c r="A899" t="s">
        <v>848</v>
      </c>
      <c r="B899">
        <f>VLOOKUP(A899,art_category_path_name!A:B,2,FALSE)</f>
        <v>796</v>
      </c>
      <c r="C899" t="s">
        <v>5852</v>
      </c>
      <c r="D899" t="s">
        <v>5853</v>
      </c>
      <c r="F899" t="s">
        <v>1834</v>
      </c>
      <c r="G899" t="s">
        <v>5854</v>
      </c>
      <c r="H899" t="s">
        <v>5855</v>
      </c>
    </row>
    <row r="900" spans="1:8" x14ac:dyDescent="0.25">
      <c r="A900" t="s">
        <v>1098</v>
      </c>
      <c r="B900">
        <f>VLOOKUP(A900,art_category_path_name!A:B,2,FALSE)</f>
        <v>798</v>
      </c>
      <c r="C900" t="s">
        <v>5856</v>
      </c>
      <c r="D900" t="s">
        <v>5857</v>
      </c>
      <c r="E900" t="s">
        <v>5858</v>
      </c>
      <c r="F900" t="s">
        <v>5859</v>
      </c>
      <c r="G900" t="s">
        <v>5860</v>
      </c>
      <c r="H900" t="s">
        <v>5861</v>
      </c>
    </row>
    <row r="901" spans="1:8" x14ac:dyDescent="0.25">
      <c r="A901" t="s">
        <v>1099</v>
      </c>
      <c r="B901">
        <f>VLOOKUP(A901,art_category_path_name!A:B,2,FALSE)</f>
        <v>799</v>
      </c>
      <c r="C901" t="s">
        <v>5862</v>
      </c>
      <c r="D901" t="s">
        <v>5863</v>
      </c>
      <c r="E901" t="s">
        <v>5864</v>
      </c>
      <c r="F901" t="s">
        <v>5865</v>
      </c>
      <c r="G901" t="s">
        <v>5866</v>
      </c>
      <c r="H901" t="s">
        <v>5867</v>
      </c>
    </row>
    <row r="902" spans="1:8" x14ac:dyDescent="0.25">
      <c r="A902" t="s">
        <v>1101</v>
      </c>
      <c r="B902">
        <f>VLOOKUP(A902,art_category_path_name!A:B,2,FALSE)</f>
        <v>801</v>
      </c>
      <c r="C902" t="s">
        <v>5868</v>
      </c>
      <c r="D902" t="s">
        <v>5869</v>
      </c>
      <c r="F902" t="s">
        <v>1834</v>
      </c>
      <c r="G902" t="s">
        <v>5870</v>
      </c>
      <c r="H902" t="s">
        <v>5871</v>
      </c>
    </row>
    <row r="903" spans="1:8" x14ac:dyDescent="0.25">
      <c r="A903" t="s">
        <v>1103</v>
      </c>
      <c r="B903">
        <f>VLOOKUP(A903,art_category_path_name!A:B,2,FALSE)</f>
        <v>803</v>
      </c>
      <c r="C903" t="s">
        <v>5872</v>
      </c>
      <c r="D903" t="s">
        <v>5873</v>
      </c>
      <c r="F903" t="s">
        <v>1834</v>
      </c>
      <c r="G903" t="s">
        <v>5874</v>
      </c>
      <c r="H903" t="s">
        <v>5875</v>
      </c>
    </row>
    <row r="904" spans="1:8" x14ac:dyDescent="0.25">
      <c r="A904" t="s">
        <v>1104</v>
      </c>
      <c r="B904">
        <f>VLOOKUP(A904,art_category_path_name!A:B,2,FALSE)</f>
        <v>804</v>
      </c>
      <c r="C904" t="s">
        <v>5876</v>
      </c>
      <c r="D904" t="s">
        <v>5877</v>
      </c>
      <c r="E904" t="s">
        <v>5878</v>
      </c>
      <c r="F904" t="s">
        <v>5879</v>
      </c>
      <c r="G904" t="s">
        <v>5880</v>
      </c>
      <c r="H904" t="s">
        <v>5881</v>
      </c>
    </row>
    <row r="905" spans="1:8" x14ac:dyDescent="0.25">
      <c r="A905" t="s">
        <v>1105</v>
      </c>
      <c r="B905">
        <f>VLOOKUP(A905,art_category_path_name!A:B,2,FALSE)</f>
        <v>805</v>
      </c>
      <c r="C905" t="s">
        <v>5882</v>
      </c>
      <c r="D905" t="s">
        <v>5883</v>
      </c>
      <c r="F905" t="s">
        <v>1834</v>
      </c>
      <c r="G905" t="s">
        <v>5884</v>
      </c>
      <c r="H905" t="s">
        <v>5885</v>
      </c>
    </row>
    <row r="906" spans="1:8" x14ac:dyDescent="0.25">
      <c r="A906" t="s">
        <v>1106</v>
      </c>
      <c r="B906">
        <f>VLOOKUP(A906,art_category_path_name!A:B,2,FALSE)</f>
        <v>806</v>
      </c>
      <c r="C906" t="s">
        <v>5886</v>
      </c>
      <c r="D906" t="s">
        <v>5887</v>
      </c>
      <c r="F906" t="s">
        <v>1834</v>
      </c>
      <c r="G906" t="s">
        <v>5888</v>
      </c>
      <c r="H906" t="s">
        <v>5889</v>
      </c>
    </row>
    <row r="907" spans="1:8" x14ac:dyDescent="0.25">
      <c r="A907" t="s">
        <v>1107</v>
      </c>
      <c r="B907">
        <f>VLOOKUP(A907,art_category_path_name!A:B,2,FALSE)</f>
        <v>807</v>
      </c>
      <c r="C907" t="s">
        <v>5890</v>
      </c>
      <c r="D907" t="s">
        <v>5891</v>
      </c>
      <c r="E907" t="s">
        <v>5892</v>
      </c>
      <c r="F907" t="s">
        <v>5891</v>
      </c>
      <c r="G907" t="s">
        <v>5893</v>
      </c>
      <c r="H907" t="s">
        <v>5894</v>
      </c>
    </row>
    <row r="908" spans="1:8" x14ac:dyDescent="0.25">
      <c r="A908" t="s">
        <v>1108</v>
      </c>
      <c r="B908">
        <f>VLOOKUP(A908,art_category_path_name!A:B,2,FALSE)</f>
        <v>808</v>
      </c>
      <c r="C908" t="s">
        <v>5895</v>
      </c>
      <c r="D908" t="s">
        <v>5896</v>
      </c>
      <c r="F908" t="s">
        <v>1834</v>
      </c>
      <c r="G908" t="s">
        <v>5897</v>
      </c>
      <c r="H908" t="s">
        <v>5898</v>
      </c>
    </row>
    <row r="909" spans="1:8" x14ac:dyDescent="0.25">
      <c r="A909" t="s">
        <v>1109</v>
      </c>
      <c r="B909">
        <f>VLOOKUP(A909,art_category_path_name!A:B,2,FALSE)</f>
        <v>809</v>
      </c>
      <c r="C909" t="s">
        <v>5899</v>
      </c>
      <c r="D909" t="s">
        <v>5900</v>
      </c>
      <c r="F909" t="s">
        <v>1834</v>
      </c>
      <c r="G909" t="s">
        <v>5901</v>
      </c>
      <c r="H909" t="s">
        <v>5902</v>
      </c>
    </row>
    <row r="910" spans="1:8" x14ac:dyDescent="0.25">
      <c r="A910" t="s">
        <v>1110</v>
      </c>
      <c r="B910">
        <f>VLOOKUP(A910,art_category_path_name!A:B,2,FALSE)</f>
        <v>810</v>
      </c>
      <c r="C910" t="s">
        <v>5903</v>
      </c>
      <c r="D910" t="s">
        <v>5904</v>
      </c>
      <c r="F910" t="s">
        <v>1834</v>
      </c>
      <c r="G910" t="s">
        <v>5905</v>
      </c>
      <c r="H910" t="s">
        <v>5906</v>
      </c>
    </row>
    <row r="911" spans="1:8" x14ac:dyDescent="0.25">
      <c r="A911" t="s">
        <v>1111</v>
      </c>
      <c r="B911">
        <f>VLOOKUP(A911,art_category_path_name!A:B,2,FALSE)</f>
        <v>811</v>
      </c>
      <c r="C911" t="s">
        <v>5907</v>
      </c>
      <c r="D911" t="s">
        <v>5908</v>
      </c>
      <c r="F911" t="s">
        <v>1834</v>
      </c>
      <c r="G911" t="s">
        <v>5909</v>
      </c>
      <c r="H911" t="s">
        <v>5910</v>
      </c>
    </row>
    <row r="912" spans="1:8" x14ac:dyDescent="0.25">
      <c r="A912" t="s">
        <v>1112</v>
      </c>
      <c r="B912">
        <f>VLOOKUP(A912,art_category_path_name!A:B,2,FALSE)</f>
        <v>812</v>
      </c>
      <c r="C912" t="s">
        <v>5911</v>
      </c>
      <c r="G912" t="s">
        <v>5912</v>
      </c>
      <c r="H912" t="s">
        <v>5913</v>
      </c>
    </row>
    <row r="913" spans="1:8" x14ac:dyDescent="0.25">
      <c r="A913" t="s">
        <v>1114</v>
      </c>
      <c r="B913">
        <f>VLOOKUP(A913,art_category_path_name!A:B,2,FALSE)</f>
        <v>814</v>
      </c>
      <c r="C913" t="s">
        <v>5914</v>
      </c>
      <c r="D913" t="s">
        <v>5915</v>
      </c>
      <c r="E913" t="s">
        <v>5916</v>
      </c>
      <c r="F913" t="s">
        <v>5915</v>
      </c>
      <c r="G913" t="s">
        <v>5917</v>
      </c>
      <c r="H913" t="s">
        <v>5918</v>
      </c>
    </row>
    <row r="914" spans="1:8" x14ac:dyDescent="0.25">
      <c r="A914" t="s">
        <v>1115</v>
      </c>
      <c r="B914">
        <f>VLOOKUP(A914,art_category_path_name!A:B,2,FALSE)</f>
        <v>815</v>
      </c>
      <c r="C914" t="s">
        <v>5919</v>
      </c>
      <c r="D914" t="s">
        <v>5920</v>
      </c>
      <c r="E914" t="s">
        <v>5921</v>
      </c>
      <c r="F914" t="s">
        <v>5920</v>
      </c>
      <c r="G914" t="s">
        <v>5922</v>
      </c>
      <c r="H914" t="s">
        <v>5923</v>
      </c>
    </row>
    <row r="915" spans="1:8" x14ac:dyDescent="0.25">
      <c r="A915" t="s">
        <v>1116</v>
      </c>
      <c r="B915">
        <f>VLOOKUP(A915,art_category_path_name!A:B,2,FALSE)</f>
        <v>816</v>
      </c>
      <c r="C915" t="s">
        <v>5924</v>
      </c>
      <c r="D915" t="s">
        <v>5925</v>
      </c>
      <c r="E915" t="s">
        <v>5926</v>
      </c>
      <c r="F915" t="s">
        <v>5925</v>
      </c>
      <c r="G915" t="s">
        <v>5927</v>
      </c>
      <c r="H915" t="s">
        <v>5928</v>
      </c>
    </row>
    <row r="916" spans="1:8" x14ac:dyDescent="0.25">
      <c r="A916" t="s">
        <v>1117</v>
      </c>
      <c r="B916">
        <f>VLOOKUP(A916,art_category_path_name!A:B,2,FALSE)</f>
        <v>817</v>
      </c>
      <c r="C916" t="s">
        <v>5929</v>
      </c>
      <c r="D916" t="s">
        <v>5930</v>
      </c>
      <c r="E916" t="s">
        <v>5931</v>
      </c>
      <c r="F916" t="s">
        <v>5930</v>
      </c>
      <c r="G916" t="s">
        <v>3928</v>
      </c>
      <c r="H916" t="s">
        <v>5932</v>
      </c>
    </row>
    <row r="917" spans="1:8" x14ac:dyDescent="0.25">
      <c r="A917" t="s">
        <v>1118</v>
      </c>
      <c r="B917">
        <f>VLOOKUP(A917,art_category_path_name!A:B,2,FALSE)</f>
        <v>818</v>
      </c>
      <c r="C917" t="s">
        <v>5933</v>
      </c>
      <c r="D917" t="s">
        <v>5934</v>
      </c>
      <c r="E917" t="s">
        <v>5935</v>
      </c>
      <c r="F917" t="s">
        <v>5934</v>
      </c>
      <c r="G917" t="s">
        <v>5936</v>
      </c>
      <c r="H917" t="s">
        <v>5937</v>
      </c>
    </row>
    <row r="918" spans="1:8" x14ac:dyDescent="0.25">
      <c r="A918" t="s">
        <v>888</v>
      </c>
      <c r="B918">
        <f>VLOOKUP(A918,art_category_path_name!A:B,2,FALSE)</f>
        <v>820</v>
      </c>
      <c r="C918" t="s">
        <v>5938</v>
      </c>
      <c r="D918" t="s">
        <v>5939</v>
      </c>
      <c r="E918" t="s">
        <v>5940</v>
      </c>
      <c r="F918" t="s">
        <v>5941</v>
      </c>
      <c r="G918" t="s">
        <v>5942</v>
      </c>
      <c r="H918" t="s">
        <v>5943</v>
      </c>
    </row>
    <row r="919" spans="1:8" x14ac:dyDescent="0.25">
      <c r="A919" t="s">
        <v>889</v>
      </c>
      <c r="B919">
        <f>VLOOKUP(A919,art_category_path_name!A:B,2,FALSE)</f>
        <v>821</v>
      </c>
      <c r="C919" t="s">
        <v>5944</v>
      </c>
      <c r="D919" t="s">
        <v>5945</v>
      </c>
      <c r="E919" t="s">
        <v>5946</v>
      </c>
      <c r="F919" t="s">
        <v>5947</v>
      </c>
      <c r="G919" t="s">
        <v>5948</v>
      </c>
      <c r="H919" t="s">
        <v>5949</v>
      </c>
    </row>
    <row r="920" spans="1:8" x14ac:dyDescent="0.25">
      <c r="A920" t="s">
        <v>890</v>
      </c>
      <c r="B920">
        <f>VLOOKUP(A920,art_category_path_name!A:B,2,FALSE)</f>
        <v>822</v>
      </c>
      <c r="C920" t="s">
        <v>5950</v>
      </c>
      <c r="D920" t="s">
        <v>5951</v>
      </c>
      <c r="E920" t="s">
        <v>5952</v>
      </c>
      <c r="F920" t="s">
        <v>5953</v>
      </c>
      <c r="G920" t="s">
        <v>5954</v>
      </c>
      <c r="H920" t="s">
        <v>5955</v>
      </c>
    </row>
    <row r="921" spans="1:8" x14ac:dyDescent="0.25">
      <c r="A921" t="s">
        <v>891</v>
      </c>
      <c r="B921">
        <f>VLOOKUP(A921,art_category_path_name!A:B,2,FALSE)</f>
        <v>823</v>
      </c>
      <c r="C921" t="s">
        <v>5956</v>
      </c>
      <c r="D921" t="s">
        <v>5957</v>
      </c>
      <c r="E921" t="s">
        <v>5958</v>
      </c>
      <c r="F921" t="s">
        <v>5959</v>
      </c>
      <c r="G921" t="s">
        <v>5960</v>
      </c>
      <c r="H921" t="s">
        <v>5961</v>
      </c>
    </row>
    <row r="922" spans="1:8" x14ac:dyDescent="0.25">
      <c r="A922" t="s">
        <v>892</v>
      </c>
      <c r="B922">
        <f>VLOOKUP(A922,art_category_path_name!A:B,2,FALSE)</f>
        <v>824</v>
      </c>
      <c r="C922" t="s">
        <v>5962</v>
      </c>
      <c r="D922" t="s">
        <v>5963</v>
      </c>
      <c r="E922" t="s">
        <v>5964</v>
      </c>
      <c r="F922" t="s">
        <v>5965</v>
      </c>
      <c r="G922" t="s">
        <v>5966</v>
      </c>
      <c r="H922" t="s">
        <v>5967</v>
      </c>
    </row>
    <row r="923" spans="1:8" x14ac:dyDescent="0.25">
      <c r="A923" t="s">
        <v>893</v>
      </c>
      <c r="B923">
        <f>VLOOKUP(A923,art_category_path_name!A:B,2,FALSE)</f>
        <v>825</v>
      </c>
      <c r="C923" t="s">
        <v>5968</v>
      </c>
      <c r="D923" t="s">
        <v>5969</v>
      </c>
      <c r="E923" t="s">
        <v>5970</v>
      </c>
      <c r="F923" t="s">
        <v>5971</v>
      </c>
      <c r="G923" t="s">
        <v>5972</v>
      </c>
      <c r="H923" t="s">
        <v>5973</v>
      </c>
    </row>
    <row r="924" spans="1:8" x14ac:dyDescent="0.25">
      <c r="A924" t="s">
        <v>894</v>
      </c>
      <c r="B924">
        <f>VLOOKUP(A924,art_category_path_name!A:B,2,FALSE)</f>
        <v>826</v>
      </c>
      <c r="C924" t="s">
        <v>5974</v>
      </c>
      <c r="D924" t="s">
        <v>5975</v>
      </c>
      <c r="E924" t="s">
        <v>5976</v>
      </c>
      <c r="F924" t="s">
        <v>5977</v>
      </c>
      <c r="G924" t="s">
        <v>5978</v>
      </c>
      <c r="H924" t="s">
        <v>5979</v>
      </c>
    </row>
    <row r="925" spans="1:8" x14ac:dyDescent="0.25">
      <c r="A925" t="s">
        <v>895</v>
      </c>
      <c r="B925">
        <f>VLOOKUP(A925,art_category_path_name!A:B,2,FALSE)</f>
        <v>827</v>
      </c>
      <c r="C925" t="s">
        <v>5980</v>
      </c>
      <c r="D925" t="s">
        <v>5981</v>
      </c>
      <c r="F925" t="s">
        <v>1834</v>
      </c>
      <c r="G925" t="s">
        <v>5982</v>
      </c>
      <c r="H925" t="s">
        <v>5983</v>
      </c>
    </row>
    <row r="926" spans="1:8" x14ac:dyDescent="0.25">
      <c r="A926" t="s">
        <v>896</v>
      </c>
      <c r="B926">
        <f>VLOOKUP(A926,art_category_path_name!A:B,2,FALSE)</f>
        <v>828</v>
      </c>
      <c r="C926" t="s">
        <v>5984</v>
      </c>
      <c r="D926" t="s">
        <v>5985</v>
      </c>
      <c r="F926" t="s">
        <v>1834</v>
      </c>
      <c r="G926" t="s">
        <v>5986</v>
      </c>
      <c r="H926" t="s">
        <v>5987</v>
      </c>
    </row>
    <row r="927" spans="1:8" x14ac:dyDescent="0.25">
      <c r="A927" t="s">
        <v>897</v>
      </c>
      <c r="B927">
        <f>VLOOKUP(A927,art_category_path_name!A:B,2,FALSE)</f>
        <v>829</v>
      </c>
      <c r="C927" t="s">
        <v>5988</v>
      </c>
      <c r="D927" t="s">
        <v>5989</v>
      </c>
      <c r="F927" t="s">
        <v>1834</v>
      </c>
      <c r="G927" t="s">
        <v>5990</v>
      </c>
      <c r="H927" t="s">
        <v>5991</v>
      </c>
    </row>
    <row r="928" spans="1:8" x14ac:dyDescent="0.25">
      <c r="A928" t="s">
        <v>1064</v>
      </c>
      <c r="B928">
        <f>VLOOKUP(A928,art_category_path_name!A:B,2,FALSE)</f>
        <v>831</v>
      </c>
      <c r="C928" t="s">
        <v>5992</v>
      </c>
      <c r="D928" t="s">
        <v>5993</v>
      </c>
      <c r="F928" t="s">
        <v>1834</v>
      </c>
      <c r="G928" t="s">
        <v>5994</v>
      </c>
      <c r="H928" t="s">
        <v>5995</v>
      </c>
    </row>
    <row r="929" spans="1:8" x14ac:dyDescent="0.25">
      <c r="A929" t="s">
        <v>1065</v>
      </c>
      <c r="B929">
        <f>VLOOKUP(A929,art_category_path_name!A:B,2,FALSE)</f>
        <v>832</v>
      </c>
      <c r="C929" t="s">
        <v>5996</v>
      </c>
      <c r="D929" t="s">
        <v>5997</v>
      </c>
      <c r="F929" t="s">
        <v>1834</v>
      </c>
      <c r="G929" t="s">
        <v>5998</v>
      </c>
      <c r="H929" t="s">
        <v>5999</v>
      </c>
    </row>
    <row r="930" spans="1:8" x14ac:dyDescent="0.25">
      <c r="A930" t="s">
        <v>1066</v>
      </c>
      <c r="B930">
        <f>VLOOKUP(A930,art_category_path_name!A:B,2,FALSE)</f>
        <v>833</v>
      </c>
      <c r="C930" t="s">
        <v>6000</v>
      </c>
      <c r="D930" t="s">
        <v>6001</v>
      </c>
      <c r="F930" t="s">
        <v>1834</v>
      </c>
      <c r="G930" t="s">
        <v>6002</v>
      </c>
      <c r="H930" t="s">
        <v>6003</v>
      </c>
    </row>
    <row r="931" spans="1:8" x14ac:dyDescent="0.25">
      <c r="A931" t="s">
        <v>1067</v>
      </c>
      <c r="B931">
        <f>VLOOKUP(A931,art_category_path_name!A:B,2,FALSE)</f>
        <v>834</v>
      </c>
      <c r="C931" t="s">
        <v>6004</v>
      </c>
      <c r="D931" t="s">
        <v>6005</v>
      </c>
      <c r="F931" t="s">
        <v>1834</v>
      </c>
      <c r="G931" t="s">
        <v>6006</v>
      </c>
      <c r="H931" t="s">
        <v>6007</v>
      </c>
    </row>
    <row r="932" spans="1:8" x14ac:dyDescent="0.25">
      <c r="A932" t="s">
        <v>1068</v>
      </c>
      <c r="B932">
        <f>VLOOKUP(A932,art_category_path_name!A:B,2,FALSE)</f>
        <v>835</v>
      </c>
      <c r="C932" t="s">
        <v>6008</v>
      </c>
      <c r="D932" t="s">
        <v>6009</v>
      </c>
      <c r="F932" t="s">
        <v>1834</v>
      </c>
      <c r="G932" t="s">
        <v>6010</v>
      </c>
      <c r="H932" t="s">
        <v>6011</v>
      </c>
    </row>
    <row r="933" spans="1:8" x14ac:dyDescent="0.25">
      <c r="A933" t="s">
        <v>1069</v>
      </c>
      <c r="B933">
        <f>VLOOKUP(A933,art_category_path_name!A:B,2,FALSE)</f>
        <v>836</v>
      </c>
      <c r="C933" t="s">
        <v>6012</v>
      </c>
      <c r="D933" t="s">
        <v>6013</v>
      </c>
      <c r="F933" t="s">
        <v>1834</v>
      </c>
      <c r="G933" t="s">
        <v>6014</v>
      </c>
      <c r="H933" t="s">
        <v>6015</v>
      </c>
    </row>
    <row r="934" spans="1:8" x14ac:dyDescent="0.25">
      <c r="A934" t="s">
        <v>899</v>
      </c>
      <c r="B934">
        <f>VLOOKUP(A934,art_category_path_name!A:B,2,FALSE)</f>
        <v>838</v>
      </c>
      <c r="C934" t="s">
        <v>6016</v>
      </c>
      <c r="D934" t="s">
        <v>6017</v>
      </c>
      <c r="F934" t="s">
        <v>1834</v>
      </c>
      <c r="G934" t="s">
        <v>6018</v>
      </c>
      <c r="H934" t="s">
        <v>6019</v>
      </c>
    </row>
    <row r="935" spans="1:8" x14ac:dyDescent="0.25">
      <c r="A935" t="s">
        <v>1000</v>
      </c>
      <c r="B935">
        <f>VLOOKUP(A935,art_category_path_name!A:B,2,FALSE)</f>
        <v>840</v>
      </c>
      <c r="C935" t="s">
        <v>6020</v>
      </c>
      <c r="D935" t="s">
        <v>6021</v>
      </c>
      <c r="F935" t="s">
        <v>1834</v>
      </c>
      <c r="G935" t="s">
        <v>6022</v>
      </c>
      <c r="H935" t="s">
        <v>6023</v>
      </c>
    </row>
    <row r="936" spans="1:8" x14ac:dyDescent="0.25">
      <c r="A936" t="s">
        <v>1332</v>
      </c>
      <c r="B936">
        <f>VLOOKUP(A936,art_category_path_name!A:B,2,FALSE)</f>
        <v>842</v>
      </c>
      <c r="C936" t="s">
        <v>6024</v>
      </c>
      <c r="D936" t="s">
        <v>6025</v>
      </c>
      <c r="E936" t="s">
        <v>6026</v>
      </c>
      <c r="F936" t="s">
        <v>6027</v>
      </c>
      <c r="G936" t="s">
        <v>6028</v>
      </c>
      <c r="H936" t="s">
        <v>6029</v>
      </c>
    </row>
    <row r="937" spans="1:8" x14ac:dyDescent="0.25">
      <c r="A937" t="s">
        <v>1333</v>
      </c>
      <c r="B937">
        <f>VLOOKUP(A937,art_category_path_name!A:B,2,FALSE)</f>
        <v>843</v>
      </c>
      <c r="C937" t="s">
        <v>6030</v>
      </c>
      <c r="D937" t="s">
        <v>6031</v>
      </c>
      <c r="E937" t="s">
        <v>6032</v>
      </c>
      <c r="F937" t="s">
        <v>6033</v>
      </c>
      <c r="G937" t="s">
        <v>6034</v>
      </c>
      <c r="H937" t="s">
        <v>6035</v>
      </c>
    </row>
    <row r="938" spans="1:8" x14ac:dyDescent="0.25">
      <c r="A938" t="s">
        <v>1334</v>
      </c>
      <c r="B938">
        <f>VLOOKUP(A938,art_category_path_name!A:B,2,FALSE)</f>
        <v>844</v>
      </c>
      <c r="C938" t="s">
        <v>6036</v>
      </c>
      <c r="D938" t="s">
        <v>6037</v>
      </c>
      <c r="E938" t="s">
        <v>6038</v>
      </c>
      <c r="F938" t="s">
        <v>6037</v>
      </c>
      <c r="G938" t="s">
        <v>6039</v>
      </c>
      <c r="H938" t="s">
        <v>6040</v>
      </c>
    </row>
    <row r="939" spans="1:8" x14ac:dyDescent="0.25">
      <c r="A939" t="s">
        <v>1335</v>
      </c>
      <c r="B939">
        <f>VLOOKUP(A939,art_category_path_name!A:B,2,FALSE)</f>
        <v>845</v>
      </c>
      <c r="C939" t="s">
        <v>6041</v>
      </c>
      <c r="D939" t="s">
        <v>6042</v>
      </c>
      <c r="E939" t="s">
        <v>6043</v>
      </c>
      <c r="F939" t="s">
        <v>6042</v>
      </c>
      <c r="G939" t="s">
        <v>6044</v>
      </c>
      <c r="H939" t="s">
        <v>6045</v>
      </c>
    </row>
    <row r="940" spans="1:8" x14ac:dyDescent="0.25">
      <c r="A940" t="s">
        <v>1336</v>
      </c>
      <c r="B940">
        <f>VLOOKUP(A940,art_category_path_name!A:B,2,FALSE)</f>
        <v>846</v>
      </c>
      <c r="C940" t="s">
        <v>6046</v>
      </c>
      <c r="D940" t="s">
        <v>6047</v>
      </c>
      <c r="E940" t="s">
        <v>6048</v>
      </c>
      <c r="F940" t="s">
        <v>6049</v>
      </c>
      <c r="G940" t="s">
        <v>6050</v>
      </c>
      <c r="H940" t="s">
        <v>6051</v>
      </c>
    </row>
    <row r="941" spans="1:8" x14ac:dyDescent="0.25">
      <c r="A941" t="s">
        <v>1337</v>
      </c>
      <c r="B941">
        <f>VLOOKUP(A941,art_category_path_name!A:B,2,FALSE)</f>
        <v>847</v>
      </c>
      <c r="C941" t="s">
        <v>6052</v>
      </c>
      <c r="D941" t="s">
        <v>6053</v>
      </c>
      <c r="E941" t="s">
        <v>6054</v>
      </c>
      <c r="F941" t="s">
        <v>6053</v>
      </c>
      <c r="G941" t="s">
        <v>6055</v>
      </c>
      <c r="H941" t="s">
        <v>6056</v>
      </c>
    </row>
    <row r="942" spans="1:8" x14ac:dyDescent="0.25">
      <c r="A942" t="s">
        <v>1338</v>
      </c>
      <c r="B942">
        <f>VLOOKUP(A942,art_category_path_name!A:B,2,FALSE)</f>
        <v>848</v>
      </c>
      <c r="C942" t="s">
        <v>6057</v>
      </c>
      <c r="D942" t="s">
        <v>6058</v>
      </c>
      <c r="E942" t="s">
        <v>6059</v>
      </c>
      <c r="F942" t="s">
        <v>6060</v>
      </c>
      <c r="G942" t="s">
        <v>6061</v>
      </c>
      <c r="H942" t="s">
        <v>6062</v>
      </c>
    </row>
    <row r="943" spans="1:8" x14ac:dyDescent="0.25">
      <c r="A943" t="s">
        <v>1339</v>
      </c>
      <c r="B943">
        <f>VLOOKUP(A943,art_category_path_name!A:B,2,FALSE)</f>
        <v>849</v>
      </c>
      <c r="C943" t="s">
        <v>6063</v>
      </c>
      <c r="D943" t="s">
        <v>6064</v>
      </c>
      <c r="E943" t="s">
        <v>6065</v>
      </c>
      <c r="F943" t="s">
        <v>6066</v>
      </c>
      <c r="G943" t="s">
        <v>6067</v>
      </c>
      <c r="H943" t="s">
        <v>6068</v>
      </c>
    </row>
    <row r="944" spans="1:8" x14ac:dyDescent="0.25">
      <c r="A944" t="s">
        <v>1340</v>
      </c>
      <c r="B944">
        <f>VLOOKUP(A944,art_category_path_name!A:B,2,FALSE)</f>
        <v>850</v>
      </c>
      <c r="C944" t="s">
        <v>6069</v>
      </c>
      <c r="D944" t="s">
        <v>6070</v>
      </c>
      <c r="E944" t="s">
        <v>6071</v>
      </c>
      <c r="F944" t="s">
        <v>6070</v>
      </c>
      <c r="G944" t="s">
        <v>6072</v>
      </c>
      <c r="H944" t="s">
        <v>6073</v>
      </c>
    </row>
    <row r="945" spans="1:8" x14ac:dyDescent="0.25">
      <c r="A945" t="s">
        <v>1341</v>
      </c>
      <c r="B945">
        <f>VLOOKUP(A945,art_category_path_name!A:B,2,FALSE)</f>
        <v>851</v>
      </c>
      <c r="C945" t="s">
        <v>6074</v>
      </c>
      <c r="D945" t="s">
        <v>6075</v>
      </c>
      <c r="E945" t="s">
        <v>6076</v>
      </c>
      <c r="F945" t="s">
        <v>6077</v>
      </c>
      <c r="G945" t="s">
        <v>6078</v>
      </c>
      <c r="H945" t="s">
        <v>6079</v>
      </c>
    </row>
    <row r="946" spans="1:8" x14ac:dyDescent="0.25">
      <c r="A946" t="s">
        <v>1342</v>
      </c>
      <c r="B946">
        <f>VLOOKUP(A946,art_category_path_name!A:B,2,FALSE)</f>
        <v>852</v>
      </c>
      <c r="C946" t="s">
        <v>6080</v>
      </c>
      <c r="D946" t="s">
        <v>6081</v>
      </c>
      <c r="E946" t="s">
        <v>6082</v>
      </c>
      <c r="F946" t="s">
        <v>6083</v>
      </c>
      <c r="G946" t="s">
        <v>6084</v>
      </c>
      <c r="H946" t="s">
        <v>6085</v>
      </c>
    </row>
    <row r="947" spans="1:8" x14ac:dyDescent="0.25">
      <c r="A947" t="s">
        <v>1343</v>
      </c>
      <c r="B947">
        <f>VLOOKUP(A947,art_category_path_name!A:B,2,FALSE)</f>
        <v>853</v>
      </c>
      <c r="C947" t="s">
        <v>6086</v>
      </c>
      <c r="D947" t="s">
        <v>6087</v>
      </c>
      <c r="E947" t="s">
        <v>6088</v>
      </c>
      <c r="F947">
        <v>80</v>
      </c>
      <c r="G947" t="s">
        <v>6089</v>
      </c>
      <c r="H947" t="s">
        <v>6090</v>
      </c>
    </row>
    <row r="948" spans="1:8" x14ac:dyDescent="0.25">
      <c r="A948" t="s">
        <v>1344</v>
      </c>
      <c r="B948">
        <f>VLOOKUP(A948,art_category_path_name!A:B,2,FALSE)</f>
        <v>854</v>
      </c>
      <c r="C948" t="s">
        <v>6091</v>
      </c>
      <c r="D948" t="s">
        <v>6092</v>
      </c>
      <c r="E948" t="s">
        <v>6093</v>
      </c>
      <c r="F948" t="s">
        <v>6094</v>
      </c>
      <c r="G948" t="s">
        <v>6095</v>
      </c>
      <c r="H948" t="s">
        <v>6096</v>
      </c>
    </row>
    <row r="949" spans="1:8" x14ac:dyDescent="0.25">
      <c r="A949" t="s">
        <v>1345</v>
      </c>
      <c r="B949">
        <f>VLOOKUP(A949,art_category_path_name!A:B,2,FALSE)</f>
        <v>855</v>
      </c>
      <c r="C949" t="s">
        <v>6097</v>
      </c>
      <c r="D949" t="s">
        <v>6098</v>
      </c>
      <c r="E949" t="s">
        <v>6099</v>
      </c>
      <c r="F949" t="s">
        <v>6098</v>
      </c>
      <c r="G949" t="s">
        <v>6100</v>
      </c>
      <c r="H949" t="s">
        <v>6101</v>
      </c>
    </row>
    <row r="950" spans="1:8" x14ac:dyDescent="0.25">
      <c r="A950" t="s">
        <v>1346</v>
      </c>
      <c r="B950">
        <f>VLOOKUP(A950,art_category_path_name!A:B,2,FALSE)</f>
        <v>856</v>
      </c>
      <c r="C950" t="s">
        <v>6102</v>
      </c>
      <c r="D950" t="s">
        <v>6103</v>
      </c>
      <c r="E950" t="s">
        <v>6104</v>
      </c>
      <c r="F950" t="s">
        <v>6105</v>
      </c>
      <c r="G950" t="s">
        <v>6106</v>
      </c>
      <c r="H950" t="s">
        <v>6107</v>
      </c>
    </row>
    <row r="951" spans="1:8" x14ac:dyDescent="0.25">
      <c r="A951" t="s">
        <v>196</v>
      </c>
      <c r="B951">
        <f>VLOOKUP(A951,art_category_path_name!A:B,2,FALSE)</f>
        <v>858</v>
      </c>
      <c r="C951" t="s">
        <v>6108</v>
      </c>
      <c r="D951" t="s">
        <v>6109</v>
      </c>
      <c r="E951" t="s">
        <v>6110</v>
      </c>
      <c r="F951" t="s">
        <v>6111</v>
      </c>
      <c r="G951" t="s">
        <v>6112</v>
      </c>
      <c r="H951" t="s">
        <v>6113</v>
      </c>
    </row>
    <row r="952" spans="1:8" x14ac:dyDescent="0.25">
      <c r="A952" t="s">
        <v>197</v>
      </c>
      <c r="B952">
        <f>VLOOKUP(A952,art_category_path_name!A:B,2,FALSE)</f>
        <v>859</v>
      </c>
      <c r="C952" t="s">
        <v>6114</v>
      </c>
      <c r="D952" t="s">
        <v>6115</v>
      </c>
      <c r="F952" t="s">
        <v>1834</v>
      </c>
      <c r="G952" t="s">
        <v>6116</v>
      </c>
      <c r="H952" t="s">
        <v>6117</v>
      </c>
    </row>
    <row r="953" spans="1:8" x14ac:dyDescent="0.25">
      <c r="A953" t="s">
        <v>1120</v>
      </c>
      <c r="B953">
        <f>VLOOKUP(A953,art_category_path_name!A:B,2,FALSE)</f>
        <v>861</v>
      </c>
      <c r="C953" t="s">
        <v>6118</v>
      </c>
      <c r="G953" t="s">
        <v>6119</v>
      </c>
      <c r="H953" t="s">
        <v>6120</v>
      </c>
    </row>
    <row r="954" spans="1:8" x14ac:dyDescent="0.25">
      <c r="A954" t="s">
        <v>1121</v>
      </c>
      <c r="B954">
        <f>VLOOKUP(A954,art_category_path_name!A:B,2,FALSE)</f>
        <v>862</v>
      </c>
      <c r="C954" t="s">
        <v>6121</v>
      </c>
      <c r="G954" t="s">
        <v>6122</v>
      </c>
      <c r="H954" t="s">
        <v>6123</v>
      </c>
    </row>
    <row r="955" spans="1:8" x14ac:dyDescent="0.25">
      <c r="A955" t="s">
        <v>1122</v>
      </c>
      <c r="B955">
        <f>VLOOKUP(A955,art_category_path_name!A:B,2,FALSE)</f>
        <v>863</v>
      </c>
      <c r="C955" t="s">
        <v>6124</v>
      </c>
      <c r="G955" t="s">
        <v>6125</v>
      </c>
      <c r="H955" t="s">
        <v>6126</v>
      </c>
    </row>
    <row r="956" spans="1:8" x14ac:dyDescent="0.25">
      <c r="A956" t="s">
        <v>1221</v>
      </c>
      <c r="B956">
        <f>VLOOKUP(A956,art_category_path_name!A:B,2,FALSE)</f>
        <v>865</v>
      </c>
      <c r="C956" t="s">
        <v>6127</v>
      </c>
      <c r="D956" t="s">
        <v>6128</v>
      </c>
      <c r="F956" t="s">
        <v>1834</v>
      </c>
      <c r="G956" t="s">
        <v>6129</v>
      </c>
      <c r="H956" t="s">
        <v>6130</v>
      </c>
    </row>
    <row r="957" spans="1:8" x14ac:dyDescent="0.25">
      <c r="A957" t="s">
        <v>1222</v>
      </c>
      <c r="B957">
        <f>VLOOKUP(A957,art_category_path_name!A:B,2,FALSE)</f>
        <v>866</v>
      </c>
      <c r="C957" t="s">
        <v>6131</v>
      </c>
      <c r="D957" t="s">
        <v>6132</v>
      </c>
      <c r="F957" t="s">
        <v>1834</v>
      </c>
      <c r="G957" t="s">
        <v>6133</v>
      </c>
      <c r="H957" t="s">
        <v>6134</v>
      </c>
    </row>
    <row r="958" spans="1:8" x14ac:dyDescent="0.25">
      <c r="A958" t="s">
        <v>1223</v>
      </c>
      <c r="B958">
        <f>VLOOKUP(A958,art_category_path_name!A:B,2,FALSE)</f>
        <v>867</v>
      </c>
      <c r="C958" t="s">
        <v>6135</v>
      </c>
      <c r="D958" t="s">
        <v>6136</v>
      </c>
      <c r="F958" t="s">
        <v>1834</v>
      </c>
      <c r="G958" t="s">
        <v>6137</v>
      </c>
      <c r="H958" t="s">
        <v>6138</v>
      </c>
    </row>
    <row r="959" spans="1:8" x14ac:dyDescent="0.25">
      <c r="A959" t="s">
        <v>1224</v>
      </c>
      <c r="B959">
        <f>VLOOKUP(A959,art_category_path_name!A:B,2,FALSE)</f>
        <v>868</v>
      </c>
      <c r="C959" t="s">
        <v>6139</v>
      </c>
      <c r="D959" t="s">
        <v>6140</v>
      </c>
      <c r="F959" t="s">
        <v>1834</v>
      </c>
      <c r="G959" t="s">
        <v>6141</v>
      </c>
      <c r="H959" t="s">
        <v>6142</v>
      </c>
    </row>
    <row r="960" spans="1:8" x14ac:dyDescent="0.25">
      <c r="A960" t="s">
        <v>1225</v>
      </c>
      <c r="B960">
        <f>VLOOKUP(A960,art_category_path_name!A:B,2,FALSE)</f>
        <v>869</v>
      </c>
      <c r="C960" t="s">
        <v>6143</v>
      </c>
      <c r="D960" t="s">
        <v>6144</v>
      </c>
      <c r="F960" t="s">
        <v>1834</v>
      </c>
      <c r="G960" t="s">
        <v>6145</v>
      </c>
      <c r="H960" t="s">
        <v>6146</v>
      </c>
    </row>
    <row r="961" spans="1:8" x14ac:dyDescent="0.25">
      <c r="A961" t="s">
        <v>1226</v>
      </c>
      <c r="B961">
        <f>VLOOKUP(A961,art_category_path_name!A:B,2,FALSE)</f>
        <v>870</v>
      </c>
      <c r="C961" t="s">
        <v>6147</v>
      </c>
      <c r="D961" t="s">
        <v>6148</v>
      </c>
      <c r="F961" t="s">
        <v>1834</v>
      </c>
      <c r="G961" t="s">
        <v>6149</v>
      </c>
      <c r="H961" t="s">
        <v>6150</v>
      </c>
    </row>
    <row r="962" spans="1:8" x14ac:dyDescent="0.25">
      <c r="A962" t="s">
        <v>1227</v>
      </c>
      <c r="B962">
        <f>VLOOKUP(A962,art_category_path_name!A:B,2,FALSE)</f>
        <v>871</v>
      </c>
      <c r="C962" t="s">
        <v>6151</v>
      </c>
      <c r="D962" t="s">
        <v>6152</v>
      </c>
      <c r="F962" t="s">
        <v>1834</v>
      </c>
      <c r="G962" t="s">
        <v>6153</v>
      </c>
      <c r="H962" t="s">
        <v>6154</v>
      </c>
    </row>
    <row r="963" spans="1:8" x14ac:dyDescent="0.25">
      <c r="A963" t="s">
        <v>1228</v>
      </c>
      <c r="B963">
        <f>VLOOKUP(A963,art_category_path_name!A:B,2,FALSE)</f>
        <v>872</v>
      </c>
      <c r="C963" t="s">
        <v>6155</v>
      </c>
      <c r="D963" t="s">
        <v>6156</v>
      </c>
      <c r="F963" t="s">
        <v>1834</v>
      </c>
      <c r="G963" t="s">
        <v>6157</v>
      </c>
      <c r="H963" t="s">
        <v>6158</v>
      </c>
    </row>
    <row r="964" spans="1:8" x14ac:dyDescent="0.25">
      <c r="A964" t="s">
        <v>1229</v>
      </c>
      <c r="B964">
        <f>VLOOKUP(A964,art_category_path_name!A:B,2,FALSE)</f>
        <v>873</v>
      </c>
      <c r="C964" t="s">
        <v>6159</v>
      </c>
      <c r="D964" t="s">
        <v>6160</v>
      </c>
      <c r="F964" t="s">
        <v>1834</v>
      </c>
      <c r="G964" t="s">
        <v>6161</v>
      </c>
      <c r="H964" t="s">
        <v>6162</v>
      </c>
    </row>
    <row r="965" spans="1:8" x14ac:dyDescent="0.25">
      <c r="A965" t="s">
        <v>706</v>
      </c>
      <c r="B965">
        <f>VLOOKUP(A965,art_category_path_name!A:B,2,FALSE)</f>
        <v>875</v>
      </c>
      <c r="C965" t="s">
        <v>6163</v>
      </c>
      <c r="D965" t="s">
        <v>5618</v>
      </c>
      <c r="E965" t="s">
        <v>5619</v>
      </c>
      <c r="F965" t="s">
        <v>5620</v>
      </c>
      <c r="G965" t="s">
        <v>6164</v>
      </c>
      <c r="H965" t="s">
        <v>6165</v>
      </c>
    </row>
    <row r="966" spans="1:8" x14ac:dyDescent="0.25">
      <c r="A966" t="s">
        <v>707</v>
      </c>
      <c r="B966">
        <f>VLOOKUP(A966,art_category_path_name!A:B,2,FALSE)</f>
        <v>876</v>
      </c>
      <c r="C966" t="s">
        <v>6166</v>
      </c>
      <c r="D966" t="s">
        <v>5468</v>
      </c>
      <c r="E966" t="s">
        <v>5469</v>
      </c>
      <c r="F966" t="s">
        <v>5470</v>
      </c>
      <c r="G966" t="s">
        <v>6167</v>
      </c>
      <c r="H966" t="s">
        <v>6168</v>
      </c>
    </row>
    <row r="967" spans="1:8" x14ac:dyDescent="0.25">
      <c r="A967" t="s">
        <v>1444</v>
      </c>
      <c r="B967">
        <f>VLOOKUP(A967,art_category_path_name!A:B,2,FALSE)</f>
        <v>879</v>
      </c>
      <c r="C967" t="s">
        <v>6169</v>
      </c>
      <c r="D967" t="s">
        <v>6170</v>
      </c>
      <c r="F967" t="s">
        <v>1834</v>
      </c>
      <c r="G967" t="s">
        <v>6171</v>
      </c>
      <c r="H967" t="s">
        <v>6172</v>
      </c>
    </row>
    <row r="968" spans="1:8" x14ac:dyDescent="0.25">
      <c r="A968" t="s">
        <v>1445</v>
      </c>
      <c r="B968">
        <f>VLOOKUP(A968,art_category_path_name!A:B,2,FALSE)</f>
        <v>880</v>
      </c>
      <c r="C968" t="s">
        <v>6173</v>
      </c>
      <c r="D968" t="s">
        <v>6174</v>
      </c>
      <c r="E968" t="s">
        <v>6175</v>
      </c>
      <c r="F968" t="s">
        <v>6174</v>
      </c>
      <c r="G968" t="s">
        <v>6176</v>
      </c>
      <c r="H968" t="s">
        <v>6177</v>
      </c>
    </row>
    <row r="969" spans="1:8" x14ac:dyDescent="0.25">
      <c r="A969" t="s">
        <v>1446</v>
      </c>
      <c r="B969">
        <f>VLOOKUP(A969,art_category_path_name!A:B,2,FALSE)</f>
        <v>881</v>
      </c>
      <c r="C969" t="s">
        <v>6178</v>
      </c>
      <c r="D969" t="s">
        <v>6179</v>
      </c>
      <c r="E969" t="s">
        <v>6180</v>
      </c>
      <c r="F969" t="s">
        <v>6179</v>
      </c>
      <c r="G969" t="s">
        <v>6181</v>
      </c>
      <c r="H969" t="s">
        <v>6182</v>
      </c>
    </row>
    <row r="970" spans="1:8" x14ac:dyDescent="0.25">
      <c r="A970" t="s">
        <v>1268</v>
      </c>
      <c r="B970">
        <f>VLOOKUP(A970,art_category_path_name!A:B,2,FALSE)</f>
        <v>883</v>
      </c>
      <c r="C970" t="s">
        <v>6183</v>
      </c>
      <c r="D970" t="s">
        <v>6184</v>
      </c>
      <c r="F970" t="s">
        <v>1834</v>
      </c>
      <c r="G970" t="s">
        <v>6185</v>
      </c>
      <c r="H970" t="s">
        <v>6186</v>
      </c>
    </row>
    <row r="971" spans="1:8" x14ac:dyDescent="0.25">
      <c r="A971" t="s">
        <v>199</v>
      </c>
      <c r="B971">
        <f>VLOOKUP(A971,art_category_path_name!A:B,2,FALSE)</f>
        <v>885</v>
      </c>
      <c r="C971" t="s">
        <v>6187</v>
      </c>
      <c r="D971" t="s">
        <v>6188</v>
      </c>
      <c r="E971" t="s">
        <v>6189</v>
      </c>
      <c r="F971" t="s">
        <v>6190</v>
      </c>
      <c r="G971" t="s">
        <v>6191</v>
      </c>
      <c r="H971" t="s">
        <v>6192</v>
      </c>
    </row>
    <row r="972" spans="1:8" x14ac:dyDescent="0.25">
      <c r="A972" t="s">
        <v>200</v>
      </c>
      <c r="B972">
        <f>VLOOKUP(A972,art_category_path_name!A:B,2,FALSE)</f>
        <v>886</v>
      </c>
      <c r="C972" t="s">
        <v>6193</v>
      </c>
      <c r="D972" t="s">
        <v>6194</v>
      </c>
      <c r="E972" t="s">
        <v>6195</v>
      </c>
      <c r="F972" t="s">
        <v>6196</v>
      </c>
      <c r="G972" t="s">
        <v>6197</v>
      </c>
      <c r="H972" t="s">
        <v>6198</v>
      </c>
    </row>
    <row r="973" spans="1:8" x14ac:dyDescent="0.25">
      <c r="A973" t="s">
        <v>201</v>
      </c>
      <c r="B973">
        <f>VLOOKUP(A973,art_category_path_name!A:B,2,FALSE)</f>
        <v>887</v>
      </c>
      <c r="C973" t="s">
        <v>6199</v>
      </c>
      <c r="D973" t="s">
        <v>6200</v>
      </c>
      <c r="E973" t="s">
        <v>6201</v>
      </c>
      <c r="F973" t="s">
        <v>6202</v>
      </c>
      <c r="G973" t="s">
        <v>6203</v>
      </c>
      <c r="H973" t="s">
        <v>6204</v>
      </c>
    </row>
    <row r="974" spans="1:8" x14ac:dyDescent="0.25">
      <c r="A974" t="s">
        <v>202</v>
      </c>
      <c r="B974">
        <f>VLOOKUP(A974,art_category_path_name!A:B,2,FALSE)</f>
        <v>888</v>
      </c>
      <c r="C974" t="s">
        <v>6205</v>
      </c>
      <c r="D974" t="s">
        <v>6206</v>
      </c>
      <c r="F974" t="s">
        <v>1834</v>
      </c>
      <c r="G974" t="s">
        <v>6207</v>
      </c>
      <c r="H974" t="s">
        <v>6208</v>
      </c>
    </row>
    <row r="975" spans="1:8" x14ac:dyDescent="0.25">
      <c r="A975" t="s">
        <v>203</v>
      </c>
      <c r="B975">
        <f>VLOOKUP(A975,art_category_path_name!A:B,2,FALSE)</f>
        <v>889</v>
      </c>
      <c r="C975" t="s">
        <v>6209</v>
      </c>
      <c r="D975" t="s">
        <v>6210</v>
      </c>
      <c r="F975" t="s">
        <v>1834</v>
      </c>
      <c r="G975" t="s">
        <v>6211</v>
      </c>
      <c r="H975" t="s">
        <v>6212</v>
      </c>
    </row>
    <row r="976" spans="1:8" x14ac:dyDescent="0.25">
      <c r="A976" t="s">
        <v>204</v>
      </c>
      <c r="B976">
        <f>VLOOKUP(A976,art_category_path_name!A:B,2,FALSE)</f>
        <v>890</v>
      </c>
      <c r="C976" t="s">
        <v>6213</v>
      </c>
      <c r="D976" t="s">
        <v>6214</v>
      </c>
      <c r="F976" t="s">
        <v>1834</v>
      </c>
      <c r="G976" t="s">
        <v>6215</v>
      </c>
      <c r="H976" t="s">
        <v>6216</v>
      </c>
    </row>
    <row r="977" spans="1:8" x14ac:dyDescent="0.25">
      <c r="A977" t="s">
        <v>205</v>
      </c>
      <c r="B977">
        <f>VLOOKUP(A977,art_category_path_name!A:B,2,FALSE)</f>
        <v>891</v>
      </c>
      <c r="C977" t="s">
        <v>6217</v>
      </c>
      <c r="D977" t="s">
        <v>6218</v>
      </c>
      <c r="E977" t="s">
        <v>6219</v>
      </c>
      <c r="F977" t="s">
        <v>6220</v>
      </c>
      <c r="G977" t="s">
        <v>6221</v>
      </c>
      <c r="H977" t="s">
        <v>6222</v>
      </c>
    </row>
    <row r="978" spans="1:8" x14ac:dyDescent="0.25">
      <c r="A978" t="s">
        <v>206</v>
      </c>
      <c r="B978">
        <f>VLOOKUP(A978,art_category_path_name!A:B,2,FALSE)</f>
        <v>892</v>
      </c>
      <c r="C978" t="s">
        <v>6223</v>
      </c>
      <c r="D978" t="s">
        <v>6224</v>
      </c>
      <c r="F978" t="s">
        <v>1834</v>
      </c>
      <c r="G978" t="s">
        <v>6225</v>
      </c>
      <c r="H978" t="s">
        <v>6226</v>
      </c>
    </row>
    <row r="979" spans="1:8" x14ac:dyDescent="0.25">
      <c r="A979" t="s">
        <v>101</v>
      </c>
      <c r="B979">
        <f>VLOOKUP(A979,art_category_path_name!A:B,2,FALSE)</f>
        <v>893</v>
      </c>
      <c r="C979" t="s">
        <v>6227</v>
      </c>
      <c r="D979" t="s">
        <v>6228</v>
      </c>
      <c r="E979" t="s">
        <v>6229</v>
      </c>
      <c r="F979" t="s">
        <v>6230</v>
      </c>
      <c r="G979" t="s">
        <v>6231</v>
      </c>
      <c r="H979" t="s">
        <v>6232</v>
      </c>
    </row>
    <row r="980" spans="1:8" x14ac:dyDescent="0.25">
      <c r="A980" t="s">
        <v>207</v>
      </c>
      <c r="B980">
        <f>VLOOKUP(A980,art_category_path_name!A:B,2,FALSE)</f>
        <v>894</v>
      </c>
      <c r="C980" t="s">
        <v>6233</v>
      </c>
      <c r="D980" t="s">
        <v>6234</v>
      </c>
      <c r="E980" t="s">
        <v>6235</v>
      </c>
      <c r="F980" t="s">
        <v>6236</v>
      </c>
      <c r="G980" t="s">
        <v>6237</v>
      </c>
      <c r="H980" t="s">
        <v>6238</v>
      </c>
    </row>
    <row r="981" spans="1:8" x14ac:dyDescent="0.25">
      <c r="A981" t="s">
        <v>208</v>
      </c>
      <c r="B981">
        <f>VLOOKUP(A981,art_category_path_name!A:B,2,FALSE)</f>
        <v>895</v>
      </c>
      <c r="C981" t="s">
        <v>6239</v>
      </c>
      <c r="D981" t="s">
        <v>6240</v>
      </c>
      <c r="F981" t="s">
        <v>1834</v>
      </c>
      <c r="G981" t="s">
        <v>6241</v>
      </c>
      <c r="H981" t="s">
        <v>6242</v>
      </c>
    </row>
    <row r="982" spans="1:8" x14ac:dyDescent="0.25">
      <c r="A982" t="s">
        <v>209</v>
      </c>
      <c r="B982">
        <f>VLOOKUP(A982,art_category_path_name!A:B,2,FALSE)</f>
        <v>896</v>
      </c>
      <c r="C982" t="s">
        <v>6243</v>
      </c>
      <c r="D982" t="s">
        <v>6244</v>
      </c>
      <c r="F982" t="s">
        <v>1834</v>
      </c>
      <c r="G982" t="s">
        <v>6245</v>
      </c>
      <c r="H982" t="s">
        <v>6246</v>
      </c>
    </row>
    <row r="983" spans="1:8" x14ac:dyDescent="0.25">
      <c r="A983" t="s">
        <v>435</v>
      </c>
      <c r="B983">
        <f>VLOOKUP(A983,art_category_path_name!A:B,2,FALSE)</f>
        <v>898</v>
      </c>
      <c r="C983" t="s">
        <v>6247</v>
      </c>
      <c r="D983" t="s">
        <v>6248</v>
      </c>
      <c r="E983" t="s">
        <v>6249</v>
      </c>
      <c r="F983" t="s">
        <v>6250</v>
      </c>
      <c r="G983" t="s">
        <v>6251</v>
      </c>
      <c r="H983" t="s">
        <v>6252</v>
      </c>
    </row>
    <row r="984" spans="1:8" x14ac:dyDescent="0.25">
      <c r="A984" t="s">
        <v>436</v>
      </c>
      <c r="B984">
        <f>VLOOKUP(A984,art_category_path_name!A:B,2,FALSE)</f>
        <v>899</v>
      </c>
      <c r="C984" t="s">
        <v>6253</v>
      </c>
      <c r="D984" t="s">
        <v>6254</v>
      </c>
      <c r="F984" t="s">
        <v>1834</v>
      </c>
      <c r="G984" t="s">
        <v>6255</v>
      </c>
      <c r="H984" t="s">
        <v>6256</v>
      </c>
    </row>
    <row r="985" spans="1:8" x14ac:dyDescent="0.25">
      <c r="A985" t="s">
        <v>931</v>
      </c>
      <c r="B985">
        <f>VLOOKUP(A985,art_category_path_name!A:B,2,FALSE)</f>
        <v>901</v>
      </c>
      <c r="C985" t="s">
        <v>6257</v>
      </c>
      <c r="D985" t="s">
        <v>6258</v>
      </c>
      <c r="E985" t="s">
        <v>6259</v>
      </c>
      <c r="F985" t="s">
        <v>6260</v>
      </c>
      <c r="G985" t="s">
        <v>6261</v>
      </c>
      <c r="H985" t="s">
        <v>6262</v>
      </c>
    </row>
    <row r="986" spans="1:8" x14ac:dyDescent="0.25">
      <c r="A986" t="s">
        <v>932</v>
      </c>
      <c r="B986">
        <f>VLOOKUP(A986,art_category_path_name!A:B,2,FALSE)</f>
        <v>902</v>
      </c>
      <c r="C986" t="s">
        <v>6263</v>
      </c>
      <c r="D986" t="s">
        <v>6264</v>
      </c>
      <c r="E986" t="s">
        <v>6265</v>
      </c>
      <c r="F986" t="s">
        <v>6266</v>
      </c>
      <c r="G986" t="s">
        <v>6267</v>
      </c>
      <c r="H986" t="s">
        <v>6268</v>
      </c>
    </row>
    <row r="987" spans="1:8" x14ac:dyDescent="0.25">
      <c r="A987" t="s">
        <v>933</v>
      </c>
      <c r="B987">
        <f>VLOOKUP(A987,art_category_path_name!A:B,2,FALSE)</f>
        <v>903</v>
      </c>
      <c r="C987" t="s">
        <v>6269</v>
      </c>
      <c r="D987" t="s">
        <v>6270</v>
      </c>
      <c r="E987" t="s">
        <v>6271</v>
      </c>
      <c r="F987" t="s">
        <v>6272</v>
      </c>
      <c r="G987" t="s">
        <v>6273</v>
      </c>
      <c r="H987" t="s">
        <v>6274</v>
      </c>
    </row>
    <row r="988" spans="1:8" x14ac:dyDescent="0.25">
      <c r="A988" t="s">
        <v>934</v>
      </c>
      <c r="B988">
        <f>VLOOKUP(A988,art_category_path_name!A:B,2,FALSE)</f>
        <v>904</v>
      </c>
      <c r="C988" t="s">
        <v>6275</v>
      </c>
      <c r="D988" t="s">
        <v>6276</v>
      </c>
      <c r="E988" t="s">
        <v>6277</v>
      </c>
      <c r="F988" t="s">
        <v>6278</v>
      </c>
      <c r="G988" t="s">
        <v>6279</v>
      </c>
      <c r="H988" t="s">
        <v>6280</v>
      </c>
    </row>
    <row r="989" spans="1:8" x14ac:dyDescent="0.25">
      <c r="A989" t="s">
        <v>521</v>
      </c>
      <c r="B989">
        <f>VLOOKUP(A989,art_category_path_name!A:B,2,FALSE)</f>
        <v>907</v>
      </c>
      <c r="C989" t="s">
        <v>6281</v>
      </c>
      <c r="D989" t="s">
        <v>6282</v>
      </c>
      <c r="F989" t="s">
        <v>1834</v>
      </c>
      <c r="G989" t="s">
        <v>6283</v>
      </c>
      <c r="H989" t="s">
        <v>6284</v>
      </c>
    </row>
    <row r="990" spans="1:8" x14ac:dyDescent="0.25">
      <c r="A990" t="s">
        <v>522</v>
      </c>
      <c r="B990">
        <f>VLOOKUP(A990,art_category_path_name!A:B,2,FALSE)</f>
        <v>908</v>
      </c>
      <c r="C990" t="s">
        <v>6285</v>
      </c>
      <c r="D990" t="s">
        <v>6286</v>
      </c>
      <c r="F990" t="s">
        <v>1834</v>
      </c>
      <c r="G990" t="s">
        <v>6287</v>
      </c>
      <c r="H990" t="s">
        <v>6288</v>
      </c>
    </row>
    <row r="991" spans="1:8" x14ac:dyDescent="0.25">
      <c r="A991" t="s">
        <v>523</v>
      </c>
      <c r="B991">
        <f>VLOOKUP(A991,art_category_path_name!A:B,2,FALSE)</f>
        <v>909</v>
      </c>
      <c r="C991" t="s">
        <v>6289</v>
      </c>
      <c r="D991" t="s">
        <v>6290</v>
      </c>
      <c r="E991" t="s">
        <v>6291</v>
      </c>
      <c r="F991" t="s">
        <v>6292</v>
      </c>
      <c r="G991" t="s">
        <v>6293</v>
      </c>
      <c r="H991" t="s">
        <v>6294</v>
      </c>
    </row>
    <row r="992" spans="1:8" x14ac:dyDescent="0.25">
      <c r="A992" t="s">
        <v>524</v>
      </c>
      <c r="B992">
        <f>VLOOKUP(A992,art_category_path_name!A:B,2,FALSE)</f>
        <v>910</v>
      </c>
      <c r="C992" t="s">
        <v>6295</v>
      </c>
      <c r="D992" t="s">
        <v>6296</v>
      </c>
      <c r="F992" t="s">
        <v>1834</v>
      </c>
      <c r="G992" t="s">
        <v>6297</v>
      </c>
      <c r="H992" t="s">
        <v>6298</v>
      </c>
    </row>
    <row r="993" spans="1:8" x14ac:dyDescent="0.25">
      <c r="A993" t="s">
        <v>525</v>
      </c>
      <c r="B993">
        <f>VLOOKUP(A993,art_category_path_name!A:B,2,FALSE)</f>
        <v>911</v>
      </c>
      <c r="C993" t="s">
        <v>6299</v>
      </c>
      <c r="D993" t="s">
        <v>6300</v>
      </c>
      <c r="F993" t="s">
        <v>1834</v>
      </c>
      <c r="G993" t="s">
        <v>6301</v>
      </c>
      <c r="H993" t="s">
        <v>6302</v>
      </c>
    </row>
    <row r="994" spans="1:8" x14ac:dyDescent="0.25">
      <c r="A994" t="s">
        <v>526</v>
      </c>
      <c r="B994">
        <f>VLOOKUP(A994,art_category_path_name!A:B,2,FALSE)</f>
        <v>912</v>
      </c>
      <c r="C994" t="s">
        <v>6303</v>
      </c>
      <c r="D994" t="s">
        <v>6304</v>
      </c>
      <c r="F994" t="s">
        <v>1834</v>
      </c>
      <c r="G994" t="s">
        <v>6305</v>
      </c>
      <c r="H994" t="s">
        <v>6306</v>
      </c>
    </row>
    <row r="995" spans="1:8" x14ac:dyDescent="0.25">
      <c r="A995" t="s">
        <v>527</v>
      </c>
      <c r="B995">
        <f>VLOOKUP(A995,art_category_path_name!A:B,2,FALSE)</f>
        <v>913</v>
      </c>
      <c r="C995" t="s">
        <v>6307</v>
      </c>
      <c r="D995" t="s">
        <v>6308</v>
      </c>
      <c r="F995" t="s">
        <v>1834</v>
      </c>
      <c r="G995" t="s">
        <v>6309</v>
      </c>
      <c r="H995" t="s">
        <v>6310</v>
      </c>
    </row>
    <row r="996" spans="1:8" x14ac:dyDescent="0.25">
      <c r="A996" t="s">
        <v>528</v>
      </c>
      <c r="B996">
        <f>VLOOKUP(A996,art_category_path_name!A:B,2,FALSE)</f>
        <v>914</v>
      </c>
      <c r="C996" t="s">
        <v>6311</v>
      </c>
      <c r="D996" t="s">
        <v>6312</v>
      </c>
      <c r="F996" t="s">
        <v>1834</v>
      </c>
      <c r="G996" t="s">
        <v>6283</v>
      </c>
      <c r="H996" t="s">
        <v>6313</v>
      </c>
    </row>
    <row r="997" spans="1:8" x14ac:dyDescent="0.25">
      <c r="A997" t="s">
        <v>529</v>
      </c>
      <c r="B997">
        <f>VLOOKUP(A997,art_category_path_name!A:B,2,FALSE)</f>
        <v>915</v>
      </c>
      <c r="C997" t="s">
        <v>6314</v>
      </c>
      <c r="D997" t="s">
        <v>6315</v>
      </c>
      <c r="F997" t="s">
        <v>1834</v>
      </c>
      <c r="G997" t="s">
        <v>6316</v>
      </c>
      <c r="H997" t="s">
        <v>6317</v>
      </c>
    </row>
    <row r="998" spans="1:8" x14ac:dyDescent="0.25">
      <c r="A998" t="s">
        <v>530</v>
      </c>
      <c r="B998">
        <f>VLOOKUP(A998,art_category_path_name!A:B,2,FALSE)</f>
        <v>916</v>
      </c>
      <c r="C998" t="s">
        <v>6318</v>
      </c>
      <c r="D998" t="s">
        <v>6319</v>
      </c>
      <c r="F998" t="s">
        <v>1834</v>
      </c>
      <c r="G998" t="s">
        <v>6316</v>
      </c>
      <c r="H998" t="s">
        <v>6320</v>
      </c>
    </row>
    <row r="999" spans="1:8" x14ac:dyDescent="0.25">
      <c r="A999" t="s">
        <v>1448</v>
      </c>
      <c r="B999">
        <f>VLOOKUP(A999,art_category_path_name!A:B,2,FALSE)</f>
        <v>918</v>
      </c>
      <c r="C999" t="s">
        <v>6321</v>
      </c>
      <c r="D999" t="s">
        <v>6322</v>
      </c>
      <c r="F999" t="s">
        <v>1834</v>
      </c>
      <c r="G999" t="s">
        <v>6323</v>
      </c>
      <c r="H999" t="s">
        <v>6324</v>
      </c>
    </row>
    <row r="1000" spans="1:8" x14ac:dyDescent="0.25">
      <c r="A1000" t="s">
        <v>1449</v>
      </c>
      <c r="B1000">
        <f>VLOOKUP(A1000,art_category_path_name!A:B,2,FALSE)</f>
        <v>919</v>
      </c>
      <c r="C1000" t="s">
        <v>6325</v>
      </c>
      <c r="D1000" t="s">
        <v>6326</v>
      </c>
      <c r="F1000" t="s">
        <v>1834</v>
      </c>
      <c r="G1000" t="s">
        <v>6323</v>
      </c>
      <c r="H1000" t="s">
        <v>6327</v>
      </c>
    </row>
    <row r="1001" spans="1:8" x14ac:dyDescent="0.25">
      <c r="A1001" t="s">
        <v>1450</v>
      </c>
      <c r="B1001">
        <f>VLOOKUP(A1001,art_category_path_name!A:B,2,FALSE)</f>
        <v>920</v>
      </c>
      <c r="C1001" t="s">
        <v>6328</v>
      </c>
      <c r="D1001" t="s">
        <v>6329</v>
      </c>
      <c r="F1001" t="s">
        <v>1834</v>
      </c>
      <c r="G1001" t="s">
        <v>6330</v>
      </c>
      <c r="H1001" t="s">
        <v>6331</v>
      </c>
    </row>
    <row r="1002" spans="1:8" x14ac:dyDescent="0.25">
      <c r="A1002" t="s">
        <v>1451</v>
      </c>
      <c r="B1002">
        <f>VLOOKUP(A1002,art_category_path_name!A:B,2,FALSE)</f>
        <v>921</v>
      </c>
      <c r="C1002" t="s">
        <v>6332</v>
      </c>
      <c r="D1002" t="s">
        <v>6333</v>
      </c>
      <c r="F1002" t="s">
        <v>1834</v>
      </c>
      <c r="G1002" t="s">
        <v>4023</v>
      </c>
      <c r="H1002" t="s">
        <v>6334</v>
      </c>
    </row>
    <row r="1003" spans="1:8" x14ac:dyDescent="0.25">
      <c r="A1003" t="s">
        <v>1435</v>
      </c>
      <c r="B1003">
        <f>VLOOKUP(A1003,art_category_path_name!A:B,2,FALSE)</f>
        <v>923</v>
      </c>
      <c r="C1003" t="s">
        <v>6335</v>
      </c>
      <c r="D1003" t="s">
        <v>6336</v>
      </c>
      <c r="E1003" t="s">
        <v>6337</v>
      </c>
      <c r="F1003" t="s">
        <v>6338</v>
      </c>
      <c r="G1003" t="s">
        <v>6339</v>
      </c>
      <c r="H1003" t="s">
        <v>6340</v>
      </c>
    </row>
    <row r="1004" spans="1:8" x14ac:dyDescent="0.25">
      <c r="A1004" t="s">
        <v>1436</v>
      </c>
      <c r="B1004">
        <f>VLOOKUP(A1004,art_category_path_name!A:B,2,FALSE)</f>
        <v>924</v>
      </c>
      <c r="C1004" t="s">
        <v>1585</v>
      </c>
      <c r="D1004" t="s">
        <v>6341</v>
      </c>
      <c r="E1004" t="s">
        <v>6342</v>
      </c>
      <c r="F1004">
        <v>4</v>
      </c>
      <c r="G1004" t="s">
        <v>6343</v>
      </c>
      <c r="H1004" t="s">
        <v>6344</v>
      </c>
    </row>
    <row r="1005" spans="1:8" x14ac:dyDescent="0.25">
      <c r="A1005" t="s">
        <v>1437</v>
      </c>
      <c r="B1005">
        <f>VLOOKUP(A1005,art_category_path_name!A:B,2,FALSE)</f>
        <v>925</v>
      </c>
      <c r="C1005" t="s">
        <v>1585</v>
      </c>
      <c r="D1005" t="s">
        <v>6345</v>
      </c>
      <c r="E1005" t="s">
        <v>6346</v>
      </c>
      <c r="F1005">
        <v>4</v>
      </c>
      <c r="G1005" t="s">
        <v>6347</v>
      </c>
      <c r="H1005" t="s">
        <v>6348</v>
      </c>
    </row>
    <row r="1006" spans="1:8" x14ac:dyDescent="0.25">
      <c r="A1006" t="s">
        <v>1438</v>
      </c>
      <c r="B1006">
        <f>VLOOKUP(A1006,art_category_path_name!A:B,2,FALSE)</f>
        <v>926</v>
      </c>
      <c r="C1006" t="s">
        <v>1585</v>
      </c>
      <c r="D1006" t="s">
        <v>6349</v>
      </c>
      <c r="E1006" t="s">
        <v>6350</v>
      </c>
      <c r="F1006" t="s">
        <v>6351</v>
      </c>
      <c r="G1006" t="s">
        <v>6352</v>
      </c>
      <c r="H1006" t="s">
        <v>6353</v>
      </c>
    </row>
    <row r="1007" spans="1:8" x14ac:dyDescent="0.25">
      <c r="A1007" t="s">
        <v>619</v>
      </c>
      <c r="B1007">
        <f>VLOOKUP(A1007,art_category_path_name!A:B,2,FALSE)</f>
        <v>928</v>
      </c>
      <c r="C1007" t="s">
        <v>6354</v>
      </c>
      <c r="D1007" t="s">
        <v>6355</v>
      </c>
      <c r="F1007" t="s">
        <v>1834</v>
      </c>
      <c r="G1007" t="s">
        <v>6356</v>
      </c>
      <c r="H1007" t="s">
        <v>6357</v>
      </c>
    </row>
    <row r="1008" spans="1:8" x14ac:dyDescent="0.25">
      <c r="A1008" t="s">
        <v>620</v>
      </c>
      <c r="B1008">
        <f>VLOOKUP(A1008,art_category_path_name!A:B,2,FALSE)</f>
        <v>929</v>
      </c>
      <c r="C1008" t="s">
        <v>6358</v>
      </c>
      <c r="D1008" t="s">
        <v>6359</v>
      </c>
      <c r="F1008" t="s">
        <v>1834</v>
      </c>
      <c r="H1008" t="s">
        <v>6360</v>
      </c>
    </row>
    <row r="1009" spans="1:8" x14ac:dyDescent="0.25">
      <c r="A1009" t="s">
        <v>621</v>
      </c>
      <c r="B1009">
        <f>VLOOKUP(A1009,art_category_path_name!A:B,2,FALSE)</f>
        <v>930</v>
      </c>
      <c r="C1009" t="s">
        <v>6358</v>
      </c>
      <c r="D1009" t="s">
        <v>6361</v>
      </c>
      <c r="F1009" t="s">
        <v>1834</v>
      </c>
      <c r="H1009" t="s">
        <v>6362</v>
      </c>
    </row>
    <row r="1010" spans="1:8" x14ac:dyDescent="0.25">
      <c r="A1010" t="s">
        <v>622</v>
      </c>
      <c r="B1010">
        <f>VLOOKUP(A1010,art_category_path_name!A:B,2,FALSE)</f>
        <v>931</v>
      </c>
      <c r="C1010" t="s">
        <v>6363</v>
      </c>
      <c r="D1010" t="s">
        <v>6364</v>
      </c>
      <c r="F1010" t="s">
        <v>1834</v>
      </c>
      <c r="G1010" t="s">
        <v>6365</v>
      </c>
      <c r="H1010" t="s">
        <v>6366</v>
      </c>
    </row>
    <row r="1011" spans="1:8" x14ac:dyDescent="0.25">
      <c r="A1011" t="s">
        <v>623</v>
      </c>
      <c r="B1011">
        <f>VLOOKUP(A1011,art_category_path_name!A:B,2,FALSE)</f>
        <v>932</v>
      </c>
      <c r="C1011" t="s">
        <v>6367</v>
      </c>
      <c r="D1011" t="s">
        <v>6368</v>
      </c>
      <c r="F1011" t="s">
        <v>1834</v>
      </c>
      <c r="G1011" t="s">
        <v>6369</v>
      </c>
      <c r="H1011" t="s">
        <v>6370</v>
      </c>
    </row>
    <row r="1012" spans="1:8" x14ac:dyDescent="0.25">
      <c r="A1012" t="s">
        <v>624</v>
      </c>
      <c r="B1012">
        <f>VLOOKUP(A1012,art_category_path_name!A:B,2,FALSE)</f>
        <v>933</v>
      </c>
      <c r="C1012" t="s">
        <v>6371</v>
      </c>
      <c r="D1012" t="s">
        <v>6372</v>
      </c>
      <c r="F1012" t="s">
        <v>1834</v>
      </c>
      <c r="G1012" t="s">
        <v>6373</v>
      </c>
      <c r="H1012" t="s">
        <v>6374</v>
      </c>
    </row>
    <row r="1013" spans="1:8" x14ac:dyDescent="0.25">
      <c r="A1013" t="s">
        <v>625</v>
      </c>
      <c r="B1013">
        <f>VLOOKUP(A1013,art_category_path_name!A:B,2,FALSE)</f>
        <v>934</v>
      </c>
      <c r="C1013" t="s">
        <v>6375</v>
      </c>
      <c r="D1013" t="s">
        <v>6376</v>
      </c>
      <c r="F1013" t="s">
        <v>1834</v>
      </c>
      <c r="G1013" t="s">
        <v>3888</v>
      </c>
      <c r="H1013" t="s">
        <v>6377</v>
      </c>
    </row>
    <row r="1014" spans="1:8" x14ac:dyDescent="0.25">
      <c r="A1014" t="s">
        <v>626</v>
      </c>
      <c r="B1014">
        <f>VLOOKUP(A1014,art_category_path_name!A:B,2,FALSE)</f>
        <v>935</v>
      </c>
      <c r="C1014" t="s">
        <v>3955</v>
      </c>
      <c r="D1014" t="s">
        <v>6378</v>
      </c>
      <c r="F1014" t="s">
        <v>1834</v>
      </c>
      <c r="G1014" t="s">
        <v>6379</v>
      </c>
      <c r="H1014" t="s">
        <v>6380</v>
      </c>
    </row>
    <row r="1015" spans="1:8" x14ac:dyDescent="0.25">
      <c r="A1015" t="s">
        <v>627</v>
      </c>
      <c r="B1015">
        <f>VLOOKUP(A1015,art_category_path_name!A:B,2,FALSE)</f>
        <v>936</v>
      </c>
      <c r="C1015" t="s">
        <v>3955</v>
      </c>
      <c r="D1015" t="s">
        <v>6381</v>
      </c>
      <c r="F1015" t="s">
        <v>1834</v>
      </c>
      <c r="G1015" t="s">
        <v>6382</v>
      </c>
      <c r="H1015" t="s">
        <v>6383</v>
      </c>
    </row>
    <row r="1016" spans="1:8" x14ac:dyDescent="0.25">
      <c r="A1016" t="s">
        <v>628</v>
      </c>
      <c r="B1016">
        <f>VLOOKUP(A1016,art_category_path_name!A:B,2,FALSE)</f>
        <v>937</v>
      </c>
      <c r="C1016" t="s">
        <v>6384</v>
      </c>
      <c r="D1016" t="s">
        <v>6385</v>
      </c>
      <c r="F1016" t="s">
        <v>1834</v>
      </c>
      <c r="H1016" t="s">
        <v>6386</v>
      </c>
    </row>
    <row r="1017" spans="1:8" x14ac:dyDescent="0.25">
      <c r="A1017" t="s">
        <v>629</v>
      </c>
      <c r="B1017">
        <f>VLOOKUP(A1017,art_category_path_name!A:B,2,FALSE)</f>
        <v>938</v>
      </c>
      <c r="C1017" t="s">
        <v>6387</v>
      </c>
      <c r="D1017" t="s">
        <v>6388</v>
      </c>
      <c r="F1017" t="s">
        <v>1834</v>
      </c>
      <c r="G1017" t="s">
        <v>6389</v>
      </c>
      <c r="H1017" t="s">
        <v>6390</v>
      </c>
    </row>
    <row r="1018" spans="1:8" x14ac:dyDescent="0.25">
      <c r="A1018" t="s">
        <v>630</v>
      </c>
      <c r="B1018">
        <f>VLOOKUP(A1018,art_category_path_name!A:B,2,FALSE)</f>
        <v>939</v>
      </c>
      <c r="C1018" t="s">
        <v>6391</v>
      </c>
      <c r="D1018" t="s">
        <v>6392</v>
      </c>
      <c r="F1018" t="s">
        <v>1834</v>
      </c>
      <c r="G1018" t="s">
        <v>4284</v>
      </c>
      <c r="H1018" t="s">
        <v>6393</v>
      </c>
    </row>
    <row r="1019" spans="1:8" x14ac:dyDescent="0.25">
      <c r="A1019" t="s">
        <v>631</v>
      </c>
      <c r="B1019">
        <f>VLOOKUP(A1019,art_category_path_name!A:B,2,FALSE)</f>
        <v>940</v>
      </c>
      <c r="C1019" t="s">
        <v>6394</v>
      </c>
      <c r="D1019" t="s">
        <v>6395</v>
      </c>
      <c r="F1019" t="s">
        <v>1834</v>
      </c>
      <c r="G1019" t="s">
        <v>6396</v>
      </c>
      <c r="H1019" t="s">
        <v>6397</v>
      </c>
    </row>
    <row r="1020" spans="1:8" x14ac:dyDescent="0.25">
      <c r="A1020" t="s">
        <v>632</v>
      </c>
      <c r="B1020">
        <f>VLOOKUP(A1020,art_category_path_name!A:B,2,FALSE)</f>
        <v>941</v>
      </c>
      <c r="C1020" t="s">
        <v>6398</v>
      </c>
      <c r="D1020" t="s">
        <v>6399</v>
      </c>
      <c r="F1020" t="s">
        <v>1834</v>
      </c>
      <c r="G1020" t="s">
        <v>6400</v>
      </c>
      <c r="H1020" t="s">
        <v>6401</v>
      </c>
    </row>
    <row r="1021" spans="1:8" x14ac:dyDescent="0.25">
      <c r="A1021" t="s">
        <v>633</v>
      </c>
      <c r="B1021">
        <f>VLOOKUP(A1021,art_category_path_name!A:B,2,FALSE)</f>
        <v>942</v>
      </c>
      <c r="C1021" t="s">
        <v>6402</v>
      </c>
      <c r="D1021" t="s">
        <v>6403</v>
      </c>
      <c r="F1021" t="s">
        <v>1834</v>
      </c>
      <c r="G1021" t="s">
        <v>6404</v>
      </c>
      <c r="H1021" t="s">
        <v>6405</v>
      </c>
    </row>
    <row r="1022" spans="1:8" x14ac:dyDescent="0.25">
      <c r="A1022" t="s">
        <v>634</v>
      </c>
      <c r="B1022">
        <f>VLOOKUP(A1022,art_category_path_name!A:B,2,FALSE)</f>
        <v>943</v>
      </c>
      <c r="C1022" t="s">
        <v>4121</v>
      </c>
      <c r="D1022" t="s">
        <v>6406</v>
      </c>
      <c r="F1022" t="s">
        <v>1834</v>
      </c>
      <c r="G1022" t="s">
        <v>3798</v>
      </c>
      <c r="H1022" t="s">
        <v>6407</v>
      </c>
    </row>
    <row r="1023" spans="1:8" x14ac:dyDescent="0.25">
      <c r="A1023" t="s">
        <v>635</v>
      </c>
      <c r="B1023">
        <f>VLOOKUP(A1023,art_category_path_name!A:B,2,FALSE)</f>
        <v>944</v>
      </c>
      <c r="C1023" t="s">
        <v>6408</v>
      </c>
      <c r="D1023" t="s">
        <v>6409</v>
      </c>
      <c r="F1023" t="s">
        <v>1834</v>
      </c>
      <c r="H1023" t="s">
        <v>6410</v>
      </c>
    </row>
    <row r="1024" spans="1:8" x14ac:dyDescent="0.25">
      <c r="A1024" t="s">
        <v>636</v>
      </c>
      <c r="B1024">
        <f>VLOOKUP(A1024,art_category_path_name!A:B,2,FALSE)</f>
        <v>945</v>
      </c>
      <c r="C1024" t="s">
        <v>6411</v>
      </c>
      <c r="D1024" t="s">
        <v>6412</v>
      </c>
      <c r="F1024" t="s">
        <v>1834</v>
      </c>
      <c r="G1024" t="s">
        <v>6413</v>
      </c>
      <c r="H1024" t="s">
        <v>6414</v>
      </c>
    </row>
    <row r="1025" spans="1:8" x14ac:dyDescent="0.25">
      <c r="A1025" t="s">
        <v>67</v>
      </c>
      <c r="B1025">
        <f>VLOOKUP(A1025,art_category_path_name!A:B,2,FALSE)</f>
        <v>947</v>
      </c>
      <c r="C1025" t="s">
        <v>6415</v>
      </c>
      <c r="D1025" t="s">
        <v>6416</v>
      </c>
      <c r="E1025" t="s">
        <v>6417</v>
      </c>
      <c r="F1025" t="s">
        <v>6418</v>
      </c>
      <c r="G1025" t="s">
        <v>6419</v>
      </c>
      <c r="H1025" t="s">
        <v>6420</v>
      </c>
    </row>
    <row r="1026" spans="1:8" x14ac:dyDescent="0.25">
      <c r="A1026" t="s">
        <v>68</v>
      </c>
      <c r="B1026">
        <f>VLOOKUP(A1026,art_category_path_name!A:B,2,FALSE)</f>
        <v>948</v>
      </c>
      <c r="C1026" t="s">
        <v>6421</v>
      </c>
      <c r="D1026" t="s">
        <v>6422</v>
      </c>
      <c r="F1026" t="s">
        <v>1834</v>
      </c>
      <c r="G1026" t="s">
        <v>6423</v>
      </c>
      <c r="H1026" t="s">
        <v>6424</v>
      </c>
    </row>
    <row r="1027" spans="1:8" x14ac:dyDescent="0.25">
      <c r="A1027" t="s">
        <v>1231</v>
      </c>
      <c r="B1027">
        <f>VLOOKUP(A1027,art_category_path_name!A:B,2,FALSE)</f>
        <v>950</v>
      </c>
      <c r="C1027" t="s">
        <v>6425</v>
      </c>
      <c r="D1027" t="s">
        <v>6426</v>
      </c>
      <c r="E1027" t="s">
        <v>6427</v>
      </c>
      <c r="F1027" t="s">
        <v>6428</v>
      </c>
      <c r="G1027" t="s">
        <v>6429</v>
      </c>
      <c r="H1027" t="s">
        <v>6430</v>
      </c>
    </row>
    <row r="1028" spans="1:8" x14ac:dyDescent="0.25">
      <c r="A1028" t="s">
        <v>1232</v>
      </c>
      <c r="B1028">
        <f>VLOOKUP(A1028,art_category_path_name!A:B,2,FALSE)</f>
        <v>951</v>
      </c>
      <c r="C1028" t="s">
        <v>6431</v>
      </c>
      <c r="D1028" t="s">
        <v>6432</v>
      </c>
      <c r="E1028" t="s">
        <v>6433</v>
      </c>
      <c r="F1028" t="s">
        <v>6434</v>
      </c>
      <c r="G1028" t="s">
        <v>6435</v>
      </c>
      <c r="H1028" t="s">
        <v>6436</v>
      </c>
    </row>
    <row r="1029" spans="1:8" x14ac:dyDescent="0.25">
      <c r="A1029" t="s">
        <v>1233</v>
      </c>
      <c r="B1029">
        <f>VLOOKUP(A1029,art_category_path_name!A:B,2,FALSE)</f>
        <v>952</v>
      </c>
      <c r="C1029" t="s">
        <v>6437</v>
      </c>
      <c r="D1029" t="s">
        <v>6438</v>
      </c>
      <c r="E1029" t="s">
        <v>6439</v>
      </c>
      <c r="F1029" t="s">
        <v>6440</v>
      </c>
      <c r="G1029" t="s">
        <v>6441</v>
      </c>
      <c r="H1029" t="s">
        <v>6442</v>
      </c>
    </row>
    <row r="1030" spans="1:8" x14ac:dyDescent="0.25">
      <c r="A1030" t="s">
        <v>1453</v>
      </c>
      <c r="B1030">
        <f>VLOOKUP(A1030,art_category_path_name!A:B,2,FALSE)</f>
        <v>954</v>
      </c>
      <c r="C1030" t="s">
        <v>6443</v>
      </c>
      <c r="D1030" t="s">
        <v>6444</v>
      </c>
      <c r="F1030" t="s">
        <v>1834</v>
      </c>
      <c r="G1030" t="s">
        <v>6445</v>
      </c>
      <c r="H1030" t="s">
        <v>6446</v>
      </c>
    </row>
    <row r="1031" spans="1:8" x14ac:dyDescent="0.25">
      <c r="A1031" t="s">
        <v>1454</v>
      </c>
      <c r="B1031">
        <f>VLOOKUP(A1031,art_category_path_name!A:B,2,FALSE)</f>
        <v>955</v>
      </c>
      <c r="C1031" t="s">
        <v>6447</v>
      </c>
      <c r="D1031" t="s">
        <v>6448</v>
      </c>
      <c r="F1031" t="s">
        <v>1834</v>
      </c>
      <c r="G1031" t="s">
        <v>6449</v>
      </c>
      <c r="H1031" t="s">
        <v>6450</v>
      </c>
    </row>
    <row r="1032" spans="1:8" x14ac:dyDescent="0.25">
      <c r="A1032" t="s">
        <v>1455</v>
      </c>
      <c r="B1032">
        <f>VLOOKUP(A1032,art_category_path_name!A:B,2,FALSE)</f>
        <v>956</v>
      </c>
      <c r="C1032" t="s">
        <v>6451</v>
      </c>
      <c r="D1032" t="s">
        <v>6452</v>
      </c>
      <c r="F1032" t="s">
        <v>1834</v>
      </c>
      <c r="G1032" t="s">
        <v>6453</v>
      </c>
      <c r="H1032" t="s">
        <v>6454</v>
      </c>
    </row>
    <row r="1033" spans="1:8" x14ac:dyDescent="0.25">
      <c r="A1033" t="s">
        <v>1456</v>
      </c>
      <c r="B1033">
        <f>VLOOKUP(A1033,art_category_path_name!A:B,2,FALSE)</f>
        <v>957</v>
      </c>
      <c r="C1033" t="s">
        <v>6455</v>
      </c>
      <c r="D1033" t="s">
        <v>6456</v>
      </c>
      <c r="F1033" t="s">
        <v>1834</v>
      </c>
      <c r="G1033" t="s">
        <v>6457</v>
      </c>
      <c r="H1033" t="s">
        <v>6458</v>
      </c>
    </row>
    <row r="1034" spans="1:8" x14ac:dyDescent="0.25">
      <c r="A1034" t="s">
        <v>1457</v>
      </c>
      <c r="B1034">
        <f>VLOOKUP(A1034,art_category_path_name!A:B,2,FALSE)</f>
        <v>958</v>
      </c>
      <c r="C1034" t="s">
        <v>6459</v>
      </c>
      <c r="D1034" t="s">
        <v>6460</v>
      </c>
      <c r="F1034" t="s">
        <v>1834</v>
      </c>
      <c r="G1034" t="s">
        <v>6461</v>
      </c>
      <c r="H1034" t="s">
        <v>6462</v>
      </c>
    </row>
    <row r="1035" spans="1:8" x14ac:dyDescent="0.25">
      <c r="A1035" t="s">
        <v>1071</v>
      </c>
      <c r="B1035">
        <f>VLOOKUP(A1035,art_category_path_name!A:B,2,FALSE)</f>
        <v>960</v>
      </c>
      <c r="C1035" t="s">
        <v>6463</v>
      </c>
      <c r="D1035" t="s">
        <v>6464</v>
      </c>
      <c r="E1035" t="s">
        <v>6465</v>
      </c>
      <c r="F1035" t="s">
        <v>6466</v>
      </c>
      <c r="G1035" t="s">
        <v>6467</v>
      </c>
      <c r="H1035" t="s">
        <v>6468</v>
      </c>
    </row>
    <row r="1036" spans="1:8" x14ac:dyDescent="0.25">
      <c r="A1036" t="s">
        <v>1072</v>
      </c>
      <c r="B1036">
        <f>VLOOKUP(A1036,art_category_path_name!A:B,2,FALSE)</f>
        <v>961</v>
      </c>
      <c r="C1036" t="s">
        <v>6469</v>
      </c>
      <c r="D1036" t="s">
        <v>6470</v>
      </c>
      <c r="F1036" t="s">
        <v>1834</v>
      </c>
      <c r="G1036" t="s">
        <v>6471</v>
      </c>
      <c r="H1036" t="s">
        <v>6472</v>
      </c>
    </row>
    <row r="1037" spans="1:8" x14ac:dyDescent="0.25">
      <c r="A1037" t="s">
        <v>1073</v>
      </c>
      <c r="B1037">
        <f>VLOOKUP(A1037,art_category_path_name!A:B,2,FALSE)</f>
        <v>962</v>
      </c>
      <c r="C1037" t="s">
        <v>6473</v>
      </c>
      <c r="D1037" t="s">
        <v>6474</v>
      </c>
      <c r="F1037" t="s">
        <v>1834</v>
      </c>
      <c r="G1037" t="s">
        <v>6475</v>
      </c>
      <c r="H1037" t="s">
        <v>6476</v>
      </c>
    </row>
    <row r="1038" spans="1:8" x14ac:dyDescent="0.25">
      <c r="A1038" t="s">
        <v>1074</v>
      </c>
      <c r="B1038">
        <f>VLOOKUP(A1038,art_category_path_name!A:B,2,FALSE)</f>
        <v>963</v>
      </c>
      <c r="C1038" t="s">
        <v>6477</v>
      </c>
      <c r="D1038" t="s">
        <v>6478</v>
      </c>
      <c r="F1038" t="s">
        <v>1834</v>
      </c>
      <c r="G1038" t="s">
        <v>6479</v>
      </c>
      <c r="H1038" t="s">
        <v>6480</v>
      </c>
    </row>
    <row r="1039" spans="1:8" x14ac:dyDescent="0.25">
      <c r="A1039" t="s">
        <v>1075</v>
      </c>
      <c r="B1039">
        <f>VLOOKUP(A1039,art_category_path_name!A:B,2,FALSE)</f>
        <v>964</v>
      </c>
      <c r="C1039" t="s">
        <v>6481</v>
      </c>
      <c r="D1039" t="s">
        <v>6482</v>
      </c>
      <c r="F1039" t="s">
        <v>1834</v>
      </c>
      <c r="G1039" t="s">
        <v>6483</v>
      </c>
      <c r="H1039" t="s">
        <v>6484</v>
      </c>
    </row>
    <row r="1040" spans="1:8" x14ac:dyDescent="0.25">
      <c r="A1040" t="s">
        <v>1076</v>
      </c>
      <c r="B1040">
        <f>VLOOKUP(A1040,art_category_path_name!A:B,2,FALSE)</f>
        <v>965</v>
      </c>
      <c r="C1040" t="s">
        <v>6485</v>
      </c>
      <c r="D1040" t="s">
        <v>6486</v>
      </c>
      <c r="F1040" t="s">
        <v>1834</v>
      </c>
      <c r="G1040" t="s">
        <v>6487</v>
      </c>
      <c r="H1040" t="s">
        <v>6488</v>
      </c>
    </row>
    <row r="1041" spans="1:8" x14ac:dyDescent="0.25">
      <c r="A1041" t="s">
        <v>1077</v>
      </c>
      <c r="B1041">
        <f>VLOOKUP(A1041,art_category_path_name!A:B,2,FALSE)</f>
        <v>966</v>
      </c>
      <c r="C1041" t="s">
        <v>6489</v>
      </c>
      <c r="D1041" t="s">
        <v>6490</v>
      </c>
      <c r="F1041" t="s">
        <v>1834</v>
      </c>
      <c r="G1041" t="s">
        <v>6491</v>
      </c>
      <c r="H1041" t="s">
        <v>6492</v>
      </c>
    </row>
    <row r="1042" spans="1:8" x14ac:dyDescent="0.25">
      <c r="A1042" t="s">
        <v>1078</v>
      </c>
      <c r="B1042">
        <f>VLOOKUP(A1042,art_category_path_name!A:B,2,FALSE)</f>
        <v>967</v>
      </c>
      <c r="C1042" t="s">
        <v>6493</v>
      </c>
      <c r="D1042" t="s">
        <v>6494</v>
      </c>
      <c r="F1042" t="s">
        <v>1834</v>
      </c>
      <c r="G1042" t="s">
        <v>6495</v>
      </c>
      <c r="H1042" t="s">
        <v>6496</v>
      </c>
    </row>
    <row r="1043" spans="1:8" x14ac:dyDescent="0.25">
      <c r="A1043" t="s">
        <v>1079</v>
      </c>
      <c r="B1043">
        <f>VLOOKUP(A1043,art_category_path_name!A:B,2,FALSE)</f>
        <v>968</v>
      </c>
      <c r="C1043" t="s">
        <v>6497</v>
      </c>
      <c r="D1043" t="s">
        <v>6498</v>
      </c>
      <c r="F1043" t="s">
        <v>1834</v>
      </c>
      <c r="G1043" t="s">
        <v>6499</v>
      </c>
      <c r="H1043" t="s">
        <v>6500</v>
      </c>
    </row>
    <row r="1044" spans="1:8" x14ac:dyDescent="0.25">
      <c r="A1044" t="s">
        <v>1080</v>
      </c>
      <c r="B1044">
        <f>VLOOKUP(A1044,art_category_path_name!A:B,2,FALSE)</f>
        <v>969</v>
      </c>
      <c r="C1044" t="s">
        <v>6501</v>
      </c>
      <c r="D1044" t="s">
        <v>6502</v>
      </c>
      <c r="F1044" t="s">
        <v>1834</v>
      </c>
      <c r="G1044" t="s">
        <v>6503</v>
      </c>
      <c r="H1044" t="s">
        <v>6504</v>
      </c>
    </row>
    <row r="1045" spans="1:8" x14ac:dyDescent="0.25">
      <c r="A1045" t="s">
        <v>1081</v>
      </c>
      <c r="B1045">
        <f>VLOOKUP(A1045,art_category_path_name!A:B,2,FALSE)</f>
        <v>970</v>
      </c>
      <c r="C1045" t="s">
        <v>6505</v>
      </c>
      <c r="D1045" t="s">
        <v>6506</v>
      </c>
      <c r="F1045" t="s">
        <v>1834</v>
      </c>
      <c r="G1045" t="s">
        <v>6507</v>
      </c>
      <c r="H1045" t="s">
        <v>6508</v>
      </c>
    </row>
    <row r="1046" spans="1:8" x14ac:dyDescent="0.25">
      <c r="A1046" t="s">
        <v>1082</v>
      </c>
      <c r="B1046">
        <f>VLOOKUP(A1046,art_category_path_name!A:B,2,FALSE)</f>
        <v>971</v>
      </c>
      <c r="C1046" t="s">
        <v>6509</v>
      </c>
      <c r="D1046" t="s">
        <v>6510</v>
      </c>
      <c r="F1046" t="s">
        <v>1834</v>
      </c>
      <c r="G1046" t="s">
        <v>6511</v>
      </c>
      <c r="H1046" t="s">
        <v>6512</v>
      </c>
    </row>
    <row r="1047" spans="1:8" x14ac:dyDescent="0.25">
      <c r="A1047" t="s">
        <v>1083</v>
      </c>
      <c r="B1047">
        <f>VLOOKUP(A1047,art_category_path_name!A:B,2,FALSE)</f>
        <v>972</v>
      </c>
      <c r="C1047" t="s">
        <v>6513</v>
      </c>
      <c r="D1047" t="s">
        <v>6514</v>
      </c>
      <c r="F1047" t="s">
        <v>1834</v>
      </c>
      <c r="G1047" t="s">
        <v>6515</v>
      </c>
      <c r="H1047" t="s">
        <v>6516</v>
      </c>
    </row>
    <row r="1048" spans="1:8" x14ac:dyDescent="0.25">
      <c r="A1048" t="s">
        <v>936</v>
      </c>
      <c r="B1048">
        <f>VLOOKUP(A1048,art_category_path_name!A:B,2,FALSE)</f>
        <v>974</v>
      </c>
      <c r="C1048" t="s">
        <v>6517</v>
      </c>
      <c r="D1048" t="s">
        <v>6518</v>
      </c>
      <c r="E1048" t="s">
        <v>6519</v>
      </c>
      <c r="F1048" t="s">
        <v>6520</v>
      </c>
      <c r="G1048" t="s">
        <v>6521</v>
      </c>
      <c r="H1048" t="s">
        <v>6522</v>
      </c>
    </row>
    <row r="1049" spans="1:8" x14ac:dyDescent="0.25">
      <c r="A1049" t="s">
        <v>937</v>
      </c>
      <c r="B1049">
        <f>VLOOKUP(A1049,art_category_path_name!A:B,2,FALSE)</f>
        <v>975</v>
      </c>
      <c r="C1049" t="s">
        <v>6523</v>
      </c>
      <c r="D1049" t="s">
        <v>6524</v>
      </c>
      <c r="E1049" t="s">
        <v>6525</v>
      </c>
      <c r="F1049" t="s">
        <v>6526</v>
      </c>
      <c r="G1049" t="s">
        <v>6527</v>
      </c>
      <c r="H1049" t="s">
        <v>6528</v>
      </c>
    </row>
    <row r="1050" spans="1:8" x14ac:dyDescent="0.25">
      <c r="A1050" t="s">
        <v>938</v>
      </c>
      <c r="B1050">
        <f>VLOOKUP(A1050,art_category_path_name!A:B,2,FALSE)</f>
        <v>976</v>
      </c>
      <c r="C1050" t="s">
        <v>6529</v>
      </c>
      <c r="D1050" t="s">
        <v>6530</v>
      </c>
      <c r="E1050" t="s">
        <v>6531</v>
      </c>
      <c r="F1050" t="s">
        <v>6532</v>
      </c>
      <c r="G1050" t="s">
        <v>6533</v>
      </c>
      <c r="H1050" t="s">
        <v>6534</v>
      </c>
    </row>
    <row r="1051" spans="1:8" x14ac:dyDescent="0.25">
      <c r="A1051" t="s">
        <v>939</v>
      </c>
      <c r="B1051">
        <f>VLOOKUP(A1051,art_category_path_name!A:B,2,FALSE)</f>
        <v>977</v>
      </c>
      <c r="C1051" t="s">
        <v>6535</v>
      </c>
      <c r="D1051" t="s">
        <v>6536</v>
      </c>
      <c r="E1051" t="s">
        <v>6537</v>
      </c>
      <c r="F1051" t="s">
        <v>6538</v>
      </c>
      <c r="G1051" t="s">
        <v>6539</v>
      </c>
      <c r="H1051" t="s">
        <v>6540</v>
      </c>
    </row>
    <row r="1052" spans="1:8" x14ac:dyDescent="0.25">
      <c r="A1052" t="s">
        <v>940</v>
      </c>
      <c r="B1052">
        <f>VLOOKUP(A1052,art_category_path_name!A:B,2,FALSE)</f>
        <v>978</v>
      </c>
      <c r="C1052" t="s">
        <v>6541</v>
      </c>
      <c r="D1052" t="s">
        <v>1665</v>
      </c>
      <c r="E1052" t="s">
        <v>6542</v>
      </c>
      <c r="F1052" t="s">
        <v>6543</v>
      </c>
      <c r="G1052" t="s">
        <v>6544</v>
      </c>
      <c r="H1052" t="s">
        <v>6545</v>
      </c>
    </row>
    <row r="1053" spans="1:8" x14ac:dyDescent="0.25">
      <c r="A1053" t="s">
        <v>941</v>
      </c>
      <c r="B1053">
        <f>VLOOKUP(A1053,art_category_path_name!A:B,2,FALSE)</f>
        <v>979</v>
      </c>
      <c r="C1053" t="s">
        <v>6546</v>
      </c>
      <c r="D1053" t="s">
        <v>6547</v>
      </c>
      <c r="E1053" t="s">
        <v>6548</v>
      </c>
      <c r="F1053" t="s">
        <v>6549</v>
      </c>
      <c r="G1053" t="s">
        <v>6550</v>
      </c>
      <c r="H1053" t="s">
        <v>6551</v>
      </c>
    </row>
    <row r="1054" spans="1:8" x14ac:dyDescent="0.25">
      <c r="A1054" t="s">
        <v>942</v>
      </c>
      <c r="B1054">
        <f>VLOOKUP(A1054,art_category_path_name!A:B,2,FALSE)</f>
        <v>980</v>
      </c>
      <c r="C1054" t="s">
        <v>6552</v>
      </c>
      <c r="D1054" t="s">
        <v>1665</v>
      </c>
      <c r="E1054" t="s">
        <v>6542</v>
      </c>
      <c r="F1054" t="s">
        <v>6543</v>
      </c>
      <c r="G1054" t="s">
        <v>6553</v>
      </c>
      <c r="H1054" t="s">
        <v>6554</v>
      </c>
    </row>
    <row r="1055" spans="1:8" x14ac:dyDescent="0.25">
      <c r="A1055" t="s">
        <v>1125</v>
      </c>
      <c r="B1055">
        <f>VLOOKUP(A1055,art_category_path_name!A:B,2,FALSE)</f>
        <v>982</v>
      </c>
      <c r="C1055" t="s">
        <v>6555</v>
      </c>
      <c r="D1055" t="s">
        <v>6556</v>
      </c>
      <c r="F1055" t="s">
        <v>1834</v>
      </c>
      <c r="G1055" t="s">
        <v>6557</v>
      </c>
      <c r="H1055" t="s">
        <v>6558</v>
      </c>
    </row>
    <row r="1056" spans="1:8" x14ac:dyDescent="0.25">
      <c r="A1056" t="s">
        <v>1126</v>
      </c>
      <c r="B1056">
        <f>VLOOKUP(A1056,art_category_path_name!A:B,2,FALSE)</f>
        <v>983</v>
      </c>
      <c r="C1056" t="s">
        <v>6559</v>
      </c>
      <c r="D1056" t="s">
        <v>6560</v>
      </c>
      <c r="F1056" t="s">
        <v>1834</v>
      </c>
      <c r="G1056" t="s">
        <v>6561</v>
      </c>
      <c r="H1056" t="s">
        <v>6562</v>
      </c>
    </row>
    <row r="1057" spans="1:8" x14ac:dyDescent="0.25">
      <c r="A1057" t="s">
        <v>1127</v>
      </c>
      <c r="B1057">
        <f>VLOOKUP(A1057,art_category_path_name!A:B,2,FALSE)</f>
        <v>984</v>
      </c>
      <c r="C1057" t="s">
        <v>6563</v>
      </c>
      <c r="D1057" t="s">
        <v>6564</v>
      </c>
      <c r="F1057" t="s">
        <v>1834</v>
      </c>
      <c r="G1057" t="s">
        <v>6565</v>
      </c>
      <c r="H1057" t="s">
        <v>6566</v>
      </c>
    </row>
    <row r="1058" spans="1:8" x14ac:dyDescent="0.25">
      <c r="A1058" t="s">
        <v>1128</v>
      </c>
      <c r="B1058">
        <f>VLOOKUP(A1058,art_category_path_name!A:B,2,FALSE)</f>
        <v>985</v>
      </c>
      <c r="C1058" t="s">
        <v>6567</v>
      </c>
      <c r="D1058" t="s">
        <v>6568</v>
      </c>
      <c r="F1058" t="s">
        <v>1834</v>
      </c>
      <c r="G1058" t="s">
        <v>6569</v>
      </c>
      <c r="H1058" t="s">
        <v>6570</v>
      </c>
    </row>
    <row r="1059" spans="1:8" x14ac:dyDescent="0.25">
      <c r="A1059" t="s">
        <v>1129</v>
      </c>
      <c r="B1059">
        <f>VLOOKUP(A1059,art_category_path_name!A:B,2,FALSE)</f>
        <v>986</v>
      </c>
      <c r="C1059" t="s">
        <v>6571</v>
      </c>
      <c r="D1059" t="s">
        <v>6572</v>
      </c>
      <c r="F1059" t="s">
        <v>1834</v>
      </c>
      <c r="G1059" t="s">
        <v>6573</v>
      </c>
      <c r="H1059" t="s">
        <v>6574</v>
      </c>
    </row>
    <row r="1060" spans="1:8" x14ac:dyDescent="0.25">
      <c r="A1060" t="s">
        <v>1130</v>
      </c>
      <c r="B1060">
        <f>VLOOKUP(A1060,art_category_path_name!A:B,2,FALSE)</f>
        <v>987</v>
      </c>
      <c r="C1060" t="s">
        <v>6575</v>
      </c>
      <c r="D1060" t="s">
        <v>6576</v>
      </c>
      <c r="F1060" t="s">
        <v>1834</v>
      </c>
      <c r="G1060" t="s">
        <v>6577</v>
      </c>
      <c r="H1060" t="s">
        <v>6578</v>
      </c>
    </row>
    <row r="1061" spans="1:8" x14ac:dyDescent="0.25">
      <c r="A1061" t="s">
        <v>1131</v>
      </c>
      <c r="B1061">
        <f>VLOOKUP(A1061,art_category_path_name!A:B,2,FALSE)</f>
        <v>988</v>
      </c>
      <c r="C1061" t="s">
        <v>6579</v>
      </c>
      <c r="D1061" t="s">
        <v>6580</v>
      </c>
      <c r="F1061" t="s">
        <v>1834</v>
      </c>
      <c r="G1061" t="s">
        <v>6581</v>
      </c>
      <c r="H1061" t="s">
        <v>6582</v>
      </c>
    </row>
    <row r="1062" spans="1:8" x14ac:dyDescent="0.25">
      <c r="A1062" t="s">
        <v>1132</v>
      </c>
      <c r="B1062">
        <f>VLOOKUP(A1062,art_category_path_name!A:B,2,FALSE)</f>
        <v>989</v>
      </c>
      <c r="C1062" t="s">
        <v>6583</v>
      </c>
      <c r="D1062" t="s">
        <v>6584</v>
      </c>
      <c r="F1062" t="s">
        <v>1834</v>
      </c>
      <c r="G1062" t="s">
        <v>6585</v>
      </c>
      <c r="H1062" t="s">
        <v>6586</v>
      </c>
    </row>
    <row r="1063" spans="1:8" x14ac:dyDescent="0.25">
      <c r="A1063" t="s">
        <v>1133</v>
      </c>
      <c r="B1063">
        <f>VLOOKUP(A1063,art_category_path_name!A:B,2,FALSE)</f>
        <v>990</v>
      </c>
      <c r="C1063" t="s">
        <v>6587</v>
      </c>
      <c r="D1063" t="s">
        <v>6588</v>
      </c>
      <c r="F1063" t="s">
        <v>1834</v>
      </c>
      <c r="G1063" t="s">
        <v>6589</v>
      </c>
      <c r="H1063" t="s">
        <v>6590</v>
      </c>
    </row>
    <row r="1064" spans="1:8" x14ac:dyDescent="0.25">
      <c r="A1064" t="s">
        <v>1134</v>
      </c>
      <c r="B1064">
        <f>VLOOKUP(A1064,art_category_path_name!A:B,2,FALSE)</f>
        <v>991</v>
      </c>
      <c r="C1064" t="s">
        <v>6591</v>
      </c>
      <c r="D1064" t="s">
        <v>6592</v>
      </c>
      <c r="E1064" t="s">
        <v>6593</v>
      </c>
      <c r="F1064" t="s">
        <v>6594</v>
      </c>
      <c r="G1064" t="s">
        <v>6595</v>
      </c>
      <c r="H1064" t="s">
        <v>6596</v>
      </c>
    </row>
    <row r="1065" spans="1:8" x14ac:dyDescent="0.25">
      <c r="A1065" t="s">
        <v>1135</v>
      </c>
      <c r="B1065">
        <f>VLOOKUP(A1065,art_category_path_name!A:B,2,FALSE)</f>
        <v>992</v>
      </c>
      <c r="C1065" t="s">
        <v>6597</v>
      </c>
      <c r="D1065" t="s">
        <v>6598</v>
      </c>
      <c r="F1065" t="s">
        <v>1834</v>
      </c>
      <c r="G1065" t="s">
        <v>6599</v>
      </c>
      <c r="H1065" t="s">
        <v>6600</v>
      </c>
    </row>
    <row r="1066" spans="1:8" x14ac:dyDescent="0.25">
      <c r="A1066" t="s">
        <v>1136</v>
      </c>
      <c r="B1066">
        <f>VLOOKUP(A1066,art_category_path_name!A:B,2,FALSE)</f>
        <v>993</v>
      </c>
      <c r="C1066" t="s">
        <v>6601</v>
      </c>
      <c r="D1066" t="s">
        <v>6602</v>
      </c>
      <c r="E1066" t="s">
        <v>6603</v>
      </c>
      <c r="F1066" t="s">
        <v>6604</v>
      </c>
      <c r="G1066" t="s">
        <v>6605</v>
      </c>
      <c r="H1066" t="s">
        <v>6606</v>
      </c>
    </row>
    <row r="1067" spans="1:8" x14ac:dyDescent="0.25">
      <c r="A1067" t="s">
        <v>1137</v>
      </c>
      <c r="B1067">
        <f>VLOOKUP(A1067,art_category_path_name!A:B,2,FALSE)</f>
        <v>994</v>
      </c>
      <c r="C1067" t="s">
        <v>6607</v>
      </c>
      <c r="D1067" t="s">
        <v>6608</v>
      </c>
      <c r="F1067" t="s">
        <v>1834</v>
      </c>
      <c r="G1067" t="s">
        <v>6609</v>
      </c>
      <c r="H1067" t="s">
        <v>6610</v>
      </c>
    </row>
    <row r="1068" spans="1:8" x14ac:dyDescent="0.25">
      <c r="A1068" t="s">
        <v>1138</v>
      </c>
      <c r="B1068">
        <f>VLOOKUP(A1068,art_category_path_name!A:B,2,FALSE)</f>
        <v>995</v>
      </c>
      <c r="C1068" t="s">
        <v>6611</v>
      </c>
      <c r="D1068" t="s">
        <v>6612</v>
      </c>
      <c r="F1068" t="s">
        <v>1834</v>
      </c>
      <c r="G1068" t="s">
        <v>6613</v>
      </c>
      <c r="H1068" t="s">
        <v>6614</v>
      </c>
    </row>
    <row r="1069" spans="1:8" x14ac:dyDescent="0.25">
      <c r="A1069" t="s">
        <v>1139</v>
      </c>
      <c r="B1069">
        <f>VLOOKUP(A1069,art_category_path_name!A:B,2,FALSE)</f>
        <v>996</v>
      </c>
      <c r="C1069" t="s">
        <v>6615</v>
      </c>
      <c r="D1069" t="s">
        <v>6616</v>
      </c>
      <c r="F1069" t="s">
        <v>1834</v>
      </c>
      <c r="G1069" t="s">
        <v>6617</v>
      </c>
      <c r="H1069" t="s">
        <v>6618</v>
      </c>
    </row>
    <row r="1070" spans="1:8" x14ac:dyDescent="0.25">
      <c r="A1070" t="s">
        <v>1140</v>
      </c>
      <c r="B1070">
        <f>VLOOKUP(A1070,art_category_path_name!A:B,2,FALSE)</f>
        <v>997</v>
      </c>
      <c r="C1070" t="s">
        <v>6619</v>
      </c>
      <c r="D1070" t="s">
        <v>6620</v>
      </c>
      <c r="F1070" t="s">
        <v>1834</v>
      </c>
      <c r="G1070" t="s">
        <v>6621</v>
      </c>
      <c r="H1070" t="s">
        <v>6622</v>
      </c>
    </row>
    <row r="1071" spans="1:8" x14ac:dyDescent="0.25">
      <c r="A1071" t="s">
        <v>1141</v>
      </c>
      <c r="B1071">
        <f>VLOOKUP(A1071,art_category_path_name!A:B,2,FALSE)</f>
        <v>998</v>
      </c>
      <c r="C1071" t="s">
        <v>6623</v>
      </c>
      <c r="D1071" t="s">
        <v>3754</v>
      </c>
      <c r="E1071" t="s">
        <v>3755</v>
      </c>
      <c r="F1071" t="s">
        <v>3756</v>
      </c>
      <c r="G1071" t="s">
        <v>6624</v>
      </c>
      <c r="H1071" t="s">
        <v>6625</v>
      </c>
    </row>
    <row r="1072" spans="1:8" x14ac:dyDescent="0.25">
      <c r="A1072" t="s">
        <v>1142</v>
      </c>
      <c r="B1072">
        <f>VLOOKUP(A1072,art_category_path_name!A:B,2,FALSE)</f>
        <v>999</v>
      </c>
      <c r="C1072" t="s">
        <v>6626</v>
      </c>
      <c r="D1072" t="s">
        <v>6627</v>
      </c>
      <c r="F1072" t="s">
        <v>1834</v>
      </c>
      <c r="G1072" t="s">
        <v>6628</v>
      </c>
      <c r="H1072" t="s">
        <v>6629</v>
      </c>
    </row>
    <row r="1073" spans="1:8" x14ac:dyDescent="0.25">
      <c r="A1073" t="s">
        <v>2</v>
      </c>
      <c r="B1073">
        <f>VLOOKUP(A1073,art_category_path_name!A:B,2,FALSE)</f>
        <v>1001</v>
      </c>
      <c r="C1073" t="s">
        <v>6630</v>
      </c>
      <c r="D1073" t="s">
        <v>6631</v>
      </c>
      <c r="E1073" t="s">
        <v>6632</v>
      </c>
      <c r="F1073" t="s">
        <v>6633</v>
      </c>
      <c r="G1073" t="s">
        <v>6634</v>
      </c>
      <c r="H1073" t="s">
        <v>6635</v>
      </c>
    </row>
    <row r="1074" spans="1:8" x14ac:dyDescent="0.25">
      <c r="A1074" t="s">
        <v>3</v>
      </c>
      <c r="B1074">
        <f>VLOOKUP(A1074,art_category_path_name!A:B,2,FALSE)</f>
        <v>1002</v>
      </c>
      <c r="C1074" t="s">
        <v>6636</v>
      </c>
      <c r="D1074" t="s">
        <v>6637</v>
      </c>
      <c r="E1074" t="s">
        <v>6638</v>
      </c>
      <c r="F1074" t="s">
        <v>6639</v>
      </c>
      <c r="G1074" t="s">
        <v>6640</v>
      </c>
      <c r="H1074" t="s">
        <v>6641</v>
      </c>
    </row>
    <row r="1075" spans="1:8" x14ac:dyDescent="0.25">
      <c r="A1075" t="s">
        <v>4</v>
      </c>
      <c r="B1075">
        <f>VLOOKUP(A1075,art_category_path_name!A:B,2,FALSE)</f>
        <v>1003</v>
      </c>
      <c r="C1075" t="s">
        <v>6642</v>
      </c>
      <c r="D1075" t="s">
        <v>6643</v>
      </c>
      <c r="E1075" t="s">
        <v>6644</v>
      </c>
      <c r="F1075" t="s">
        <v>6645</v>
      </c>
      <c r="G1075" t="s">
        <v>6646</v>
      </c>
      <c r="H1075" t="s">
        <v>6647</v>
      </c>
    </row>
    <row r="1076" spans="1:8" x14ac:dyDescent="0.25">
      <c r="A1076" t="s">
        <v>5</v>
      </c>
      <c r="B1076">
        <f>VLOOKUP(A1076,art_category_path_name!A:B,2,FALSE)</f>
        <v>1004</v>
      </c>
      <c r="C1076" t="s">
        <v>6648</v>
      </c>
      <c r="D1076" t="s">
        <v>6649</v>
      </c>
      <c r="E1076" t="s">
        <v>6650</v>
      </c>
      <c r="F1076" t="s">
        <v>6651</v>
      </c>
      <c r="G1076" t="s">
        <v>6652</v>
      </c>
      <c r="H1076" t="s">
        <v>6653</v>
      </c>
    </row>
    <row r="1077" spans="1:8" x14ac:dyDescent="0.25">
      <c r="A1077" t="s">
        <v>6</v>
      </c>
      <c r="B1077">
        <f>VLOOKUP(A1077,art_category_path_name!A:B,2,FALSE)</f>
        <v>1005</v>
      </c>
      <c r="C1077" t="s">
        <v>6654</v>
      </c>
      <c r="D1077" t="s">
        <v>6655</v>
      </c>
      <c r="E1077" t="s">
        <v>6656</v>
      </c>
      <c r="F1077" t="s">
        <v>6657</v>
      </c>
      <c r="G1077" t="s">
        <v>6658</v>
      </c>
      <c r="H1077" t="s">
        <v>6659</v>
      </c>
    </row>
    <row r="1078" spans="1:8" x14ac:dyDescent="0.25">
      <c r="A1078" t="s">
        <v>7</v>
      </c>
      <c r="B1078">
        <f>VLOOKUP(A1078,art_category_path_name!A:B,2,FALSE)</f>
        <v>1006</v>
      </c>
      <c r="C1078" t="s">
        <v>6660</v>
      </c>
      <c r="D1078" t="s">
        <v>6661</v>
      </c>
      <c r="E1078" t="s">
        <v>6662</v>
      </c>
      <c r="F1078" t="s">
        <v>6663</v>
      </c>
      <c r="G1078" t="s">
        <v>6664</v>
      </c>
      <c r="H1078" t="s">
        <v>6665</v>
      </c>
    </row>
    <row r="1079" spans="1:8" x14ac:dyDescent="0.25">
      <c r="A1079" t="s">
        <v>8</v>
      </c>
      <c r="B1079">
        <f>VLOOKUP(A1079,art_category_path_name!A:B,2,FALSE)</f>
        <v>1007</v>
      </c>
      <c r="C1079" t="s">
        <v>6666</v>
      </c>
      <c r="D1079" t="s">
        <v>6667</v>
      </c>
      <c r="E1079" t="s">
        <v>6668</v>
      </c>
      <c r="F1079" t="s">
        <v>6667</v>
      </c>
      <c r="G1079" t="s">
        <v>6669</v>
      </c>
      <c r="H1079" t="s">
        <v>6670</v>
      </c>
    </row>
    <row r="1080" spans="1:8" x14ac:dyDescent="0.25">
      <c r="A1080" t="s">
        <v>773</v>
      </c>
      <c r="B1080">
        <f>VLOOKUP(A1080,art_category_path_name!A:B,2,FALSE)</f>
        <v>1009</v>
      </c>
      <c r="C1080" t="s">
        <v>6671</v>
      </c>
      <c r="D1080" t="s">
        <v>6672</v>
      </c>
      <c r="E1080" t="s">
        <v>6673</v>
      </c>
      <c r="F1080" t="s">
        <v>6674</v>
      </c>
      <c r="G1080" t="s">
        <v>6675</v>
      </c>
      <c r="H1080" t="s">
        <v>6676</v>
      </c>
    </row>
    <row r="1081" spans="1:8" x14ac:dyDescent="0.25">
      <c r="A1081" t="s">
        <v>774</v>
      </c>
      <c r="B1081">
        <f>VLOOKUP(A1081,art_category_path_name!A:B,2,FALSE)</f>
        <v>1010</v>
      </c>
      <c r="C1081" t="s">
        <v>6239</v>
      </c>
      <c r="D1081" t="s">
        <v>6677</v>
      </c>
      <c r="E1081" t="s">
        <v>6678</v>
      </c>
      <c r="F1081" t="s">
        <v>6679</v>
      </c>
      <c r="G1081" t="s">
        <v>6680</v>
      </c>
      <c r="H1081" t="s">
        <v>6681</v>
      </c>
    </row>
    <row r="1082" spans="1:8" x14ac:dyDescent="0.25">
      <c r="A1082" t="s">
        <v>775</v>
      </c>
      <c r="B1082">
        <f>VLOOKUP(A1082,art_category_path_name!A:B,2,FALSE)</f>
        <v>1011</v>
      </c>
      <c r="C1082" t="s">
        <v>6682</v>
      </c>
      <c r="D1082" t="s">
        <v>6683</v>
      </c>
      <c r="E1082" t="s">
        <v>6684</v>
      </c>
      <c r="F1082" t="s">
        <v>6685</v>
      </c>
      <c r="G1082" t="s">
        <v>6686</v>
      </c>
      <c r="H1082" t="s">
        <v>6687</v>
      </c>
    </row>
    <row r="1083" spans="1:8" x14ac:dyDescent="0.25">
      <c r="A1083" t="s">
        <v>737</v>
      </c>
      <c r="B1083">
        <f>VLOOKUP(A1083,art_category_path_name!A:B,2,FALSE)</f>
        <v>1013</v>
      </c>
      <c r="C1083" t="s">
        <v>6688</v>
      </c>
      <c r="D1083" t="s">
        <v>6689</v>
      </c>
      <c r="E1083" t="s">
        <v>6690</v>
      </c>
      <c r="F1083" t="s">
        <v>6691</v>
      </c>
      <c r="G1083" t="s">
        <v>6692</v>
      </c>
      <c r="H1083" t="s">
        <v>6693</v>
      </c>
    </row>
    <row r="1084" spans="1:8" x14ac:dyDescent="0.25">
      <c r="A1084" t="s">
        <v>738</v>
      </c>
      <c r="B1084">
        <f>VLOOKUP(A1084,art_category_path_name!A:B,2,FALSE)</f>
        <v>1014</v>
      </c>
      <c r="C1084" t="s">
        <v>6694</v>
      </c>
      <c r="D1084" t="s">
        <v>6695</v>
      </c>
      <c r="E1084" t="s">
        <v>6696</v>
      </c>
      <c r="F1084" t="s">
        <v>6697</v>
      </c>
      <c r="G1084" t="s">
        <v>6698</v>
      </c>
      <c r="H1084" t="s">
        <v>6699</v>
      </c>
    </row>
    <row r="1085" spans="1:8" x14ac:dyDescent="0.25">
      <c r="A1085" t="s">
        <v>739</v>
      </c>
      <c r="B1085">
        <f>VLOOKUP(A1085,art_category_path_name!A:B,2,FALSE)</f>
        <v>1015</v>
      </c>
      <c r="C1085" t="s">
        <v>6700</v>
      </c>
      <c r="D1085" t="s">
        <v>6689</v>
      </c>
      <c r="E1085" t="s">
        <v>6701</v>
      </c>
      <c r="F1085" t="s">
        <v>6691</v>
      </c>
      <c r="G1085" t="s">
        <v>6702</v>
      </c>
      <c r="H1085" t="s">
        <v>6703</v>
      </c>
    </row>
    <row r="1086" spans="1:8" x14ac:dyDescent="0.25">
      <c r="A1086" t="s">
        <v>740</v>
      </c>
      <c r="B1086">
        <f>VLOOKUP(A1086,art_category_path_name!A:B,2,FALSE)</f>
        <v>1016</v>
      </c>
      <c r="C1086" t="s">
        <v>6704</v>
      </c>
      <c r="D1086" t="s">
        <v>6705</v>
      </c>
      <c r="E1086" t="s">
        <v>6706</v>
      </c>
      <c r="F1086" t="s">
        <v>6707</v>
      </c>
      <c r="G1086" t="s">
        <v>6708</v>
      </c>
      <c r="H1086" t="s">
        <v>6709</v>
      </c>
    </row>
    <row r="1087" spans="1:8" x14ac:dyDescent="0.25">
      <c r="A1087" t="s">
        <v>741</v>
      </c>
      <c r="B1087">
        <f>VLOOKUP(A1087,art_category_path_name!A:B,2,FALSE)</f>
        <v>1017</v>
      </c>
      <c r="C1087" t="s">
        <v>6710</v>
      </c>
      <c r="D1087" t="s">
        <v>6711</v>
      </c>
      <c r="E1087" t="s">
        <v>6712</v>
      </c>
      <c r="F1087" t="s">
        <v>6713</v>
      </c>
      <c r="G1087" t="s">
        <v>6714</v>
      </c>
      <c r="H1087" t="s">
        <v>6715</v>
      </c>
    </row>
    <row r="1088" spans="1:8" x14ac:dyDescent="0.25">
      <c r="A1088" t="s">
        <v>743</v>
      </c>
      <c r="B1088">
        <f>VLOOKUP(A1088,art_category_path_name!A:B,2,FALSE)</f>
        <v>1019</v>
      </c>
      <c r="C1088" t="s">
        <v>6716</v>
      </c>
      <c r="D1088" t="s">
        <v>6717</v>
      </c>
      <c r="E1088" t="s">
        <v>6718</v>
      </c>
      <c r="F1088" t="s">
        <v>6719</v>
      </c>
      <c r="G1088" t="s">
        <v>6720</v>
      </c>
      <c r="H1088" t="s">
        <v>6721</v>
      </c>
    </row>
    <row r="1089" spans="1:8" x14ac:dyDescent="0.25">
      <c r="A1089" t="s">
        <v>744</v>
      </c>
      <c r="B1089">
        <f>VLOOKUP(A1089,art_category_path_name!A:B,2,FALSE)</f>
        <v>1020</v>
      </c>
      <c r="C1089" t="s">
        <v>6722</v>
      </c>
      <c r="D1089" t="s">
        <v>6723</v>
      </c>
      <c r="E1089" t="s">
        <v>6724</v>
      </c>
      <c r="F1089" t="s">
        <v>6725</v>
      </c>
      <c r="G1089" t="s">
        <v>6726</v>
      </c>
      <c r="H1089" t="s">
        <v>6727</v>
      </c>
    </row>
    <row r="1090" spans="1:8" x14ac:dyDescent="0.25">
      <c r="A1090" t="s">
        <v>745</v>
      </c>
      <c r="B1090">
        <f>VLOOKUP(A1090,art_category_path_name!A:B,2,FALSE)</f>
        <v>1021</v>
      </c>
      <c r="C1090" t="s">
        <v>6728</v>
      </c>
      <c r="D1090" t="s">
        <v>6729</v>
      </c>
      <c r="E1090" t="s">
        <v>6730</v>
      </c>
      <c r="F1090" t="s">
        <v>6731</v>
      </c>
      <c r="G1090" t="s">
        <v>6732</v>
      </c>
      <c r="H1090" t="s">
        <v>6733</v>
      </c>
    </row>
    <row r="1091" spans="1:8" x14ac:dyDescent="0.25">
      <c r="A1091" t="s">
        <v>746</v>
      </c>
      <c r="B1091">
        <f>VLOOKUP(A1091,art_category_path_name!A:B,2,FALSE)</f>
        <v>1022</v>
      </c>
      <c r="C1091" t="s">
        <v>6734</v>
      </c>
      <c r="D1091" t="s">
        <v>6735</v>
      </c>
      <c r="E1091" t="s">
        <v>6736</v>
      </c>
      <c r="F1091" t="s">
        <v>6737</v>
      </c>
      <c r="G1091" t="s">
        <v>6738</v>
      </c>
      <c r="H1091" t="s">
        <v>6739</v>
      </c>
    </row>
    <row r="1092" spans="1:8" x14ac:dyDescent="0.25">
      <c r="A1092" t="s">
        <v>747</v>
      </c>
      <c r="B1092">
        <f>VLOOKUP(A1092,art_category_path_name!A:B,2,FALSE)</f>
        <v>1023</v>
      </c>
      <c r="C1092" t="s">
        <v>6740</v>
      </c>
      <c r="D1092" t="s">
        <v>6741</v>
      </c>
      <c r="E1092" t="s">
        <v>6742</v>
      </c>
      <c r="F1092" t="s">
        <v>6743</v>
      </c>
      <c r="G1092" t="s">
        <v>6744</v>
      </c>
      <c r="H1092" t="s">
        <v>6745</v>
      </c>
    </row>
    <row r="1093" spans="1:8" x14ac:dyDescent="0.25">
      <c r="A1093" t="s">
        <v>88</v>
      </c>
      <c r="B1093">
        <f>VLOOKUP(A1093,art_category_path_name!A:B,2,FALSE)</f>
        <v>1024</v>
      </c>
      <c r="C1093" t="s">
        <v>6746</v>
      </c>
      <c r="D1093" t="s">
        <v>6747</v>
      </c>
      <c r="E1093" t="s">
        <v>6748</v>
      </c>
      <c r="F1093" t="s">
        <v>6749</v>
      </c>
      <c r="G1093" t="s">
        <v>6750</v>
      </c>
      <c r="H1093" t="s">
        <v>6751</v>
      </c>
    </row>
    <row r="1094" spans="1:8" x14ac:dyDescent="0.25">
      <c r="A1094" t="s">
        <v>748</v>
      </c>
      <c r="B1094">
        <f>VLOOKUP(A1094,art_category_path_name!A:B,2,FALSE)</f>
        <v>1025</v>
      </c>
      <c r="C1094" t="s">
        <v>6752</v>
      </c>
      <c r="D1094" t="s">
        <v>6753</v>
      </c>
      <c r="E1094" t="s">
        <v>6754</v>
      </c>
      <c r="F1094" t="s">
        <v>6755</v>
      </c>
      <c r="G1094" t="s">
        <v>6756</v>
      </c>
      <c r="H1094" t="s">
        <v>6757</v>
      </c>
    </row>
    <row r="1095" spans="1:8" x14ac:dyDescent="0.25">
      <c r="A1095" t="s">
        <v>749</v>
      </c>
      <c r="B1095">
        <f>VLOOKUP(A1095,art_category_path_name!A:B,2,FALSE)</f>
        <v>1026</v>
      </c>
      <c r="C1095" t="s">
        <v>6758</v>
      </c>
      <c r="D1095" t="s">
        <v>6759</v>
      </c>
      <c r="E1095" t="s">
        <v>6760</v>
      </c>
      <c r="F1095" t="s">
        <v>6761</v>
      </c>
      <c r="G1095" t="s">
        <v>6762</v>
      </c>
      <c r="H1095" t="s">
        <v>6763</v>
      </c>
    </row>
    <row r="1096" spans="1:8" x14ac:dyDescent="0.25">
      <c r="A1096" t="s">
        <v>1145</v>
      </c>
      <c r="B1096">
        <f>VLOOKUP(A1096,art_category_path_name!A:B,2,FALSE)</f>
        <v>1028</v>
      </c>
      <c r="C1096" t="s">
        <v>6764</v>
      </c>
      <c r="D1096" t="s">
        <v>6765</v>
      </c>
      <c r="E1096" t="s">
        <v>6766</v>
      </c>
      <c r="F1096" t="s">
        <v>6767</v>
      </c>
      <c r="G1096" t="s">
        <v>6768</v>
      </c>
      <c r="H1096" t="s">
        <v>6769</v>
      </c>
    </row>
    <row r="1097" spans="1:8" x14ac:dyDescent="0.25">
      <c r="A1097" t="s">
        <v>1146</v>
      </c>
      <c r="B1097">
        <f>VLOOKUP(A1097,art_category_path_name!A:B,2,FALSE)</f>
        <v>1029</v>
      </c>
      <c r="C1097" t="s">
        <v>6770</v>
      </c>
      <c r="D1097" t="s">
        <v>6771</v>
      </c>
      <c r="E1097" t="s">
        <v>6772</v>
      </c>
      <c r="F1097" t="s">
        <v>6773</v>
      </c>
      <c r="G1097" t="s">
        <v>6774</v>
      </c>
      <c r="H1097" t="s">
        <v>6775</v>
      </c>
    </row>
    <row r="1098" spans="1:8" x14ac:dyDescent="0.25">
      <c r="A1098" t="s">
        <v>1147</v>
      </c>
      <c r="B1098">
        <f>VLOOKUP(A1098,art_category_path_name!A:B,2,FALSE)</f>
        <v>1030</v>
      </c>
      <c r="C1098" t="s">
        <v>6776</v>
      </c>
      <c r="D1098" t="s">
        <v>6777</v>
      </c>
      <c r="E1098" t="s">
        <v>6778</v>
      </c>
      <c r="F1098" t="s">
        <v>6779</v>
      </c>
      <c r="G1098" t="s">
        <v>6780</v>
      </c>
      <c r="H1098" t="s">
        <v>6781</v>
      </c>
    </row>
    <row r="1099" spans="1:8" x14ac:dyDescent="0.25">
      <c r="A1099" t="s">
        <v>27</v>
      </c>
      <c r="B1099">
        <f>VLOOKUP(A1099,art_category_path_name!A:B,2,FALSE)</f>
        <v>1032</v>
      </c>
      <c r="C1099" t="s">
        <v>6782</v>
      </c>
      <c r="D1099" t="s">
        <v>6783</v>
      </c>
      <c r="F1099" t="s">
        <v>1834</v>
      </c>
      <c r="G1099" t="s">
        <v>6784</v>
      </c>
      <c r="H1099" t="s">
        <v>6785</v>
      </c>
    </row>
    <row r="1100" spans="1:8" x14ac:dyDescent="0.25">
      <c r="A1100" t="s">
        <v>28</v>
      </c>
      <c r="B1100">
        <f>VLOOKUP(A1100,art_category_path_name!A:B,2,FALSE)</f>
        <v>1033</v>
      </c>
      <c r="C1100" t="s">
        <v>6786</v>
      </c>
      <c r="D1100" t="s">
        <v>6787</v>
      </c>
      <c r="F1100" t="s">
        <v>1834</v>
      </c>
      <c r="G1100" t="s">
        <v>6788</v>
      </c>
      <c r="H1100" t="s">
        <v>6789</v>
      </c>
    </row>
    <row r="1101" spans="1:8" x14ac:dyDescent="0.25">
      <c r="A1101" t="s">
        <v>29</v>
      </c>
      <c r="B1101">
        <f>VLOOKUP(A1101,art_category_path_name!A:B,2,FALSE)</f>
        <v>1034</v>
      </c>
      <c r="C1101" t="s">
        <v>6790</v>
      </c>
      <c r="D1101" t="s">
        <v>6791</v>
      </c>
      <c r="F1101" t="s">
        <v>1834</v>
      </c>
      <c r="G1101" t="s">
        <v>6792</v>
      </c>
      <c r="H1101" t="s">
        <v>6793</v>
      </c>
    </row>
    <row r="1102" spans="1:8" x14ac:dyDescent="0.25">
      <c r="A1102" t="s">
        <v>30</v>
      </c>
      <c r="B1102">
        <f>VLOOKUP(A1102,art_category_path_name!A:B,2,FALSE)</f>
        <v>1035</v>
      </c>
      <c r="C1102" t="s">
        <v>6794</v>
      </c>
      <c r="D1102" t="s">
        <v>6795</v>
      </c>
      <c r="F1102" t="s">
        <v>1834</v>
      </c>
      <c r="G1102" t="s">
        <v>6796</v>
      </c>
      <c r="H1102" t="s">
        <v>6797</v>
      </c>
    </row>
    <row r="1103" spans="1:8" x14ac:dyDescent="0.25">
      <c r="A1103" t="s">
        <v>902</v>
      </c>
      <c r="B1103">
        <f>VLOOKUP(A1103,art_category_path_name!A:B,2,FALSE)</f>
        <v>1037</v>
      </c>
      <c r="C1103" t="s">
        <v>6798</v>
      </c>
      <c r="D1103" t="s">
        <v>6799</v>
      </c>
      <c r="E1103" t="s">
        <v>6800</v>
      </c>
      <c r="F1103" t="s">
        <v>6801</v>
      </c>
      <c r="G1103" t="s">
        <v>6802</v>
      </c>
      <c r="H1103" t="s">
        <v>6803</v>
      </c>
    </row>
    <row r="1104" spans="1:8" x14ac:dyDescent="0.25">
      <c r="A1104" t="s">
        <v>903</v>
      </c>
      <c r="B1104">
        <f>VLOOKUP(A1104,art_category_path_name!A:B,2,FALSE)</f>
        <v>1038</v>
      </c>
      <c r="C1104" t="s">
        <v>6804</v>
      </c>
      <c r="D1104" t="s">
        <v>6805</v>
      </c>
      <c r="E1104" t="s">
        <v>6806</v>
      </c>
      <c r="F1104" t="s">
        <v>6807</v>
      </c>
      <c r="G1104" t="s">
        <v>6808</v>
      </c>
      <c r="H1104" t="s">
        <v>6809</v>
      </c>
    </row>
    <row r="1105" spans="1:8" x14ac:dyDescent="0.25">
      <c r="A1105" t="s">
        <v>680</v>
      </c>
      <c r="B1105">
        <f>VLOOKUP(A1105,art_category_path_name!A:B,2,FALSE)</f>
        <v>1040</v>
      </c>
      <c r="C1105" t="s">
        <v>6810</v>
      </c>
      <c r="D1105" t="s">
        <v>6811</v>
      </c>
      <c r="E1105" t="s">
        <v>6812</v>
      </c>
      <c r="F1105" t="s">
        <v>6813</v>
      </c>
      <c r="G1105" t="s">
        <v>6814</v>
      </c>
      <c r="H1105" t="s">
        <v>6815</v>
      </c>
    </row>
    <row r="1106" spans="1:8" x14ac:dyDescent="0.25">
      <c r="A1106" t="s">
        <v>681</v>
      </c>
      <c r="B1106">
        <f>VLOOKUP(A1106,art_category_path_name!A:B,2,FALSE)</f>
        <v>1041</v>
      </c>
      <c r="C1106" t="s">
        <v>6816</v>
      </c>
      <c r="D1106" t="s">
        <v>6817</v>
      </c>
      <c r="E1106" t="s">
        <v>6818</v>
      </c>
      <c r="F1106" t="s">
        <v>6819</v>
      </c>
      <c r="G1106" t="s">
        <v>6820</v>
      </c>
      <c r="H1106" t="s">
        <v>6821</v>
      </c>
    </row>
    <row r="1107" spans="1:8" x14ac:dyDescent="0.25">
      <c r="A1107" t="s">
        <v>682</v>
      </c>
      <c r="B1107">
        <f>VLOOKUP(A1107,art_category_path_name!A:B,2,FALSE)</f>
        <v>1042</v>
      </c>
      <c r="C1107" t="s">
        <v>6822</v>
      </c>
      <c r="D1107" t="s">
        <v>6823</v>
      </c>
      <c r="E1107" t="s">
        <v>6824</v>
      </c>
      <c r="F1107" t="s">
        <v>6825</v>
      </c>
      <c r="G1107" t="s">
        <v>6826</v>
      </c>
      <c r="H1107" t="s">
        <v>6827</v>
      </c>
    </row>
    <row r="1108" spans="1:8" x14ac:dyDescent="0.25">
      <c r="A1108" t="s">
        <v>683</v>
      </c>
      <c r="B1108">
        <f>VLOOKUP(A1108,art_category_path_name!A:B,2,FALSE)</f>
        <v>1043</v>
      </c>
      <c r="C1108" t="s">
        <v>6828</v>
      </c>
      <c r="D1108" t="s">
        <v>6829</v>
      </c>
      <c r="E1108" t="s">
        <v>6830</v>
      </c>
      <c r="F1108" t="s">
        <v>6831</v>
      </c>
      <c r="G1108" t="s">
        <v>6832</v>
      </c>
      <c r="H1108" t="s">
        <v>6833</v>
      </c>
    </row>
    <row r="1109" spans="1:8" x14ac:dyDescent="0.25">
      <c r="A1109" t="s">
        <v>684</v>
      </c>
      <c r="B1109">
        <f>VLOOKUP(A1109,art_category_path_name!A:B,2,FALSE)</f>
        <v>1044</v>
      </c>
      <c r="C1109" t="s">
        <v>6834</v>
      </c>
      <c r="D1109" t="s">
        <v>6835</v>
      </c>
      <c r="E1109" t="s">
        <v>6836</v>
      </c>
      <c r="F1109" t="s">
        <v>6837</v>
      </c>
      <c r="G1109" t="s">
        <v>6838</v>
      </c>
      <c r="H1109" t="s">
        <v>6839</v>
      </c>
    </row>
    <row r="1110" spans="1:8" x14ac:dyDescent="0.25">
      <c r="A1110" t="s">
        <v>685</v>
      </c>
      <c r="B1110">
        <f>VLOOKUP(A1110,art_category_path_name!A:B,2,FALSE)</f>
        <v>1045</v>
      </c>
      <c r="C1110" t="s">
        <v>6840</v>
      </c>
      <c r="D1110" t="s">
        <v>6841</v>
      </c>
      <c r="E1110" t="s">
        <v>6842</v>
      </c>
      <c r="F1110" t="s">
        <v>6843</v>
      </c>
      <c r="G1110" t="s">
        <v>6814</v>
      </c>
      <c r="H1110" t="s">
        <v>6844</v>
      </c>
    </row>
    <row r="1111" spans="1:8" x14ac:dyDescent="0.25">
      <c r="A1111" t="s">
        <v>945</v>
      </c>
      <c r="B1111">
        <f>VLOOKUP(A1111,art_category_path_name!A:B,2,FALSE)</f>
        <v>1047</v>
      </c>
      <c r="C1111" t="s">
        <v>6845</v>
      </c>
      <c r="D1111" t="s">
        <v>6846</v>
      </c>
      <c r="E1111" t="s">
        <v>6847</v>
      </c>
      <c r="F1111" t="s">
        <v>6848</v>
      </c>
      <c r="G1111" t="s">
        <v>6849</v>
      </c>
      <c r="H1111" t="s">
        <v>6850</v>
      </c>
    </row>
    <row r="1112" spans="1:8" x14ac:dyDescent="0.25">
      <c r="A1112" t="s">
        <v>89</v>
      </c>
      <c r="B1112">
        <f>VLOOKUP(A1112,art_category_path_name!A:B,2,FALSE)</f>
        <v>1048</v>
      </c>
      <c r="C1112" t="s">
        <v>6851</v>
      </c>
      <c r="D1112" t="s">
        <v>6852</v>
      </c>
      <c r="E1112" t="s">
        <v>6853</v>
      </c>
      <c r="F1112" t="s">
        <v>6854</v>
      </c>
      <c r="G1112" t="s">
        <v>6855</v>
      </c>
      <c r="H1112" t="s">
        <v>6856</v>
      </c>
    </row>
    <row r="1113" spans="1:8" x14ac:dyDescent="0.25">
      <c r="A1113" t="s">
        <v>968</v>
      </c>
      <c r="B1113">
        <f>VLOOKUP(A1113,art_category_path_name!A:B,2,FALSE)</f>
        <v>1050</v>
      </c>
      <c r="C1113" t="s">
        <v>6857</v>
      </c>
      <c r="D1113" t="s">
        <v>6858</v>
      </c>
      <c r="E1113" t="s">
        <v>6859</v>
      </c>
      <c r="F1113" t="s">
        <v>6860</v>
      </c>
      <c r="G1113" t="s">
        <v>6861</v>
      </c>
      <c r="H1113" t="s">
        <v>6862</v>
      </c>
    </row>
    <row r="1114" spans="1:8" x14ac:dyDescent="0.25">
      <c r="A1114" t="s">
        <v>514</v>
      </c>
      <c r="B1114">
        <f>VLOOKUP(A1114,art_category_path_name!A:B,2,FALSE)</f>
        <v>1052</v>
      </c>
      <c r="C1114" t="s">
        <v>6863</v>
      </c>
      <c r="D1114" t="s">
        <v>6864</v>
      </c>
      <c r="F1114" t="s">
        <v>1834</v>
      </c>
      <c r="G1114" t="s">
        <v>6865</v>
      </c>
      <c r="H1114" t="s">
        <v>6866</v>
      </c>
    </row>
    <row r="1115" spans="1:8" x14ac:dyDescent="0.25">
      <c r="A1115" t="s">
        <v>515</v>
      </c>
      <c r="B1115">
        <f>VLOOKUP(A1115,art_category_path_name!A:B,2,FALSE)</f>
        <v>1053</v>
      </c>
      <c r="C1115" t="s">
        <v>6867</v>
      </c>
      <c r="D1115" t="s">
        <v>6868</v>
      </c>
      <c r="F1115" t="s">
        <v>1834</v>
      </c>
      <c r="G1115" t="s">
        <v>6869</v>
      </c>
      <c r="H1115" t="s">
        <v>6870</v>
      </c>
    </row>
    <row r="1116" spans="1:8" x14ac:dyDescent="0.25">
      <c r="A1116" t="s">
        <v>516</v>
      </c>
      <c r="B1116">
        <f>VLOOKUP(A1116,art_category_path_name!A:B,2,FALSE)</f>
        <v>1054</v>
      </c>
      <c r="C1116" t="s">
        <v>6871</v>
      </c>
      <c r="D1116" t="s">
        <v>6872</v>
      </c>
      <c r="F1116" t="s">
        <v>1834</v>
      </c>
      <c r="G1116" t="s">
        <v>6873</v>
      </c>
      <c r="H1116" t="s">
        <v>6874</v>
      </c>
    </row>
    <row r="1117" spans="1:8" x14ac:dyDescent="0.25">
      <c r="A1117" t="s">
        <v>517</v>
      </c>
      <c r="B1117">
        <f>VLOOKUP(A1117,art_category_path_name!A:B,2,FALSE)</f>
        <v>1055</v>
      </c>
      <c r="C1117" t="s">
        <v>6875</v>
      </c>
      <c r="D1117" t="s">
        <v>6876</v>
      </c>
      <c r="F1117" t="s">
        <v>1834</v>
      </c>
      <c r="G1117" t="s">
        <v>6877</v>
      </c>
      <c r="H1117" t="s">
        <v>6878</v>
      </c>
    </row>
    <row r="1118" spans="1:8" x14ac:dyDescent="0.25">
      <c r="A1118" t="s">
        <v>518</v>
      </c>
      <c r="B1118">
        <f>VLOOKUP(A1118,art_category_path_name!A:B,2,FALSE)</f>
        <v>1056</v>
      </c>
      <c r="C1118" t="s">
        <v>6879</v>
      </c>
      <c r="D1118" t="s">
        <v>6880</v>
      </c>
      <c r="F1118" t="s">
        <v>1834</v>
      </c>
      <c r="G1118" t="s">
        <v>6881</v>
      </c>
      <c r="H1118" t="s">
        <v>6882</v>
      </c>
    </row>
    <row r="1119" spans="1:8" x14ac:dyDescent="0.25">
      <c r="A1119" t="s">
        <v>519</v>
      </c>
      <c r="B1119">
        <f>VLOOKUP(A1119,art_category_path_name!A:B,2,FALSE)</f>
        <v>1057</v>
      </c>
      <c r="C1119" t="s">
        <v>6883</v>
      </c>
      <c r="D1119" t="s">
        <v>6884</v>
      </c>
      <c r="F1119" t="s">
        <v>1834</v>
      </c>
      <c r="G1119" t="s">
        <v>6885</v>
      </c>
      <c r="H1119" t="s">
        <v>6886</v>
      </c>
    </row>
    <row r="1120" spans="1:8" x14ac:dyDescent="0.25">
      <c r="A1120" t="s">
        <v>104</v>
      </c>
      <c r="B1120">
        <f>VLOOKUP(A1120,art_category_path_name!A:B,2,FALSE)</f>
        <v>1059</v>
      </c>
      <c r="C1120" t="s">
        <v>6887</v>
      </c>
      <c r="D1120" t="s">
        <v>6888</v>
      </c>
      <c r="F1120" t="s">
        <v>1834</v>
      </c>
      <c r="G1120" t="s">
        <v>6889</v>
      </c>
      <c r="H1120" t="s">
        <v>6890</v>
      </c>
    </row>
    <row r="1121" spans="1:8" x14ac:dyDescent="0.25">
      <c r="A1121" t="s">
        <v>105</v>
      </c>
      <c r="B1121">
        <f>VLOOKUP(A1121,art_category_path_name!A:B,2,FALSE)</f>
        <v>1060</v>
      </c>
      <c r="C1121" t="s">
        <v>6891</v>
      </c>
      <c r="D1121" t="s">
        <v>6892</v>
      </c>
      <c r="F1121" t="s">
        <v>1834</v>
      </c>
      <c r="G1121" t="s">
        <v>6889</v>
      </c>
      <c r="H1121" t="s">
        <v>6893</v>
      </c>
    </row>
    <row r="1122" spans="1:8" x14ac:dyDescent="0.25">
      <c r="A1122" t="s">
        <v>106</v>
      </c>
      <c r="B1122">
        <f>VLOOKUP(A1122,art_category_path_name!A:B,2,FALSE)</f>
        <v>1061</v>
      </c>
      <c r="C1122" t="s">
        <v>6894</v>
      </c>
      <c r="D1122" t="s">
        <v>6895</v>
      </c>
      <c r="F1122" t="s">
        <v>1834</v>
      </c>
      <c r="G1122" t="s">
        <v>6896</v>
      </c>
      <c r="H1122" t="s">
        <v>6897</v>
      </c>
    </row>
    <row r="1123" spans="1:8" x14ac:dyDescent="0.25">
      <c r="A1123" t="s">
        <v>262</v>
      </c>
      <c r="B1123">
        <f>VLOOKUP(A1123,art_category_path_name!A:B,2,FALSE)</f>
        <v>1063</v>
      </c>
      <c r="C1123" t="s">
        <v>6898</v>
      </c>
      <c r="D1123" t="s">
        <v>6899</v>
      </c>
      <c r="F1123" t="s">
        <v>1834</v>
      </c>
      <c r="G1123" t="s">
        <v>6900</v>
      </c>
      <c r="H1123" t="s">
        <v>6901</v>
      </c>
    </row>
    <row r="1124" spans="1:8" x14ac:dyDescent="0.25">
      <c r="A1124" t="s">
        <v>263</v>
      </c>
      <c r="B1124">
        <f>VLOOKUP(A1124,art_category_path_name!A:B,2,FALSE)</f>
        <v>1064</v>
      </c>
      <c r="C1124" t="s">
        <v>6902</v>
      </c>
      <c r="D1124" t="s">
        <v>6903</v>
      </c>
      <c r="F1124" t="s">
        <v>1834</v>
      </c>
      <c r="G1124" t="s">
        <v>6904</v>
      </c>
      <c r="H1124" t="s">
        <v>6905</v>
      </c>
    </row>
    <row r="1125" spans="1:8" x14ac:dyDescent="0.25">
      <c r="A1125" t="s">
        <v>264</v>
      </c>
      <c r="B1125">
        <f>VLOOKUP(A1125,art_category_path_name!A:B,2,FALSE)</f>
        <v>1065</v>
      </c>
      <c r="C1125" t="s">
        <v>6906</v>
      </c>
      <c r="D1125" t="s">
        <v>6907</v>
      </c>
      <c r="F1125" t="s">
        <v>1834</v>
      </c>
      <c r="G1125" t="s">
        <v>6908</v>
      </c>
      <c r="H1125" t="s">
        <v>6909</v>
      </c>
    </row>
    <row r="1126" spans="1:8" x14ac:dyDescent="0.25">
      <c r="A1126" t="s">
        <v>265</v>
      </c>
      <c r="B1126">
        <f>VLOOKUP(A1126,art_category_path_name!A:B,2,FALSE)</f>
        <v>1066</v>
      </c>
      <c r="C1126" t="s">
        <v>6910</v>
      </c>
      <c r="D1126" t="s">
        <v>6911</v>
      </c>
      <c r="F1126" t="s">
        <v>1834</v>
      </c>
      <c r="G1126" t="s">
        <v>3987</v>
      </c>
      <c r="H1126" t="s">
        <v>6912</v>
      </c>
    </row>
    <row r="1127" spans="1:8" x14ac:dyDescent="0.25">
      <c r="A1127" t="s">
        <v>266</v>
      </c>
      <c r="B1127">
        <f>VLOOKUP(A1127,art_category_path_name!A:B,2,FALSE)</f>
        <v>1067</v>
      </c>
      <c r="C1127" t="s">
        <v>6913</v>
      </c>
      <c r="D1127" t="s">
        <v>6914</v>
      </c>
      <c r="F1127" t="s">
        <v>1834</v>
      </c>
      <c r="G1127" t="s">
        <v>4009</v>
      </c>
      <c r="H1127" t="s">
        <v>6915</v>
      </c>
    </row>
    <row r="1128" spans="1:8" x14ac:dyDescent="0.25">
      <c r="A1128" t="s">
        <v>267</v>
      </c>
      <c r="B1128">
        <f>VLOOKUP(A1128,art_category_path_name!A:B,2,FALSE)</f>
        <v>1068</v>
      </c>
      <c r="C1128" t="s">
        <v>6916</v>
      </c>
      <c r="D1128" t="s">
        <v>6917</v>
      </c>
      <c r="F1128" t="s">
        <v>1834</v>
      </c>
      <c r="G1128" t="s">
        <v>6918</v>
      </c>
      <c r="H1128" t="s">
        <v>6919</v>
      </c>
    </row>
    <row r="1129" spans="1:8" x14ac:dyDescent="0.25">
      <c r="A1129" t="s">
        <v>268</v>
      </c>
      <c r="B1129">
        <f>VLOOKUP(A1129,art_category_path_name!A:B,2,FALSE)</f>
        <v>1069</v>
      </c>
      <c r="C1129" t="s">
        <v>6920</v>
      </c>
      <c r="D1129" t="s">
        <v>6921</v>
      </c>
      <c r="F1129" t="s">
        <v>1834</v>
      </c>
      <c r="G1129" t="s">
        <v>6922</v>
      </c>
      <c r="H1129" t="s">
        <v>6923</v>
      </c>
    </row>
    <row r="1130" spans="1:8" x14ac:dyDescent="0.25">
      <c r="A1130" t="s">
        <v>269</v>
      </c>
      <c r="B1130">
        <f>VLOOKUP(A1130,art_category_path_name!A:B,2,FALSE)</f>
        <v>1070</v>
      </c>
      <c r="C1130" t="s">
        <v>6924</v>
      </c>
      <c r="D1130" t="s">
        <v>6925</v>
      </c>
      <c r="F1130" t="s">
        <v>1834</v>
      </c>
      <c r="G1130" t="s">
        <v>6926</v>
      </c>
      <c r="H1130" t="s">
        <v>6927</v>
      </c>
    </row>
    <row r="1131" spans="1:8" x14ac:dyDescent="0.25">
      <c r="A1131" t="s">
        <v>270</v>
      </c>
      <c r="B1131">
        <f>VLOOKUP(A1131,art_category_path_name!A:B,2,FALSE)</f>
        <v>1071</v>
      </c>
      <c r="C1131" t="s">
        <v>6928</v>
      </c>
      <c r="D1131" t="s">
        <v>6929</v>
      </c>
      <c r="F1131" t="s">
        <v>1834</v>
      </c>
      <c r="G1131" t="s">
        <v>6930</v>
      </c>
      <c r="H1131" t="s">
        <v>6931</v>
      </c>
    </row>
    <row r="1132" spans="1:8" x14ac:dyDescent="0.25">
      <c r="A1132" t="s">
        <v>271</v>
      </c>
      <c r="B1132">
        <f>VLOOKUP(A1132,art_category_path_name!A:B,2,FALSE)</f>
        <v>1072</v>
      </c>
      <c r="C1132" t="s">
        <v>6932</v>
      </c>
      <c r="D1132" t="s">
        <v>6933</v>
      </c>
      <c r="F1132" t="s">
        <v>1834</v>
      </c>
      <c r="G1132" t="s">
        <v>6934</v>
      </c>
      <c r="H1132" t="s">
        <v>6935</v>
      </c>
    </row>
    <row r="1133" spans="1:8" x14ac:dyDescent="0.25">
      <c r="A1133" t="s">
        <v>272</v>
      </c>
      <c r="B1133">
        <f>VLOOKUP(A1133,art_category_path_name!A:B,2,FALSE)</f>
        <v>1073</v>
      </c>
      <c r="C1133" t="s">
        <v>6936</v>
      </c>
      <c r="D1133" t="s">
        <v>6937</v>
      </c>
      <c r="F1133" t="s">
        <v>1834</v>
      </c>
      <c r="G1133" t="s">
        <v>6938</v>
      </c>
      <c r="H1133" t="s">
        <v>6939</v>
      </c>
    </row>
    <row r="1134" spans="1:8" x14ac:dyDescent="0.25">
      <c r="A1134" t="s">
        <v>273</v>
      </c>
      <c r="B1134">
        <f>VLOOKUP(A1134,art_category_path_name!A:B,2,FALSE)</f>
        <v>1074</v>
      </c>
      <c r="C1134" t="s">
        <v>6940</v>
      </c>
      <c r="D1134" t="s">
        <v>6941</v>
      </c>
      <c r="F1134" t="s">
        <v>1834</v>
      </c>
      <c r="G1134" t="s">
        <v>4009</v>
      </c>
      <c r="H1134" t="s">
        <v>6942</v>
      </c>
    </row>
    <row r="1135" spans="1:8" x14ac:dyDescent="0.25">
      <c r="A1135" t="s">
        <v>275</v>
      </c>
      <c r="B1135">
        <f>VLOOKUP(A1135,art_category_path_name!A:B,2,FALSE)</f>
        <v>1076</v>
      </c>
      <c r="C1135" t="s">
        <v>6943</v>
      </c>
      <c r="D1135" t="s">
        <v>6944</v>
      </c>
      <c r="F1135" t="s">
        <v>1834</v>
      </c>
      <c r="G1135" t="s">
        <v>6945</v>
      </c>
      <c r="H1135" t="s">
        <v>6946</v>
      </c>
    </row>
    <row r="1136" spans="1:8" x14ac:dyDescent="0.25">
      <c r="A1136" t="s">
        <v>276</v>
      </c>
      <c r="B1136">
        <f>VLOOKUP(A1136,art_category_path_name!A:B,2,FALSE)</f>
        <v>1077</v>
      </c>
      <c r="C1136" t="s">
        <v>6947</v>
      </c>
      <c r="D1136" t="s">
        <v>6948</v>
      </c>
      <c r="F1136" t="s">
        <v>1834</v>
      </c>
      <c r="G1136" t="s">
        <v>6949</v>
      </c>
      <c r="H1136" t="s">
        <v>6950</v>
      </c>
    </row>
    <row r="1137" spans="1:8" x14ac:dyDescent="0.25">
      <c r="A1137" t="s">
        <v>1149</v>
      </c>
      <c r="B1137">
        <f>VLOOKUP(A1137,art_category_path_name!A:B,2,FALSE)</f>
        <v>1079</v>
      </c>
      <c r="C1137" t="s">
        <v>6951</v>
      </c>
      <c r="D1137" t="s">
        <v>6952</v>
      </c>
      <c r="F1137" t="s">
        <v>1834</v>
      </c>
      <c r="G1137" t="s">
        <v>6953</v>
      </c>
      <c r="H1137" t="s">
        <v>6954</v>
      </c>
    </row>
    <row r="1138" spans="1:8" x14ac:dyDescent="0.25">
      <c r="A1138" t="s">
        <v>1150</v>
      </c>
      <c r="B1138">
        <f>VLOOKUP(A1138,art_category_path_name!A:B,2,FALSE)</f>
        <v>1080</v>
      </c>
      <c r="C1138" t="s">
        <v>6955</v>
      </c>
      <c r="D1138" t="s">
        <v>6956</v>
      </c>
      <c r="F1138" t="s">
        <v>1834</v>
      </c>
      <c r="G1138" t="s">
        <v>6957</v>
      </c>
      <c r="H1138" t="s">
        <v>6958</v>
      </c>
    </row>
    <row r="1139" spans="1:8" x14ac:dyDescent="0.25">
      <c r="A1139" t="s">
        <v>1151</v>
      </c>
      <c r="B1139">
        <f>VLOOKUP(A1139,art_category_path_name!A:B,2,FALSE)</f>
        <v>1081</v>
      </c>
      <c r="C1139" t="s">
        <v>6959</v>
      </c>
      <c r="D1139" t="s">
        <v>6960</v>
      </c>
      <c r="F1139" t="s">
        <v>1834</v>
      </c>
      <c r="G1139" t="s">
        <v>6961</v>
      </c>
      <c r="H1139" t="s">
        <v>6962</v>
      </c>
    </row>
    <row r="1140" spans="1:8" x14ac:dyDescent="0.25">
      <c r="A1140" t="s">
        <v>1152</v>
      </c>
      <c r="B1140">
        <f>VLOOKUP(A1140,art_category_path_name!A:B,2,FALSE)</f>
        <v>1082</v>
      </c>
      <c r="C1140" t="s">
        <v>6963</v>
      </c>
      <c r="D1140" t="s">
        <v>6964</v>
      </c>
      <c r="F1140" t="s">
        <v>1834</v>
      </c>
      <c r="G1140" t="s">
        <v>6965</v>
      </c>
      <c r="H1140" t="s">
        <v>6966</v>
      </c>
    </row>
    <row r="1141" spans="1:8" x14ac:dyDescent="0.25">
      <c r="A1141" t="s">
        <v>1153</v>
      </c>
      <c r="B1141">
        <f>VLOOKUP(A1141,art_category_path_name!A:B,2,FALSE)</f>
        <v>1083</v>
      </c>
      <c r="C1141" t="s">
        <v>6967</v>
      </c>
      <c r="D1141" t="s">
        <v>6968</v>
      </c>
      <c r="F1141" t="s">
        <v>1834</v>
      </c>
      <c r="G1141" t="s">
        <v>6969</v>
      </c>
      <c r="H1141" t="s">
        <v>6970</v>
      </c>
    </row>
    <row r="1142" spans="1:8" x14ac:dyDescent="0.25">
      <c r="A1142" t="s">
        <v>1154</v>
      </c>
      <c r="B1142">
        <f>VLOOKUP(A1142,art_category_path_name!A:B,2,FALSE)</f>
        <v>1084</v>
      </c>
      <c r="C1142" t="s">
        <v>6971</v>
      </c>
      <c r="D1142" t="s">
        <v>6972</v>
      </c>
      <c r="F1142" t="s">
        <v>1834</v>
      </c>
      <c r="G1142" t="s">
        <v>6973</v>
      </c>
      <c r="H1142" t="s">
        <v>6974</v>
      </c>
    </row>
    <row r="1143" spans="1:8" x14ac:dyDescent="0.25">
      <c r="A1143" t="s">
        <v>1155</v>
      </c>
      <c r="B1143">
        <f>VLOOKUP(A1143,art_category_path_name!A:B,2,FALSE)</f>
        <v>1085</v>
      </c>
      <c r="C1143" t="s">
        <v>6975</v>
      </c>
      <c r="D1143" t="s">
        <v>6976</v>
      </c>
      <c r="F1143" t="s">
        <v>1834</v>
      </c>
      <c r="G1143" t="s">
        <v>6977</v>
      </c>
      <c r="H1143" t="s">
        <v>6978</v>
      </c>
    </row>
    <row r="1144" spans="1:8" x14ac:dyDescent="0.25">
      <c r="A1144" t="s">
        <v>1156</v>
      </c>
      <c r="B1144">
        <f>VLOOKUP(A1144,art_category_path_name!A:B,2,FALSE)</f>
        <v>1086</v>
      </c>
      <c r="C1144" t="s">
        <v>6979</v>
      </c>
      <c r="D1144" t="s">
        <v>6980</v>
      </c>
      <c r="F1144" t="s">
        <v>1834</v>
      </c>
      <c r="G1144" t="s">
        <v>6981</v>
      </c>
      <c r="H1144" t="s">
        <v>6982</v>
      </c>
    </row>
    <row r="1145" spans="1:8" x14ac:dyDescent="0.25">
      <c r="A1145" t="s">
        <v>1157</v>
      </c>
      <c r="B1145">
        <f>VLOOKUP(A1145,art_category_path_name!A:B,2,FALSE)</f>
        <v>1087</v>
      </c>
      <c r="C1145" t="s">
        <v>6983</v>
      </c>
      <c r="D1145" t="s">
        <v>6984</v>
      </c>
      <c r="E1145" t="s">
        <v>6985</v>
      </c>
      <c r="F1145" t="s">
        <v>6986</v>
      </c>
      <c r="G1145" t="s">
        <v>6987</v>
      </c>
      <c r="H1145" t="s">
        <v>6988</v>
      </c>
    </row>
    <row r="1146" spans="1:8" x14ac:dyDescent="0.25">
      <c r="A1146" t="s">
        <v>1158</v>
      </c>
      <c r="B1146">
        <f>VLOOKUP(A1146,art_category_path_name!A:B,2,FALSE)</f>
        <v>1088</v>
      </c>
      <c r="C1146" t="s">
        <v>6989</v>
      </c>
      <c r="D1146" t="s">
        <v>6990</v>
      </c>
      <c r="E1146" t="s">
        <v>6991</v>
      </c>
      <c r="F1146" t="s">
        <v>6992</v>
      </c>
      <c r="G1146" t="s">
        <v>6993</v>
      </c>
      <c r="H1146" t="s">
        <v>6994</v>
      </c>
    </row>
    <row r="1147" spans="1:8" x14ac:dyDescent="0.25">
      <c r="A1147" t="s">
        <v>1159</v>
      </c>
      <c r="B1147">
        <f>VLOOKUP(A1147,art_category_path_name!A:B,2,FALSE)</f>
        <v>1089</v>
      </c>
      <c r="C1147" t="s">
        <v>6995</v>
      </c>
      <c r="D1147" t="s">
        <v>6996</v>
      </c>
      <c r="F1147" t="s">
        <v>1834</v>
      </c>
      <c r="G1147" t="s">
        <v>6997</v>
      </c>
      <c r="H1147" t="s">
        <v>6998</v>
      </c>
    </row>
    <row r="1148" spans="1:8" x14ac:dyDescent="0.25">
      <c r="A1148" t="s">
        <v>1160</v>
      </c>
      <c r="B1148">
        <f>VLOOKUP(A1148,art_category_path_name!A:B,2,FALSE)</f>
        <v>1090</v>
      </c>
      <c r="C1148" t="s">
        <v>6999</v>
      </c>
      <c r="D1148" t="s">
        <v>7000</v>
      </c>
      <c r="E1148" t="s">
        <v>7001</v>
      </c>
      <c r="F1148" t="s">
        <v>7002</v>
      </c>
      <c r="G1148" t="s">
        <v>7003</v>
      </c>
      <c r="H1148" t="s">
        <v>7004</v>
      </c>
    </row>
    <row r="1149" spans="1:8" x14ac:dyDescent="0.25">
      <c r="A1149" t="s">
        <v>1161</v>
      </c>
      <c r="B1149">
        <f>VLOOKUP(A1149,art_category_path_name!A:B,2,FALSE)</f>
        <v>1091</v>
      </c>
      <c r="C1149" t="s">
        <v>7005</v>
      </c>
      <c r="D1149" t="s">
        <v>7006</v>
      </c>
      <c r="F1149" t="s">
        <v>1834</v>
      </c>
      <c r="G1149" t="s">
        <v>7007</v>
      </c>
      <c r="H1149" t="s">
        <v>7008</v>
      </c>
    </row>
    <row r="1150" spans="1:8" x14ac:dyDescent="0.25">
      <c r="A1150" t="s">
        <v>1162</v>
      </c>
      <c r="B1150">
        <f>VLOOKUP(A1150,art_category_path_name!A:B,2,FALSE)</f>
        <v>1092</v>
      </c>
      <c r="C1150" t="s">
        <v>7009</v>
      </c>
      <c r="D1150" t="s">
        <v>7010</v>
      </c>
      <c r="F1150" t="s">
        <v>1834</v>
      </c>
      <c r="G1150" t="s">
        <v>7011</v>
      </c>
      <c r="H1150" t="s">
        <v>7012</v>
      </c>
    </row>
    <row r="1151" spans="1:8" x14ac:dyDescent="0.25">
      <c r="A1151" t="s">
        <v>1163</v>
      </c>
      <c r="B1151">
        <f>VLOOKUP(A1151,art_category_path_name!A:B,2,FALSE)</f>
        <v>1093</v>
      </c>
      <c r="C1151" t="s">
        <v>7013</v>
      </c>
      <c r="D1151" t="s">
        <v>7014</v>
      </c>
      <c r="E1151" t="s">
        <v>7015</v>
      </c>
      <c r="F1151" t="s">
        <v>7016</v>
      </c>
      <c r="G1151" t="s">
        <v>7017</v>
      </c>
      <c r="H1151" t="s">
        <v>7018</v>
      </c>
    </row>
    <row r="1152" spans="1:8" x14ac:dyDescent="0.25">
      <c r="A1152" t="s">
        <v>1164</v>
      </c>
      <c r="B1152">
        <f>VLOOKUP(A1152,art_category_path_name!A:B,2,FALSE)</f>
        <v>1094</v>
      </c>
      <c r="C1152" t="s">
        <v>7019</v>
      </c>
      <c r="D1152" t="s">
        <v>7020</v>
      </c>
      <c r="F1152" t="s">
        <v>1834</v>
      </c>
      <c r="G1152" t="s">
        <v>7021</v>
      </c>
      <c r="H1152" t="s">
        <v>7022</v>
      </c>
    </row>
    <row r="1153" spans="1:8" x14ac:dyDescent="0.25">
      <c r="A1153" t="s">
        <v>1165</v>
      </c>
      <c r="B1153">
        <f>VLOOKUP(A1153,art_category_path_name!A:B,2,FALSE)</f>
        <v>1095</v>
      </c>
      <c r="C1153" t="s">
        <v>7023</v>
      </c>
      <c r="D1153" t="s">
        <v>7024</v>
      </c>
      <c r="F1153" t="s">
        <v>1834</v>
      </c>
      <c r="G1153" t="s">
        <v>7025</v>
      </c>
      <c r="H1153" t="s">
        <v>7026</v>
      </c>
    </row>
    <row r="1154" spans="1:8" x14ac:dyDescent="0.25">
      <c r="A1154" t="s">
        <v>1166</v>
      </c>
      <c r="B1154">
        <f>VLOOKUP(A1154,art_category_path_name!A:B,2,FALSE)</f>
        <v>1096</v>
      </c>
      <c r="C1154" t="s">
        <v>7027</v>
      </c>
      <c r="D1154" t="s">
        <v>7028</v>
      </c>
      <c r="F1154" t="s">
        <v>1834</v>
      </c>
      <c r="G1154" t="s">
        <v>7029</v>
      </c>
      <c r="H1154" t="s">
        <v>7030</v>
      </c>
    </row>
    <row r="1155" spans="1:8" x14ac:dyDescent="0.25">
      <c r="A1155" t="s">
        <v>32</v>
      </c>
      <c r="B1155">
        <f>VLOOKUP(A1155,art_category_path_name!A:B,2,FALSE)</f>
        <v>1098</v>
      </c>
      <c r="C1155" t="s">
        <v>7031</v>
      </c>
      <c r="D1155" t="s">
        <v>7032</v>
      </c>
      <c r="E1155" t="s">
        <v>7033</v>
      </c>
      <c r="F1155" t="s">
        <v>7034</v>
      </c>
      <c r="G1155" t="s">
        <v>7035</v>
      </c>
      <c r="H1155" t="s">
        <v>7036</v>
      </c>
    </row>
    <row r="1156" spans="1:8" x14ac:dyDescent="0.25">
      <c r="A1156" t="s">
        <v>33</v>
      </c>
      <c r="B1156">
        <f>VLOOKUP(A1156,art_category_path_name!A:B,2,FALSE)</f>
        <v>1099</v>
      </c>
      <c r="C1156" t="s">
        <v>7037</v>
      </c>
      <c r="D1156" t="s">
        <v>7038</v>
      </c>
      <c r="E1156" t="s">
        <v>7039</v>
      </c>
      <c r="F1156" t="s">
        <v>7040</v>
      </c>
      <c r="G1156" t="s">
        <v>7041</v>
      </c>
      <c r="H1156" t="s">
        <v>7042</v>
      </c>
    </row>
    <row r="1157" spans="1:8" x14ac:dyDescent="0.25">
      <c r="A1157" t="s">
        <v>34</v>
      </c>
      <c r="B1157">
        <f>VLOOKUP(A1157,art_category_path_name!A:B,2,FALSE)</f>
        <v>1100</v>
      </c>
      <c r="C1157" t="s">
        <v>7043</v>
      </c>
      <c r="D1157" t="s">
        <v>7044</v>
      </c>
      <c r="E1157" t="s">
        <v>7033</v>
      </c>
      <c r="F1157" t="s">
        <v>7045</v>
      </c>
      <c r="G1157" t="s">
        <v>7046</v>
      </c>
      <c r="H1157" t="s">
        <v>7047</v>
      </c>
    </row>
    <row r="1158" spans="1:8" x14ac:dyDescent="0.25">
      <c r="A1158" t="s">
        <v>35</v>
      </c>
      <c r="B1158">
        <f>VLOOKUP(A1158,art_category_path_name!A:B,2,FALSE)</f>
        <v>1101</v>
      </c>
      <c r="C1158" t="s">
        <v>7048</v>
      </c>
      <c r="D1158" t="s">
        <v>7049</v>
      </c>
      <c r="E1158" t="s">
        <v>7050</v>
      </c>
      <c r="F1158">
        <v>2</v>
      </c>
      <c r="G1158" t="s">
        <v>7051</v>
      </c>
      <c r="H1158" t="s">
        <v>7052</v>
      </c>
    </row>
    <row r="1159" spans="1:8" x14ac:dyDescent="0.25">
      <c r="A1159" t="s">
        <v>1283</v>
      </c>
      <c r="B1159">
        <f>VLOOKUP(A1159,art_category_path_name!A:B,2,FALSE)</f>
        <v>1103</v>
      </c>
      <c r="C1159" t="s">
        <v>7053</v>
      </c>
      <c r="D1159" t="s">
        <v>7054</v>
      </c>
      <c r="E1159" t="s">
        <v>7055</v>
      </c>
      <c r="F1159" t="s">
        <v>7056</v>
      </c>
      <c r="G1159" t="s">
        <v>7057</v>
      </c>
      <c r="H1159" t="s">
        <v>7058</v>
      </c>
    </row>
    <row r="1160" spans="1:8" x14ac:dyDescent="0.25">
      <c r="A1160" t="s">
        <v>1284</v>
      </c>
      <c r="B1160">
        <f>VLOOKUP(A1160,art_category_path_name!A:B,2,FALSE)</f>
        <v>1104</v>
      </c>
      <c r="C1160" t="s">
        <v>7059</v>
      </c>
      <c r="D1160" t="s">
        <v>7060</v>
      </c>
      <c r="E1160" t="s">
        <v>7061</v>
      </c>
      <c r="F1160" t="s">
        <v>7062</v>
      </c>
      <c r="G1160" t="s">
        <v>7063</v>
      </c>
      <c r="H1160" t="s">
        <v>7064</v>
      </c>
    </row>
    <row r="1161" spans="1:8" x14ac:dyDescent="0.25">
      <c r="A1161" t="s">
        <v>1285</v>
      </c>
      <c r="B1161">
        <f>VLOOKUP(A1161,art_category_path_name!A:B,2,FALSE)</f>
        <v>1105</v>
      </c>
      <c r="C1161" t="s">
        <v>7065</v>
      </c>
      <c r="D1161" t="s">
        <v>7066</v>
      </c>
      <c r="E1161" t="s">
        <v>7067</v>
      </c>
      <c r="F1161" t="s">
        <v>7068</v>
      </c>
      <c r="G1161" t="s">
        <v>7069</v>
      </c>
      <c r="H1161" t="s">
        <v>7070</v>
      </c>
    </row>
    <row r="1162" spans="1:8" x14ac:dyDescent="0.25">
      <c r="A1162" t="s">
        <v>1286</v>
      </c>
      <c r="B1162">
        <f>VLOOKUP(A1162,art_category_path_name!A:B,2,FALSE)</f>
        <v>1106</v>
      </c>
      <c r="C1162" t="s">
        <v>7071</v>
      </c>
      <c r="D1162" t="s">
        <v>7072</v>
      </c>
      <c r="E1162" t="s">
        <v>7073</v>
      </c>
      <c r="F1162" t="s">
        <v>7074</v>
      </c>
      <c r="G1162" t="s">
        <v>7075</v>
      </c>
      <c r="H1162" t="s">
        <v>7076</v>
      </c>
    </row>
    <row r="1163" spans="1:8" x14ac:dyDescent="0.25">
      <c r="A1163" t="s">
        <v>1287</v>
      </c>
      <c r="B1163">
        <f>VLOOKUP(A1163,art_category_path_name!A:B,2,FALSE)</f>
        <v>1107</v>
      </c>
      <c r="C1163" t="s">
        <v>7077</v>
      </c>
      <c r="D1163" t="s">
        <v>7078</v>
      </c>
      <c r="E1163" t="s">
        <v>7079</v>
      </c>
      <c r="F1163">
        <v>38</v>
      </c>
      <c r="G1163" t="s">
        <v>7080</v>
      </c>
      <c r="H1163" t="s">
        <v>7081</v>
      </c>
    </row>
    <row r="1164" spans="1:8" x14ac:dyDescent="0.25">
      <c r="A1164" t="s">
        <v>1288</v>
      </c>
      <c r="B1164">
        <f>VLOOKUP(A1164,art_category_path_name!A:B,2,FALSE)</f>
        <v>1108</v>
      </c>
      <c r="C1164" t="s">
        <v>7082</v>
      </c>
      <c r="D1164" t="s">
        <v>7083</v>
      </c>
      <c r="E1164" t="s">
        <v>7084</v>
      </c>
      <c r="F1164" t="s">
        <v>7085</v>
      </c>
      <c r="G1164" t="s">
        <v>7086</v>
      </c>
      <c r="H1164" t="s">
        <v>7087</v>
      </c>
    </row>
    <row r="1165" spans="1:8" x14ac:dyDescent="0.25">
      <c r="A1165" t="s">
        <v>90</v>
      </c>
      <c r="B1165">
        <f>VLOOKUP(A1165,art_category_path_name!A:B,2,FALSE)</f>
        <v>1109</v>
      </c>
      <c r="C1165" t="s">
        <v>7088</v>
      </c>
      <c r="D1165" t="s">
        <v>7089</v>
      </c>
      <c r="F1165" t="s">
        <v>1834</v>
      </c>
      <c r="G1165" t="s">
        <v>7090</v>
      </c>
      <c r="H1165" t="s">
        <v>7091</v>
      </c>
    </row>
    <row r="1166" spans="1:8" x14ac:dyDescent="0.25">
      <c r="A1166" t="s">
        <v>91</v>
      </c>
      <c r="B1166">
        <f>VLOOKUP(A1166,art_category_path_name!A:B,2,FALSE)</f>
        <v>1110</v>
      </c>
      <c r="C1166" t="s">
        <v>7092</v>
      </c>
      <c r="D1166" t="s">
        <v>7093</v>
      </c>
      <c r="F1166" t="s">
        <v>1834</v>
      </c>
      <c r="G1166" t="s">
        <v>7094</v>
      </c>
      <c r="H1166" t="s">
        <v>7095</v>
      </c>
    </row>
    <row r="1167" spans="1:8" x14ac:dyDescent="0.25">
      <c r="A1167" t="s">
        <v>92</v>
      </c>
      <c r="B1167">
        <f>VLOOKUP(A1167,art_category_path_name!A:B,2,FALSE)</f>
        <v>1111</v>
      </c>
      <c r="C1167" t="s">
        <v>7096</v>
      </c>
      <c r="D1167" t="s">
        <v>7097</v>
      </c>
      <c r="E1167" t="s">
        <v>7098</v>
      </c>
      <c r="F1167" t="s">
        <v>7099</v>
      </c>
      <c r="G1167" t="s">
        <v>7100</v>
      </c>
      <c r="H1167" t="s">
        <v>7101</v>
      </c>
    </row>
    <row r="1168" spans="1:8" x14ac:dyDescent="0.25">
      <c r="A1168" t="s">
        <v>93</v>
      </c>
      <c r="B1168">
        <f>VLOOKUP(A1168,art_category_path_name!A:B,2,FALSE)</f>
        <v>1112</v>
      </c>
      <c r="C1168" t="s">
        <v>7102</v>
      </c>
      <c r="D1168" t="s">
        <v>7103</v>
      </c>
      <c r="E1168" t="s">
        <v>7104</v>
      </c>
      <c r="F1168" t="s">
        <v>7105</v>
      </c>
      <c r="G1168" t="s">
        <v>7106</v>
      </c>
      <c r="H1168" t="s">
        <v>7107</v>
      </c>
    </row>
    <row r="1169" spans="1:8" x14ac:dyDescent="0.25">
      <c r="A1169" t="s">
        <v>94</v>
      </c>
      <c r="B1169">
        <f>VLOOKUP(A1169,art_category_path_name!A:B,2,FALSE)</f>
        <v>1113</v>
      </c>
      <c r="C1169" t="s">
        <v>7108</v>
      </c>
      <c r="D1169" t="s">
        <v>7109</v>
      </c>
      <c r="E1169" t="s">
        <v>7110</v>
      </c>
      <c r="F1169" t="s">
        <v>7111</v>
      </c>
      <c r="G1169" t="s">
        <v>7112</v>
      </c>
      <c r="H1169" t="s">
        <v>7113</v>
      </c>
    </row>
    <row r="1170" spans="1:8" x14ac:dyDescent="0.25">
      <c r="A1170" t="s">
        <v>95</v>
      </c>
      <c r="B1170">
        <f>VLOOKUP(A1170,art_category_path_name!A:B,2,FALSE)</f>
        <v>1114</v>
      </c>
      <c r="C1170" t="s">
        <v>7114</v>
      </c>
      <c r="D1170" t="s">
        <v>7115</v>
      </c>
      <c r="F1170" t="s">
        <v>1834</v>
      </c>
      <c r="G1170" t="s">
        <v>7116</v>
      </c>
      <c r="H1170" t="s">
        <v>7117</v>
      </c>
    </row>
    <row r="1171" spans="1:8" x14ac:dyDescent="0.25">
      <c r="A1171" t="s">
        <v>640</v>
      </c>
      <c r="B1171">
        <f>VLOOKUP(A1171,art_category_path_name!A:B,2,FALSE)</f>
        <v>1116</v>
      </c>
      <c r="C1171" t="s">
        <v>7118</v>
      </c>
      <c r="D1171" t="s">
        <v>7119</v>
      </c>
      <c r="E1171" t="s">
        <v>7120</v>
      </c>
      <c r="F1171" t="s">
        <v>7121</v>
      </c>
      <c r="G1171" t="s">
        <v>7122</v>
      </c>
      <c r="H1171" t="s">
        <v>7123</v>
      </c>
    </row>
    <row r="1172" spans="1:8" x14ac:dyDescent="0.25">
      <c r="A1172" t="s">
        <v>1086</v>
      </c>
      <c r="B1172">
        <f>VLOOKUP(A1172,art_category_path_name!A:B,2,FALSE)</f>
        <v>1118</v>
      </c>
      <c r="C1172" t="s">
        <v>7124</v>
      </c>
      <c r="D1172" t="s">
        <v>7125</v>
      </c>
      <c r="F1172" t="s">
        <v>1834</v>
      </c>
      <c r="G1172" t="s">
        <v>7126</v>
      </c>
      <c r="H1172" t="s">
        <v>7127</v>
      </c>
    </row>
    <row r="1173" spans="1:8" x14ac:dyDescent="0.25">
      <c r="A1173" t="s">
        <v>1087</v>
      </c>
      <c r="B1173">
        <f>VLOOKUP(A1173,art_category_path_name!A:B,2,FALSE)</f>
        <v>1119</v>
      </c>
      <c r="C1173" t="s">
        <v>7128</v>
      </c>
      <c r="D1173" t="s">
        <v>7129</v>
      </c>
      <c r="F1173" t="s">
        <v>1834</v>
      </c>
      <c r="G1173" t="s">
        <v>7130</v>
      </c>
      <c r="H1173" t="s">
        <v>7131</v>
      </c>
    </row>
    <row r="1174" spans="1:8" x14ac:dyDescent="0.25">
      <c r="A1174" t="s">
        <v>1088</v>
      </c>
      <c r="B1174">
        <f>VLOOKUP(A1174,art_category_path_name!A:B,2,FALSE)</f>
        <v>1120</v>
      </c>
      <c r="C1174" t="s">
        <v>7132</v>
      </c>
      <c r="D1174" t="s">
        <v>7133</v>
      </c>
      <c r="F1174" t="s">
        <v>1834</v>
      </c>
      <c r="G1174" t="s">
        <v>7134</v>
      </c>
      <c r="H1174" t="s">
        <v>7135</v>
      </c>
    </row>
    <row r="1175" spans="1:8" x14ac:dyDescent="0.25">
      <c r="A1175" t="s">
        <v>1089</v>
      </c>
      <c r="B1175">
        <f>VLOOKUP(A1175,art_category_path_name!A:B,2,FALSE)</f>
        <v>1121</v>
      </c>
      <c r="C1175" t="s">
        <v>7136</v>
      </c>
      <c r="D1175" t="s">
        <v>7137</v>
      </c>
      <c r="F1175" t="s">
        <v>1834</v>
      </c>
      <c r="G1175" t="s">
        <v>7138</v>
      </c>
      <c r="H1175" t="s">
        <v>7139</v>
      </c>
    </row>
    <row r="1176" spans="1:8" x14ac:dyDescent="0.25">
      <c r="A1176" t="s">
        <v>1090</v>
      </c>
      <c r="B1176">
        <f>VLOOKUP(A1176,art_category_path_name!A:B,2,FALSE)</f>
        <v>1122</v>
      </c>
      <c r="C1176" t="s">
        <v>7140</v>
      </c>
      <c r="D1176" t="s">
        <v>7141</v>
      </c>
      <c r="F1176" t="s">
        <v>1834</v>
      </c>
      <c r="G1176" t="s">
        <v>7142</v>
      </c>
      <c r="H1176" t="s">
        <v>7143</v>
      </c>
    </row>
    <row r="1177" spans="1:8" x14ac:dyDescent="0.25">
      <c r="A1177" t="s">
        <v>1091</v>
      </c>
      <c r="B1177">
        <f>VLOOKUP(A1177,art_category_path_name!A:B,2,FALSE)</f>
        <v>1123</v>
      </c>
      <c r="C1177" t="s">
        <v>7144</v>
      </c>
      <c r="D1177" t="s">
        <v>7145</v>
      </c>
      <c r="F1177" t="s">
        <v>1834</v>
      </c>
      <c r="G1177" t="s">
        <v>7146</v>
      </c>
      <c r="H1177" t="s">
        <v>7147</v>
      </c>
    </row>
    <row r="1178" spans="1:8" x14ac:dyDescent="0.25">
      <c r="A1178" t="s">
        <v>1092</v>
      </c>
      <c r="B1178">
        <f>VLOOKUP(A1178,art_category_path_name!A:B,2,FALSE)</f>
        <v>1124</v>
      </c>
      <c r="C1178" t="s">
        <v>7148</v>
      </c>
      <c r="D1178" t="s">
        <v>7149</v>
      </c>
      <c r="E1178" t="s">
        <v>7150</v>
      </c>
      <c r="F1178" t="s">
        <v>7149</v>
      </c>
      <c r="G1178" t="s">
        <v>7151</v>
      </c>
      <c r="H1178" t="s">
        <v>7152</v>
      </c>
    </row>
    <row r="1179" spans="1:8" x14ac:dyDescent="0.25">
      <c r="A1179" t="s">
        <v>1093</v>
      </c>
      <c r="B1179">
        <f>VLOOKUP(A1179,art_category_path_name!A:B,2,FALSE)</f>
        <v>1125</v>
      </c>
      <c r="C1179" t="s">
        <v>7153</v>
      </c>
      <c r="D1179" t="s">
        <v>7154</v>
      </c>
      <c r="E1179" t="s">
        <v>7155</v>
      </c>
      <c r="F1179" t="s">
        <v>7154</v>
      </c>
      <c r="G1179" t="s">
        <v>7156</v>
      </c>
      <c r="H1179" t="s">
        <v>7157</v>
      </c>
    </row>
    <row r="1180" spans="1:8" x14ac:dyDescent="0.25">
      <c r="A1180" t="s">
        <v>1094</v>
      </c>
      <c r="B1180">
        <f>VLOOKUP(A1180,art_category_path_name!A:B,2,FALSE)</f>
        <v>1126</v>
      </c>
      <c r="C1180" t="s">
        <v>7158</v>
      </c>
      <c r="D1180" t="s">
        <v>7159</v>
      </c>
      <c r="F1180" t="s">
        <v>1834</v>
      </c>
      <c r="G1180" t="s">
        <v>7160</v>
      </c>
      <c r="H1180" t="s">
        <v>7161</v>
      </c>
    </row>
    <row r="1181" spans="1:8" x14ac:dyDescent="0.25">
      <c r="A1181" t="s">
        <v>1012</v>
      </c>
      <c r="B1181">
        <f>VLOOKUP(A1181,art_category_path_name!A:B,2,FALSE)</f>
        <v>1128</v>
      </c>
      <c r="C1181" t="s">
        <v>7162</v>
      </c>
      <c r="D1181" t="s">
        <v>7163</v>
      </c>
      <c r="F1181" t="s">
        <v>1834</v>
      </c>
      <c r="G1181" t="s">
        <v>7164</v>
      </c>
      <c r="H1181" t="s">
        <v>7165</v>
      </c>
    </row>
    <row r="1182" spans="1:8" x14ac:dyDescent="0.25">
      <c r="A1182" t="s">
        <v>1013</v>
      </c>
      <c r="B1182">
        <f>VLOOKUP(A1182,art_category_path_name!A:B,2,FALSE)</f>
        <v>1129</v>
      </c>
      <c r="C1182" t="s">
        <v>7166</v>
      </c>
      <c r="D1182" t="s">
        <v>7167</v>
      </c>
      <c r="F1182" t="s">
        <v>1834</v>
      </c>
      <c r="G1182" t="s">
        <v>7168</v>
      </c>
      <c r="H1182" t="s">
        <v>7169</v>
      </c>
    </row>
    <row r="1183" spans="1:8" x14ac:dyDescent="0.25">
      <c r="A1183" t="s">
        <v>316</v>
      </c>
      <c r="B1183">
        <f>VLOOKUP(A1183,art_category_path_name!A:B,2,FALSE)</f>
        <v>1131</v>
      </c>
      <c r="C1183" t="s">
        <v>7170</v>
      </c>
      <c r="D1183" t="s">
        <v>7171</v>
      </c>
      <c r="E1183" t="s">
        <v>7172</v>
      </c>
      <c r="F1183" t="s">
        <v>7173</v>
      </c>
      <c r="G1183" t="s">
        <v>7174</v>
      </c>
      <c r="H1183" t="s">
        <v>7175</v>
      </c>
    </row>
    <row r="1184" spans="1:8" x14ac:dyDescent="0.25">
      <c r="A1184" t="s">
        <v>317</v>
      </c>
      <c r="B1184">
        <f>VLOOKUP(A1184,art_category_path_name!A:B,2,FALSE)</f>
        <v>1132</v>
      </c>
      <c r="C1184" t="s">
        <v>7176</v>
      </c>
      <c r="D1184" t="s">
        <v>7177</v>
      </c>
      <c r="E1184" t="s">
        <v>2282</v>
      </c>
      <c r="F1184" t="s">
        <v>7178</v>
      </c>
      <c r="G1184" t="s">
        <v>7179</v>
      </c>
      <c r="H1184" t="s">
        <v>7180</v>
      </c>
    </row>
    <row r="1185" spans="1:8" x14ac:dyDescent="0.25">
      <c r="A1185" t="s">
        <v>1168</v>
      </c>
      <c r="B1185">
        <f>VLOOKUP(A1185,art_category_path_name!A:B,2,FALSE)</f>
        <v>1134</v>
      </c>
      <c r="C1185" t="s">
        <v>7181</v>
      </c>
      <c r="D1185" t="s">
        <v>7182</v>
      </c>
      <c r="F1185" t="s">
        <v>1834</v>
      </c>
      <c r="G1185" t="s">
        <v>7183</v>
      </c>
      <c r="H1185" t="s">
        <v>7184</v>
      </c>
    </row>
    <row r="1186" spans="1:8" x14ac:dyDescent="0.25">
      <c r="A1186" t="s">
        <v>1169</v>
      </c>
      <c r="B1186">
        <f>VLOOKUP(A1186,art_category_path_name!A:B,2,FALSE)</f>
        <v>1135</v>
      </c>
      <c r="C1186" t="s">
        <v>7185</v>
      </c>
      <c r="D1186" t="s">
        <v>7186</v>
      </c>
      <c r="F1186" t="s">
        <v>1834</v>
      </c>
      <c r="G1186" t="s">
        <v>7187</v>
      </c>
      <c r="H1186" t="s">
        <v>7188</v>
      </c>
    </row>
    <row r="1187" spans="1:8" x14ac:dyDescent="0.25">
      <c r="A1187" t="s">
        <v>1170</v>
      </c>
      <c r="B1187">
        <f>VLOOKUP(A1187,art_category_path_name!A:B,2,FALSE)</f>
        <v>1136</v>
      </c>
      <c r="C1187" t="s">
        <v>7189</v>
      </c>
      <c r="D1187" t="s">
        <v>7190</v>
      </c>
      <c r="F1187" t="s">
        <v>1834</v>
      </c>
      <c r="G1187" t="s">
        <v>7191</v>
      </c>
      <c r="H1187" t="s">
        <v>7192</v>
      </c>
    </row>
    <row r="1188" spans="1:8" x14ac:dyDescent="0.25">
      <c r="A1188" t="s">
        <v>762</v>
      </c>
      <c r="B1188">
        <f>VLOOKUP(A1188,art_category_path_name!A:B,2,FALSE)</f>
        <v>1138</v>
      </c>
      <c r="C1188" t="s">
        <v>7193</v>
      </c>
      <c r="D1188" t="s">
        <v>7194</v>
      </c>
      <c r="E1188" t="s">
        <v>7195</v>
      </c>
      <c r="F1188" t="s">
        <v>7196</v>
      </c>
      <c r="G1188" t="s">
        <v>7197</v>
      </c>
      <c r="H1188" t="s">
        <v>7198</v>
      </c>
    </row>
    <row r="1189" spans="1:8" x14ac:dyDescent="0.25">
      <c r="A1189" t="s">
        <v>763</v>
      </c>
      <c r="B1189">
        <f>VLOOKUP(A1189,art_category_path_name!A:B,2,FALSE)</f>
        <v>1139</v>
      </c>
      <c r="C1189" t="s">
        <v>7199</v>
      </c>
      <c r="D1189" t="s">
        <v>7200</v>
      </c>
      <c r="E1189" t="s">
        <v>7201</v>
      </c>
      <c r="F1189" t="s">
        <v>7202</v>
      </c>
      <c r="G1189" t="s">
        <v>7203</v>
      </c>
      <c r="H1189" t="s">
        <v>7204</v>
      </c>
    </row>
    <row r="1190" spans="1:8" x14ac:dyDescent="0.25">
      <c r="A1190" t="s">
        <v>764</v>
      </c>
      <c r="B1190">
        <f>VLOOKUP(A1190,art_category_path_name!A:B,2,FALSE)</f>
        <v>1140</v>
      </c>
      <c r="C1190" t="s">
        <v>7205</v>
      </c>
      <c r="D1190" t="s">
        <v>7206</v>
      </c>
      <c r="E1190" t="s">
        <v>7207</v>
      </c>
      <c r="F1190" t="s">
        <v>7208</v>
      </c>
      <c r="G1190" t="s">
        <v>7209</v>
      </c>
      <c r="H1190" t="s">
        <v>7210</v>
      </c>
    </row>
    <row r="1191" spans="1:8" x14ac:dyDescent="0.25">
      <c r="A1191" t="s">
        <v>765</v>
      </c>
      <c r="B1191">
        <f>VLOOKUP(A1191,art_category_path_name!A:B,2,FALSE)</f>
        <v>1141</v>
      </c>
      <c r="C1191" t="s">
        <v>7211</v>
      </c>
      <c r="D1191" t="s">
        <v>7212</v>
      </c>
      <c r="E1191" t="s">
        <v>7213</v>
      </c>
      <c r="F1191" t="s">
        <v>7214</v>
      </c>
      <c r="G1191" t="s">
        <v>7215</v>
      </c>
      <c r="H1191" t="s">
        <v>7216</v>
      </c>
    </row>
    <row r="1192" spans="1:8" x14ac:dyDescent="0.25">
      <c r="A1192" t="s">
        <v>766</v>
      </c>
      <c r="B1192">
        <f>VLOOKUP(A1192,art_category_path_name!A:B,2,FALSE)</f>
        <v>1142</v>
      </c>
      <c r="C1192" t="s">
        <v>7217</v>
      </c>
      <c r="D1192" t="s">
        <v>7218</v>
      </c>
      <c r="F1192" t="s">
        <v>1834</v>
      </c>
      <c r="G1192" t="s">
        <v>7219</v>
      </c>
      <c r="H1192" t="s">
        <v>7220</v>
      </c>
    </row>
    <row r="1193" spans="1:8" x14ac:dyDescent="0.25">
      <c r="A1193" t="s">
        <v>767</v>
      </c>
      <c r="B1193">
        <f>VLOOKUP(A1193,art_category_path_name!A:B,2,FALSE)</f>
        <v>1143</v>
      </c>
      <c r="C1193" t="s">
        <v>7221</v>
      </c>
      <c r="D1193" t="s">
        <v>7222</v>
      </c>
      <c r="F1193" t="s">
        <v>1834</v>
      </c>
      <c r="G1193" t="s">
        <v>7223</v>
      </c>
      <c r="H1193" t="s">
        <v>7224</v>
      </c>
    </row>
    <row r="1194" spans="1:8" x14ac:dyDescent="0.25">
      <c r="A1194" t="s">
        <v>439</v>
      </c>
      <c r="B1194">
        <f>VLOOKUP(A1194,art_category_path_name!A:B,2,FALSE)</f>
        <v>1145</v>
      </c>
      <c r="C1194" t="s">
        <v>7225</v>
      </c>
      <c r="D1194" t="s">
        <v>7226</v>
      </c>
      <c r="E1194" t="s">
        <v>7227</v>
      </c>
      <c r="F1194" t="s">
        <v>7228</v>
      </c>
      <c r="G1194" t="s">
        <v>7229</v>
      </c>
      <c r="H1194" t="s">
        <v>7230</v>
      </c>
    </row>
    <row r="1195" spans="1:8" x14ac:dyDescent="0.25">
      <c r="A1195" t="s">
        <v>440</v>
      </c>
      <c r="B1195">
        <f>VLOOKUP(A1195,art_category_path_name!A:B,2,FALSE)</f>
        <v>1146</v>
      </c>
      <c r="C1195" t="s">
        <v>7231</v>
      </c>
      <c r="D1195" t="s">
        <v>7232</v>
      </c>
      <c r="E1195" t="s">
        <v>7233</v>
      </c>
      <c r="F1195" t="s">
        <v>7234</v>
      </c>
      <c r="G1195" t="s">
        <v>7235</v>
      </c>
      <c r="H1195" t="s">
        <v>7236</v>
      </c>
    </row>
    <row r="1196" spans="1:8" x14ac:dyDescent="0.25">
      <c r="A1196" t="s">
        <v>441</v>
      </c>
      <c r="B1196">
        <f>VLOOKUP(A1196,art_category_path_name!A:B,2,FALSE)</f>
        <v>1147</v>
      </c>
      <c r="C1196" t="s">
        <v>7237</v>
      </c>
      <c r="D1196" t="s">
        <v>7238</v>
      </c>
      <c r="E1196" t="s">
        <v>7239</v>
      </c>
      <c r="F1196" t="s">
        <v>7240</v>
      </c>
      <c r="G1196" t="s">
        <v>7241</v>
      </c>
      <c r="H1196" t="s">
        <v>7242</v>
      </c>
    </row>
    <row r="1197" spans="1:8" x14ac:dyDescent="0.25">
      <c r="A1197" t="s">
        <v>442</v>
      </c>
      <c r="B1197">
        <f>VLOOKUP(A1197,art_category_path_name!A:B,2,FALSE)</f>
        <v>1148</v>
      </c>
      <c r="C1197" t="s">
        <v>7243</v>
      </c>
      <c r="D1197" t="s">
        <v>7244</v>
      </c>
      <c r="E1197" t="s">
        <v>7245</v>
      </c>
      <c r="F1197" t="s">
        <v>7246</v>
      </c>
      <c r="G1197" t="s">
        <v>7247</v>
      </c>
      <c r="H1197" t="s">
        <v>7248</v>
      </c>
    </row>
    <row r="1198" spans="1:8" x14ac:dyDescent="0.25">
      <c r="A1198" t="s">
        <v>851</v>
      </c>
      <c r="B1198">
        <f>VLOOKUP(A1198,art_category_path_name!A:B,2,FALSE)</f>
        <v>1150</v>
      </c>
      <c r="C1198" t="s">
        <v>7249</v>
      </c>
      <c r="D1198" t="s">
        <v>7250</v>
      </c>
      <c r="F1198" t="s">
        <v>1834</v>
      </c>
      <c r="G1198" t="s">
        <v>7251</v>
      </c>
      <c r="H1198" t="s">
        <v>7252</v>
      </c>
    </row>
    <row r="1199" spans="1:8" x14ac:dyDescent="0.25">
      <c r="A1199" t="s">
        <v>852</v>
      </c>
      <c r="B1199">
        <f>VLOOKUP(A1199,art_category_path_name!A:B,2,FALSE)</f>
        <v>1151</v>
      </c>
      <c r="C1199" t="s">
        <v>7253</v>
      </c>
      <c r="D1199" t="s">
        <v>7254</v>
      </c>
      <c r="E1199" t="s">
        <v>7255</v>
      </c>
      <c r="F1199" t="s">
        <v>7256</v>
      </c>
      <c r="G1199" t="s">
        <v>7257</v>
      </c>
      <c r="H1199" t="s">
        <v>7258</v>
      </c>
    </row>
    <row r="1200" spans="1:8" x14ac:dyDescent="0.25">
      <c r="A1200" t="s">
        <v>853</v>
      </c>
      <c r="B1200">
        <f>VLOOKUP(A1200,art_category_path_name!A:B,2,FALSE)</f>
        <v>1152</v>
      </c>
      <c r="C1200" t="s">
        <v>7259</v>
      </c>
      <c r="D1200" t="s">
        <v>7260</v>
      </c>
      <c r="E1200" t="s">
        <v>7261</v>
      </c>
      <c r="F1200" t="s">
        <v>7262</v>
      </c>
      <c r="G1200" t="s">
        <v>7263</v>
      </c>
      <c r="H1200" t="s">
        <v>7264</v>
      </c>
    </row>
    <row r="1201" spans="1:8" x14ac:dyDescent="0.25">
      <c r="A1201" t="s">
        <v>854</v>
      </c>
      <c r="B1201">
        <f>VLOOKUP(A1201,art_category_path_name!A:B,2,FALSE)</f>
        <v>1153</v>
      </c>
      <c r="C1201" t="s">
        <v>7265</v>
      </c>
      <c r="D1201" t="s">
        <v>7266</v>
      </c>
      <c r="E1201" t="s">
        <v>7261</v>
      </c>
      <c r="F1201" t="s">
        <v>7267</v>
      </c>
      <c r="G1201" t="s">
        <v>7268</v>
      </c>
      <c r="H1201" t="s">
        <v>7269</v>
      </c>
    </row>
    <row r="1202" spans="1:8" x14ac:dyDescent="0.25">
      <c r="A1202" t="s">
        <v>855</v>
      </c>
      <c r="B1202">
        <f>VLOOKUP(A1202,art_category_path_name!A:B,2,FALSE)</f>
        <v>1154</v>
      </c>
      <c r="C1202" t="s">
        <v>7270</v>
      </c>
      <c r="D1202" t="s">
        <v>7271</v>
      </c>
      <c r="E1202" t="s">
        <v>7272</v>
      </c>
      <c r="F1202" t="s">
        <v>7273</v>
      </c>
      <c r="G1202" t="s">
        <v>7274</v>
      </c>
      <c r="H1202" t="s">
        <v>7275</v>
      </c>
    </row>
    <row r="1203" spans="1:8" x14ac:dyDescent="0.25">
      <c r="A1203" t="s">
        <v>856</v>
      </c>
      <c r="B1203">
        <f>VLOOKUP(A1203,art_category_path_name!A:B,2,FALSE)</f>
        <v>1155</v>
      </c>
      <c r="C1203" t="s">
        <v>7276</v>
      </c>
      <c r="D1203" t="s">
        <v>7277</v>
      </c>
      <c r="E1203" t="s">
        <v>7278</v>
      </c>
      <c r="F1203" t="s">
        <v>7279</v>
      </c>
      <c r="G1203" t="s">
        <v>7280</v>
      </c>
      <c r="H1203" t="s">
        <v>7281</v>
      </c>
    </row>
    <row r="1204" spans="1:8" x14ac:dyDescent="0.25">
      <c r="A1204" t="s">
        <v>857</v>
      </c>
      <c r="B1204">
        <f>VLOOKUP(A1204,art_category_path_name!A:B,2,FALSE)</f>
        <v>1156</v>
      </c>
      <c r="C1204" t="s">
        <v>7282</v>
      </c>
      <c r="D1204" t="s">
        <v>7283</v>
      </c>
      <c r="E1204" t="s">
        <v>7284</v>
      </c>
      <c r="F1204" t="s">
        <v>7285</v>
      </c>
      <c r="G1204" t="s">
        <v>7286</v>
      </c>
      <c r="H1204" t="s">
        <v>7287</v>
      </c>
    </row>
    <row r="1205" spans="1:8" x14ac:dyDescent="0.25">
      <c r="A1205" t="s">
        <v>108</v>
      </c>
      <c r="B1205">
        <f>VLOOKUP(A1205,art_category_path_name!A:B,2,FALSE)</f>
        <v>1158</v>
      </c>
      <c r="C1205" t="s">
        <v>7288</v>
      </c>
      <c r="D1205" t="s">
        <v>7289</v>
      </c>
      <c r="F1205" t="s">
        <v>1834</v>
      </c>
      <c r="G1205" t="s">
        <v>7290</v>
      </c>
      <c r="H1205" t="s">
        <v>7291</v>
      </c>
    </row>
    <row r="1206" spans="1:8" x14ac:dyDescent="0.25">
      <c r="A1206" t="s">
        <v>109</v>
      </c>
      <c r="B1206">
        <f>VLOOKUP(A1206,art_category_path_name!A:B,2,FALSE)</f>
        <v>1159</v>
      </c>
      <c r="C1206" t="s">
        <v>7292</v>
      </c>
      <c r="D1206" t="s">
        <v>7293</v>
      </c>
      <c r="E1206" t="s">
        <v>7294</v>
      </c>
      <c r="F1206" t="s">
        <v>7295</v>
      </c>
      <c r="G1206" t="s">
        <v>7296</v>
      </c>
      <c r="H1206" t="s">
        <v>7297</v>
      </c>
    </row>
    <row r="1207" spans="1:8" x14ac:dyDescent="0.25">
      <c r="A1207" t="s">
        <v>110</v>
      </c>
      <c r="B1207">
        <f>VLOOKUP(A1207,art_category_path_name!A:B,2,FALSE)</f>
        <v>1160</v>
      </c>
      <c r="C1207" t="s">
        <v>7298</v>
      </c>
      <c r="D1207" t="s">
        <v>7299</v>
      </c>
      <c r="E1207" t="s">
        <v>7300</v>
      </c>
      <c r="F1207" t="s">
        <v>7301</v>
      </c>
      <c r="G1207" t="s">
        <v>7302</v>
      </c>
      <c r="H1207" t="s">
        <v>7303</v>
      </c>
    </row>
    <row r="1208" spans="1:8" x14ac:dyDescent="0.25">
      <c r="A1208" t="s">
        <v>112</v>
      </c>
      <c r="B1208">
        <f>VLOOKUP(A1208,art_category_path_name!A:B,2,FALSE)</f>
        <v>1162</v>
      </c>
      <c r="C1208" t="s">
        <v>7304</v>
      </c>
      <c r="D1208" t="s">
        <v>7305</v>
      </c>
      <c r="F1208" t="s">
        <v>1834</v>
      </c>
      <c r="G1208" t="s">
        <v>7306</v>
      </c>
      <c r="H1208" t="s">
        <v>7307</v>
      </c>
    </row>
    <row r="1209" spans="1:8" x14ac:dyDescent="0.25">
      <c r="A1209" t="s">
        <v>113</v>
      </c>
      <c r="B1209">
        <f>VLOOKUP(A1209,art_category_path_name!A:B,2,FALSE)</f>
        <v>1163</v>
      </c>
      <c r="C1209" t="s">
        <v>7308</v>
      </c>
      <c r="D1209" t="s">
        <v>7309</v>
      </c>
      <c r="E1209" t="s">
        <v>7310</v>
      </c>
      <c r="F1209" t="s">
        <v>7311</v>
      </c>
      <c r="G1209" t="s">
        <v>7312</v>
      </c>
      <c r="H1209" t="s">
        <v>7313</v>
      </c>
    </row>
    <row r="1210" spans="1:8" x14ac:dyDescent="0.25">
      <c r="A1210" t="s">
        <v>114</v>
      </c>
      <c r="B1210">
        <f>VLOOKUP(A1210,art_category_path_name!A:B,2,FALSE)</f>
        <v>1164</v>
      </c>
      <c r="C1210" t="s">
        <v>7314</v>
      </c>
      <c r="D1210" t="s">
        <v>7315</v>
      </c>
      <c r="E1210" t="s">
        <v>7316</v>
      </c>
      <c r="F1210" t="s">
        <v>7317</v>
      </c>
      <c r="G1210" t="s">
        <v>7318</v>
      </c>
      <c r="H1210" t="s">
        <v>7319</v>
      </c>
    </row>
    <row r="1211" spans="1:8" x14ac:dyDescent="0.25">
      <c r="A1211" t="s">
        <v>115</v>
      </c>
      <c r="B1211">
        <f>VLOOKUP(A1211,art_category_path_name!A:B,2,FALSE)</f>
        <v>1165</v>
      </c>
      <c r="C1211" t="s">
        <v>7320</v>
      </c>
      <c r="D1211" t="s">
        <v>7321</v>
      </c>
      <c r="E1211" t="s">
        <v>7322</v>
      </c>
      <c r="F1211" t="s">
        <v>7323</v>
      </c>
      <c r="G1211" t="s">
        <v>7324</v>
      </c>
      <c r="H1211" t="s">
        <v>7325</v>
      </c>
    </row>
    <row r="1212" spans="1:8" x14ac:dyDescent="0.25">
      <c r="A1212" t="s">
        <v>116</v>
      </c>
      <c r="B1212">
        <f>VLOOKUP(A1212,art_category_path_name!A:B,2,FALSE)</f>
        <v>1166</v>
      </c>
      <c r="C1212" t="s">
        <v>7326</v>
      </c>
      <c r="D1212" t="s">
        <v>7327</v>
      </c>
      <c r="E1212" t="s">
        <v>7328</v>
      </c>
      <c r="F1212" t="s">
        <v>7329</v>
      </c>
      <c r="G1212" t="s">
        <v>7330</v>
      </c>
      <c r="H1212" t="s">
        <v>7331</v>
      </c>
    </row>
    <row r="1213" spans="1:8" x14ac:dyDescent="0.25">
      <c r="A1213" t="s">
        <v>117</v>
      </c>
      <c r="B1213">
        <f>VLOOKUP(A1213,art_category_path_name!A:B,2,FALSE)</f>
        <v>1167</v>
      </c>
      <c r="C1213" t="s">
        <v>7332</v>
      </c>
      <c r="D1213" t="s">
        <v>7333</v>
      </c>
      <c r="E1213" t="s">
        <v>7334</v>
      </c>
      <c r="F1213" t="s">
        <v>7335</v>
      </c>
      <c r="G1213" t="s">
        <v>7336</v>
      </c>
      <c r="H1213" t="s">
        <v>7337</v>
      </c>
    </row>
    <row r="1214" spans="1:8" x14ac:dyDescent="0.25">
      <c r="A1214" t="s">
        <v>118</v>
      </c>
      <c r="B1214">
        <f>VLOOKUP(A1214,art_category_path_name!A:B,2,FALSE)</f>
        <v>1168</v>
      </c>
      <c r="C1214" t="s">
        <v>7338</v>
      </c>
      <c r="D1214" t="s">
        <v>7339</v>
      </c>
      <c r="E1214" t="s">
        <v>7340</v>
      </c>
      <c r="F1214" t="s">
        <v>7341</v>
      </c>
      <c r="G1214" t="s">
        <v>7342</v>
      </c>
      <c r="H1214" t="s">
        <v>7343</v>
      </c>
    </row>
    <row r="1215" spans="1:8" x14ac:dyDescent="0.25">
      <c r="A1215" t="s">
        <v>119</v>
      </c>
      <c r="B1215">
        <f>VLOOKUP(A1215,art_category_path_name!A:B,2,FALSE)</f>
        <v>1169</v>
      </c>
      <c r="C1215" t="s">
        <v>7344</v>
      </c>
      <c r="D1215" t="s">
        <v>7345</v>
      </c>
      <c r="E1215" t="s">
        <v>7346</v>
      </c>
      <c r="F1215" t="s">
        <v>7347</v>
      </c>
      <c r="G1215" t="s">
        <v>7348</v>
      </c>
      <c r="H1215" t="s">
        <v>7349</v>
      </c>
    </row>
    <row r="1216" spans="1:8" x14ac:dyDescent="0.25">
      <c r="A1216" t="s">
        <v>120</v>
      </c>
      <c r="B1216">
        <f>VLOOKUP(A1216,art_category_path_name!A:B,2,FALSE)</f>
        <v>1170</v>
      </c>
      <c r="C1216" t="s">
        <v>7350</v>
      </c>
      <c r="D1216" t="s">
        <v>7351</v>
      </c>
      <c r="E1216" t="s">
        <v>7352</v>
      </c>
      <c r="F1216" t="s">
        <v>7353</v>
      </c>
      <c r="G1216" t="s">
        <v>7348</v>
      </c>
      <c r="H1216" t="s">
        <v>7354</v>
      </c>
    </row>
    <row r="1217" spans="1:8" x14ac:dyDescent="0.25">
      <c r="A1217" t="s">
        <v>121</v>
      </c>
      <c r="B1217">
        <f>VLOOKUP(A1217,art_category_path_name!A:B,2,FALSE)</f>
        <v>1171</v>
      </c>
      <c r="C1217" t="s">
        <v>7355</v>
      </c>
      <c r="D1217" t="s">
        <v>7339</v>
      </c>
      <c r="E1217" t="s">
        <v>7340</v>
      </c>
      <c r="F1217" t="s">
        <v>7356</v>
      </c>
      <c r="G1217" t="s">
        <v>7357</v>
      </c>
      <c r="H1217" t="s">
        <v>7358</v>
      </c>
    </row>
    <row r="1218" spans="1:8" x14ac:dyDescent="0.25">
      <c r="A1218" t="s">
        <v>122</v>
      </c>
      <c r="B1218">
        <f>VLOOKUP(A1218,art_category_path_name!A:B,2,FALSE)</f>
        <v>1172</v>
      </c>
      <c r="C1218" t="s">
        <v>7359</v>
      </c>
      <c r="D1218" t="s">
        <v>7360</v>
      </c>
      <c r="F1218" t="s">
        <v>1834</v>
      </c>
      <c r="G1218" t="s">
        <v>7361</v>
      </c>
      <c r="H1218" t="s">
        <v>7362</v>
      </c>
    </row>
    <row r="1219" spans="1:8" x14ac:dyDescent="0.25">
      <c r="A1219" t="s">
        <v>124</v>
      </c>
      <c r="B1219">
        <f>VLOOKUP(A1219,art_category_path_name!A:B,2,FALSE)</f>
        <v>1174</v>
      </c>
      <c r="C1219" t="s">
        <v>7363</v>
      </c>
      <c r="D1219" t="s">
        <v>7364</v>
      </c>
      <c r="E1219" t="s">
        <v>7365</v>
      </c>
      <c r="F1219" t="s">
        <v>7366</v>
      </c>
      <c r="G1219" t="s">
        <v>7367</v>
      </c>
      <c r="H1219" t="s">
        <v>7368</v>
      </c>
    </row>
    <row r="1220" spans="1:8" x14ac:dyDescent="0.25">
      <c r="A1220" t="s">
        <v>125</v>
      </c>
      <c r="B1220">
        <f>VLOOKUP(A1220,art_category_path_name!A:B,2,FALSE)</f>
        <v>1175</v>
      </c>
      <c r="C1220" t="s">
        <v>7369</v>
      </c>
      <c r="D1220" t="s">
        <v>7370</v>
      </c>
      <c r="E1220" t="s">
        <v>7371</v>
      </c>
      <c r="F1220" t="s">
        <v>7372</v>
      </c>
      <c r="G1220" t="s">
        <v>7373</v>
      </c>
      <c r="H1220" t="s">
        <v>7374</v>
      </c>
    </row>
    <row r="1221" spans="1:8" x14ac:dyDescent="0.25">
      <c r="A1221" t="s">
        <v>947</v>
      </c>
      <c r="B1221">
        <f>VLOOKUP(A1221,art_category_path_name!A:B,2,FALSE)</f>
        <v>1177</v>
      </c>
      <c r="C1221" t="s">
        <v>7375</v>
      </c>
      <c r="D1221" t="s">
        <v>7376</v>
      </c>
      <c r="E1221" t="s">
        <v>7377</v>
      </c>
      <c r="F1221" t="s">
        <v>7378</v>
      </c>
      <c r="G1221" t="s">
        <v>7379</v>
      </c>
      <c r="H1221" t="s">
        <v>7380</v>
      </c>
    </row>
    <row r="1222" spans="1:8" x14ac:dyDescent="0.25">
      <c r="A1222" t="s">
        <v>948</v>
      </c>
      <c r="B1222">
        <f>VLOOKUP(A1222,art_category_path_name!A:B,2,FALSE)</f>
        <v>1178</v>
      </c>
      <c r="C1222" t="s">
        <v>7381</v>
      </c>
      <c r="D1222" t="s">
        <v>7382</v>
      </c>
      <c r="E1222" t="s">
        <v>7383</v>
      </c>
      <c r="F1222" t="s">
        <v>7384</v>
      </c>
      <c r="G1222" t="s">
        <v>7385</v>
      </c>
      <c r="H1222" t="s">
        <v>7386</v>
      </c>
    </row>
    <row r="1223" spans="1:8" x14ac:dyDescent="0.25">
      <c r="A1223" t="s">
        <v>96</v>
      </c>
      <c r="B1223">
        <f>VLOOKUP(A1223,art_category_path_name!A:B,2,FALSE)</f>
        <v>1179</v>
      </c>
      <c r="C1223" t="s">
        <v>7387</v>
      </c>
      <c r="D1223" t="s">
        <v>7388</v>
      </c>
      <c r="E1223" t="s">
        <v>7389</v>
      </c>
      <c r="F1223" t="s">
        <v>7390</v>
      </c>
      <c r="G1223" t="s">
        <v>7391</v>
      </c>
      <c r="H1223" t="s">
        <v>7392</v>
      </c>
    </row>
    <row r="1224" spans="1:8" x14ac:dyDescent="0.25">
      <c r="A1224" t="s">
        <v>37</v>
      </c>
      <c r="B1224">
        <f>VLOOKUP(A1224,art_category_path_name!A:B,2,FALSE)</f>
        <v>1181</v>
      </c>
      <c r="C1224" t="s">
        <v>7393</v>
      </c>
      <c r="D1224" t="s">
        <v>7394</v>
      </c>
      <c r="E1224" t="s">
        <v>7395</v>
      </c>
      <c r="F1224" t="s">
        <v>7396</v>
      </c>
      <c r="G1224" t="s">
        <v>7397</v>
      </c>
      <c r="H1224" t="s">
        <v>7398</v>
      </c>
    </row>
    <row r="1225" spans="1:8" x14ac:dyDescent="0.25">
      <c r="A1225" t="s">
        <v>38</v>
      </c>
      <c r="B1225">
        <f>VLOOKUP(A1225,art_category_path_name!A:B,2,FALSE)</f>
        <v>1182</v>
      </c>
      <c r="C1225" t="s">
        <v>7399</v>
      </c>
      <c r="D1225" t="s">
        <v>7400</v>
      </c>
      <c r="E1225" t="s">
        <v>7401</v>
      </c>
      <c r="F1225" t="s">
        <v>7402</v>
      </c>
      <c r="G1225" t="s">
        <v>7403</v>
      </c>
      <c r="H1225" t="s">
        <v>7404</v>
      </c>
    </row>
    <row r="1226" spans="1:8" x14ac:dyDescent="0.25">
      <c r="A1226" t="s">
        <v>39</v>
      </c>
      <c r="B1226">
        <f>VLOOKUP(A1226,art_category_path_name!A:B,2,FALSE)</f>
        <v>1183</v>
      </c>
      <c r="C1226" t="s">
        <v>7405</v>
      </c>
      <c r="D1226" t="s">
        <v>7406</v>
      </c>
      <c r="F1226" t="s">
        <v>1834</v>
      </c>
      <c r="G1226" t="s">
        <v>7407</v>
      </c>
      <c r="H1226" t="s">
        <v>7408</v>
      </c>
    </row>
    <row r="1227" spans="1:8" x14ac:dyDescent="0.25">
      <c r="A1227" t="s">
        <v>40</v>
      </c>
      <c r="B1227">
        <f>VLOOKUP(A1227,art_category_path_name!A:B,2,FALSE)</f>
        <v>1184</v>
      </c>
      <c r="C1227" t="s">
        <v>7409</v>
      </c>
      <c r="D1227" t="s">
        <v>7410</v>
      </c>
      <c r="F1227" t="s">
        <v>1834</v>
      </c>
      <c r="G1227" t="s">
        <v>7411</v>
      </c>
      <c r="H1227" t="s">
        <v>7412</v>
      </c>
    </row>
    <row r="1228" spans="1:8" x14ac:dyDescent="0.25">
      <c r="A1228" t="s">
        <v>42</v>
      </c>
      <c r="B1228">
        <f>VLOOKUP(A1228,art_category_path_name!A:B,2,FALSE)</f>
        <v>1186</v>
      </c>
      <c r="C1228" t="s">
        <v>7413</v>
      </c>
      <c r="D1228" t="s">
        <v>7414</v>
      </c>
      <c r="E1228" t="s">
        <v>7415</v>
      </c>
      <c r="F1228" t="s">
        <v>7416</v>
      </c>
      <c r="G1228" t="s">
        <v>7417</v>
      </c>
      <c r="H1228" t="s">
        <v>7418</v>
      </c>
    </row>
    <row r="1229" spans="1:8" x14ac:dyDescent="0.25">
      <c r="A1229" t="s">
        <v>43</v>
      </c>
      <c r="B1229">
        <f>VLOOKUP(A1229,art_category_path_name!A:B,2,FALSE)</f>
        <v>1187</v>
      </c>
      <c r="C1229" t="s">
        <v>7419</v>
      </c>
      <c r="D1229" t="s">
        <v>7420</v>
      </c>
      <c r="E1229" t="s">
        <v>7421</v>
      </c>
      <c r="F1229" t="s">
        <v>7422</v>
      </c>
      <c r="G1229" t="s">
        <v>7423</v>
      </c>
      <c r="H1229" t="s">
        <v>7424</v>
      </c>
    </row>
    <row r="1230" spans="1:8" x14ac:dyDescent="0.25">
      <c r="A1230" t="s">
        <v>44</v>
      </c>
      <c r="B1230">
        <f>VLOOKUP(A1230,art_category_path_name!A:B,2,FALSE)</f>
        <v>1188</v>
      </c>
      <c r="C1230" t="s">
        <v>7425</v>
      </c>
      <c r="D1230" t="s">
        <v>7426</v>
      </c>
      <c r="E1230" t="s">
        <v>7427</v>
      </c>
      <c r="F1230" t="s">
        <v>7428</v>
      </c>
      <c r="G1230" t="s">
        <v>7429</v>
      </c>
      <c r="H1230" t="s">
        <v>7430</v>
      </c>
    </row>
    <row r="1231" spans="1:8" x14ac:dyDescent="0.25">
      <c r="A1231" t="s">
        <v>45</v>
      </c>
      <c r="B1231">
        <f>VLOOKUP(A1231,art_category_path_name!A:B,2,FALSE)</f>
        <v>1189</v>
      </c>
      <c r="C1231" t="s">
        <v>7431</v>
      </c>
      <c r="D1231" t="s">
        <v>7426</v>
      </c>
      <c r="E1231" t="s">
        <v>7427</v>
      </c>
      <c r="F1231" t="s">
        <v>7428</v>
      </c>
      <c r="G1231" t="s">
        <v>7432</v>
      </c>
      <c r="H1231" t="s">
        <v>7433</v>
      </c>
    </row>
    <row r="1232" spans="1:8" x14ac:dyDescent="0.25">
      <c r="A1232" t="s">
        <v>46</v>
      </c>
      <c r="B1232">
        <f>VLOOKUP(A1232,art_category_path_name!A:B,2,FALSE)</f>
        <v>1190</v>
      </c>
      <c r="C1232" t="s">
        <v>7434</v>
      </c>
      <c r="D1232" t="s">
        <v>7435</v>
      </c>
      <c r="E1232" t="s">
        <v>7436</v>
      </c>
      <c r="F1232" t="s">
        <v>7437</v>
      </c>
      <c r="G1232" t="s">
        <v>7438</v>
      </c>
      <c r="H1232" t="s">
        <v>7439</v>
      </c>
    </row>
    <row r="1233" spans="1:8" x14ac:dyDescent="0.25">
      <c r="A1233" t="s">
        <v>47</v>
      </c>
      <c r="B1233">
        <f>VLOOKUP(A1233,art_category_path_name!A:B,2,FALSE)</f>
        <v>1191</v>
      </c>
      <c r="C1233" t="s">
        <v>7440</v>
      </c>
      <c r="D1233" t="s">
        <v>7435</v>
      </c>
      <c r="E1233" t="s">
        <v>7436</v>
      </c>
      <c r="F1233" t="s">
        <v>7437</v>
      </c>
      <c r="G1233" t="s">
        <v>7441</v>
      </c>
      <c r="H1233" t="s">
        <v>7442</v>
      </c>
    </row>
    <row r="1234" spans="1:8" x14ac:dyDescent="0.25">
      <c r="A1234" t="s">
        <v>127</v>
      </c>
      <c r="B1234">
        <f>VLOOKUP(A1234,art_category_path_name!A:B,2,FALSE)</f>
        <v>1193</v>
      </c>
      <c r="C1234" t="s">
        <v>7443</v>
      </c>
      <c r="D1234" t="s">
        <v>7444</v>
      </c>
      <c r="E1234" t="s">
        <v>7445</v>
      </c>
      <c r="F1234" t="s">
        <v>7446</v>
      </c>
      <c r="G1234" t="s">
        <v>7447</v>
      </c>
      <c r="H1234" t="s">
        <v>7448</v>
      </c>
    </row>
    <row r="1235" spans="1:8" x14ac:dyDescent="0.25">
      <c r="A1235" t="s">
        <v>128</v>
      </c>
      <c r="B1235">
        <f>VLOOKUP(A1235,art_category_path_name!A:B,2,FALSE)</f>
        <v>1194</v>
      </c>
      <c r="C1235" t="s">
        <v>7449</v>
      </c>
      <c r="D1235" t="s">
        <v>7450</v>
      </c>
      <c r="E1235" t="s">
        <v>7451</v>
      </c>
      <c r="F1235" t="s">
        <v>7452</v>
      </c>
      <c r="G1235" t="s">
        <v>7453</v>
      </c>
      <c r="H1235" t="s">
        <v>7454</v>
      </c>
    </row>
    <row r="1236" spans="1:8" x14ac:dyDescent="0.25">
      <c r="A1236" t="s">
        <v>129</v>
      </c>
      <c r="B1236">
        <f>VLOOKUP(A1236,art_category_path_name!A:B,2,FALSE)</f>
        <v>1195</v>
      </c>
      <c r="C1236" t="s">
        <v>7455</v>
      </c>
      <c r="D1236" t="s">
        <v>7456</v>
      </c>
      <c r="F1236" t="s">
        <v>1834</v>
      </c>
      <c r="G1236" t="s">
        <v>7457</v>
      </c>
      <c r="H1236" t="s">
        <v>7458</v>
      </c>
    </row>
    <row r="1237" spans="1:8" x14ac:dyDescent="0.25">
      <c r="A1237" t="s">
        <v>130</v>
      </c>
      <c r="B1237">
        <f>VLOOKUP(A1237,art_category_path_name!A:B,2,FALSE)</f>
        <v>1196</v>
      </c>
      <c r="C1237" t="s">
        <v>7459</v>
      </c>
      <c r="D1237" t="s">
        <v>7460</v>
      </c>
      <c r="F1237" t="s">
        <v>1834</v>
      </c>
      <c r="G1237" t="s">
        <v>7461</v>
      </c>
      <c r="H1237" t="s">
        <v>7462</v>
      </c>
    </row>
    <row r="1238" spans="1:8" x14ac:dyDescent="0.25">
      <c r="A1238" t="s">
        <v>131</v>
      </c>
      <c r="B1238">
        <f>VLOOKUP(A1238,art_category_path_name!A:B,2,FALSE)</f>
        <v>1197</v>
      </c>
      <c r="C1238" t="s">
        <v>7463</v>
      </c>
      <c r="D1238" t="s">
        <v>7464</v>
      </c>
      <c r="E1238" t="s">
        <v>7465</v>
      </c>
      <c r="F1238" t="s">
        <v>7466</v>
      </c>
      <c r="G1238" t="s">
        <v>7467</v>
      </c>
      <c r="H1238" t="s">
        <v>7468</v>
      </c>
    </row>
    <row r="1239" spans="1:8" x14ac:dyDescent="0.25">
      <c r="A1239" t="s">
        <v>132</v>
      </c>
      <c r="B1239">
        <f>VLOOKUP(A1239,art_category_path_name!A:B,2,FALSE)</f>
        <v>1198</v>
      </c>
      <c r="C1239" t="s">
        <v>7469</v>
      </c>
      <c r="D1239" t="s">
        <v>7470</v>
      </c>
      <c r="E1239" t="s">
        <v>7471</v>
      </c>
      <c r="F1239" t="s">
        <v>7472</v>
      </c>
      <c r="G1239" t="s">
        <v>7473</v>
      </c>
      <c r="H1239" t="s">
        <v>7474</v>
      </c>
    </row>
    <row r="1240" spans="1:8" x14ac:dyDescent="0.25">
      <c r="A1240" t="s">
        <v>133</v>
      </c>
      <c r="B1240">
        <f>VLOOKUP(A1240,art_category_path_name!A:B,2,FALSE)</f>
        <v>1199</v>
      </c>
      <c r="C1240" t="s">
        <v>7475</v>
      </c>
      <c r="D1240" t="s">
        <v>7476</v>
      </c>
      <c r="F1240" t="s">
        <v>1834</v>
      </c>
      <c r="G1240" t="s">
        <v>7477</v>
      </c>
      <c r="H1240" t="s">
        <v>7478</v>
      </c>
    </row>
    <row r="1241" spans="1:8" x14ac:dyDescent="0.25">
      <c r="A1241" t="s">
        <v>134</v>
      </c>
      <c r="B1241">
        <f>VLOOKUP(A1241,art_category_path_name!A:B,2,FALSE)</f>
        <v>1200</v>
      </c>
      <c r="C1241" t="s">
        <v>7479</v>
      </c>
      <c r="D1241" t="s">
        <v>7480</v>
      </c>
      <c r="F1241" t="s">
        <v>1834</v>
      </c>
      <c r="G1241" t="s">
        <v>7481</v>
      </c>
      <c r="H1241" t="s">
        <v>7482</v>
      </c>
    </row>
    <row r="1242" spans="1:8" x14ac:dyDescent="0.25">
      <c r="A1242" t="s">
        <v>377</v>
      </c>
      <c r="B1242">
        <f>VLOOKUP(A1242,art_category_path_name!A:B,2,FALSE)</f>
        <v>1202</v>
      </c>
      <c r="C1242" t="s">
        <v>7483</v>
      </c>
      <c r="D1242" t="s">
        <v>7484</v>
      </c>
      <c r="F1242" t="s">
        <v>1834</v>
      </c>
      <c r="G1242" t="s">
        <v>7485</v>
      </c>
      <c r="H1242" t="s">
        <v>7486</v>
      </c>
    </row>
    <row r="1243" spans="1:8" x14ac:dyDescent="0.25">
      <c r="A1243" t="s">
        <v>378</v>
      </c>
      <c r="B1243">
        <f>VLOOKUP(A1243,art_category_path_name!A:B,2,FALSE)</f>
        <v>1203</v>
      </c>
      <c r="C1243" t="s">
        <v>7487</v>
      </c>
      <c r="D1243" t="s">
        <v>7488</v>
      </c>
      <c r="F1243" t="s">
        <v>1834</v>
      </c>
      <c r="G1243" t="s">
        <v>7489</v>
      </c>
      <c r="H1243" t="s">
        <v>7490</v>
      </c>
    </row>
    <row r="1244" spans="1:8" x14ac:dyDescent="0.25">
      <c r="A1244" t="s">
        <v>379</v>
      </c>
      <c r="B1244">
        <f>VLOOKUP(A1244,art_category_path_name!A:B,2,FALSE)</f>
        <v>1204</v>
      </c>
      <c r="C1244" t="s">
        <v>7491</v>
      </c>
      <c r="D1244" t="s">
        <v>7492</v>
      </c>
      <c r="F1244" t="s">
        <v>1834</v>
      </c>
      <c r="G1244" t="s">
        <v>7493</v>
      </c>
      <c r="H1244" t="s">
        <v>7494</v>
      </c>
    </row>
    <row r="1245" spans="1:8" x14ac:dyDescent="0.25">
      <c r="A1245" t="s">
        <v>380</v>
      </c>
      <c r="B1245">
        <f>VLOOKUP(A1245,art_category_path_name!A:B,2,FALSE)</f>
        <v>1205</v>
      </c>
      <c r="C1245" t="s">
        <v>7495</v>
      </c>
      <c r="D1245" t="s">
        <v>7496</v>
      </c>
      <c r="F1245" t="s">
        <v>1834</v>
      </c>
      <c r="G1245" t="s">
        <v>7497</v>
      </c>
      <c r="H1245" t="s">
        <v>7498</v>
      </c>
    </row>
    <row r="1246" spans="1:8" x14ac:dyDescent="0.25">
      <c r="A1246" t="s">
        <v>381</v>
      </c>
      <c r="B1246">
        <f>VLOOKUP(A1246,art_category_path_name!A:B,2,FALSE)</f>
        <v>1206</v>
      </c>
      <c r="C1246" t="s">
        <v>7499</v>
      </c>
      <c r="D1246" t="s">
        <v>7500</v>
      </c>
      <c r="F1246" t="s">
        <v>1834</v>
      </c>
      <c r="G1246" t="s">
        <v>7501</v>
      </c>
      <c r="H1246" t="s">
        <v>7502</v>
      </c>
    </row>
    <row r="1247" spans="1:8" x14ac:dyDescent="0.25">
      <c r="A1247" t="s">
        <v>382</v>
      </c>
      <c r="B1247">
        <f>VLOOKUP(A1247,art_category_path_name!A:B,2,FALSE)</f>
        <v>1207</v>
      </c>
      <c r="C1247" t="s">
        <v>7503</v>
      </c>
      <c r="D1247" t="s">
        <v>7504</v>
      </c>
      <c r="F1247" t="s">
        <v>1834</v>
      </c>
      <c r="G1247" t="s">
        <v>7505</v>
      </c>
      <c r="H1247" t="s">
        <v>7506</v>
      </c>
    </row>
    <row r="1248" spans="1:8" x14ac:dyDescent="0.25">
      <c r="A1248" t="s">
        <v>383</v>
      </c>
      <c r="B1248">
        <f>VLOOKUP(A1248,art_category_path_name!A:B,2,FALSE)</f>
        <v>1208</v>
      </c>
      <c r="C1248" t="s">
        <v>7507</v>
      </c>
      <c r="D1248" t="s">
        <v>7508</v>
      </c>
      <c r="F1248" t="s">
        <v>1834</v>
      </c>
      <c r="G1248" t="s">
        <v>7509</v>
      </c>
      <c r="H1248" t="s">
        <v>7510</v>
      </c>
    </row>
    <row r="1249" spans="1:8" x14ac:dyDescent="0.25">
      <c r="A1249" t="s">
        <v>384</v>
      </c>
      <c r="B1249">
        <f>VLOOKUP(A1249,art_category_path_name!A:B,2,FALSE)</f>
        <v>1209</v>
      </c>
      <c r="C1249" t="s">
        <v>7511</v>
      </c>
      <c r="D1249" t="s">
        <v>7512</v>
      </c>
      <c r="F1249" t="s">
        <v>1834</v>
      </c>
      <c r="G1249" t="s">
        <v>7513</v>
      </c>
      <c r="H1249" t="s">
        <v>7514</v>
      </c>
    </row>
    <row r="1250" spans="1:8" x14ac:dyDescent="0.25">
      <c r="A1250" t="s">
        <v>385</v>
      </c>
      <c r="B1250">
        <f>VLOOKUP(A1250,art_category_path_name!A:B,2,FALSE)</f>
        <v>1210</v>
      </c>
      <c r="C1250" t="s">
        <v>7515</v>
      </c>
      <c r="D1250" t="s">
        <v>7516</v>
      </c>
      <c r="F1250" t="s">
        <v>1834</v>
      </c>
      <c r="G1250" t="s">
        <v>7517</v>
      </c>
      <c r="H1250" t="s">
        <v>7518</v>
      </c>
    </row>
    <row r="1251" spans="1:8" x14ac:dyDescent="0.25">
      <c r="A1251" t="s">
        <v>386</v>
      </c>
      <c r="B1251">
        <f>VLOOKUP(A1251,art_category_path_name!A:B,2,FALSE)</f>
        <v>1211</v>
      </c>
      <c r="C1251" t="s">
        <v>7519</v>
      </c>
      <c r="D1251" t="s">
        <v>7520</v>
      </c>
      <c r="F1251" t="s">
        <v>1834</v>
      </c>
      <c r="G1251" t="s">
        <v>7521</v>
      </c>
      <c r="H1251" t="s">
        <v>7522</v>
      </c>
    </row>
    <row r="1252" spans="1:8" x14ac:dyDescent="0.25">
      <c r="A1252" t="s">
        <v>387</v>
      </c>
      <c r="B1252">
        <f>VLOOKUP(A1252,art_category_path_name!A:B,2,FALSE)</f>
        <v>1212</v>
      </c>
      <c r="C1252" t="s">
        <v>7523</v>
      </c>
      <c r="D1252" t="s">
        <v>7524</v>
      </c>
      <c r="F1252" t="s">
        <v>1834</v>
      </c>
      <c r="G1252" t="s">
        <v>7525</v>
      </c>
      <c r="H1252" t="s">
        <v>7526</v>
      </c>
    </row>
    <row r="1253" spans="1:8" x14ac:dyDescent="0.25">
      <c r="A1253" t="s">
        <v>389</v>
      </c>
      <c r="B1253">
        <f>VLOOKUP(A1253,art_category_path_name!A:B,2,FALSE)</f>
        <v>1214</v>
      </c>
      <c r="C1253" t="s">
        <v>7527</v>
      </c>
      <c r="D1253" t="s">
        <v>7528</v>
      </c>
      <c r="F1253" t="s">
        <v>1834</v>
      </c>
      <c r="G1253" t="s">
        <v>7529</v>
      </c>
      <c r="H1253" t="s">
        <v>7530</v>
      </c>
    </row>
    <row r="1254" spans="1:8" x14ac:dyDescent="0.25">
      <c r="A1254" t="s">
        <v>1172</v>
      </c>
      <c r="B1254">
        <f>VLOOKUP(A1254,art_category_path_name!A:B,2,FALSE)</f>
        <v>1216</v>
      </c>
      <c r="C1254" t="s">
        <v>7531</v>
      </c>
      <c r="D1254" t="s">
        <v>7532</v>
      </c>
      <c r="E1254" t="s">
        <v>7533</v>
      </c>
      <c r="F1254" t="s">
        <v>7534</v>
      </c>
      <c r="G1254" t="s">
        <v>7535</v>
      </c>
      <c r="H1254" t="s">
        <v>7536</v>
      </c>
    </row>
    <row r="1255" spans="1:8" x14ac:dyDescent="0.25">
      <c r="A1255" t="s">
        <v>1173</v>
      </c>
      <c r="B1255">
        <f>VLOOKUP(A1255,art_category_path_name!A:B,2,FALSE)</f>
        <v>1217</v>
      </c>
      <c r="C1255" t="s">
        <v>7537</v>
      </c>
      <c r="D1255" t="s">
        <v>7538</v>
      </c>
      <c r="E1255" t="s">
        <v>7539</v>
      </c>
      <c r="F1255" t="s">
        <v>7534</v>
      </c>
      <c r="G1255" t="s">
        <v>7540</v>
      </c>
      <c r="H1255" t="s">
        <v>7541</v>
      </c>
    </row>
    <row r="1256" spans="1:8" x14ac:dyDescent="0.25">
      <c r="A1256" t="s">
        <v>1174</v>
      </c>
      <c r="B1256">
        <f>VLOOKUP(A1256,art_category_path_name!A:B,2,FALSE)</f>
        <v>1218</v>
      </c>
      <c r="C1256" t="s">
        <v>7542</v>
      </c>
      <c r="D1256" t="s">
        <v>7543</v>
      </c>
      <c r="E1256" t="s">
        <v>7544</v>
      </c>
      <c r="F1256" t="s">
        <v>7534</v>
      </c>
      <c r="G1256" t="s">
        <v>7545</v>
      </c>
      <c r="H1256" t="s">
        <v>7546</v>
      </c>
    </row>
    <row r="1257" spans="1:8" x14ac:dyDescent="0.25">
      <c r="A1257" t="s">
        <v>1175</v>
      </c>
      <c r="B1257">
        <f>VLOOKUP(A1257,art_category_path_name!A:B,2,FALSE)</f>
        <v>1219</v>
      </c>
      <c r="C1257" t="s">
        <v>7547</v>
      </c>
      <c r="D1257" t="s">
        <v>7548</v>
      </c>
      <c r="E1257" t="s">
        <v>7549</v>
      </c>
      <c r="F1257" t="s">
        <v>7534</v>
      </c>
      <c r="G1257" t="s">
        <v>7550</v>
      </c>
      <c r="H1257" t="s">
        <v>7551</v>
      </c>
    </row>
    <row r="1258" spans="1:8" x14ac:dyDescent="0.25">
      <c r="A1258" t="s">
        <v>1176</v>
      </c>
      <c r="B1258">
        <f>VLOOKUP(A1258,art_category_path_name!A:B,2,FALSE)</f>
        <v>1220</v>
      </c>
      <c r="C1258" t="s">
        <v>7552</v>
      </c>
      <c r="D1258" t="s">
        <v>7553</v>
      </c>
      <c r="E1258" t="s">
        <v>7554</v>
      </c>
      <c r="F1258" t="s">
        <v>7555</v>
      </c>
      <c r="G1258" t="s">
        <v>7556</v>
      </c>
      <c r="H1258" t="s">
        <v>7557</v>
      </c>
    </row>
    <row r="1259" spans="1:8" x14ac:dyDescent="0.25">
      <c r="A1259" t="s">
        <v>391</v>
      </c>
      <c r="B1259">
        <f>VLOOKUP(A1259,art_category_path_name!A:B,2,FALSE)</f>
        <v>1222</v>
      </c>
      <c r="C1259" t="s">
        <v>7558</v>
      </c>
      <c r="D1259" t="s">
        <v>7559</v>
      </c>
      <c r="E1259" t="s">
        <v>7560</v>
      </c>
      <c r="F1259" t="s">
        <v>7561</v>
      </c>
      <c r="G1259" t="s">
        <v>7562</v>
      </c>
      <c r="H1259" t="s">
        <v>7563</v>
      </c>
    </row>
    <row r="1260" spans="1:8" x14ac:dyDescent="0.25">
      <c r="A1260" t="s">
        <v>905</v>
      </c>
      <c r="B1260">
        <f>VLOOKUP(A1260,art_category_path_name!A:B,2,FALSE)</f>
        <v>1224</v>
      </c>
      <c r="C1260" t="s">
        <v>7564</v>
      </c>
      <c r="D1260" t="s">
        <v>7565</v>
      </c>
      <c r="F1260" t="s">
        <v>1834</v>
      </c>
      <c r="G1260" t="s">
        <v>7566</v>
      </c>
      <c r="H1260" t="s">
        <v>7567</v>
      </c>
    </row>
    <row r="1261" spans="1:8" x14ac:dyDescent="0.25">
      <c r="A1261" t="s">
        <v>906</v>
      </c>
      <c r="B1261">
        <f>VLOOKUP(A1261,art_category_path_name!A:B,2,FALSE)</f>
        <v>1225</v>
      </c>
      <c r="C1261" t="s">
        <v>7568</v>
      </c>
      <c r="D1261" t="s">
        <v>7569</v>
      </c>
      <c r="F1261" t="s">
        <v>1834</v>
      </c>
      <c r="G1261" t="s">
        <v>7570</v>
      </c>
      <c r="H1261" t="s">
        <v>7571</v>
      </c>
    </row>
    <row r="1262" spans="1:8" x14ac:dyDescent="0.25">
      <c r="A1262" t="s">
        <v>907</v>
      </c>
      <c r="B1262">
        <f>VLOOKUP(A1262,art_category_path_name!A:B,2,FALSE)</f>
        <v>1226</v>
      </c>
      <c r="C1262" t="s">
        <v>7572</v>
      </c>
      <c r="D1262" t="s">
        <v>7573</v>
      </c>
      <c r="F1262" t="s">
        <v>1834</v>
      </c>
      <c r="G1262" t="s">
        <v>7574</v>
      </c>
      <c r="H1262" t="s">
        <v>7575</v>
      </c>
    </row>
    <row r="1263" spans="1:8" x14ac:dyDescent="0.25">
      <c r="A1263" t="s">
        <v>136</v>
      </c>
      <c r="B1263">
        <f>VLOOKUP(A1263,art_category_path_name!A:B,2,FALSE)</f>
        <v>1228</v>
      </c>
      <c r="C1263" t="s">
        <v>7576</v>
      </c>
      <c r="D1263" t="s">
        <v>7577</v>
      </c>
      <c r="F1263" t="s">
        <v>1834</v>
      </c>
      <c r="G1263" t="s">
        <v>7578</v>
      </c>
      <c r="H1263" t="s">
        <v>7579</v>
      </c>
    </row>
    <row r="1264" spans="1:8" x14ac:dyDescent="0.25">
      <c r="A1264" t="s">
        <v>137</v>
      </c>
      <c r="B1264">
        <f>VLOOKUP(A1264,art_category_path_name!A:B,2,FALSE)</f>
        <v>1229</v>
      </c>
      <c r="C1264" t="s">
        <v>7580</v>
      </c>
      <c r="D1264" t="s">
        <v>7581</v>
      </c>
      <c r="F1264" t="s">
        <v>1834</v>
      </c>
      <c r="G1264" t="s">
        <v>7582</v>
      </c>
      <c r="H1264" t="s">
        <v>7583</v>
      </c>
    </row>
    <row r="1265" spans="1:8" x14ac:dyDescent="0.25">
      <c r="A1265" t="s">
        <v>138</v>
      </c>
      <c r="B1265">
        <f>VLOOKUP(A1265,art_category_path_name!A:B,2,FALSE)</f>
        <v>1230</v>
      </c>
      <c r="C1265" t="s">
        <v>7584</v>
      </c>
      <c r="D1265" t="s">
        <v>7585</v>
      </c>
      <c r="F1265" t="s">
        <v>1834</v>
      </c>
      <c r="G1265" t="s">
        <v>7586</v>
      </c>
      <c r="H1265" t="s">
        <v>7587</v>
      </c>
    </row>
    <row r="1266" spans="1:8" x14ac:dyDescent="0.25">
      <c r="A1266" t="s">
        <v>139</v>
      </c>
      <c r="B1266">
        <f>VLOOKUP(A1266,art_category_path_name!A:B,2,FALSE)</f>
        <v>1231</v>
      </c>
      <c r="C1266" t="s">
        <v>7588</v>
      </c>
      <c r="D1266" t="s">
        <v>7589</v>
      </c>
      <c r="F1266" t="s">
        <v>1834</v>
      </c>
      <c r="G1266" t="s">
        <v>7590</v>
      </c>
      <c r="H1266" t="s">
        <v>7591</v>
      </c>
    </row>
    <row r="1267" spans="1:8" x14ac:dyDescent="0.25">
      <c r="A1267" t="s">
        <v>140</v>
      </c>
      <c r="B1267">
        <f>VLOOKUP(A1267,art_category_path_name!A:B,2,FALSE)</f>
        <v>1232</v>
      </c>
      <c r="C1267" t="s">
        <v>7592</v>
      </c>
      <c r="D1267" t="s">
        <v>7593</v>
      </c>
      <c r="F1267" t="s">
        <v>1834</v>
      </c>
      <c r="G1267" t="s">
        <v>7594</v>
      </c>
      <c r="H1267" t="s">
        <v>7595</v>
      </c>
    </row>
    <row r="1268" spans="1:8" x14ac:dyDescent="0.25">
      <c r="A1268" t="s">
        <v>141</v>
      </c>
      <c r="B1268">
        <f>VLOOKUP(A1268,art_category_path_name!A:B,2,FALSE)</f>
        <v>1233</v>
      </c>
      <c r="C1268" t="s">
        <v>7596</v>
      </c>
      <c r="D1268" t="s">
        <v>7597</v>
      </c>
      <c r="F1268" t="s">
        <v>1834</v>
      </c>
      <c r="G1268" t="s">
        <v>7598</v>
      </c>
      <c r="H1268" t="s">
        <v>7599</v>
      </c>
    </row>
    <row r="1269" spans="1:8" x14ac:dyDescent="0.25">
      <c r="A1269" t="s">
        <v>142</v>
      </c>
      <c r="B1269">
        <f>VLOOKUP(A1269,art_category_path_name!A:B,2,FALSE)</f>
        <v>1234</v>
      </c>
      <c r="C1269" t="s">
        <v>7600</v>
      </c>
      <c r="D1269" t="s">
        <v>7601</v>
      </c>
      <c r="F1269" t="s">
        <v>1834</v>
      </c>
      <c r="G1269" t="s">
        <v>7602</v>
      </c>
      <c r="H1269" t="s">
        <v>7603</v>
      </c>
    </row>
    <row r="1270" spans="1:8" x14ac:dyDescent="0.25">
      <c r="A1270" t="s">
        <v>909</v>
      </c>
      <c r="B1270">
        <f>VLOOKUP(A1270,art_category_path_name!A:B,2,FALSE)</f>
        <v>1236</v>
      </c>
      <c r="C1270" t="s">
        <v>7604</v>
      </c>
      <c r="D1270" t="s">
        <v>7605</v>
      </c>
      <c r="E1270" t="s">
        <v>7606</v>
      </c>
      <c r="F1270" t="s">
        <v>7607</v>
      </c>
      <c r="G1270" t="s">
        <v>7608</v>
      </c>
      <c r="H1270" t="s">
        <v>7609</v>
      </c>
    </row>
    <row r="1271" spans="1:8" x14ac:dyDescent="0.25">
      <c r="A1271" t="s">
        <v>910</v>
      </c>
      <c r="B1271">
        <f>VLOOKUP(A1271,art_category_path_name!A:B,2,FALSE)</f>
        <v>1237</v>
      </c>
      <c r="C1271" t="s">
        <v>7610</v>
      </c>
      <c r="D1271" t="s">
        <v>7611</v>
      </c>
      <c r="E1271" t="s">
        <v>7612</v>
      </c>
      <c r="F1271" t="s">
        <v>7613</v>
      </c>
      <c r="G1271" t="s">
        <v>7614</v>
      </c>
      <c r="H1271" t="s">
        <v>7615</v>
      </c>
    </row>
    <row r="1272" spans="1:8" x14ac:dyDescent="0.25">
      <c r="A1272" t="s">
        <v>911</v>
      </c>
      <c r="B1272">
        <f>VLOOKUP(A1272,art_category_path_name!A:B,2,FALSE)</f>
        <v>1238</v>
      </c>
      <c r="C1272" t="s">
        <v>7616</v>
      </c>
      <c r="D1272" t="s">
        <v>7617</v>
      </c>
      <c r="F1272" t="s">
        <v>1834</v>
      </c>
      <c r="G1272" t="s">
        <v>7618</v>
      </c>
      <c r="H1272" t="s">
        <v>7619</v>
      </c>
    </row>
    <row r="1273" spans="1:8" x14ac:dyDescent="0.25">
      <c r="A1273" t="s">
        <v>144</v>
      </c>
      <c r="B1273">
        <f>VLOOKUP(A1273,art_category_path_name!A:B,2,FALSE)</f>
        <v>1240</v>
      </c>
      <c r="C1273" t="s">
        <v>7620</v>
      </c>
      <c r="D1273" t="s">
        <v>7621</v>
      </c>
      <c r="F1273" t="s">
        <v>1834</v>
      </c>
      <c r="G1273" t="s">
        <v>7622</v>
      </c>
      <c r="H1273" t="s">
        <v>7623</v>
      </c>
    </row>
    <row r="1274" spans="1:8" x14ac:dyDescent="0.25">
      <c r="A1274" t="s">
        <v>145</v>
      </c>
      <c r="B1274">
        <f>VLOOKUP(A1274,art_category_path_name!A:B,2,FALSE)</f>
        <v>1241</v>
      </c>
      <c r="C1274" t="s">
        <v>7624</v>
      </c>
      <c r="D1274" t="s">
        <v>7625</v>
      </c>
      <c r="F1274" t="s">
        <v>1834</v>
      </c>
      <c r="G1274" t="s">
        <v>7626</v>
      </c>
      <c r="H1274" t="s">
        <v>7627</v>
      </c>
    </row>
    <row r="1275" spans="1:8" x14ac:dyDescent="0.25">
      <c r="A1275" t="s">
        <v>97</v>
      </c>
      <c r="B1275">
        <f>VLOOKUP(A1275,art_category_path_name!A:B,2,FALSE)</f>
        <v>1242</v>
      </c>
      <c r="C1275" t="s">
        <v>7628</v>
      </c>
      <c r="D1275" t="s">
        <v>7629</v>
      </c>
      <c r="F1275" t="s">
        <v>1834</v>
      </c>
      <c r="G1275" t="s">
        <v>7630</v>
      </c>
      <c r="H1275" t="s">
        <v>7631</v>
      </c>
    </row>
    <row r="1276" spans="1:8" x14ac:dyDescent="0.25">
      <c r="A1276" t="s">
        <v>1015</v>
      </c>
      <c r="B1276">
        <f>VLOOKUP(A1276,art_category_path_name!A:B,2,FALSE)</f>
        <v>1244</v>
      </c>
      <c r="C1276" t="s">
        <v>7632</v>
      </c>
      <c r="D1276" t="s">
        <v>7633</v>
      </c>
      <c r="F1276" t="s">
        <v>1834</v>
      </c>
      <c r="G1276" t="s">
        <v>7634</v>
      </c>
      <c r="H1276" t="s">
        <v>7635</v>
      </c>
    </row>
    <row r="1277" spans="1:8" x14ac:dyDescent="0.25">
      <c r="A1277" t="s">
        <v>1016</v>
      </c>
      <c r="B1277">
        <f>VLOOKUP(A1277,art_category_path_name!A:B,2,FALSE)</f>
        <v>1245</v>
      </c>
      <c r="C1277" t="s">
        <v>7636</v>
      </c>
      <c r="D1277" t="s">
        <v>7637</v>
      </c>
      <c r="F1277" t="s">
        <v>1834</v>
      </c>
      <c r="G1277" t="s">
        <v>7638</v>
      </c>
      <c r="H1277" t="s">
        <v>7639</v>
      </c>
    </row>
    <row r="1278" spans="1:8" x14ac:dyDescent="0.25">
      <c r="A1278" t="s">
        <v>860</v>
      </c>
      <c r="B1278">
        <f>VLOOKUP(A1278,art_category_path_name!A:B,2,FALSE)</f>
        <v>1247</v>
      </c>
      <c r="C1278" t="s">
        <v>7640</v>
      </c>
      <c r="D1278" t="s">
        <v>7641</v>
      </c>
      <c r="E1278" t="s">
        <v>7642</v>
      </c>
      <c r="F1278" t="s">
        <v>7643</v>
      </c>
      <c r="G1278" t="s">
        <v>7644</v>
      </c>
      <c r="H1278" t="s">
        <v>7645</v>
      </c>
    </row>
    <row r="1279" spans="1:8" x14ac:dyDescent="0.25">
      <c r="A1279" t="s">
        <v>861</v>
      </c>
      <c r="B1279">
        <f>VLOOKUP(A1279,art_category_path_name!A:B,2,FALSE)</f>
        <v>1248</v>
      </c>
      <c r="C1279" t="s">
        <v>7646</v>
      </c>
      <c r="D1279" t="s">
        <v>7647</v>
      </c>
      <c r="E1279" t="s">
        <v>7648</v>
      </c>
      <c r="F1279" t="s">
        <v>7649</v>
      </c>
      <c r="G1279" t="s">
        <v>7650</v>
      </c>
      <c r="H1279" t="s">
        <v>7651</v>
      </c>
    </row>
    <row r="1280" spans="1:8" x14ac:dyDescent="0.25">
      <c r="A1280" t="s">
        <v>862</v>
      </c>
      <c r="B1280">
        <f>VLOOKUP(A1280,art_category_path_name!A:B,2,FALSE)</f>
        <v>1249</v>
      </c>
      <c r="C1280" t="s">
        <v>7652</v>
      </c>
      <c r="D1280" t="s">
        <v>7653</v>
      </c>
      <c r="E1280" t="s">
        <v>7654</v>
      </c>
      <c r="F1280" t="s">
        <v>7653</v>
      </c>
      <c r="G1280" t="s">
        <v>7655</v>
      </c>
      <c r="H1280" t="s">
        <v>7656</v>
      </c>
    </row>
    <row r="1281" spans="1:8" x14ac:dyDescent="0.25">
      <c r="A1281" t="s">
        <v>863</v>
      </c>
      <c r="B1281">
        <f>VLOOKUP(A1281,art_category_path_name!A:B,2,FALSE)</f>
        <v>1250</v>
      </c>
      <c r="C1281" t="s">
        <v>7657</v>
      </c>
      <c r="D1281" t="s">
        <v>7653</v>
      </c>
      <c r="E1281" t="s">
        <v>7658</v>
      </c>
      <c r="F1281" t="s">
        <v>7653</v>
      </c>
      <c r="G1281" t="s">
        <v>7659</v>
      </c>
      <c r="H1281" t="s">
        <v>7660</v>
      </c>
    </row>
    <row r="1282" spans="1:8" x14ac:dyDescent="0.25">
      <c r="A1282" t="s">
        <v>864</v>
      </c>
      <c r="B1282">
        <f>VLOOKUP(A1282,art_category_path_name!A:B,2,FALSE)</f>
        <v>1251</v>
      </c>
      <c r="C1282" t="s">
        <v>7661</v>
      </c>
      <c r="D1282" t="s">
        <v>7653</v>
      </c>
      <c r="E1282" t="s">
        <v>7662</v>
      </c>
      <c r="F1282" t="s">
        <v>7653</v>
      </c>
      <c r="G1282" t="s">
        <v>7663</v>
      </c>
      <c r="H1282" t="s">
        <v>7664</v>
      </c>
    </row>
    <row r="1283" spans="1:8" x14ac:dyDescent="0.25">
      <c r="A1283" t="s">
        <v>865</v>
      </c>
      <c r="B1283">
        <f>VLOOKUP(A1283,art_category_path_name!A:B,2,FALSE)</f>
        <v>1252</v>
      </c>
      <c r="C1283" t="s">
        <v>7665</v>
      </c>
      <c r="D1283" t="s">
        <v>7653</v>
      </c>
      <c r="E1283" t="s">
        <v>7666</v>
      </c>
      <c r="F1283" t="s">
        <v>7653</v>
      </c>
      <c r="G1283" t="s">
        <v>7667</v>
      </c>
      <c r="H1283" t="s">
        <v>7668</v>
      </c>
    </row>
    <row r="1284" spans="1:8" x14ac:dyDescent="0.25">
      <c r="A1284" t="s">
        <v>866</v>
      </c>
      <c r="B1284">
        <f>VLOOKUP(A1284,art_category_path_name!A:B,2,FALSE)</f>
        <v>1253</v>
      </c>
      <c r="C1284" t="s">
        <v>7669</v>
      </c>
      <c r="D1284" t="s">
        <v>7670</v>
      </c>
      <c r="E1284" t="s">
        <v>7671</v>
      </c>
      <c r="F1284" t="s">
        <v>5947</v>
      </c>
      <c r="G1284" t="s">
        <v>7672</v>
      </c>
      <c r="H1284" t="s">
        <v>7673</v>
      </c>
    </row>
    <row r="1285" spans="1:8" x14ac:dyDescent="0.25">
      <c r="A1285" t="s">
        <v>867</v>
      </c>
      <c r="B1285">
        <f>VLOOKUP(A1285,art_category_path_name!A:B,2,FALSE)</f>
        <v>1254</v>
      </c>
      <c r="C1285" t="s">
        <v>7674</v>
      </c>
      <c r="D1285" t="s">
        <v>7675</v>
      </c>
      <c r="E1285" t="s">
        <v>7676</v>
      </c>
      <c r="F1285" t="s">
        <v>5941</v>
      </c>
      <c r="G1285" t="s">
        <v>7677</v>
      </c>
      <c r="H1285" t="s">
        <v>7678</v>
      </c>
    </row>
    <row r="1286" spans="1:8" x14ac:dyDescent="0.25">
      <c r="A1286" t="s">
        <v>868</v>
      </c>
      <c r="B1286">
        <f>VLOOKUP(A1286,art_category_path_name!A:B,2,FALSE)</f>
        <v>1255</v>
      </c>
      <c r="C1286" t="s">
        <v>7679</v>
      </c>
      <c r="D1286" t="s">
        <v>7653</v>
      </c>
      <c r="E1286" t="s">
        <v>7680</v>
      </c>
      <c r="F1286" t="s">
        <v>7653</v>
      </c>
      <c r="G1286" t="s">
        <v>7681</v>
      </c>
      <c r="H1286" t="s">
        <v>7682</v>
      </c>
    </row>
    <row r="1287" spans="1:8" x14ac:dyDescent="0.25">
      <c r="A1287" t="s">
        <v>869</v>
      </c>
      <c r="B1287">
        <f>VLOOKUP(A1287,art_category_path_name!A:B,2,FALSE)</f>
        <v>1256</v>
      </c>
      <c r="C1287" t="s">
        <v>7683</v>
      </c>
      <c r="D1287" t="s">
        <v>7684</v>
      </c>
      <c r="E1287" t="s">
        <v>7685</v>
      </c>
      <c r="F1287" t="s">
        <v>7686</v>
      </c>
      <c r="G1287" t="s">
        <v>7687</v>
      </c>
      <c r="H1287" t="s">
        <v>7688</v>
      </c>
    </row>
    <row r="1288" spans="1:8" x14ac:dyDescent="0.25">
      <c r="A1288" t="s">
        <v>870</v>
      </c>
      <c r="B1288">
        <f>VLOOKUP(A1288,art_category_path_name!A:B,2,FALSE)</f>
        <v>1257</v>
      </c>
      <c r="C1288" t="s">
        <v>7689</v>
      </c>
      <c r="D1288" t="s">
        <v>7653</v>
      </c>
      <c r="E1288" t="s">
        <v>7690</v>
      </c>
      <c r="F1288" t="s">
        <v>7653</v>
      </c>
      <c r="G1288" t="s">
        <v>7691</v>
      </c>
      <c r="H1288" t="s">
        <v>7692</v>
      </c>
    </row>
    <row r="1289" spans="1:8" x14ac:dyDescent="0.25">
      <c r="A1289" t="s">
        <v>871</v>
      </c>
      <c r="B1289">
        <f>VLOOKUP(A1289,art_category_path_name!A:B,2,FALSE)</f>
        <v>1258</v>
      </c>
      <c r="C1289" t="s">
        <v>7693</v>
      </c>
      <c r="D1289" t="s">
        <v>7653</v>
      </c>
      <c r="E1289" t="s">
        <v>7694</v>
      </c>
      <c r="F1289" t="s">
        <v>7653</v>
      </c>
      <c r="G1289" t="s">
        <v>7695</v>
      </c>
      <c r="H1289" t="s">
        <v>7696</v>
      </c>
    </row>
    <row r="1290" spans="1:8" x14ac:dyDescent="0.25">
      <c r="A1290" t="s">
        <v>872</v>
      </c>
      <c r="B1290">
        <f>VLOOKUP(A1290,art_category_path_name!A:B,2,FALSE)</f>
        <v>1259</v>
      </c>
      <c r="C1290" t="s">
        <v>7697</v>
      </c>
      <c r="D1290" t="s">
        <v>7653</v>
      </c>
      <c r="E1290" t="s">
        <v>7698</v>
      </c>
      <c r="F1290" t="s">
        <v>7653</v>
      </c>
      <c r="G1290" t="s">
        <v>7699</v>
      </c>
      <c r="H1290" t="s">
        <v>7700</v>
      </c>
    </row>
    <row r="1291" spans="1:8" x14ac:dyDescent="0.25">
      <c r="A1291" t="s">
        <v>444</v>
      </c>
      <c r="B1291">
        <f>VLOOKUP(A1291,art_category_path_name!A:B,2,FALSE)</f>
        <v>1261</v>
      </c>
      <c r="C1291" t="s">
        <v>7701</v>
      </c>
      <c r="D1291" t="s">
        <v>7702</v>
      </c>
      <c r="F1291" t="s">
        <v>1834</v>
      </c>
      <c r="G1291" t="s">
        <v>7703</v>
      </c>
      <c r="H1291" t="s">
        <v>7704</v>
      </c>
    </row>
    <row r="1292" spans="1:8" x14ac:dyDescent="0.25">
      <c r="A1292" t="s">
        <v>445</v>
      </c>
      <c r="B1292">
        <f>VLOOKUP(A1292,art_category_path_name!A:B,2,FALSE)</f>
        <v>1262</v>
      </c>
      <c r="C1292" t="s">
        <v>7705</v>
      </c>
      <c r="D1292" t="s">
        <v>7706</v>
      </c>
      <c r="F1292" t="s">
        <v>1834</v>
      </c>
      <c r="G1292" t="s">
        <v>7707</v>
      </c>
      <c r="H1292" t="s">
        <v>7708</v>
      </c>
    </row>
    <row r="1293" spans="1:8" x14ac:dyDescent="0.25">
      <c r="A1293" t="s">
        <v>446</v>
      </c>
      <c r="B1293">
        <f>VLOOKUP(A1293,art_category_path_name!A:B,2,FALSE)</f>
        <v>1263</v>
      </c>
      <c r="C1293" t="s">
        <v>7709</v>
      </c>
      <c r="D1293" t="s">
        <v>7710</v>
      </c>
      <c r="E1293" t="s">
        <v>7711</v>
      </c>
      <c r="F1293" t="s">
        <v>7712</v>
      </c>
      <c r="G1293" t="s">
        <v>7713</v>
      </c>
      <c r="H1293" t="s">
        <v>7714</v>
      </c>
    </row>
    <row r="1294" spans="1:8" x14ac:dyDescent="0.25">
      <c r="A1294" t="s">
        <v>448</v>
      </c>
      <c r="B1294">
        <f>VLOOKUP(A1294,art_category_path_name!A:B,2,FALSE)</f>
        <v>1265</v>
      </c>
      <c r="C1294" t="s">
        <v>7715</v>
      </c>
      <c r="D1294" t="s">
        <v>7716</v>
      </c>
      <c r="E1294" t="s">
        <v>7717</v>
      </c>
      <c r="F1294" t="s">
        <v>7718</v>
      </c>
      <c r="G1294" t="s">
        <v>7719</v>
      </c>
      <c r="H1294" t="s">
        <v>7720</v>
      </c>
    </row>
    <row r="1295" spans="1:8" x14ac:dyDescent="0.25">
      <c r="A1295" t="s">
        <v>449</v>
      </c>
      <c r="B1295">
        <f>VLOOKUP(A1295,art_category_path_name!A:B,2,FALSE)</f>
        <v>1266</v>
      </c>
      <c r="C1295" t="s">
        <v>7721</v>
      </c>
      <c r="D1295" t="s">
        <v>7722</v>
      </c>
      <c r="E1295" t="s">
        <v>7723</v>
      </c>
      <c r="F1295" t="s">
        <v>7724</v>
      </c>
      <c r="G1295" t="s">
        <v>7725</v>
      </c>
      <c r="H1295" t="s">
        <v>7726</v>
      </c>
    </row>
    <row r="1296" spans="1:8" x14ac:dyDescent="0.25">
      <c r="A1296" t="s">
        <v>450</v>
      </c>
      <c r="B1296">
        <f>VLOOKUP(A1296,art_category_path_name!A:B,2,FALSE)</f>
        <v>1267</v>
      </c>
      <c r="C1296" t="s">
        <v>7727</v>
      </c>
      <c r="D1296" t="s">
        <v>7728</v>
      </c>
      <c r="E1296" t="s">
        <v>7729</v>
      </c>
      <c r="F1296" t="s">
        <v>7730</v>
      </c>
      <c r="G1296" t="s">
        <v>7731</v>
      </c>
      <c r="H1296" t="s">
        <v>7732</v>
      </c>
    </row>
    <row r="1297" spans="1:8" x14ac:dyDescent="0.25">
      <c r="A1297" t="s">
        <v>451</v>
      </c>
      <c r="B1297">
        <f>VLOOKUP(A1297,art_category_path_name!A:B,2,FALSE)</f>
        <v>1268</v>
      </c>
      <c r="C1297" t="s">
        <v>7733</v>
      </c>
      <c r="D1297" t="s">
        <v>7734</v>
      </c>
      <c r="E1297" t="s">
        <v>7735</v>
      </c>
      <c r="F1297" t="s">
        <v>7736</v>
      </c>
      <c r="G1297" t="s">
        <v>7737</v>
      </c>
      <c r="H1297" t="s">
        <v>7738</v>
      </c>
    </row>
    <row r="1298" spans="1:8" x14ac:dyDescent="0.25">
      <c r="A1298" t="s">
        <v>452</v>
      </c>
      <c r="B1298">
        <f>VLOOKUP(A1298,art_category_path_name!A:B,2,FALSE)</f>
        <v>1269</v>
      </c>
      <c r="C1298" t="s">
        <v>7739</v>
      </c>
      <c r="D1298" t="s">
        <v>7740</v>
      </c>
      <c r="E1298" t="s">
        <v>7741</v>
      </c>
      <c r="F1298" t="s">
        <v>7742</v>
      </c>
      <c r="G1298" t="s">
        <v>7743</v>
      </c>
      <c r="H1298" t="s">
        <v>7744</v>
      </c>
    </row>
    <row r="1299" spans="1:8" x14ac:dyDescent="0.25">
      <c r="A1299" t="s">
        <v>453</v>
      </c>
      <c r="B1299">
        <f>VLOOKUP(A1299,art_category_path_name!A:B,2,FALSE)</f>
        <v>1270</v>
      </c>
      <c r="C1299" t="s">
        <v>7745</v>
      </c>
      <c r="D1299" t="s">
        <v>7746</v>
      </c>
      <c r="E1299" t="s">
        <v>7747</v>
      </c>
      <c r="F1299" t="s">
        <v>7748</v>
      </c>
      <c r="G1299" t="s">
        <v>7749</v>
      </c>
      <c r="H1299" t="s">
        <v>7750</v>
      </c>
    </row>
    <row r="1300" spans="1:8" x14ac:dyDescent="0.25">
      <c r="A1300" t="s">
        <v>454</v>
      </c>
      <c r="B1300">
        <f>VLOOKUP(A1300,art_category_path_name!A:B,2,FALSE)</f>
        <v>1271</v>
      </c>
      <c r="C1300" t="s">
        <v>7751</v>
      </c>
      <c r="D1300" t="s">
        <v>7752</v>
      </c>
      <c r="E1300" t="s">
        <v>7753</v>
      </c>
      <c r="F1300" t="s">
        <v>7754</v>
      </c>
      <c r="G1300" t="s">
        <v>7755</v>
      </c>
      <c r="H1300" t="s">
        <v>7756</v>
      </c>
    </row>
    <row r="1301" spans="1:8" x14ac:dyDescent="0.25">
      <c r="A1301" t="s">
        <v>147</v>
      </c>
      <c r="B1301">
        <f>VLOOKUP(A1301,art_category_path_name!A:B,2,FALSE)</f>
        <v>1273</v>
      </c>
      <c r="C1301" t="s">
        <v>7757</v>
      </c>
      <c r="D1301" t="s">
        <v>7758</v>
      </c>
      <c r="E1301" t="s">
        <v>7759</v>
      </c>
      <c r="F1301" t="s">
        <v>7760</v>
      </c>
      <c r="G1301" t="s">
        <v>7761</v>
      </c>
      <c r="H1301" t="s">
        <v>7762</v>
      </c>
    </row>
    <row r="1302" spans="1:8" x14ac:dyDescent="0.25">
      <c r="A1302" t="s">
        <v>148</v>
      </c>
      <c r="B1302">
        <f>VLOOKUP(A1302,art_category_path_name!A:B,2,FALSE)</f>
        <v>1274</v>
      </c>
      <c r="C1302" t="s">
        <v>7763</v>
      </c>
      <c r="D1302" t="s">
        <v>7764</v>
      </c>
      <c r="F1302" t="s">
        <v>1834</v>
      </c>
      <c r="G1302" t="s">
        <v>7765</v>
      </c>
      <c r="H1302" t="s">
        <v>7766</v>
      </c>
    </row>
    <row r="1303" spans="1:8" x14ac:dyDescent="0.25">
      <c r="A1303" t="s">
        <v>149</v>
      </c>
      <c r="B1303">
        <f>VLOOKUP(A1303,art_category_path_name!A:B,2,FALSE)</f>
        <v>1275</v>
      </c>
      <c r="C1303" t="s">
        <v>7767</v>
      </c>
      <c r="D1303" t="s">
        <v>7768</v>
      </c>
      <c r="F1303" t="s">
        <v>1834</v>
      </c>
      <c r="G1303" t="s">
        <v>7769</v>
      </c>
      <c r="H1303" t="s">
        <v>7770</v>
      </c>
    </row>
    <row r="1304" spans="1:8" x14ac:dyDescent="0.25">
      <c r="A1304" t="s">
        <v>150</v>
      </c>
      <c r="B1304">
        <f>VLOOKUP(A1304,art_category_path_name!A:B,2,FALSE)</f>
        <v>1276</v>
      </c>
      <c r="C1304" t="s">
        <v>7771</v>
      </c>
      <c r="D1304" t="s">
        <v>7772</v>
      </c>
      <c r="F1304" t="s">
        <v>1834</v>
      </c>
      <c r="G1304" t="s">
        <v>7773</v>
      </c>
      <c r="H1304" t="s">
        <v>7774</v>
      </c>
    </row>
    <row r="1305" spans="1:8" x14ac:dyDescent="0.25">
      <c r="A1305" t="s">
        <v>151</v>
      </c>
      <c r="B1305">
        <f>VLOOKUP(A1305,art_category_path_name!A:B,2,FALSE)</f>
        <v>1277</v>
      </c>
      <c r="C1305" t="s">
        <v>7775</v>
      </c>
      <c r="D1305" t="s">
        <v>7776</v>
      </c>
      <c r="F1305" t="s">
        <v>1834</v>
      </c>
      <c r="G1305" t="s">
        <v>7777</v>
      </c>
      <c r="H1305" t="s">
        <v>7778</v>
      </c>
    </row>
    <row r="1306" spans="1:8" x14ac:dyDescent="0.25">
      <c r="A1306" t="s">
        <v>1245</v>
      </c>
      <c r="B1306">
        <f>VLOOKUP(A1306,art_category_path_name!A:B,2,FALSE)</f>
        <v>1279</v>
      </c>
      <c r="C1306" t="s">
        <v>7779</v>
      </c>
      <c r="D1306" t="s">
        <v>7780</v>
      </c>
      <c r="E1306" t="s">
        <v>7781</v>
      </c>
      <c r="F1306" t="s">
        <v>7782</v>
      </c>
      <c r="G1306" t="s">
        <v>7783</v>
      </c>
      <c r="H1306" t="s">
        <v>7784</v>
      </c>
    </row>
    <row r="1307" spans="1:8" x14ac:dyDescent="0.25">
      <c r="A1307" t="s">
        <v>1246</v>
      </c>
      <c r="B1307">
        <f>VLOOKUP(A1307,art_category_path_name!A:B,2,FALSE)</f>
        <v>1280</v>
      </c>
      <c r="C1307" t="s">
        <v>7785</v>
      </c>
      <c r="D1307" t="s">
        <v>7786</v>
      </c>
      <c r="F1307" t="s">
        <v>1834</v>
      </c>
      <c r="G1307" t="s">
        <v>7787</v>
      </c>
      <c r="H1307" t="s">
        <v>7788</v>
      </c>
    </row>
    <row r="1308" spans="1:8" x14ac:dyDescent="0.25">
      <c r="A1308" t="s">
        <v>1247</v>
      </c>
      <c r="B1308">
        <f>VLOOKUP(A1308,art_category_path_name!A:B,2,FALSE)</f>
        <v>1281</v>
      </c>
      <c r="C1308" t="s">
        <v>7789</v>
      </c>
      <c r="D1308" t="s">
        <v>7790</v>
      </c>
      <c r="F1308" t="s">
        <v>1834</v>
      </c>
      <c r="G1308" t="s">
        <v>7791</v>
      </c>
      <c r="H1308" t="s">
        <v>7792</v>
      </c>
    </row>
    <row r="1309" spans="1:8" x14ac:dyDescent="0.25">
      <c r="A1309" t="s">
        <v>1248</v>
      </c>
      <c r="B1309">
        <f>VLOOKUP(A1309,art_category_path_name!A:B,2,FALSE)</f>
        <v>1282</v>
      </c>
      <c r="C1309" t="s">
        <v>7793</v>
      </c>
      <c r="D1309" t="s">
        <v>7794</v>
      </c>
      <c r="E1309" t="s">
        <v>7795</v>
      </c>
      <c r="F1309" t="s">
        <v>7796</v>
      </c>
      <c r="G1309" t="s">
        <v>7797</v>
      </c>
      <c r="H1309" t="s">
        <v>7798</v>
      </c>
    </row>
    <row r="1310" spans="1:8" x14ac:dyDescent="0.25">
      <c r="A1310" t="s">
        <v>1249</v>
      </c>
      <c r="B1310">
        <f>VLOOKUP(A1310,art_category_path_name!A:B,2,FALSE)</f>
        <v>1283</v>
      </c>
      <c r="C1310" t="s">
        <v>7799</v>
      </c>
      <c r="D1310" t="s">
        <v>7800</v>
      </c>
      <c r="E1310" s="1">
        <v>42802</v>
      </c>
      <c r="F1310" s="1">
        <v>42802</v>
      </c>
      <c r="G1310" t="s">
        <v>7801</v>
      </c>
      <c r="H1310" t="s">
        <v>7802</v>
      </c>
    </row>
    <row r="1311" spans="1:8" x14ac:dyDescent="0.25">
      <c r="A1311" t="s">
        <v>1250</v>
      </c>
      <c r="B1311">
        <f>VLOOKUP(A1311,art_category_path_name!A:B,2,FALSE)</f>
        <v>1284</v>
      </c>
      <c r="C1311" t="s">
        <v>7803</v>
      </c>
      <c r="D1311" t="s">
        <v>7804</v>
      </c>
      <c r="E1311" t="s">
        <v>7805</v>
      </c>
      <c r="F1311" t="s">
        <v>7806</v>
      </c>
      <c r="G1311" t="s">
        <v>7797</v>
      </c>
      <c r="H1311" t="s">
        <v>7807</v>
      </c>
    </row>
    <row r="1312" spans="1:8" x14ac:dyDescent="0.25">
      <c r="A1312" t="s">
        <v>1251</v>
      </c>
      <c r="B1312">
        <f>VLOOKUP(A1312,art_category_path_name!A:B,2,FALSE)</f>
        <v>1285</v>
      </c>
      <c r="C1312" t="s">
        <v>7808</v>
      </c>
      <c r="D1312" t="s">
        <v>7809</v>
      </c>
      <c r="F1312" t="s">
        <v>1834</v>
      </c>
      <c r="G1312" t="s">
        <v>7810</v>
      </c>
      <c r="H1312" t="s">
        <v>7811</v>
      </c>
    </row>
    <row r="1313" spans="1:8" x14ac:dyDescent="0.25">
      <c r="A1313" t="s">
        <v>1253</v>
      </c>
      <c r="B1313">
        <f>VLOOKUP(A1313,art_category_path_name!A:B,2,FALSE)</f>
        <v>1287</v>
      </c>
      <c r="C1313" t="s">
        <v>7812</v>
      </c>
      <c r="D1313" t="s">
        <v>7813</v>
      </c>
      <c r="E1313" t="s">
        <v>7814</v>
      </c>
      <c r="F1313" t="s">
        <v>7813</v>
      </c>
      <c r="G1313" t="s">
        <v>7815</v>
      </c>
      <c r="H1313" t="s">
        <v>7816</v>
      </c>
    </row>
    <row r="1314" spans="1:8" x14ac:dyDescent="0.25">
      <c r="A1314" t="s">
        <v>1254</v>
      </c>
      <c r="B1314">
        <f>VLOOKUP(A1314,art_category_path_name!A:B,2,FALSE)</f>
        <v>1288</v>
      </c>
      <c r="C1314" t="s">
        <v>7817</v>
      </c>
      <c r="D1314" t="s">
        <v>7818</v>
      </c>
      <c r="E1314" t="s">
        <v>7819</v>
      </c>
      <c r="F1314" t="s">
        <v>7818</v>
      </c>
      <c r="G1314" t="s">
        <v>7820</v>
      </c>
      <c r="H1314" t="s">
        <v>7821</v>
      </c>
    </row>
    <row r="1315" spans="1:8" x14ac:dyDescent="0.25">
      <c r="A1315" t="s">
        <v>1255</v>
      </c>
      <c r="B1315">
        <f>VLOOKUP(A1315,art_category_path_name!A:B,2,FALSE)</f>
        <v>1289</v>
      </c>
      <c r="C1315" t="s">
        <v>7822</v>
      </c>
      <c r="D1315" t="s">
        <v>7823</v>
      </c>
      <c r="E1315" t="s">
        <v>7824</v>
      </c>
      <c r="F1315" t="s">
        <v>7825</v>
      </c>
      <c r="G1315" t="s">
        <v>7826</v>
      </c>
      <c r="H1315" t="s">
        <v>7827</v>
      </c>
    </row>
    <row r="1316" spans="1:8" x14ac:dyDescent="0.25">
      <c r="A1316" t="s">
        <v>1256</v>
      </c>
      <c r="B1316">
        <f>VLOOKUP(A1316,art_category_path_name!A:B,2,FALSE)</f>
        <v>1290</v>
      </c>
      <c r="C1316" t="s">
        <v>7828</v>
      </c>
      <c r="D1316" t="s">
        <v>7829</v>
      </c>
      <c r="E1316" t="s">
        <v>7830</v>
      </c>
      <c r="F1316" t="s">
        <v>7829</v>
      </c>
      <c r="G1316" t="s">
        <v>7831</v>
      </c>
      <c r="H1316" t="s">
        <v>7832</v>
      </c>
    </row>
    <row r="1317" spans="1:8" x14ac:dyDescent="0.25">
      <c r="A1317" t="s">
        <v>1257</v>
      </c>
      <c r="B1317">
        <f>VLOOKUP(A1317,art_category_path_name!A:B,2,FALSE)</f>
        <v>1291</v>
      </c>
      <c r="C1317" t="s">
        <v>7833</v>
      </c>
      <c r="D1317" t="s">
        <v>7834</v>
      </c>
      <c r="E1317" t="s">
        <v>7835</v>
      </c>
      <c r="F1317" t="s">
        <v>7834</v>
      </c>
      <c r="G1317" t="s">
        <v>7836</v>
      </c>
      <c r="H1317" t="s">
        <v>7837</v>
      </c>
    </row>
    <row r="1318" spans="1:8" x14ac:dyDescent="0.25">
      <c r="A1318" t="s">
        <v>456</v>
      </c>
      <c r="B1318">
        <f>VLOOKUP(A1318,art_category_path_name!A:B,2,FALSE)</f>
        <v>1293</v>
      </c>
      <c r="C1318" t="s">
        <v>7838</v>
      </c>
      <c r="D1318" t="s">
        <v>7839</v>
      </c>
      <c r="F1318" t="s">
        <v>1834</v>
      </c>
      <c r="G1318" t="s">
        <v>7713</v>
      </c>
      <c r="H1318" t="s">
        <v>7840</v>
      </c>
    </row>
    <row r="1319" spans="1:8" x14ac:dyDescent="0.25">
      <c r="A1319" t="s">
        <v>457</v>
      </c>
      <c r="B1319">
        <f>VLOOKUP(A1319,art_category_path_name!A:B,2,FALSE)</f>
        <v>1294</v>
      </c>
      <c r="C1319" t="s">
        <v>7841</v>
      </c>
      <c r="D1319" t="s">
        <v>7842</v>
      </c>
      <c r="F1319" t="s">
        <v>1834</v>
      </c>
      <c r="G1319" t="s">
        <v>7843</v>
      </c>
      <c r="H1319" t="s">
        <v>7844</v>
      </c>
    </row>
    <row r="1320" spans="1:8" x14ac:dyDescent="0.25">
      <c r="A1320" t="s">
        <v>458</v>
      </c>
      <c r="B1320">
        <f>VLOOKUP(A1320,art_category_path_name!A:B,2,FALSE)</f>
        <v>1295</v>
      </c>
      <c r="C1320" t="s">
        <v>7845</v>
      </c>
      <c r="D1320" t="s">
        <v>7846</v>
      </c>
      <c r="E1320" t="s">
        <v>7847</v>
      </c>
      <c r="F1320" t="s">
        <v>7848</v>
      </c>
      <c r="G1320" t="s">
        <v>7849</v>
      </c>
      <c r="H1320" t="s">
        <v>7850</v>
      </c>
    </row>
    <row r="1321" spans="1:8" x14ac:dyDescent="0.25">
      <c r="A1321" t="s">
        <v>778</v>
      </c>
      <c r="B1321">
        <f>VLOOKUP(A1321,art_category_path_name!A:B,2,FALSE)</f>
        <v>1297</v>
      </c>
      <c r="C1321" t="s">
        <v>7851</v>
      </c>
      <c r="D1321" t="s">
        <v>7852</v>
      </c>
      <c r="E1321" t="s">
        <v>7853</v>
      </c>
      <c r="F1321" t="s">
        <v>7854</v>
      </c>
      <c r="G1321" t="s">
        <v>7855</v>
      </c>
      <c r="H1321" t="s">
        <v>7856</v>
      </c>
    </row>
    <row r="1322" spans="1:8" x14ac:dyDescent="0.25">
      <c r="A1322" t="s">
        <v>779</v>
      </c>
      <c r="B1322">
        <f>VLOOKUP(A1322,art_category_path_name!A:B,2,FALSE)</f>
        <v>1298</v>
      </c>
      <c r="C1322" t="s">
        <v>7857</v>
      </c>
      <c r="D1322" t="s">
        <v>7858</v>
      </c>
      <c r="E1322" t="s">
        <v>7859</v>
      </c>
      <c r="F1322" t="s">
        <v>7860</v>
      </c>
      <c r="G1322" t="s">
        <v>7861</v>
      </c>
      <c r="H1322" t="s">
        <v>7862</v>
      </c>
    </row>
    <row r="1323" spans="1:8" x14ac:dyDescent="0.25">
      <c r="A1323" t="s">
        <v>642</v>
      </c>
      <c r="B1323">
        <f>VLOOKUP(A1323,art_category_path_name!A:B,2,FALSE)</f>
        <v>1300</v>
      </c>
      <c r="C1323" t="s">
        <v>7863</v>
      </c>
      <c r="D1323" t="s">
        <v>7864</v>
      </c>
      <c r="E1323" t="s">
        <v>7865</v>
      </c>
      <c r="F1323" t="s">
        <v>7866</v>
      </c>
      <c r="G1323" t="s">
        <v>7867</v>
      </c>
      <c r="H1323" t="s">
        <v>7868</v>
      </c>
    </row>
    <row r="1324" spans="1:8" x14ac:dyDescent="0.25">
      <c r="A1324" t="s">
        <v>950</v>
      </c>
      <c r="B1324">
        <f>VLOOKUP(A1324,art_category_path_name!A:B,2,FALSE)</f>
        <v>1301</v>
      </c>
      <c r="C1324" t="s">
        <v>7869</v>
      </c>
      <c r="D1324" t="s">
        <v>7870</v>
      </c>
      <c r="E1324" t="s">
        <v>7871</v>
      </c>
      <c r="F1324" t="s">
        <v>7872</v>
      </c>
      <c r="G1324" t="s">
        <v>7873</v>
      </c>
      <c r="H1324" t="s">
        <v>7874</v>
      </c>
    </row>
    <row r="1325" spans="1:8" x14ac:dyDescent="0.25">
      <c r="A1325" t="s">
        <v>951</v>
      </c>
      <c r="B1325">
        <f>VLOOKUP(A1325,art_category_path_name!A:B,2,FALSE)</f>
        <v>1302</v>
      </c>
      <c r="C1325" t="s">
        <v>7875</v>
      </c>
      <c r="D1325" t="s">
        <v>7876</v>
      </c>
      <c r="E1325" t="s">
        <v>7877</v>
      </c>
      <c r="F1325" t="s">
        <v>7878</v>
      </c>
      <c r="G1325" t="s">
        <v>7879</v>
      </c>
      <c r="H1325" t="s">
        <v>7880</v>
      </c>
    </row>
    <row r="1326" spans="1:8" x14ac:dyDescent="0.25">
      <c r="A1326" t="s">
        <v>952</v>
      </c>
      <c r="B1326">
        <f>VLOOKUP(A1326,art_category_path_name!A:B,2,FALSE)</f>
        <v>1303</v>
      </c>
      <c r="C1326" t="s">
        <v>7881</v>
      </c>
      <c r="D1326" t="s">
        <v>7882</v>
      </c>
      <c r="E1326" t="s">
        <v>7883</v>
      </c>
      <c r="F1326" t="s">
        <v>7884</v>
      </c>
      <c r="G1326" t="s">
        <v>7885</v>
      </c>
      <c r="H1326" t="s">
        <v>7886</v>
      </c>
    </row>
    <row r="1327" spans="1:8" x14ac:dyDescent="0.25">
      <c r="A1327" t="s">
        <v>953</v>
      </c>
      <c r="B1327">
        <f>VLOOKUP(A1327,art_category_path_name!A:B,2,FALSE)</f>
        <v>1304</v>
      </c>
      <c r="C1327" t="s">
        <v>7887</v>
      </c>
      <c r="D1327" t="s">
        <v>7888</v>
      </c>
      <c r="E1327" t="s">
        <v>7889</v>
      </c>
      <c r="F1327" t="s">
        <v>7890</v>
      </c>
      <c r="G1327" t="s">
        <v>7891</v>
      </c>
      <c r="H1327" t="s">
        <v>7892</v>
      </c>
    </row>
    <row r="1328" spans="1:8" x14ac:dyDescent="0.25">
      <c r="A1328" t="s">
        <v>954</v>
      </c>
      <c r="B1328">
        <f>VLOOKUP(A1328,art_category_path_name!A:B,2,FALSE)</f>
        <v>1305</v>
      </c>
      <c r="C1328" t="s">
        <v>7893</v>
      </c>
      <c r="D1328" t="s">
        <v>7894</v>
      </c>
      <c r="E1328" t="s">
        <v>7895</v>
      </c>
      <c r="F1328" t="s">
        <v>7896</v>
      </c>
      <c r="G1328" t="s">
        <v>7897</v>
      </c>
      <c r="H1328" t="s">
        <v>7898</v>
      </c>
    </row>
    <row r="1329" spans="1:8" x14ac:dyDescent="0.25">
      <c r="A1329" t="s">
        <v>955</v>
      </c>
      <c r="B1329">
        <f>VLOOKUP(A1329,art_category_path_name!A:B,2,FALSE)</f>
        <v>1306</v>
      </c>
      <c r="C1329" t="s">
        <v>7899</v>
      </c>
      <c r="D1329" t="s">
        <v>7900</v>
      </c>
      <c r="E1329" t="s">
        <v>7901</v>
      </c>
      <c r="F1329" t="s">
        <v>7902</v>
      </c>
      <c r="G1329" t="s">
        <v>7903</v>
      </c>
      <c r="H1329" t="s">
        <v>7904</v>
      </c>
    </row>
    <row r="1330" spans="1:8" x14ac:dyDescent="0.25">
      <c r="A1330" t="s">
        <v>956</v>
      </c>
      <c r="B1330">
        <f>VLOOKUP(A1330,art_category_path_name!A:B,2,FALSE)</f>
        <v>1307</v>
      </c>
      <c r="C1330" t="s">
        <v>7905</v>
      </c>
      <c r="D1330" t="s">
        <v>7906</v>
      </c>
      <c r="E1330" t="s">
        <v>7907</v>
      </c>
      <c r="F1330" t="s">
        <v>7908</v>
      </c>
      <c r="G1330" t="s">
        <v>7909</v>
      </c>
      <c r="H1330" t="s">
        <v>7910</v>
      </c>
    </row>
    <row r="1331" spans="1:8" x14ac:dyDescent="0.25">
      <c r="A1331" t="s">
        <v>957</v>
      </c>
      <c r="B1331">
        <f>VLOOKUP(A1331,art_category_path_name!A:B,2,FALSE)</f>
        <v>1308</v>
      </c>
      <c r="C1331" t="s">
        <v>7911</v>
      </c>
      <c r="D1331" t="s">
        <v>7912</v>
      </c>
      <c r="E1331" t="s">
        <v>7913</v>
      </c>
      <c r="F1331" t="s">
        <v>7914</v>
      </c>
      <c r="G1331" t="s">
        <v>7915</v>
      </c>
      <c r="H1331" t="s">
        <v>7916</v>
      </c>
    </row>
    <row r="1332" spans="1:8" x14ac:dyDescent="0.25">
      <c r="A1332" t="s">
        <v>958</v>
      </c>
      <c r="B1332">
        <f>VLOOKUP(A1332,art_category_path_name!A:B,2,FALSE)</f>
        <v>1309</v>
      </c>
      <c r="C1332" t="s">
        <v>7917</v>
      </c>
      <c r="D1332" t="s">
        <v>7918</v>
      </c>
      <c r="E1332" t="s">
        <v>7919</v>
      </c>
      <c r="F1332" t="s">
        <v>7920</v>
      </c>
      <c r="G1332" t="s">
        <v>7921</v>
      </c>
      <c r="H1332" t="s">
        <v>7922</v>
      </c>
    </row>
    <row r="1333" spans="1:8" x14ac:dyDescent="0.25">
      <c r="A1333" t="s">
        <v>959</v>
      </c>
      <c r="B1333">
        <f>VLOOKUP(A1333,art_category_path_name!A:B,2,FALSE)</f>
        <v>1310</v>
      </c>
      <c r="C1333" t="s">
        <v>7923</v>
      </c>
      <c r="D1333" t="s">
        <v>7924</v>
      </c>
      <c r="E1333" t="s">
        <v>7925</v>
      </c>
      <c r="F1333" t="s">
        <v>7926</v>
      </c>
      <c r="G1333" t="s">
        <v>7927</v>
      </c>
      <c r="H1333" t="s">
        <v>7928</v>
      </c>
    </row>
    <row r="1334" spans="1:8" x14ac:dyDescent="0.25">
      <c r="A1334" t="s">
        <v>960</v>
      </c>
      <c r="B1334">
        <f>VLOOKUP(A1334,art_category_path_name!A:B,2,FALSE)</f>
        <v>1311</v>
      </c>
      <c r="C1334" t="s">
        <v>7929</v>
      </c>
      <c r="D1334" t="s">
        <v>7930</v>
      </c>
      <c r="E1334" t="s">
        <v>7931</v>
      </c>
      <c r="F1334" t="s">
        <v>7932</v>
      </c>
      <c r="G1334" t="s">
        <v>7933</v>
      </c>
      <c r="H1334" t="s">
        <v>7934</v>
      </c>
    </row>
    <row r="1335" spans="1:8" x14ac:dyDescent="0.25">
      <c r="A1335" t="s">
        <v>392</v>
      </c>
      <c r="B1335">
        <f>VLOOKUP(A1335,art_category_path_name!A:B,2,FALSE)</f>
        <v>1312</v>
      </c>
      <c r="C1335" t="s">
        <v>7935</v>
      </c>
      <c r="D1335" t="s">
        <v>7936</v>
      </c>
      <c r="E1335" t="s">
        <v>7937</v>
      </c>
      <c r="F1335" t="s">
        <v>7938</v>
      </c>
      <c r="G1335" t="s">
        <v>7939</v>
      </c>
      <c r="H1335" t="s">
        <v>7940</v>
      </c>
    </row>
    <row r="1336" spans="1:8" x14ac:dyDescent="0.25">
      <c r="A1336" t="s">
        <v>393</v>
      </c>
      <c r="B1336">
        <f>VLOOKUP(A1336,art_category_path_name!A:B,2,FALSE)</f>
        <v>1313</v>
      </c>
      <c r="C1336" t="s">
        <v>7941</v>
      </c>
      <c r="D1336" t="s">
        <v>7942</v>
      </c>
      <c r="E1336" t="s">
        <v>7943</v>
      </c>
      <c r="F1336" t="s">
        <v>7942</v>
      </c>
      <c r="G1336" t="s">
        <v>7944</v>
      </c>
      <c r="H1336" t="s">
        <v>7945</v>
      </c>
    </row>
    <row r="1337" spans="1:8" x14ac:dyDescent="0.25">
      <c r="A1337" t="s">
        <v>913</v>
      </c>
      <c r="B1337">
        <f>VLOOKUP(A1337,art_category_path_name!A:B,2,FALSE)</f>
        <v>1315</v>
      </c>
      <c r="C1337" t="s">
        <v>7946</v>
      </c>
      <c r="D1337" t="s">
        <v>7947</v>
      </c>
      <c r="E1337" t="s">
        <v>7948</v>
      </c>
      <c r="F1337" t="s">
        <v>7949</v>
      </c>
      <c r="G1337" t="s">
        <v>7950</v>
      </c>
      <c r="H1337" t="s">
        <v>7951</v>
      </c>
    </row>
    <row r="1338" spans="1:8" x14ac:dyDescent="0.25">
      <c r="A1338" t="s">
        <v>153</v>
      </c>
      <c r="B1338">
        <f>VLOOKUP(A1338,art_category_path_name!A:B,2,FALSE)</f>
        <v>1317</v>
      </c>
      <c r="C1338" t="s">
        <v>7952</v>
      </c>
      <c r="D1338" t="s">
        <v>7953</v>
      </c>
      <c r="F1338" t="s">
        <v>1834</v>
      </c>
      <c r="G1338" t="s">
        <v>7954</v>
      </c>
      <c r="H1338" t="s">
        <v>7955</v>
      </c>
    </row>
    <row r="1339" spans="1:8" x14ac:dyDescent="0.25">
      <c r="A1339" t="s">
        <v>154</v>
      </c>
      <c r="B1339">
        <f>VLOOKUP(A1339,art_category_path_name!A:B,2,FALSE)</f>
        <v>1318</v>
      </c>
      <c r="C1339" t="s">
        <v>7956</v>
      </c>
      <c r="D1339" t="s">
        <v>7957</v>
      </c>
      <c r="F1339" t="s">
        <v>1834</v>
      </c>
      <c r="G1339" t="s">
        <v>7958</v>
      </c>
      <c r="H1339" t="s">
        <v>7959</v>
      </c>
    </row>
    <row r="1340" spans="1:8" x14ac:dyDescent="0.25">
      <c r="A1340" t="s">
        <v>1018</v>
      </c>
      <c r="B1340">
        <f>VLOOKUP(A1340,art_category_path_name!A:B,2,FALSE)</f>
        <v>1320</v>
      </c>
      <c r="C1340" t="s">
        <v>7960</v>
      </c>
      <c r="D1340" t="s">
        <v>7961</v>
      </c>
      <c r="F1340" t="s">
        <v>1834</v>
      </c>
      <c r="G1340" t="s">
        <v>7962</v>
      </c>
      <c r="H1340" t="s">
        <v>7963</v>
      </c>
    </row>
    <row r="1341" spans="1:8" x14ac:dyDescent="0.25">
      <c r="A1341" t="s">
        <v>1019</v>
      </c>
      <c r="B1341">
        <f>VLOOKUP(A1341,art_category_path_name!A:B,2,FALSE)</f>
        <v>1321</v>
      </c>
      <c r="C1341" t="s">
        <v>7964</v>
      </c>
      <c r="D1341" t="s">
        <v>7965</v>
      </c>
      <c r="F1341" t="s">
        <v>1834</v>
      </c>
      <c r="G1341" t="s">
        <v>7966</v>
      </c>
      <c r="H1341" t="s">
        <v>7967</v>
      </c>
    </row>
    <row r="1342" spans="1:8" x14ac:dyDescent="0.25">
      <c r="A1342" t="s">
        <v>1020</v>
      </c>
      <c r="B1342">
        <f>VLOOKUP(A1342,art_category_path_name!A:B,2,FALSE)</f>
        <v>1322</v>
      </c>
      <c r="C1342" t="s">
        <v>7968</v>
      </c>
      <c r="D1342" t="s">
        <v>7969</v>
      </c>
      <c r="F1342" t="s">
        <v>1834</v>
      </c>
      <c r="G1342" t="s">
        <v>7970</v>
      </c>
      <c r="H1342" t="s">
        <v>7971</v>
      </c>
    </row>
    <row r="1343" spans="1:8" x14ac:dyDescent="0.25">
      <c r="A1343" t="s">
        <v>1021</v>
      </c>
      <c r="B1343">
        <f>VLOOKUP(A1343,art_category_path_name!A:B,2,FALSE)</f>
        <v>1323</v>
      </c>
      <c r="C1343" t="s">
        <v>7972</v>
      </c>
      <c r="D1343" t="s">
        <v>7973</v>
      </c>
      <c r="F1343" t="s">
        <v>1834</v>
      </c>
      <c r="G1343" t="s">
        <v>7974</v>
      </c>
      <c r="H1343" t="s">
        <v>7975</v>
      </c>
    </row>
    <row r="1344" spans="1:8" x14ac:dyDescent="0.25">
      <c r="A1344" t="s">
        <v>1022</v>
      </c>
      <c r="B1344">
        <f>VLOOKUP(A1344,art_category_path_name!A:B,2,FALSE)</f>
        <v>1324</v>
      </c>
      <c r="C1344" t="s">
        <v>7976</v>
      </c>
      <c r="D1344" t="s">
        <v>7977</v>
      </c>
      <c r="F1344" t="s">
        <v>1834</v>
      </c>
      <c r="G1344" t="s">
        <v>7978</v>
      </c>
      <c r="H1344" t="s">
        <v>7979</v>
      </c>
    </row>
    <row r="1345" spans="1:8" x14ac:dyDescent="0.25">
      <c r="A1345" t="s">
        <v>1023</v>
      </c>
      <c r="B1345">
        <f>VLOOKUP(A1345,art_category_path_name!A:B,2,FALSE)</f>
        <v>1325</v>
      </c>
      <c r="C1345" t="s">
        <v>7980</v>
      </c>
      <c r="D1345" t="s">
        <v>7981</v>
      </c>
      <c r="F1345" t="s">
        <v>1834</v>
      </c>
      <c r="G1345" t="s">
        <v>7982</v>
      </c>
      <c r="H1345" t="s">
        <v>7983</v>
      </c>
    </row>
    <row r="1346" spans="1:8" x14ac:dyDescent="0.25">
      <c r="A1346" t="s">
        <v>1024</v>
      </c>
      <c r="B1346">
        <f>VLOOKUP(A1346,art_category_path_name!A:B,2,FALSE)</f>
        <v>1326</v>
      </c>
      <c r="C1346" t="s">
        <v>7984</v>
      </c>
      <c r="D1346" t="s">
        <v>7985</v>
      </c>
      <c r="F1346" t="s">
        <v>1834</v>
      </c>
      <c r="G1346" t="s">
        <v>7986</v>
      </c>
      <c r="H1346" t="s">
        <v>7987</v>
      </c>
    </row>
    <row r="1347" spans="1:8" x14ac:dyDescent="0.25">
      <c r="A1347" t="s">
        <v>1025</v>
      </c>
      <c r="B1347">
        <f>VLOOKUP(A1347,art_category_path_name!A:B,2,FALSE)</f>
        <v>1327</v>
      </c>
      <c r="C1347" t="s">
        <v>7988</v>
      </c>
      <c r="D1347" t="s">
        <v>7989</v>
      </c>
      <c r="F1347" t="s">
        <v>1834</v>
      </c>
      <c r="G1347" t="s">
        <v>7990</v>
      </c>
      <c r="H1347" t="s">
        <v>7991</v>
      </c>
    </row>
    <row r="1348" spans="1:8" x14ac:dyDescent="0.25">
      <c r="A1348" t="s">
        <v>1026</v>
      </c>
      <c r="B1348">
        <f>VLOOKUP(A1348,art_category_path_name!A:B,2,FALSE)</f>
        <v>1328</v>
      </c>
      <c r="C1348" t="s">
        <v>7992</v>
      </c>
      <c r="D1348" t="s">
        <v>7993</v>
      </c>
      <c r="F1348" t="s">
        <v>1834</v>
      </c>
      <c r="G1348" t="s">
        <v>7994</v>
      </c>
      <c r="H1348" t="s">
        <v>7995</v>
      </c>
    </row>
    <row r="1349" spans="1:8" x14ac:dyDescent="0.25">
      <c r="A1349" t="s">
        <v>1027</v>
      </c>
      <c r="B1349">
        <f>VLOOKUP(A1349,art_category_path_name!A:B,2,FALSE)</f>
        <v>1329</v>
      </c>
      <c r="C1349" t="s">
        <v>7996</v>
      </c>
      <c r="D1349" t="s">
        <v>7997</v>
      </c>
      <c r="F1349" t="s">
        <v>1834</v>
      </c>
      <c r="G1349" t="s">
        <v>7998</v>
      </c>
      <c r="H1349" t="s">
        <v>7999</v>
      </c>
    </row>
    <row r="1350" spans="1:8" x14ac:dyDescent="0.25">
      <c r="A1350" t="s">
        <v>1028</v>
      </c>
      <c r="B1350">
        <f>VLOOKUP(A1350,art_category_path_name!A:B,2,FALSE)</f>
        <v>1330</v>
      </c>
      <c r="C1350" t="s">
        <v>8000</v>
      </c>
      <c r="D1350" t="s">
        <v>8001</v>
      </c>
      <c r="F1350" t="s">
        <v>1834</v>
      </c>
      <c r="G1350" t="s">
        <v>8002</v>
      </c>
      <c r="H1350" t="s">
        <v>8003</v>
      </c>
    </row>
    <row r="1351" spans="1:8" x14ac:dyDescent="0.25">
      <c r="A1351" t="s">
        <v>1029</v>
      </c>
      <c r="B1351">
        <f>VLOOKUP(A1351,art_category_path_name!A:B,2,FALSE)</f>
        <v>1331</v>
      </c>
      <c r="C1351" t="s">
        <v>8004</v>
      </c>
      <c r="D1351" t="s">
        <v>8005</v>
      </c>
      <c r="F1351" t="s">
        <v>1834</v>
      </c>
      <c r="G1351" t="s">
        <v>8006</v>
      </c>
      <c r="H1351" t="s">
        <v>8007</v>
      </c>
    </row>
    <row r="1352" spans="1:8" x14ac:dyDescent="0.25">
      <c r="A1352" t="s">
        <v>1030</v>
      </c>
      <c r="B1352">
        <f>VLOOKUP(A1352,art_category_path_name!A:B,2,FALSE)</f>
        <v>1332</v>
      </c>
      <c r="C1352" t="s">
        <v>8008</v>
      </c>
      <c r="D1352" t="s">
        <v>8009</v>
      </c>
      <c r="F1352" t="s">
        <v>1834</v>
      </c>
      <c r="G1352" t="s">
        <v>8010</v>
      </c>
      <c r="H1352" t="s">
        <v>8011</v>
      </c>
    </row>
    <row r="1353" spans="1:8" x14ac:dyDescent="0.25">
      <c r="A1353" t="s">
        <v>278</v>
      </c>
      <c r="B1353">
        <f>VLOOKUP(A1353,art_category_path_name!A:B,2,FALSE)</f>
        <v>1334</v>
      </c>
      <c r="C1353" t="s">
        <v>8012</v>
      </c>
      <c r="D1353" t="s">
        <v>8013</v>
      </c>
      <c r="F1353" t="s">
        <v>1834</v>
      </c>
      <c r="G1353" t="s">
        <v>8014</v>
      </c>
      <c r="H1353" t="s">
        <v>8015</v>
      </c>
    </row>
    <row r="1354" spans="1:8" x14ac:dyDescent="0.25">
      <c r="A1354" t="s">
        <v>279</v>
      </c>
      <c r="B1354">
        <f>VLOOKUP(A1354,art_category_path_name!A:B,2,FALSE)</f>
        <v>1335</v>
      </c>
      <c r="C1354" t="s">
        <v>8016</v>
      </c>
      <c r="D1354" t="s">
        <v>8017</v>
      </c>
      <c r="F1354" t="s">
        <v>1834</v>
      </c>
      <c r="G1354" t="s">
        <v>8018</v>
      </c>
      <c r="H1354" t="s">
        <v>8019</v>
      </c>
    </row>
    <row r="1355" spans="1:8" x14ac:dyDescent="0.25">
      <c r="A1355" t="s">
        <v>280</v>
      </c>
      <c r="B1355">
        <f>VLOOKUP(A1355,art_category_path_name!A:B,2,FALSE)</f>
        <v>1336</v>
      </c>
      <c r="C1355" t="s">
        <v>8020</v>
      </c>
      <c r="D1355" t="s">
        <v>8021</v>
      </c>
      <c r="F1355" t="s">
        <v>1834</v>
      </c>
      <c r="G1355" t="s">
        <v>8022</v>
      </c>
      <c r="H1355" t="s">
        <v>8023</v>
      </c>
    </row>
    <row r="1356" spans="1:8" x14ac:dyDescent="0.25">
      <c r="A1356" t="s">
        <v>281</v>
      </c>
      <c r="B1356">
        <f>VLOOKUP(A1356,art_category_path_name!A:B,2,FALSE)</f>
        <v>1337</v>
      </c>
      <c r="C1356" t="s">
        <v>8024</v>
      </c>
      <c r="D1356" t="s">
        <v>8025</v>
      </c>
      <c r="F1356" t="s">
        <v>1834</v>
      </c>
      <c r="G1356" t="s">
        <v>8026</v>
      </c>
      <c r="H1356" t="s">
        <v>8027</v>
      </c>
    </row>
    <row r="1357" spans="1:8" x14ac:dyDescent="0.25">
      <c r="A1357" t="s">
        <v>282</v>
      </c>
      <c r="B1357">
        <f>VLOOKUP(A1357,art_category_path_name!A:B,2,FALSE)</f>
        <v>1338</v>
      </c>
      <c r="C1357" t="s">
        <v>8028</v>
      </c>
      <c r="D1357" t="s">
        <v>8029</v>
      </c>
      <c r="F1357" t="s">
        <v>1834</v>
      </c>
      <c r="G1357" t="s">
        <v>8030</v>
      </c>
      <c r="H1357" t="s">
        <v>8031</v>
      </c>
    </row>
    <row r="1358" spans="1:8" x14ac:dyDescent="0.25">
      <c r="A1358" t="s">
        <v>283</v>
      </c>
      <c r="B1358">
        <f>VLOOKUP(A1358,art_category_path_name!A:B,2,FALSE)</f>
        <v>1339</v>
      </c>
      <c r="C1358" t="s">
        <v>8032</v>
      </c>
      <c r="D1358" t="s">
        <v>8033</v>
      </c>
      <c r="F1358" t="s">
        <v>1834</v>
      </c>
      <c r="G1358" t="s">
        <v>8034</v>
      </c>
      <c r="H1358" t="s">
        <v>8035</v>
      </c>
    </row>
    <row r="1359" spans="1:8" x14ac:dyDescent="0.25">
      <c r="A1359" t="s">
        <v>284</v>
      </c>
      <c r="B1359">
        <f>VLOOKUP(A1359,art_category_path_name!A:B,2,FALSE)</f>
        <v>1340</v>
      </c>
      <c r="C1359" t="s">
        <v>8036</v>
      </c>
      <c r="D1359" t="s">
        <v>8037</v>
      </c>
      <c r="F1359" t="s">
        <v>1834</v>
      </c>
      <c r="G1359" t="s">
        <v>8038</v>
      </c>
      <c r="H1359" t="s">
        <v>8039</v>
      </c>
    </row>
    <row r="1360" spans="1:8" x14ac:dyDescent="0.25">
      <c r="A1360" t="s">
        <v>285</v>
      </c>
      <c r="B1360">
        <f>VLOOKUP(A1360,art_category_path_name!A:B,2,FALSE)</f>
        <v>1341</v>
      </c>
      <c r="C1360" t="s">
        <v>8040</v>
      </c>
      <c r="D1360" t="s">
        <v>8041</v>
      </c>
      <c r="F1360" t="s">
        <v>1834</v>
      </c>
      <c r="G1360" t="s">
        <v>8042</v>
      </c>
      <c r="H1360" t="s">
        <v>8043</v>
      </c>
    </row>
    <row r="1361" spans="1:8" x14ac:dyDescent="0.25">
      <c r="A1361" t="s">
        <v>286</v>
      </c>
      <c r="B1361">
        <f>VLOOKUP(A1361,art_category_path_name!A:B,2,FALSE)</f>
        <v>1342</v>
      </c>
      <c r="C1361" t="s">
        <v>8044</v>
      </c>
      <c r="D1361" t="s">
        <v>8045</v>
      </c>
      <c r="F1361" t="s">
        <v>1834</v>
      </c>
      <c r="G1361" t="s">
        <v>8046</v>
      </c>
      <c r="H1361" t="s">
        <v>8047</v>
      </c>
    </row>
    <row r="1362" spans="1:8" x14ac:dyDescent="0.25">
      <c r="A1362" t="s">
        <v>287</v>
      </c>
      <c r="B1362">
        <f>VLOOKUP(A1362,art_category_path_name!A:B,2,FALSE)</f>
        <v>1343</v>
      </c>
      <c r="C1362" t="s">
        <v>8012</v>
      </c>
      <c r="D1362" t="s">
        <v>8048</v>
      </c>
      <c r="F1362" t="s">
        <v>1834</v>
      </c>
      <c r="G1362" t="s">
        <v>8049</v>
      </c>
      <c r="H1362" t="s">
        <v>8050</v>
      </c>
    </row>
    <row r="1363" spans="1:8" x14ac:dyDescent="0.25">
      <c r="A1363" t="s">
        <v>288</v>
      </c>
      <c r="B1363">
        <f>VLOOKUP(A1363,art_category_path_name!A:B,2,FALSE)</f>
        <v>1344</v>
      </c>
      <c r="C1363" t="s">
        <v>8051</v>
      </c>
      <c r="D1363" t="s">
        <v>8052</v>
      </c>
      <c r="F1363" t="s">
        <v>1834</v>
      </c>
      <c r="G1363" t="s">
        <v>8053</v>
      </c>
      <c r="H1363" t="s">
        <v>8054</v>
      </c>
    </row>
    <row r="1364" spans="1:8" x14ac:dyDescent="0.25">
      <c r="A1364" t="s">
        <v>289</v>
      </c>
      <c r="B1364">
        <f>VLOOKUP(A1364,art_category_path_name!A:B,2,FALSE)</f>
        <v>1345</v>
      </c>
      <c r="C1364" t="s">
        <v>8012</v>
      </c>
      <c r="D1364" t="s">
        <v>8055</v>
      </c>
      <c r="F1364" t="s">
        <v>1834</v>
      </c>
      <c r="G1364" t="s">
        <v>8056</v>
      </c>
      <c r="H1364" t="s">
        <v>8057</v>
      </c>
    </row>
    <row r="1365" spans="1:8" x14ac:dyDescent="0.25">
      <c r="A1365" t="s">
        <v>290</v>
      </c>
      <c r="B1365">
        <f>VLOOKUP(A1365,art_category_path_name!A:B,2,FALSE)</f>
        <v>1346</v>
      </c>
      <c r="C1365" t="s">
        <v>8058</v>
      </c>
      <c r="D1365" t="s">
        <v>8059</v>
      </c>
      <c r="F1365" t="s">
        <v>1834</v>
      </c>
      <c r="G1365" t="s">
        <v>8060</v>
      </c>
      <c r="H1365" t="s">
        <v>8061</v>
      </c>
    </row>
    <row r="1366" spans="1:8" x14ac:dyDescent="0.25">
      <c r="A1366" t="s">
        <v>291</v>
      </c>
      <c r="B1366">
        <f>VLOOKUP(A1366,art_category_path_name!A:B,2,FALSE)</f>
        <v>1347</v>
      </c>
      <c r="C1366" t="s">
        <v>8062</v>
      </c>
      <c r="D1366" t="s">
        <v>8063</v>
      </c>
      <c r="F1366" t="s">
        <v>1834</v>
      </c>
      <c r="G1366" t="s">
        <v>8064</v>
      </c>
      <c r="H1366" t="s">
        <v>8065</v>
      </c>
    </row>
    <row r="1367" spans="1:8" x14ac:dyDescent="0.25">
      <c r="A1367" t="s">
        <v>293</v>
      </c>
      <c r="B1367">
        <f>VLOOKUP(A1367,art_category_path_name!A:B,2,FALSE)</f>
        <v>1349</v>
      </c>
      <c r="C1367" t="s">
        <v>8066</v>
      </c>
      <c r="D1367" t="s">
        <v>8067</v>
      </c>
      <c r="F1367" t="s">
        <v>1834</v>
      </c>
      <c r="G1367" t="s">
        <v>8068</v>
      </c>
      <c r="H1367" t="s">
        <v>8069</v>
      </c>
    </row>
    <row r="1368" spans="1:8" x14ac:dyDescent="0.25">
      <c r="A1368" t="s">
        <v>294</v>
      </c>
      <c r="B1368">
        <f>VLOOKUP(A1368,art_category_path_name!A:B,2,FALSE)</f>
        <v>1350</v>
      </c>
      <c r="C1368" t="s">
        <v>8070</v>
      </c>
      <c r="D1368" t="s">
        <v>8071</v>
      </c>
      <c r="F1368" t="s">
        <v>1834</v>
      </c>
      <c r="G1368" t="s">
        <v>8072</v>
      </c>
      <c r="H1368" t="s">
        <v>8073</v>
      </c>
    </row>
    <row r="1369" spans="1:8" x14ac:dyDescent="0.25">
      <c r="A1369" t="s">
        <v>295</v>
      </c>
      <c r="B1369">
        <f>VLOOKUP(A1369,art_category_path_name!A:B,2,FALSE)</f>
        <v>1351</v>
      </c>
      <c r="C1369" t="s">
        <v>8074</v>
      </c>
      <c r="D1369" t="s">
        <v>8075</v>
      </c>
      <c r="F1369" t="s">
        <v>1834</v>
      </c>
      <c r="G1369" t="s">
        <v>8076</v>
      </c>
      <c r="H1369" t="s">
        <v>8077</v>
      </c>
    </row>
    <row r="1370" spans="1:8" x14ac:dyDescent="0.25">
      <c r="A1370" t="s">
        <v>296</v>
      </c>
      <c r="B1370">
        <f>VLOOKUP(A1370,art_category_path_name!A:B,2,FALSE)</f>
        <v>1352</v>
      </c>
      <c r="C1370" t="s">
        <v>8078</v>
      </c>
      <c r="D1370" t="s">
        <v>8079</v>
      </c>
      <c r="F1370" t="s">
        <v>1834</v>
      </c>
      <c r="G1370" t="s">
        <v>8080</v>
      </c>
      <c r="H1370" t="s">
        <v>8081</v>
      </c>
    </row>
    <row r="1371" spans="1:8" x14ac:dyDescent="0.25">
      <c r="A1371" t="s">
        <v>297</v>
      </c>
      <c r="B1371">
        <f>VLOOKUP(A1371,art_category_path_name!A:B,2,FALSE)</f>
        <v>1353</v>
      </c>
      <c r="C1371" t="s">
        <v>8082</v>
      </c>
      <c r="D1371" t="s">
        <v>8083</v>
      </c>
      <c r="F1371" t="s">
        <v>1834</v>
      </c>
      <c r="G1371" t="s">
        <v>8084</v>
      </c>
      <c r="H1371" t="s">
        <v>8085</v>
      </c>
    </row>
    <row r="1372" spans="1:8" x14ac:dyDescent="0.25">
      <c r="A1372" t="s">
        <v>874</v>
      </c>
      <c r="B1372">
        <f>VLOOKUP(A1372,art_category_path_name!A:B,2,FALSE)</f>
        <v>1355</v>
      </c>
      <c r="C1372" t="s">
        <v>8086</v>
      </c>
      <c r="D1372" t="s">
        <v>8087</v>
      </c>
      <c r="E1372" t="s">
        <v>8088</v>
      </c>
      <c r="F1372" t="s">
        <v>8089</v>
      </c>
      <c r="G1372" t="s">
        <v>8090</v>
      </c>
      <c r="H1372" t="s">
        <v>8091</v>
      </c>
    </row>
    <row r="1373" spans="1:8" x14ac:dyDescent="0.25">
      <c r="A1373" t="s">
        <v>50</v>
      </c>
      <c r="B1373">
        <f>VLOOKUP(A1373,art_category_path_name!A:B,2,FALSE)</f>
        <v>1357</v>
      </c>
      <c r="C1373" t="s">
        <v>8092</v>
      </c>
      <c r="D1373" t="s">
        <v>8093</v>
      </c>
      <c r="F1373" t="s">
        <v>1834</v>
      </c>
      <c r="G1373" t="s">
        <v>8094</v>
      </c>
      <c r="H1373" t="s">
        <v>8095</v>
      </c>
    </row>
    <row r="1374" spans="1:8" x14ac:dyDescent="0.25">
      <c r="A1374" t="s">
        <v>258</v>
      </c>
      <c r="B1374">
        <f>VLOOKUP(A1374,art_category_path_name!A:B,2,FALSE)</f>
        <v>1359</v>
      </c>
      <c r="C1374" t="s">
        <v>8096</v>
      </c>
      <c r="D1374" t="s">
        <v>8097</v>
      </c>
      <c r="E1374" t="s">
        <v>8097</v>
      </c>
      <c r="F1374" t="s">
        <v>8098</v>
      </c>
      <c r="G1374" t="s">
        <v>8099</v>
      </c>
      <c r="H1374" t="s">
        <v>8100</v>
      </c>
    </row>
    <row r="1375" spans="1:8" x14ac:dyDescent="0.25">
      <c r="A1375" t="s">
        <v>259</v>
      </c>
      <c r="B1375">
        <f>VLOOKUP(A1375,art_category_path_name!A:B,2,FALSE)</f>
        <v>1360</v>
      </c>
      <c r="C1375" t="s">
        <v>8101</v>
      </c>
      <c r="D1375" t="s">
        <v>8102</v>
      </c>
      <c r="E1375" t="s">
        <v>8103</v>
      </c>
      <c r="F1375" t="s">
        <v>8104</v>
      </c>
      <c r="G1375" t="s">
        <v>8105</v>
      </c>
      <c r="H1375" t="s">
        <v>8106</v>
      </c>
    </row>
    <row r="1376" spans="1:8" x14ac:dyDescent="0.25">
      <c r="A1376" t="s">
        <v>653</v>
      </c>
      <c r="B1376">
        <f>VLOOKUP(A1376,art_category_path_name!A:B,2,FALSE)</f>
        <v>1362</v>
      </c>
      <c r="C1376" t="s">
        <v>8107</v>
      </c>
      <c r="D1376" t="s">
        <v>2084</v>
      </c>
      <c r="E1376" t="s">
        <v>2085</v>
      </c>
      <c r="F1376" t="s">
        <v>6743</v>
      </c>
      <c r="G1376" t="s">
        <v>8108</v>
      </c>
      <c r="H1376" t="s">
        <v>8109</v>
      </c>
    </row>
    <row r="1377" spans="1:8" x14ac:dyDescent="0.25">
      <c r="A1377" t="s">
        <v>876</v>
      </c>
      <c r="B1377">
        <f>VLOOKUP(A1377,art_category_path_name!A:B,2,FALSE)</f>
        <v>1364</v>
      </c>
      <c r="C1377" t="s">
        <v>8110</v>
      </c>
      <c r="D1377" t="s">
        <v>8111</v>
      </c>
      <c r="E1377" t="s">
        <v>8112</v>
      </c>
      <c r="F1377" t="s">
        <v>8113</v>
      </c>
      <c r="G1377" t="s">
        <v>8114</v>
      </c>
      <c r="H1377" t="s">
        <v>8115</v>
      </c>
    </row>
    <row r="1378" spans="1:8" x14ac:dyDescent="0.25">
      <c r="A1378" t="s">
        <v>877</v>
      </c>
      <c r="B1378">
        <f>VLOOKUP(A1378,art_category_path_name!A:B,2,FALSE)</f>
        <v>1365</v>
      </c>
      <c r="C1378" t="s">
        <v>8116</v>
      </c>
      <c r="D1378" t="s">
        <v>8117</v>
      </c>
      <c r="E1378" t="s">
        <v>8118</v>
      </c>
      <c r="F1378" t="s">
        <v>8119</v>
      </c>
      <c r="G1378" t="s">
        <v>8120</v>
      </c>
      <c r="H1378" t="s">
        <v>8121</v>
      </c>
    </row>
    <row r="1379" spans="1:8" x14ac:dyDescent="0.25">
      <c r="A1379" t="s">
        <v>1003</v>
      </c>
      <c r="B1379">
        <f>VLOOKUP(A1379,art_category_path_name!A:B,2,FALSE)</f>
        <v>1367</v>
      </c>
      <c r="C1379" t="s">
        <v>8122</v>
      </c>
      <c r="D1379" t="s">
        <v>8123</v>
      </c>
      <c r="E1379" t="s">
        <v>8124</v>
      </c>
      <c r="F1379" t="s">
        <v>8123</v>
      </c>
      <c r="G1379" t="s">
        <v>8125</v>
      </c>
      <c r="H1379" t="s">
        <v>8126</v>
      </c>
    </row>
    <row r="1380" spans="1:8" x14ac:dyDescent="0.25">
      <c r="A1380" t="s">
        <v>1004</v>
      </c>
      <c r="B1380">
        <f>VLOOKUP(A1380,art_category_path_name!A:B,2,FALSE)</f>
        <v>1368</v>
      </c>
      <c r="C1380" t="s">
        <v>8127</v>
      </c>
      <c r="D1380" t="s">
        <v>8128</v>
      </c>
      <c r="E1380" t="s">
        <v>8129</v>
      </c>
      <c r="F1380" t="s">
        <v>8128</v>
      </c>
      <c r="G1380" t="s">
        <v>8130</v>
      </c>
      <c r="H1380" t="s">
        <v>8131</v>
      </c>
    </row>
    <row r="1381" spans="1:8" x14ac:dyDescent="0.25">
      <c r="A1381" t="s">
        <v>1005</v>
      </c>
      <c r="B1381">
        <f>VLOOKUP(A1381,art_category_path_name!A:B,2,FALSE)</f>
        <v>1369</v>
      </c>
      <c r="C1381" t="s">
        <v>8132</v>
      </c>
      <c r="D1381" t="s">
        <v>8133</v>
      </c>
      <c r="E1381" t="s">
        <v>8134</v>
      </c>
      <c r="F1381" t="s">
        <v>8134</v>
      </c>
      <c r="G1381" t="s">
        <v>8135</v>
      </c>
      <c r="H1381" t="s">
        <v>8136</v>
      </c>
    </row>
    <row r="1382" spans="1:8" x14ac:dyDescent="0.25">
      <c r="A1382" t="s">
        <v>1006</v>
      </c>
      <c r="B1382">
        <f>VLOOKUP(A1382,art_category_path_name!A:B,2,FALSE)</f>
        <v>1370</v>
      </c>
      <c r="C1382" t="s">
        <v>8137</v>
      </c>
      <c r="D1382" t="s">
        <v>8138</v>
      </c>
      <c r="E1382" t="s">
        <v>8139</v>
      </c>
      <c r="F1382" t="s">
        <v>8138</v>
      </c>
      <c r="G1382" t="s">
        <v>8140</v>
      </c>
      <c r="H1382" t="s">
        <v>8141</v>
      </c>
    </row>
    <row r="1383" spans="1:8" x14ac:dyDescent="0.25">
      <c r="A1383" t="s">
        <v>1007</v>
      </c>
      <c r="B1383">
        <f>VLOOKUP(A1383,art_category_path_name!A:B,2,FALSE)</f>
        <v>1371</v>
      </c>
      <c r="C1383" t="s">
        <v>8142</v>
      </c>
      <c r="G1383" t="s">
        <v>8143</v>
      </c>
      <c r="H1383" t="s">
        <v>8144</v>
      </c>
    </row>
    <row r="1384" spans="1:8" x14ac:dyDescent="0.25">
      <c r="A1384" t="s">
        <v>1008</v>
      </c>
      <c r="B1384">
        <f>VLOOKUP(A1384,art_category_path_name!A:B,2,FALSE)</f>
        <v>1372</v>
      </c>
      <c r="C1384" t="s">
        <v>8145</v>
      </c>
      <c r="D1384" t="s">
        <v>8146</v>
      </c>
      <c r="E1384" t="s">
        <v>8147</v>
      </c>
      <c r="F1384" t="s">
        <v>8146</v>
      </c>
      <c r="G1384" t="s">
        <v>8148</v>
      </c>
      <c r="H1384" t="s">
        <v>8149</v>
      </c>
    </row>
    <row r="1385" spans="1:8" x14ac:dyDescent="0.25">
      <c r="A1385" t="s">
        <v>1178</v>
      </c>
      <c r="B1385">
        <f>VLOOKUP(A1385,art_category_path_name!A:B,2,FALSE)</f>
        <v>1374</v>
      </c>
      <c r="C1385" t="s">
        <v>8150</v>
      </c>
      <c r="D1385" t="s">
        <v>8151</v>
      </c>
      <c r="F1385" t="s">
        <v>1834</v>
      </c>
      <c r="G1385" t="s">
        <v>8152</v>
      </c>
      <c r="H1385" t="s">
        <v>8153</v>
      </c>
    </row>
    <row r="1386" spans="1:8" x14ac:dyDescent="0.25">
      <c r="A1386" t="s">
        <v>1179</v>
      </c>
      <c r="B1386">
        <f>VLOOKUP(A1386,art_category_path_name!A:B,2,FALSE)</f>
        <v>1375</v>
      </c>
      <c r="C1386" t="s">
        <v>8154</v>
      </c>
      <c r="D1386" t="s">
        <v>8155</v>
      </c>
      <c r="F1386" t="s">
        <v>1834</v>
      </c>
      <c r="G1386" t="s">
        <v>8156</v>
      </c>
      <c r="H1386" t="s">
        <v>8157</v>
      </c>
    </row>
    <row r="1387" spans="1:8" x14ac:dyDescent="0.25">
      <c r="A1387" t="s">
        <v>1180</v>
      </c>
      <c r="B1387">
        <f>VLOOKUP(A1387,art_category_path_name!A:B,2,FALSE)</f>
        <v>1376</v>
      </c>
      <c r="C1387" t="s">
        <v>8158</v>
      </c>
      <c r="D1387" t="s">
        <v>8159</v>
      </c>
      <c r="F1387" t="s">
        <v>1834</v>
      </c>
      <c r="G1387" t="s">
        <v>8160</v>
      </c>
      <c r="H1387" t="s">
        <v>8161</v>
      </c>
    </row>
    <row r="1388" spans="1:8" x14ac:dyDescent="0.25">
      <c r="A1388" t="s">
        <v>1181</v>
      </c>
      <c r="B1388">
        <f>VLOOKUP(A1388,art_category_path_name!A:B,2,FALSE)</f>
        <v>1377</v>
      </c>
      <c r="C1388" t="s">
        <v>8162</v>
      </c>
      <c r="D1388" t="s">
        <v>8163</v>
      </c>
      <c r="F1388" t="s">
        <v>1834</v>
      </c>
      <c r="G1388" t="s">
        <v>8164</v>
      </c>
      <c r="H1388" t="s">
        <v>8165</v>
      </c>
    </row>
    <row r="1389" spans="1:8" x14ac:dyDescent="0.25">
      <c r="A1389" t="s">
        <v>1182</v>
      </c>
      <c r="B1389">
        <f>VLOOKUP(A1389,art_category_path_name!A:B,2,FALSE)</f>
        <v>1378</v>
      </c>
      <c r="C1389" t="s">
        <v>8166</v>
      </c>
      <c r="D1389" t="s">
        <v>8167</v>
      </c>
      <c r="F1389" t="s">
        <v>1834</v>
      </c>
      <c r="G1389" t="s">
        <v>8168</v>
      </c>
      <c r="H1389" t="s">
        <v>8169</v>
      </c>
    </row>
    <row r="1390" spans="1:8" x14ac:dyDescent="0.25">
      <c r="A1390" t="s">
        <v>1183</v>
      </c>
      <c r="B1390">
        <f>VLOOKUP(A1390,art_category_path_name!A:B,2,FALSE)</f>
        <v>1379</v>
      </c>
      <c r="C1390" t="s">
        <v>8170</v>
      </c>
      <c r="D1390" t="s">
        <v>8171</v>
      </c>
      <c r="F1390" t="s">
        <v>1834</v>
      </c>
      <c r="G1390" t="s">
        <v>8172</v>
      </c>
      <c r="H1390" t="s">
        <v>8173</v>
      </c>
    </row>
    <row r="1391" spans="1:8" x14ac:dyDescent="0.25">
      <c r="A1391" t="s">
        <v>1184</v>
      </c>
      <c r="B1391">
        <f>VLOOKUP(A1391,art_category_path_name!A:B,2,FALSE)</f>
        <v>1380</v>
      </c>
      <c r="C1391" t="s">
        <v>8174</v>
      </c>
      <c r="D1391" t="s">
        <v>8175</v>
      </c>
      <c r="F1391" t="s">
        <v>1834</v>
      </c>
      <c r="G1391" t="s">
        <v>8176</v>
      </c>
      <c r="H1391" t="s">
        <v>8177</v>
      </c>
    </row>
    <row r="1392" spans="1:8" x14ac:dyDescent="0.25">
      <c r="A1392" t="s">
        <v>1185</v>
      </c>
      <c r="B1392">
        <f>VLOOKUP(A1392,art_category_path_name!A:B,2,FALSE)</f>
        <v>1381</v>
      </c>
      <c r="C1392" t="s">
        <v>8178</v>
      </c>
      <c r="D1392" t="s">
        <v>8179</v>
      </c>
      <c r="F1392" t="s">
        <v>1834</v>
      </c>
      <c r="G1392" t="s">
        <v>8180</v>
      </c>
      <c r="H1392" t="s">
        <v>8181</v>
      </c>
    </row>
    <row r="1393" spans="1:8" x14ac:dyDescent="0.25">
      <c r="A1393" t="s">
        <v>1186</v>
      </c>
      <c r="B1393">
        <f>VLOOKUP(A1393,art_category_path_name!A:B,2,FALSE)</f>
        <v>1382</v>
      </c>
      <c r="C1393" t="s">
        <v>8182</v>
      </c>
      <c r="D1393" t="s">
        <v>8183</v>
      </c>
      <c r="F1393" t="s">
        <v>1834</v>
      </c>
      <c r="G1393" t="s">
        <v>8184</v>
      </c>
      <c r="H1393" t="s">
        <v>8185</v>
      </c>
    </row>
    <row r="1394" spans="1:8" x14ac:dyDescent="0.25">
      <c r="A1394" t="s">
        <v>1441</v>
      </c>
      <c r="B1394">
        <f>VLOOKUP(A1394,art_category_path_name!A:B,2,FALSE)</f>
        <v>1384</v>
      </c>
      <c r="C1394" t="s">
        <v>8186</v>
      </c>
      <c r="D1394" t="s">
        <v>3150</v>
      </c>
      <c r="E1394" t="s">
        <v>8187</v>
      </c>
      <c r="F1394" t="s">
        <v>3150</v>
      </c>
      <c r="G1394" t="s">
        <v>8188</v>
      </c>
      <c r="H1394" t="s">
        <v>8189</v>
      </c>
    </row>
    <row r="1395" spans="1:8" x14ac:dyDescent="0.25">
      <c r="A1395" t="s">
        <v>1442</v>
      </c>
      <c r="B1395">
        <f>VLOOKUP(A1395,art_category_path_name!A:B,2,FALSE)</f>
        <v>1385</v>
      </c>
      <c r="C1395" t="s">
        <v>8190</v>
      </c>
      <c r="D1395" t="s">
        <v>8191</v>
      </c>
      <c r="E1395" t="s">
        <v>8192</v>
      </c>
      <c r="F1395" t="s">
        <v>8191</v>
      </c>
      <c r="G1395" t="s">
        <v>8193</v>
      </c>
      <c r="H1395" t="s">
        <v>8194</v>
      </c>
    </row>
    <row r="1396" spans="1:8" x14ac:dyDescent="0.25">
      <c r="A1396" t="s">
        <v>915</v>
      </c>
      <c r="B1396">
        <f>VLOOKUP(A1396,art_category_path_name!A:B,2,FALSE)</f>
        <v>1387</v>
      </c>
      <c r="C1396" t="s">
        <v>8195</v>
      </c>
      <c r="D1396" t="s">
        <v>8196</v>
      </c>
      <c r="E1396" t="s">
        <v>8197</v>
      </c>
      <c r="F1396" t="s">
        <v>8198</v>
      </c>
      <c r="G1396" t="s">
        <v>8199</v>
      </c>
      <c r="H1396" t="s">
        <v>8200</v>
      </c>
    </row>
    <row r="1397" spans="1:8" x14ac:dyDescent="0.25">
      <c r="A1397" t="s">
        <v>916</v>
      </c>
      <c r="B1397">
        <f>VLOOKUP(A1397,art_category_path_name!A:B,2,FALSE)</f>
        <v>1388</v>
      </c>
      <c r="C1397" t="s">
        <v>8201</v>
      </c>
      <c r="D1397" t="s">
        <v>8202</v>
      </c>
      <c r="E1397" t="s">
        <v>8203</v>
      </c>
      <c r="F1397" t="s">
        <v>8204</v>
      </c>
      <c r="G1397" t="s">
        <v>8205</v>
      </c>
      <c r="H1397" t="s">
        <v>8206</v>
      </c>
    </row>
    <row r="1398" spans="1:8" x14ac:dyDescent="0.25">
      <c r="A1398" t="s">
        <v>917</v>
      </c>
      <c r="B1398">
        <f>VLOOKUP(A1398,art_category_path_name!A:B,2,FALSE)</f>
        <v>1389</v>
      </c>
      <c r="C1398" t="s">
        <v>8207</v>
      </c>
      <c r="D1398" t="s">
        <v>8208</v>
      </c>
      <c r="E1398" t="s">
        <v>8209</v>
      </c>
      <c r="F1398" t="s">
        <v>8210</v>
      </c>
      <c r="G1398" t="s">
        <v>8211</v>
      </c>
      <c r="H1398" t="s">
        <v>8212</v>
      </c>
    </row>
    <row r="1399" spans="1:8" x14ac:dyDescent="0.25">
      <c r="A1399" t="s">
        <v>1366</v>
      </c>
      <c r="B1399">
        <f>VLOOKUP(A1399,art_category_path_name!A:B,2,FALSE)</f>
        <v>1390</v>
      </c>
      <c r="C1399" t="s">
        <v>8213</v>
      </c>
      <c r="D1399" t="s">
        <v>8214</v>
      </c>
      <c r="E1399" t="s">
        <v>8215</v>
      </c>
      <c r="F1399" t="s">
        <v>8216</v>
      </c>
      <c r="G1399" t="s">
        <v>8217</v>
      </c>
      <c r="H1399" t="s">
        <v>8218</v>
      </c>
    </row>
    <row r="1400" spans="1:8" x14ac:dyDescent="0.25">
      <c r="A1400" t="s">
        <v>1032</v>
      </c>
      <c r="B1400">
        <f>VLOOKUP(A1400,art_category_path_name!A:B,2,FALSE)</f>
        <v>1392</v>
      </c>
      <c r="C1400" t="s">
        <v>8219</v>
      </c>
      <c r="D1400" t="s">
        <v>8220</v>
      </c>
      <c r="E1400" t="s">
        <v>8221</v>
      </c>
      <c r="F1400" t="s">
        <v>8222</v>
      </c>
      <c r="G1400" t="s">
        <v>8223</v>
      </c>
      <c r="H1400" t="s">
        <v>8224</v>
      </c>
    </row>
    <row r="1401" spans="1:8" x14ac:dyDescent="0.25">
      <c r="A1401" t="s">
        <v>429</v>
      </c>
      <c r="B1401">
        <f>VLOOKUP(A1401,art_category_path_name!A:B,2,FALSE)</f>
        <v>1393</v>
      </c>
      <c r="C1401" t="s">
        <v>8225</v>
      </c>
      <c r="D1401" t="s">
        <v>3966</v>
      </c>
      <c r="F1401" t="s">
        <v>1834</v>
      </c>
      <c r="G1401" t="s">
        <v>3967</v>
      </c>
      <c r="H1401" t="s">
        <v>8226</v>
      </c>
    </row>
    <row r="1402" spans="1:8" x14ac:dyDescent="0.25">
      <c r="A1402" t="s">
        <v>750</v>
      </c>
      <c r="B1402">
        <f>VLOOKUP(A1402,art_category_path_name!A:B,2,FALSE)</f>
        <v>1394</v>
      </c>
      <c r="C1402" t="s">
        <v>8227</v>
      </c>
      <c r="D1402" t="s">
        <v>8228</v>
      </c>
      <c r="E1402" t="s">
        <v>8229</v>
      </c>
      <c r="F1402" t="s">
        <v>8230</v>
      </c>
      <c r="G1402" t="s">
        <v>8231</v>
      </c>
      <c r="H1402" t="s">
        <v>8232</v>
      </c>
    </row>
    <row r="1403" spans="1:8" x14ac:dyDescent="0.25">
      <c r="A1403" t="s">
        <v>78</v>
      </c>
      <c r="B1403">
        <f>VLOOKUP(A1403,art_category_path_name!A:B,2,FALSE)</f>
        <v>1395</v>
      </c>
      <c r="C1403" t="s">
        <v>8233</v>
      </c>
      <c r="D1403" t="s">
        <v>8234</v>
      </c>
      <c r="F1403" t="s">
        <v>1834</v>
      </c>
      <c r="G1403" t="s">
        <v>8235</v>
      </c>
      <c r="H1403" t="s">
        <v>8236</v>
      </c>
    </row>
    <row r="1404" spans="1:8" x14ac:dyDescent="0.25">
      <c r="A1404" t="s">
        <v>1270</v>
      </c>
      <c r="B1404">
        <f>VLOOKUP(A1404,art_category_path_name!A:B,2,FALSE)</f>
        <v>1396</v>
      </c>
      <c r="C1404" t="s">
        <v>8237</v>
      </c>
      <c r="D1404" t="s">
        <v>8238</v>
      </c>
      <c r="E1404" t="s">
        <v>8239</v>
      </c>
      <c r="F1404" t="s">
        <v>8240</v>
      </c>
      <c r="G1404" t="s">
        <v>8241</v>
      </c>
      <c r="H1404" t="s">
        <v>8242</v>
      </c>
    </row>
    <row r="1405" spans="1:8" x14ac:dyDescent="0.25">
      <c r="A1405" t="s">
        <v>858</v>
      </c>
      <c r="B1405">
        <f>VLOOKUP(A1405,art_category_path_name!A:B,2,FALSE)</f>
        <v>1397</v>
      </c>
      <c r="C1405" t="s">
        <v>8243</v>
      </c>
      <c r="D1405" t="s">
        <v>8244</v>
      </c>
      <c r="E1405" t="s">
        <v>8245</v>
      </c>
      <c r="F1405" t="s">
        <v>8246</v>
      </c>
      <c r="G1405" t="s">
        <v>8247</v>
      </c>
      <c r="H1405" t="s">
        <v>8248</v>
      </c>
    </row>
    <row r="1406" spans="1:8" x14ac:dyDescent="0.25">
      <c r="A1406" t="s">
        <v>1033</v>
      </c>
      <c r="B1406">
        <f>VLOOKUP(A1406,art_category_path_name!A:B,2,FALSE)</f>
        <v>1398</v>
      </c>
      <c r="C1406" t="s">
        <v>8249</v>
      </c>
      <c r="D1406" t="s">
        <v>8250</v>
      </c>
      <c r="E1406" t="s">
        <v>8251</v>
      </c>
      <c r="F1406" t="s">
        <v>8252</v>
      </c>
      <c r="G1406" t="s">
        <v>8253</v>
      </c>
      <c r="H1406" t="s">
        <v>8254</v>
      </c>
    </row>
    <row r="1407" spans="1:8" x14ac:dyDescent="0.25">
      <c r="A1407" t="s">
        <v>1034</v>
      </c>
      <c r="B1407">
        <f>VLOOKUP(A1407,art_category_path_name!A:B,2,FALSE)</f>
        <v>1399</v>
      </c>
      <c r="C1407" t="s">
        <v>8255</v>
      </c>
      <c r="D1407" t="s">
        <v>8256</v>
      </c>
      <c r="E1407" t="s">
        <v>8257</v>
      </c>
      <c r="F1407" t="s">
        <v>8258</v>
      </c>
      <c r="G1407" t="s">
        <v>8259</v>
      </c>
      <c r="H1407" t="s">
        <v>8260</v>
      </c>
    </row>
    <row r="1408" spans="1:8" x14ac:dyDescent="0.25">
      <c r="A1408" t="s">
        <v>805</v>
      </c>
      <c r="B1408">
        <f>VLOOKUP(A1408,art_category_path_name!A:B,2,FALSE)</f>
        <v>1400</v>
      </c>
      <c r="C1408" t="s">
        <v>8261</v>
      </c>
      <c r="D1408" t="s">
        <v>8262</v>
      </c>
      <c r="E1408" t="s">
        <v>8263</v>
      </c>
      <c r="F1408" t="s">
        <v>8264</v>
      </c>
      <c r="G1408" t="s">
        <v>8265</v>
      </c>
      <c r="H1408" t="s">
        <v>8266</v>
      </c>
    </row>
    <row r="1409" spans="1:8" x14ac:dyDescent="0.25">
      <c r="A1409" t="s">
        <v>1035</v>
      </c>
      <c r="B1409">
        <f>VLOOKUP(A1409,art_category_path_name!A:B,2,FALSE)</f>
        <v>1401</v>
      </c>
      <c r="C1409" t="s">
        <v>8267</v>
      </c>
      <c r="D1409" t="s">
        <v>8268</v>
      </c>
      <c r="E1409" t="s">
        <v>8269</v>
      </c>
      <c r="F1409" t="s">
        <v>8270</v>
      </c>
      <c r="G1409" t="s">
        <v>8271</v>
      </c>
      <c r="H1409" t="s">
        <v>8272</v>
      </c>
    </row>
    <row r="1410" spans="1:8" x14ac:dyDescent="0.25">
      <c r="A1410" t="s">
        <v>1036</v>
      </c>
      <c r="B1410">
        <f>VLOOKUP(A1410,art_category_path_name!A:B,2,FALSE)</f>
        <v>1402</v>
      </c>
      <c r="C1410" t="s">
        <v>8273</v>
      </c>
      <c r="D1410" t="s">
        <v>8274</v>
      </c>
      <c r="E1410" t="s">
        <v>8269</v>
      </c>
      <c r="F1410" t="s">
        <v>8275</v>
      </c>
      <c r="G1410" t="s">
        <v>8276</v>
      </c>
      <c r="H1410" t="s">
        <v>8277</v>
      </c>
    </row>
    <row r="1411" spans="1:8" x14ac:dyDescent="0.25">
      <c r="A1411" t="s">
        <v>9</v>
      </c>
      <c r="B1411">
        <f>VLOOKUP(A1411,art_category_path_name!A:B,2,FALSE)</f>
        <v>1403</v>
      </c>
      <c r="C1411" t="s">
        <v>8278</v>
      </c>
      <c r="D1411" t="s">
        <v>8279</v>
      </c>
      <c r="E1411" t="s">
        <v>8280</v>
      </c>
      <c r="F1411" t="s">
        <v>8281</v>
      </c>
      <c r="G1411" t="s">
        <v>8282</v>
      </c>
      <c r="H1411" t="s">
        <v>8283</v>
      </c>
    </row>
    <row r="1412" spans="1:8" x14ac:dyDescent="0.25">
      <c r="A1412" t="s">
        <v>724</v>
      </c>
      <c r="B1412">
        <f>VLOOKUP(A1412,art_category_path_name!A:B,2,FALSE)</f>
        <v>1404</v>
      </c>
      <c r="C1412" t="s">
        <v>8284</v>
      </c>
      <c r="D1412" t="s">
        <v>5618</v>
      </c>
      <c r="E1412" t="s">
        <v>5619</v>
      </c>
      <c r="F1412" t="s">
        <v>5620</v>
      </c>
      <c r="G1412" t="s">
        <v>8285</v>
      </c>
      <c r="H1412" t="s">
        <v>8286</v>
      </c>
    </row>
    <row r="1413" spans="1:8" x14ac:dyDescent="0.25">
      <c r="A1413" t="s">
        <v>1188</v>
      </c>
      <c r="B1413">
        <f>VLOOKUP(A1413,art_category_path_name!A:B,2,FALSE)</f>
        <v>1406</v>
      </c>
      <c r="C1413" t="s">
        <v>8287</v>
      </c>
      <c r="D1413" t="s">
        <v>8279</v>
      </c>
      <c r="E1413" t="s">
        <v>8280</v>
      </c>
      <c r="F1413" t="s">
        <v>8288</v>
      </c>
      <c r="G1413" t="s">
        <v>8289</v>
      </c>
      <c r="H1413" t="s">
        <v>8290</v>
      </c>
    </row>
    <row r="1414" spans="1:8" x14ac:dyDescent="0.25">
      <c r="A1414" t="s">
        <v>1009</v>
      </c>
      <c r="B1414">
        <f>VLOOKUP(A1414,art_category_path_name!A:B,2,FALSE)</f>
        <v>1407</v>
      </c>
      <c r="C1414" t="s">
        <v>8291</v>
      </c>
      <c r="D1414" t="s">
        <v>3150</v>
      </c>
      <c r="E1414" t="s">
        <v>8292</v>
      </c>
      <c r="F1414" t="s">
        <v>3150</v>
      </c>
      <c r="G1414" t="s">
        <v>8293</v>
      </c>
      <c r="H1414" t="s">
        <v>8294</v>
      </c>
    </row>
    <row r="1415" spans="1:8" x14ac:dyDescent="0.25">
      <c r="A1415" t="s">
        <v>1124</v>
      </c>
      <c r="B1415">
        <f>VLOOKUP(A1415,art_category_path_name!A:B,2,FALSE)</f>
        <v>1408</v>
      </c>
      <c r="C1415" t="s">
        <v>8295</v>
      </c>
      <c r="D1415" t="s">
        <v>8296</v>
      </c>
      <c r="E1415" t="s">
        <v>8297</v>
      </c>
      <c r="F1415" t="s">
        <v>8298</v>
      </c>
      <c r="G1415" t="s">
        <v>8299</v>
      </c>
      <c r="H1415" t="s">
        <v>8300</v>
      </c>
    </row>
    <row r="1416" spans="1:8" x14ac:dyDescent="0.25">
      <c r="A1416" t="s">
        <v>1289</v>
      </c>
      <c r="B1416">
        <f>VLOOKUP(A1416,art_category_path_name!A:B,2,FALSE)</f>
        <v>1409</v>
      </c>
      <c r="C1416" t="s">
        <v>8301</v>
      </c>
      <c r="D1416" t="s">
        <v>8302</v>
      </c>
      <c r="F1416" t="s">
        <v>1834</v>
      </c>
      <c r="G1416" t="s">
        <v>8303</v>
      </c>
      <c r="H1416" t="s">
        <v>8304</v>
      </c>
    </row>
    <row r="1417" spans="1:8" x14ac:dyDescent="0.25">
      <c r="A1417" t="s">
        <v>567</v>
      </c>
      <c r="B1417">
        <f>VLOOKUP(A1417,art_category_path_name!A:B,2,FALSE)</f>
        <v>1410</v>
      </c>
      <c r="C1417" t="s">
        <v>8305</v>
      </c>
      <c r="D1417" t="s">
        <v>8306</v>
      </c>
      <c r="F1417" t="s">
        <v>1834</v>
      </c>
      <c r="G1417" t="s">
        <v>8307</v>
      </c>
      <c r="H1417" t="s">
        <v>8308</v>
      </c>
    </row>
    <row r="1418" spans="1:8" x14ac:dyDescent="0.25">
      <c r="A1418" t="s">
        <v>568</v>
      </c>
      <c r="B1418">
        <f>VLOOKUP(A1418,art_category_path_name!A:B,2,FALSE)</f>
        <v>1411</v>
      </c>
      <c r="C1418" t="s">
        <v>8309</v>
      </c>
      <c r="D1418" t="s">
        <v>8310</v>
      </c>
      <c r="F1418" t="s">
        <v>1834</v>
      </c>
      <c r="G1418" t="s">
        <v>8311</v>
      </c>
      <c r="H1418" t="s">
        <v>8312</v>
      </c>
    </row>
    <row r="1419" spans="1:8" x14ac:dyDescent="0.25">
      <c r="A1419" t="s">
        <v>587</v>
      </c>
      <c r="B1419">
        <f>VLOOKUP(A1419,art_category_path_name!A:B,2,FALSE)</f>
        <v>1412</v>
      </c>
      <c r="C1419" t="s">
        <v>3926</v>
      </c>
      <c r="D1419" t="s">
        <v>8313</v>
      </c>
      <c r="F1419" t="s">
        <v>1834</v>
      </c>
      <c r="G1419" t="s">
        <v>8314</v>
      </c>
      <c r="H1419" t="s">
        <v>8315</v>
      </c>
    </row>
    <row r="1420" spans="1:8" x14ac:dyDescent="0.25">
      <c r="A1420" t="s">
        <v>588</v>
      </c>
      <c r="B1420">
        <f>VLOOKUP(A1420,art_category_path_name!A:B,2,FALSE)</f>
        <v>1413</v>
      </c>
      <c r="C1420" t="s">
        <v>4125</v>
      </c>
      <c r="D1420" t="s">
        <v>8316</v>
      </c>
      <c r="F1420" t="s">
        <v>1834</v>
      </c>
      <c r="G1420" t="s">
        <v>8317</v>
      </c>
      <c r="H1420" t="s">
        <v>8318</v>
      </c>
    </row>
    <row r="1421" spans="1:8" x14ac:dyDescent="0.25">
      <c r="A1421" t="s">
        <v>589</v>
      </c>
      <c r="B1421">
        <f>VLOOKUP(A1421,art_category_path_name!A:B,2,FALSE)</f>
        <v>1414</v>
      </c>
      <c r="C1421" t="s">
        <v>4125</v>
      </c>
      <c r="D1421" t="s">
        <v>7573</v>
      </c>
      <c r="F1421" t="s">
        <v>1834</v>
      </c>
      <c r="G1421" t="s">
        <v>8319</v>
      </c>
      <c r="H1421" t="s">
        <v>8320</v>
      </c>
    </row>
    <row r="1422" spans="1:8" x14ac:dyDescent="0.25">
      <c r="A1422" t="s">
        <v>546</v>
      </c>
      <c r="B1422">
        <f>VLOOKUP(A1422,art_category_path_name!A:B,2,FALSE)</f>
        <v>1415</v>
      </c>
      <c r="C1422" t="s">
        <v>8321</v>
      </c>
      <c r="D1422" t="s">
        <v>5225</v>
      </c>
      <c r="F1422" t="s">
        <v>1834</v>
      </c>
      <c r="G1422" t="s">
        <v>5226</v>
      </c>
      <c r="H1422" t="s">
        <v>8322</v>
      </c>
    </row>
    <row r="1423" spans="1:8" x14ac:dyDescent="0.25">
      <c r="A1423" t="s">
        <v>547</v>
      </c>
      <c r="B1423">
        <f>VLOOKUP(A1423,art_category_path_name!A:B,2,FALSE)</f>
        <v>1416</v>
      </c>
      <c r="C1423" t="s">
        <v>8323</v>
      </c>
      <c r="D1423" t="s">
        <v>8324</v>
      </c>
      <c r="F1423" t="s">
        <v>1834</v>
      </c>
      <c r="G1423" t="s">
        <v>8325</v>
      </c>
      <c r="H1423" t="s">
        <v>8326</v>
      </c>
    </row>
    <row r="1424" spans="1:8" x14ac:dyDescent="0.25">
      <c r="A1424" t="s">
        <v>616</v>
      </c>
      <c r="B1424">
        <f>VLOOKUP(A1424,art_category_path_name!A:B,2,FALSE)</f>
        <v>1417</v>
      </c>
      <c r="C1424" t="s">
        <v>8327</v>
      </c>
      <c r="D1424" t="s">
        <v>6206</v>
      </c>
      <c r="F1424" t="s">
        <v>1834</v>
      </c>
      <c r="G1424" t="s">
        <v>6207</v>
      </c>
      <c r="H1424" t="s">
        <v>8328</v>
      </c>
    </row>
    <row r="1425" spans="1:8" x14ac:dyDescent="0.25">
      <c r="A1425" t="s">
        <v>617</v>
      </c>
      <c r="B1425">
        <f>VLOOKUP(A1425,art_category_path_name!A:B,2,FALSE)</f>
        <v>1418</v>
      </c>
      <c r="C1425" t="s">
        <v>8329</v>
      </c>
      <c r="D1425" t="s">
        <v>8330</v>
      </c>
      <c r="F1425" t="s">
        <v>1834</v>
      </c>
      <c r="G1425" t="s">
        <v>8331</v>
      </c>
      <c r="H1425" t="s">
        <v>8332</v>
      </c>
    </row>
    <row r="1426" spans="1:8" x14ac:dyDescent="0.25">
      <c r="A1426" t="s">
        <v>618</v>
      </c>
      <c r="B1426">
        <f>VLOOKUP(A1426,art_category_path_name!A:B,2,FALSE)</f>
        <v>1419</v>
      </c>
      <c r="C1426" t="s">
        <v>8333</v>
      </c>
      <c r="D1426" t="s">
        <v>8334</v>
      </c>
      <c r="F1426" t="s">
        <v>1834</v>
      </c>
      <c r="G1426" t="s">
        <v>8335</v>
      </c>
      <c r="H1426" t="s">
        <v>8336</v>
      </c>
    </row>
    <row r="1427" spans="1:8" x14ac:dyDescent="0.25">
      <c r="A1427" t="s">
        <v>395</v>
      </c>
      <c r="B1427">
        <f>VLOOKUP(A1427,art_category_path_name!A:B,2,FALSE)</f>
        <v>1421</v>
      </c>
      <c r="C1427" t="s">
        <v>8337</v>
      </c>
      <c r="D1427" t="s">
        <v>3150</v>
      </c>
      <c r="E1427" t="s">
        <v>8338</v>
      </c>
      <c r="F1427" t="s">
        <v>8339</v>
      </c>
      <c r="G1427" t="s">
        <v>8340</v>
      </c>
      <c r="H1427" t="s">
        <v>8341</v>
      </c>
    </row>
    <row r="1428" spans="1:8" x14ac:dyDescent="0.25">
      <c r="A1428" t="s">
        <v>396</v>
      </c>
      <c r="B1428">
        <f>VLOOKUP(A1428,art_category_path_name!A:B,2,FALSE)</f>
        <v>1422</v>
      </c>
      <c r="C1428" t="s">
        <v>8342</v>
      </c>
      <c r="D1428" t="s">
        <v>3150</v>
      </c>
      <c r="E1428" t="s">
        <v>8343</v>
      </c>
      <c r="F1428" t="s">
        <v>8344</v>
      </c>
      <c r="G1428" t="s">
        <v>8345</v>
      </c>
      <c r="H1428" t="s">
        <v>8346</v>
      </c>
    </row>
    <row r="1429" spans="1:8" x14ac:dyDescent="0.25">
      <c r="A1429" t="s">
        <v>397</v>
      </c>
      <c r="B1429">
        <f>VLOOKUP(A1429,art_category_path_name!A:B,2,FALSE)</f>
        <v>1423</v>
      </c>
      <c r="C1429" t="s">
        <v>8347</v>
      </c>
      <c r="D1429" t="s">
        <v>3150</v>
      </c>
      <c r="E1429" t="s">
        <v>8348</v>
      </c>
      <c r="F1429" t="s">
        <v>8349</v>
      </c>
      <c r="G1429" t="s">
        <v>8350</v>
      </c>
      <c r="H1429" t="s">
        <v>8351</v>
      </c>
    </row>
    <row r="1430" spans="1:8" x14ac:dyDescent="0.25">
      <c r="A1430" t="s">
        <v>398</v>
      </c>
      <c r="B1430">
        <f>VLOOKUP(A1430,art_category_path_name!A:B,2,FALSE)</f>
        <v>1424</v>
      </c>
      <c r="C1430" t="s">
        <v>8352</v>
      </c>
      <c r="D1430" t="s">
        <v>3150</v>
      </c>
      <c r="E1430" t="s">
        <v>8353</v>
      </c>
      <c r="F1430" t="s">
        <v>8354</v>
      </c>
      <c r="G1430" t="s">
        <v>8355</v>
      </c>
      <c r="H1430" t="s">
        <v>8356</v>
      </c>
    </row>
    <row r="1431" spans="1:8" x14ac:dyDescent="0.25">
      <c r="A1431" t="s">
        <v>399</v>
      </c>
      <c r="B1431">
        <f>VLOOKUP(A1431,art_category_path_name!A:B,2,FALSE)</f>
        <v>1425</v>
      </c>
      <c r="C1431" t="s">
        <v>8357</v>
      </c>
      <c r="D1431" t="s">
        <v>3150</v>
      </c>
      <c r="E1431" t="s">
        <v>8358</v>
      </c>
      <c r="F1431" t="s">
        <v>8359</v>
      </c>
      <c r="G1431" t="s">
        <v>8360</v>
      </c>
      <c r="H1431" t="s">
        <v>8361</v>
      </c>
    </row>
    <row r="1432" spans="1:8" x14ac:dyDescent="0.25">
      <c r="A1432" t="s">
        <v>400</v>
      </c>
      <c r="B1432">
        <f>VLOOKUP(A1432,art_category_path_name!A:B,2,FALSE)</f>
        <v>1426</v>
      </c>
      <c r="C1432" t="s">
        <v>8362</v>
      </c>
      <c r="D1432" t="s">
        <v>8363</v>
      </c>
      <c r="F1432" t="s">
        <v>1834</v>
      </c>
      <c r="G1432" t="s">
        <v>8364</v>
      </c>
      <c r="H1432" t="s">
        <v>8365</v>
      </c>
    </row>
    <row r="1433" spans="1:8" x14ac:dyDescent="0.25">
      <c r="A1433" t="s">
        <v>401</v>
      </c>
      <c r="B1433">
        <f>VLOOKUP(A1433,art_category_path_name!A:B,2,FALSE)</f>
        <v>1427</v>
      </c>
      <c r="C1433" t="s">
        <v>8366</v>
      </c>
      <c r="D1433" t="s">
        <v>8367</v>
      </c>
      <c r="E1433" t="s">
        <v>8368</v>
      </c>
      <c r="F1433" t="s">
        <v>8369</v>
      </c>
      <c r="G1433" t="s">
        <v>8370</v>
      </c>
      <c r="H1433" t="s">
        <v>8371</v>
      </c>
    </row>
    <row r="1434" spans="1:8" x14ac:dyDescent="0.25">
      <c r="A1434" t="s">
        <v>402</v>
      </c>
      <c r="B1434">
        <f>VLOOKUP(A1434,art_category_path_name!A:B,2,FALSE)</f>
        <v>1428</v>
      </c>
      <c r="C1434" t="s">
        <v>8372</v>
      </c>
      <c r="D1434" t="s">
        <v>3150</v>
      </c>
      <c r="E1434" t="s">
        <v>8373</v>
      </c>
      <c r="F1434" t="s">
        <v>8374</v>
      </c>
      <c r="G1434" t="s">
        <v>8375</v>
      </c>
      <c r="H1434" t="s">
        <v>8376</v>
      </c>
    </row>
    <row r="1435" spans="1:8" x14ac:dyDescent="0.25">
      <c r="A1435" t="s">
        <v>403</v>
      </c>
      <c r="B1435">
        <f>VLOOKUP(A1435,art_category_path_name!A:B,2,FALSE)</f>
        <v>1429</v>
      </c>
      <c r="C1435" t="s">
        <v>8377</v>
      </c>
      <c r="D1435" t="s">
        <v>8378</v>
      </c>
      <c r="E1435" t="s">
        <v>8379</v>
      </c>
      <c r="F1435" t="s">
        <v>8380</v>
      </c>
      <c r="G1435" t="s">
        <v>8381</v>
      </c>
      <c r="H1435" t="s">
        <v>8382</v>
      </c>
    </row>
    <row r="1436" spans="1:8" x14ac:dyDescent="0.25">
      <c r="A1436" t="s">
        <v>404</v>
      </c>
      <c r="B1436">
        <f>VLOOKUP(A1436,art_category_path_name!A:B,2,FALSE)</f>
        <v>1430</v>
      </c>
      <c r="C1436" t="s">
        <v>8383</v>
      </c>
      <c r="D1436" t="s">
        <v>8384</v>
      </c>
      <c r="E1436" t="s">
        <v>8385</v>
      </c>
      <c r="F1436" t="s">
        <v>8386</v>
      </c>
      <c r="G1436" t="s">
        <v>8387</v>
      </c>
      <c r="H1436" t="s">
        <v>8388</v>
      </c>
    </row>
    <row r="1437" spans="1:8" x14ac:dyDescent="0.25">
      <c r="A1437" t="s">
        <v>405</v>
      </c>
      <c r="B1437">
        <f>VLOOKUP(A1437,art_category_path_name!A:B,2,FALSE)</f>
        <v>1431</v>
      </c>
      <c r="C1437" t="s">
        <v>8389</v>
      </c>
      <c r="D1437" t="s">
        <v>8390</v>
      </c>
      <c r="E1437" t="s">
        <v>8391</v>
      </c>
      <c r="F1437" t="s">
        <v>8392</v>
      </c>
      <c r="G1437" t="s">
        <v>8393</v>
      </c>
      <c r="H1437" t="s">
        <v>8394</v>
      </c>
    </row>
    <row r="1438" spans="1:8" x14ac:dyDescent="0.25">
      <c r="A1438" t="s">
        <v>406</v>
      </c>
      <c r="B1438">
        <f>VLOOKUP(A1438,art_category_path_name!A:B,2,FALSE)</f>
        <v>1432</v>
      </c>
      <c r="C1438" t="s">
        <v>8395</v>
      </c>
      <c r="D1438" t="s">
        <v>8396</v>
      </c>
      <c r="E1438" t="s">
        <v>8397</v>
      </c>
      <c r="F1438" t="s">
        <v>8398</v>
      </c>
      <c r="G1438" t="s">
        <v>8399</v>
      </c>
      <c r="H1438" t="s">
        <v>8400</v>
      </c>
    </row>
    <row r="1439" spans="1:8" x14ac:dyDescent="0.25">
      <c r="A1439" t="s">
        <v>407</v>
      </c>
      <c r="B1439">
        <f>VLOOKUP(A1439,art_category_path_name!A:B,2,FALSE)</f>
        <v>1433</v>
      </c>
      <c r="C1439" t="s">
        <v>8401</v>
      </c>
      <c r="D1439" t="s">
        <v>8402</v>
      </c>
      <c r="E1439" t="s">
        <v>8403</v>
      </c>
      <c r="F1439" t="s">
        <v>8404</v>
      </c>
      <c r="G1439" t="s">
        <v>8405</v>
      </c>
      <c r="H1439" t="s">
        <v>8406</v>
      </c>
    </row>
    <row r="1440" spans="1:8" x14ac:dyDescent="0.25">
      <c r="A1440" t="s">
        <v>408</v>
      </c>
      <c r="B1440">
        <f>VLOOKUP(A1440,art_category_path_name!A:B,2,FALSE)</f>
        <v>1434</v>
      </c>
      <c r="C1440" t="s">
        <v>8407</v>
      </c>
      <c r="D1440" t="s">
        <v>8408</v>
      </c>
      <c r="E1440" t="s">
        <v>8409</v>
      </c>
      <c r="F1440" t="s">
        <v>8410</v>
      </c>
      <c r="G1440" t="s">
        <v>8411</v>
      </c>
      <c r="H1440" t="s">
        <v>8412</v>
      </c>
    </row>
    <row r="1441" spans="1:8" x14ac:dyDescent="0.25">
      <c r="A1441" t="s">
        <v>409</v>
      </c>
      <c r="B1441">
        <f>VLOOKUP(A1441,art_category_path_name!A:B,2,FALSE)</f>
        <v>1435</v>
      </c>
      <c r="C1441" t="s">
        <v>8413</v>
      </c>
      <c r="D1441" t="s">
        <v>8414</v>
      </c>
      <c r="E1441" t="s">
        <v>8415</v>
      </c>
      <c r="F1441" t="s">
        <v>8414</v>
      </c>
      <c r="G1441" t="s">
        <v>8416</v>
      </c>
      <c r="H1441" t="s">
        <v>8417</v>
      </c>
    </row>
    <row r="1442" spans="1:8" x14ac:dyDescent="0.25">
      <c r="A1442" t="s">
        <v>666</v>
      </c>
      <c r="B1442">
        <f>VLOOKUP(A1442,art_category_path_name!A:B,2,FALSE)</f>
        <v>1436</v>
      </c>
      <c r="C1442" t="s">
        <v>8418</v>
      </c>
      <c r="D1442" t="s">
        <v>8419</v>
      </c>
      <c r="E1442" t="s">
        <v>8420</v>
      </c>
      <c r="F1442" t="s">
        <v>8421</v>
      </c>
      <c r="G1442" t="s">
        <v>8422</v>
      </c>
      <c r="H1442" t="s">
        <v>8423</v>
      </c>
    </row>
    <row r="1443" spans="1:8" x14ac:dyDescent="0.25">
      <c r="A1443" t="s">
        <v>667</v>
      </c>
      <c r="B1443">
        <f>VLOOKUP(A1443,art_category_path_name!A:B,2,FALSE)</f>
        <v>1437</v>
      </c>
      <c r="C1443" t="s">
        <v>8424</v>
      </c>
      <c r="D1443" t="s">
        <v>8425</v>
      </c>
      <c r="E1443" t="s">
        <v>8426</v>
      </c>
      <c r="F1443" t="s">
        <v>8427</v>
      </c>
      <c r="G1443" t="s">
        <v>8428</v>
      </c>
      <c r="H1443" t="s">
        <v>8429</v>
      </c>
    </row>
    <row r="1444" spans="1:8" x14ac:dyDescent="0.25">
      <c r="A1444" t="s">
        <v>668</v>
      </c>
      <c r="B1444">
        <f>VLOOKUP(A1444,art_category_path_name!A:B,2,FALSE)</f>
        <v>1438</v>
      </c>
      <c r="C1444" t="s">
        <v>8430</v>
      </c>
      <c r="D1444" t="s">
        <v>8431</v>
      </c>
      <c r="E1444" t="s">
        <v>4452</v>
      </c>
      <c r="F1444" t="s">
        <v>8432</v>
      </c>
      <c r="G1444" t="s">
        <v>8433</v>
      </c>
      <c r="H1444" t="s">
        <v>8434</v>
      </c>
    </row>
    <row r="1445" spans="1:8" x14ac:dyDescent="0.25">
      <c r="A1445" t="s">
        <v>970</v>
      </c>
      <c r="B1445">
        <f>VLOOKUP(A1445,art_category_path_name!A:B,2,FALSE)</f>
        <v>1439</v>
      </c>
      <c r="C1445" t="s">
        <v>8435</v>
      </c>
      <c r="D1445" t="s">
        <v>8436</v>
      </c>
      <c r="E1445" t="s">
        <v>8437</v>
      </c>
      <c r="F1445" t="s">
        <v>8438</v>
      </c>
      <c r="G1445" t="s">
        <v>8439</v>
      </c>
      <c r="H1445" t="s">
        <v>8440</v>
      </c>
    </row>
    <row r="1446" spans="1:8" x14ac:dyDescent="0.25">
      <c r="A1446" t="s">
        <v>971</v>
      </c>
      <c r="B1446">
        <f>VLOOKUP(A1446,art_category_path_name!A:B,2,FALSE)</f>
        <v>1440</v>
      </c>
      <c r="C1446" t="s">
        <v>8441</v>
      </c>
      <c r="D1446" t="s">
        <v>8442</v>
      </c>
      <c r="E1446" t="s">
        <v>8443</v>
      </c>
      <c r="F1446" t="s">
        <v>8444</v>
      </c>
      <c r="G1446" t="s">
        <v>8445</v>
      </c>
      <c r="H1446" t="s">
        <v>8446</v>
      </c>
    </row>
    <row r="1447" spans="1:8" x14ac:dyDescent="0.25">
      <c r="A1447" t="s">
        <v>972</v>
      </c>
      <c r="B1447">
        <f>VLOOKUP(A1447,art_category_path_name!A:B,2,FALSE)</f>
        <v>1441</v>
      </c>
      <c r="C1447" t="s">
        <v>8447</v>
      </c>
      <c r="D1447" t="s">
        <v>8448</v>
      </c>
      <c r="E1447" t="s">
        <v>8449</v>
      </c>
      <c r="F1447" t="s">
        <v>8450</v>
      </c>
      <c r="G1447" t="s">
        <v>8451</v>
      </c>
      <c r="H1447" t="s">
        <v>8452</v>
      </c>
    </row>
    <row r="1448" spans="1:8" x14ac:dyDescent="0.25">
      <c r="A1448" t="s">
        <v>973</v>
      </c>
      <c r="B1448">
        <f>VLOOKUP(A1448,art_category_path_name!A:B,2,FALSE)</f>
        <v>1442</v>
      </c>
      <c r="C1448" t="s">
        <v>8453</v>
      </c>
      <c r="D1448" t="s">
        <v>8454</v>
      </c>
      <c r="E1448" t="s">
        <v>8455</v>
      </c>
      <c r="F1448" t="s">
        <v>8456</v>
      </c>
      <c r="G1448" t="s">
        <v>8457</v>
      </c>
      <c r="H1448" t="s">
        <v>8458</v>
      </c>
    </row>
    <row r="1449" spans="1:8" x14ac:dyDescent="0.25">
      <c r="A1449" t="s">
        <v>974</v>
      </c>
      <c r="B1449">
        <f>VLOOKUP(A1449,art_category_path_name!A:B,2,FALSE)</f>
        <v>1443</v>
      </c>
      <c r="C1449" t="s">
        <v>8459</v>
      </c>
      <c r="D1449" t="s">
        <v>8460</v>
      </c>
      <c r="F1449" t="s">
        <v>1834</v>
      </c>
      <c r="G1449" t="s">
        <v>8461</v>
      </c>
      <c r="H1449" t="s">
        <v>8462</v>
      </c>
    </row>
    <row r="1450" spans="1:8" x14ac:dyDescent="0.25">
      <c r="A1450" t="s">
        <v>1220</v>
      </c>
      <c r="B1450">
        <f>VLOOKUP(A1450,art_category_path_name!A:B,2,FALSE)</f>
        <v>1444</v>
      </c>
      <c r="C1450" t="s">
        <v>8463</v>
      </c>
      <c r="D1450" t="s">
        <v>8464</v>
      </c>
      <c r="F1450" t="s">
        <v>1834</v>
      </c>
      <c r="G1450" t="s">
        <v>8465</v>
      </c>
      <c r="H1450" t="s">
        <v>8466</v>
      </c>
    </row>
  </sheetData>
  <autoFilter ref="A1:H1450"/>
  <hyperlinks>
    <hyperlink ref="H2" r:id="rId1"/>
    <hyperlink ref="H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445"/>
  <sheetViews>
    <sheetView workbookViewId="0">
      <selection activeCell="H21" sqref="H21"/>
    </sheetView>
  </sheetViews>
  <sheetFormatPr defaultRowHeight="15" x14ac:dyDescent="0.25"/>
  <cols>
    <col min="1" max="1" width="65.28515625" customWidth="1"/>
  </cols>
  <sheetData>
    <row r="1" spans="1:9" x14ac:dyDescent="0.25">
      <c r="A1" t="s">
        <v>1458</v>
      </c>
      <c r="B1" t="s">
        <v>8623</v>
      </c>
      <c r="C1" t="s">
        <v>1459</v>
      </c>
      <c r="D1" t="s">
        <v>1460</v>
      </c>
      <c r="E1" t="s">
        <v>1461</v>
      </c>
      <c r="F1" t="s">
        <v>1462</v>
      </c>
      <c r="G1" t="s">
        <v>1463</v>
      </c>
      <c r="H1" t="s">
        <v>1464</v>
      </c>
      <c r="I1" t="s">
        <v>8625</v>
      </c>
    </row>
    <row r="2" spans="1:9" x14ac:dyDescent="0.25">
      <c r="A2" t="s">
        <v>69</v>
      </c>
      <c r="B2">
        <f>VLOOKUP(A2,art_category_path_name!A:B,2,FALSE)</f>
        <v>257</v>
      </c>
      <c r="C2" t="s">
        <v>8626</v>
      </c>
      <c r="D2" t="s">
        <v>1466</v>
      </c>
      <c r="E2" t="s">
        <v>1467</v>
      </c>
      <c r="F2" t="s">
        <v>1468</v>
      </c>
      <c r="G2" t="s">
        <v>8627</v>
      </c>
      <c r="H2" t="s">
        <v>1469</v>
      </c>
      <c r="I2">
        <v>0</v>
      </c>
    </row>
    <row r="3" spans="1:9" x14ac:dyDescent="0.25">
      <c r="A3" t="s">
        <v>74</v>
      </c>
      <c r="B3">
        <f>VLOOKUP(A3,art_category_path_name!A:B,2,FALSE)</f>
        <v>428</v>
      </c>
      <c r="C3" t="s">
        <v>8628</v>
      </c>
      <c r="D3" t="s">
        <v>1471</v>
      </c>
      <c r="E3" t="s">
        <v>1472</v>
      </c>
      <c r="F3" t="s">
        <v>1473</v>
      </c>
      <c r="G3" t="s">
        <v>8629</v>
      </c>
      <c r="H3" t="s">
        <v>1474</v>
      </c>
      <c r="I3">
        <v>0</v>
      </c>
    </row>
    <row r="4" spans="1:9" x14ac:dyDescent="0.25">
      <c r="A4" t="s">
        <v>77</v>
      </c>
      <c r="B4">
        <f>VLOOKUP(A4,art_category_path_name!A:B,2,FALSE)</f>
        <v>528</v>
      </c>
      <c r="C4" t="s">
        <v>8630</v>
      </c>
      <c r="D4" t="s">
        <v>1476</v>
      </c>
      <c r="E4" t="s">
        <v>1477</v>
      </c>
      <c r="F4" t="s">
        <v>1478</v>
      </c>
      <c r="G4" t="s">
        <v>8631</v>
      </c>
      <c r="H4" t="s">
        <v>1479</v>
      </c>
      <c r="I4">
        <v>0</v>
      </c>
    </row>
    <row r="5" spans="1:9" x14ac:dyDescent="0.25">
      <c r="A5" t="s">
        <v>83</v>
      </c>
      <c r="B5">
        <f>VLOOKUP(A5,art_category_path_name!A:B,2,FALSE)</f>
        <v>603</v>
      </c>
      <c r="C5" t="s">
        <v>8632</v>
      </c>
      <c r="D5" t="s">
        <v>1481</v>
      </c>
      <c r="E5" t="s">
        <v>1482</v>
      </c>
      <c r="F5" t="s">
        <v>1483</v>
      </c>
      <c r="G5" t="s">
        <v>8467</v>
      </c>
      <c r="H5" t="s">
        <v>1484</v>
      </c>
      <c r="I5">
        <v>0</v>
      </c>
    </row>
    <row r="6" spans="1:9" x14ac:dyDescent="0.25">
      <c r="A6" t="s">
        <v>26</v>
      </c>
      <c r="B6">
        <f>VLOOKUP(A6,art_category_path_name!A:B,2,FALSE)</f>
        <v>1031</v>
      </c>
      <c r="C6" t="s">
        <v>8633</v>
      </c>
      <c r="D6" t="s">
        <v>1486</v>
      </c>
      <c r="E6" t="s">
        <v>1487</v>
      </c>
      <c r="F6" t="s">
        <v>1488</v>
      </c>
      <c r="G6" t="s">
        <v>8468</v>
      </c>
      <c r="H6" t="s">
        <v>1489</v>
      </c>
      <c r="I6">
        <v>0</v>
      </c>
    </row>
    <row r="7" spans="1:9" x14ac:dyDescent="0.25">
      <c r="A7" t="s">
        <v>31</v>
      </c>
      <c r="B7">
        <f>VLOOKUP(A7,art_category_path_name!A:B,2,FALSE)</f>
        <v>1097</v>
      </c>
      <c r="C7" t="s">
        <v>8634</v>
      </c>
      <c r="D7" t="s">
        <v>1491</v>
      </c>
      <c r="E7" t="s">
        <v>1492</v>
      </c>
      <c r="F7" t="s">
        <v>1493</v>
      </c>
      <c r="G7" t="s">
        <v>8469</v>
      </c>
      <c r="H7" t="s">
        <v>1494</v>
      </c>
      <c r="I7">
        <v>0</v>
      </c>
    </row>
    <row r="8" spans="1:9" x14ac:dyDescent="0.25">
      <c r="A8" t="s">
        <v>36</v>
      </c>
      <c r="B8">
        <f>VLOOKUP(A8,art_category_path_name!A:B,2,FALSE)</f>
        <v>1180</v>
      </c>
      <c r="C8" t="s">
        <v>8635</v>
      </c>
      <c r="D8" t="s">
        <v>1496</v>
      </c>
      <c r="E8" t="s">
        <v>1497</v>
      </c>
      <c r="F8" t="s">
        <v>1498</v>
      </c>
      <c r="G8" t="s">
        <v>8470</v>
      </c>
      <c r="H8" t="s">
        <v>1499</v>
      </c>
      <c r="I8">
        <v>0</v>
      </c>
    </row>
    <row r="9" spans="1:9" x14ac:dyDescent="0.25">
      <c r="A9" t="s">
        <v>51</v>
      </c>
      <c r="B9">
        <f>VLOOKUP(A9,art_category_path_name!A:B,2,FALSE)</f>
        <v>183</v>
      </c>
      <c r="C9" t="s">
        <v>8636</v>
      </c>
      <c r="D9" t="s">
        <v>1501</v>
      </c>
      <c r="E9" t="s">
        <v>1502</v>
      </c>
      <c r="F9" t="s">
        <v>1503</v>
      </c>
      <c r="G9" t="s">
        <v>8471</v>
      </c>
      <c r="H9" t="s">
        <v>1504</v>
      </c>
      <c r="I9">
        <v>0</v>
      </c>
    </row>
    <row r="10" spans="1:9" x14ac:dyDescent="0.25">
      <c r="A10" t="s">
        <v>62</v>
      </c>
      <c r="B10">
        <f>VLOOKUP(A10,art_category_path_name!A:B,2,FALSE)</f>
        <v>320</v>
      </c>
      <c r="C10" t="s">
        <v>8637</v>
      </c>
      <c r="D10" t="s">
        <v>1506</v>
      </c>
      <c r="E10" t="s">
        <v>1507</v>
      </c>
      <c r="F10" t="s">
        <v>1508</v>
      </c>
      <c r="G10" t="s">
        <v>8472</v>
      </c>
      <c r="H10" t="s">
        <v>1509</v>
      </c>
      <c r="I10">
        <v>0</v>
      </c>
    </row>
    <row r="11" spans="1:9" x14ac:dyDescent="0.25">
      <c r="A11" t="s">
        <v>66</v>
      </c>
      <c r="B11">
        <f>VLOOKUP(A11,art_category_path_name!A:B,2,FALSE)</f>
        <v>946</v>
      </c>
      <c r="C11" t="s">
        <v>8638</v>
      </c>
      <c r="D11" t="s">
        <v>1511</v>
      </c>
      <c r="E11" t="s">
        <v>1512</v>
      </c>
      <c r="F11" t="s">
        <v>1513</v>
      </c>
      <c r="G11" t="s">
        <v>8473</v>
      </c>
      <c r="H11" t="s">
        <v>1514</v>
      </c>
      <c r="I11">
        <v>0</v>
      </c>
    </row>
    <row r="12" spans="1:9" x14ac:dyDescent="0.25">
      <c r="A12" t="s">
        <v>49</v>
      </c>
      <c r="B12">
        <f>VLOOKUP(A12,art_category_path_name!A:B,2,FALSE)</f>
        <v>1356</v>
      </c>
      <c r="C12" t="s">
        <v>8639</v>
      </c>
      <c r="D12" t="s">
        <v>1516</v>
      </c>
      <c r="E12" t="s">
        <v>1517</v>
      </c>
      <c r="F12" t="s">
        <v>1518</v>
      </c>
      <c r="G12" t="s">
        <v>8474</v>
      </c>
      <c r="H12" t="s">
        <v>1519</v>
      </c>
      <c r="I12">
        <v>0</v>
      </c>
    </row>
    <row r="13" spans="1:9" x14ac:dyDescent="0.25">
      <c r="A13" t="s">
        <v>41</v>
      </c>
      <c r="B13">
        <f>VLOOKUP(A13,art_category_path_name!A:B,2,FALSE)</f>
        <v>1185</v>
      </c>
      <c r="C13" t="s">
        <v>8640</v>
      </c>
      <c r="D13" t="s">
        <v>1521</v>
      </c>
      <c r="E13" t="s">
        <v>1522</v>
      </c>
      <c r="F13" t="s">
        <v>1523</v>
      </c>
      <c r="G13" t="s">
        <v>8641</v>
      </c>
      <c r="H13" t="s">
        <v>1524</v>
      </c>
      <c r="I13">
        <v>0</v>
      </c>
    </row>
    <row r="14" spans="1:9" x14ac:dyDescent="0.25">
      <c r="A14" t="s">
        <v>25</v>
      </c>
      <c r="B14">
        <f>VLOOKUP(A14,art_category_path_name!A:B,2,FALSE)</f>
        <v>181</v>
      </c>
      <c r="C14" t="s">
        <v>8642</v>
      </c>
      <c r="D14" t="s">
        <v>1526</v>
      </c>
      <c r="E14" t="s">
        <v>1527</v>
      </c>
      <c r="F14" t="s">
        <v>1528</v>
      </c>
      <c r="G14" t="s">
        <v>8475</v>
      </c>
      <c r="H14" t="s">
        <v>1529</v>
      </c>
      <c r="I14">
        <v>0</v>
      </c>
    </row>
    <row r="15" spans="1:9" x14ac:dyDescent="0.25">
      <c r="A15" t="s">
        <v>532</v>
      </c>
      <c r="B15">
        <f>VLOOKUP(A15,art_category_path_name!A:B,2,FALSE)</f>
        <v>333</v>
      </c>
      <c r="C15" t="s">
        <v>8643</v>
      </c>
      <c r="D15" t="s">
        <v>1531</v>
      </c>
      <c r="E15" t="s">
        <v>1532</v>
      </c>
      <c r="F15" t="s">
        <v>1533</v>
      </c>
      <c r="H15" t="s">
        <v>1534</v>
      </c>
      <c r="I15">
        <v>0</v>
      </c>
    </row>
    <row r="16" spans="1:9" x14ac:dyDescent="0.25">
      <c r="A16" t="s">
        <v>541</v>
      </c>
      <c r="B16">
        <f>VLOOKUP(A16,art_category_path_name!A:B,2,FALSE)</f>
        <v>342</v>
      </c>
      <c r="C16" t="s">
        <v>8644</v>
      </c>
      <c r="D16" t="s">
        <v>1536</v>
      </c>
      <c r="E16" t="s">
        <v>1537</v>
      </c>
      <c r="F16" t="s">
        <v>1538</v>
      </c>
      <c r="H16" t="s">
        <v>1539</v>
      </c>
      <c r="I16">
        <v>0</v>
      </c>
    </row>
    <row r="17" spans="1:9" x14ac:dyDescent="0.25">
      <c r="A17" t="s">
        <v>545</v>
      </c>
      <c r="B17">
        <f>VLOOKUP(A17,art_category_path_name!A:B,2,FALSE)</f>
        <v>346</v>
      </c>
      <c r="C17" t="s">
        <v>8645</v>
      </c>
      <c r="D17" t="s">
        <v>1541</v>
      </c>
      <c r="E17" t="s">
        <v>1542</v>
      </c>
      <c r="F17" t="s">
        <v>1543</v>
      </c>
      <c r="H17" t="s">
        <v>1544</v>
      </c>
      <c r="I17">
        <v>0</v>
      </c>
    </row>
    <row r="18" spans="1:9" x14ac:dyDescent="0.25">
      <c r="A18" t="s">
        <v>566</v>
      </c>
      <c r="B18">
        <f>VLOOKUP(A18,art_category_path_name!A:B,2,FALSE)</f>
        <v>365</v>
      </c>
      <c r="C18" t="s">
        <v>8646</v>
      </c>
      <c r="D18" t="s">
        <v>1546</v>
      </c>
      <c r="E18" t="s">
        <v>1547</v>
      </c>
      <c r="F18" t="s">
        <v>1548</v>
      </c>
      <c r="H18" t="s">
        <v>1549</v>
      </c>
      <c r="I18">
        <v>0</v>
      </c>
    </row>
    <row r="19" spans="1:9" x14ac:dyDescent="0.25">
      <c r="A19" t="s">
        <v>586</v>
      </c>
      <c r="B19">
        <f>VLOOKUP(A19,art_category_path_name!A:B,2,FALSE)</f>
        <v>383</v>
      </c>
      <c r="C19" t="s">
        <v>8647</v>
      </c>
      <c r="D19" t="s">
        <v>1551</v>
      </c>
      <c r="E19" t="s">
        <v>1552</v>
      </c>
      <c r="F19" t="s">
        <v>1553</v>
      </c>
      <c r="H19" t="s">
        <v>1554</v>
      </c>
      <c r="I19">
        <v>0</v>
      </c>
    </row>
    <row r="20" spans="1:9" x14ac:dyDescent="0.25">
      <c r="A20" t="s">
        <v>598</v>
      </c>
      <c r="B20">
        <f>VLOOKUP(A20,art_category_path_name!A:B,2,FALSE)</f>
        <v>392</v>
      </c>
      <c r="C20" t="s">
        <v>8648</v>
      </c>
      <c r="D20" t="s">
        <v>1556</v>
      </c>
      <c r="E20" t="s">
        <v>1557</v>
      </c>
      <c r="F20" t="s">
        <v>1558</v>
      </c>
      <c r="H20" t="s">
        <v>1559</v>
      </c>
      <c r="I20">
        <v>0</v>
      </c>
    </row>
    <row r="21" spans="1:9" x14ac:dyDescent="0.25">
      <c r="A21" t="s">
        <v>615</v>
      </c>
      <c r="B21">
        <f>VLOOKUP(A21,art_category_path_name!A:B,2,FALSE)</f>
        <v>927</v>
      </c>
      <c r="C21" t="s">
        <v>8649</v>
      </c>
      <c r="D21" t="s">
        <v>1561</v>
      </c>
      <c r="E21" t="s">
        <v>1562</v>
      </c>
      <c r="F21" t="s">
        <v>1563</v>
      </c>
      <c r="H21" s="2" t="s">
        <v>1564</v>
      </c>
      <c r="I21">
        <v>0</v>
      </c>
    </row>
    <row r="22" spans="1:9" x14ac:dyDescent="0.25">
      <c r="A22" t="s">
        <v>531</v>
      </c>
      <c r="B22">
        <f>VLOOKUP(A22,art_category_path_name!A:B,2,FALSE)</f>
        <v>332</v>
      </c>
      <c r="C22" t="s">
        <v>8650</v>
      </c>
      <c r="D22" t="s">
        <v>1566</v>
      </c>
      <c r="E22" t="s">
        <v>1567</v>
      </c>
      <c r="F22" t="s">
        <v>1568</v>
      </c>
      <c r="G22" t="s">
        <v>8476</v>
      </c>
      <c r="H22" t="s">
        <v>1569</v>
      </c>
      <c r="I22">
        <v>0</v>
      </c>
    </row>
    <row r="23" spans="1:9" x14ac:dyDescent="0.25">
      <c r="A23" t="s">
        <v>48</v>
      </c>
      <c r="B23">
        <f>VLOOKUP(A23,art_category_path_name!A:B,2,FALSE)</f>
        <v>182</v>
      </c>
      <c r="C23" t="s">
        <v>8651</v>
      </c>
      <c r="D23" t="s">
        <v>1571</v>
      </c>
      <c r="E23" t="s">
        <v>1572</v>
      </c>
      <c r="F23" t="s">
        <v>1573</v>
      </c>
      <c r="G23" t="s">
        <v>8472</v>
      </c>
      <c r="H23" t="s">
        <v>1574</v>
      </c>
      <c r="I23">
        <v>0</v>
      </c>
    </row>
    <row r="24" spans="1:9" x14ac:dyDescent="0.25">
      <c r="A24" t="s">
        <v>155</v>
      </c>
      <c r="B24">
        <f>VLOOKUP(A24,art_category_path_name!A:B,2,FALSE)</f>
        <v>206</v>
      </c>
      <c r="C24" t="s">
        <v>8652</v>
      </c>
      <c r="D24" t="s">
        <v>1576</v>
      </c>
      <c r="E24" t="s">
        <v>1577</v>
      </c>
      <c r="F24" t="s">
        <v>1578</v>
      </c>
      <c r="G24" t="s">
        <v>8653</v>
      </c>
      <c r="H24" t="s">
        <v>1579</v>
      </c>
      <c r="I24">
        <v>0</v>
      </c>
    </row>
    <row r="25" spans="1:9" x14ac:dyDescent="0.25">
      <c r="A25" t="s">
        <v>167</v>
      </c>
      <c r="B25">
        <f>VLOOKUP(A25,art_category_path_name!A:B,2,FALSE)</f>
        <v>284</v>
      </c>
      <c r="C25" t="s">
        <v>8654</v>
      </c>
      <c r="D25" t="s">
        <v>1581</v>
      </c>
      <c r="E25" t="s">
        <v>1582</v>
      </c>
      <c r="F25" t="s">
        <v>1583</v>
      </c>
      <c r="G25" t="s">
        <v>8477</v>
      </c>
      <c r="H25" t="s">
        <v>1584</v>
      </c>
      <c r="I25">
        <v>0</v>
      </c>
    </row>
    <row r="26" spans="1:9" x14ac:dyDescent="0.25">
      <c r="A26" t="s">
        <v>170</v>
      </c>
      <c r="B26">
        <f>VLOOKUP(A26,art_category_path_name!A:B,2,FALSE)</f>
        <v>298</v>
      </c>
      <c r="C26" t="s">
        <v>1585</v>
      </c>
      <c r="D26" t="s">
        <v>1586</v>
      </c>
      <c r="E26" t="s">
        <v>1587</v>
      </c>
      <c r="F26" t="s">
        <v>1588</v>
      </c>
      <c r="G26" t="s">
        <v>8478</v>
      </c>
      <c r="H26" t="s">
        <v>1589</v>
      </c>
      <c r="I26">
        <v>0</v>
      </c>
    </row>
    <row r="27" spans="1:9" x14ac:dyDescent="0.25">
      <c r="A27" t="s">
        <v>178</v>
      </c>
      <c r="B27">
        <f>VLOOKUP(A27,art_category_path_name!A:B,2,FALSE)</f>
        <v>306</v>
      </c>
      <c r="C27" t="s">
        <v>10081</v>
      </c>
      <c r="D27" t="s">
        <v>1591</v>
      </c>
      <c r="E27" t="s">
        <v>1592</v>
      </c>
      <c r="F27" t="s">
        <v>1593</v>
      </c>
      <c r="G27" t="s">
        <v>8655</v>
      </c>
      <c r="H27" t="s">
        <v>1594</v>
      </c>
      <c r="I27">
        <v>0</v>
      </c>
    </row>
    <row r="28" spans="1:9" x14ac:dyDescent="0.25">
      <c r="A28" t="s">
        <v>181</v>
      </c>
      <c r="B28">
        <f>VLOOKUP(A28,art_category_path_name!A:B,2,FALSE)</f>
        <v>613</v>
      </c>
      <c r="C28" t="s">
        <v>8656</v>
      </c>
      <c r="D28" t="s">
        <v>1596</v>
      </c>
      <c r="E28" t="s">
        <v>1597</v>
      </c>
      <c r="F28" t="s">
        <v>1598</v>
      </c>
      <c r="G28" t="s">
        <v>8479</v>
      </c>
      <c r="H28" t="s">
        <v>1599</v>
      </c>
      <c r="I28">
        <v>0</v>
      </c>
    </row>
    <row r="29" spans="1:9" x14ac:dyDescent="0.25">
      <c r="A29" t="s">
        <v>188</v>
      </c>
      <c r="B29">
        <f>VLOOKUP(A29,art_category_path_name!A:B,2,FALSE)</f>
        <v>751</v>
      </c>
      <c r="C29" t="s">
        <v>8657</v>
      </c>
      <c r="D29" t="s">
        <v>1601</v>
      </c>
      <c r="E29" t="s">
        <v>1602</v>
      </c>
      <c r="F29" t="s">
        <v>1603</v>
      </c>
      <c r="G29" t="s">
        <v>8480</v>
      </c>
      <c r="H29" t="s">
        <v>1604</v>
      </c>
      <c r="I29">
        <v>0</v>
      </c>
    </row>
    <row r="30" spans="1:9" x14ac:dyDescent="0.25">
      <c r="A30" t="s">
        <v>195</v>
      </c>
      <c r="B30">
        <f>VLOOKUP(A30,art_category_path_name!A:B,2,FALSE)</f>
        <v>857</v>
      </c>
      <c r="C30" t="s">
        <v>8658</v>
      </c>
      <c r="D30" t="s">
        <v>1606</v>
      </c>
      <c r="E30" t="s">
        <v>1607</v>
      </c>
      <c r="F30" t="s">
        <v>1608</v>
      </c>
      <c r="G30" t="s">
        <v>8659</v>
      </c>
      <c r="H30" t="s">
        <v>1609</v>
      </c>
      <c r="I30">
        <v>0</v>
      </c>
    </row>
    <row r="31" spans="1:9" x14ac:dyDescent="0.25">
      <c r="A31" t="s">
        <v>198</v>
      </c>
      <c r="B31">
        <f>VLOOKUP(A31,art_category_path_name!A:B,2,FALSE)</f>
        <v>884</v>
      </c>
      <c r="C31" t="s">
        <v>8660</v>
      </c>
      <c r="D31" t="s">
        <v>1611</v>
      </c>
      <c r="E31" t="s">
        <v>1612</v>
      </c>
      <c r="F31" t="s">
        <v>1613</v>
      </c>
      <c r="G31" t="s">
        <v>8661</v>
      </c>
      <c r="H31" t="s">
        <v>1614</v>
      </c>
      <c r="I31">
        <v>0</v>
      </c>
    </row>
    <row r="32" spans="1:9" x14ac:dyDescent="0.25">
      <c r="A32" t="s">
        <v>103</v>
      </c>
      <c r="B32">
        <f>VLOOKUP(A32,art_category_path_name!A:B,2,FALSE)</f>
        <v>1058</v>
      </c>
      <c r="C32" t="s">
        <v>8662</v>
      </c>
      <c r="D32" t="s">
        <v>1616</v>
      </c>
      <c r="E32" t="s">
        <v>1617</v>
      </c>
      <c r="F32" t="s">
        <v>1618</v>
      </c>
      <c r="G32" t="s">
        <v>8663</v>
      </c>
      <c r="H32" t="s">
        <v>1619</v>
      </c>
      <c r="I32">
        <v>0</v>
      </c>
    </row>
    <row r="33" spans="1:9" x14ac:dyDescent="0.25">
      <c r="A33" t="s">
        <v>107</v>
      </c>
      <c r="B33">
        <f>VLOOKUP(A33,art_category_path_name!A:B,2,FALSE)</f>
        <v>1157</v>
      </c>
      <c r="C33" t="s">
        <v>8664</v>
      </c>
      <c r="D33" t="s">
        <v>1621</v>
      </c>
      <c r="E33" t="s">
        <v>1622</v>
      </c>
      <c r="F33" t="s">
        <v>1623</v>
      </c>
      <c r="G33" t="s">
        <v>8481</v>
      </c>
      <c r="H33" t="s">
        <v>1624</v>
      </c>
      <c r="I33">
        <v>0</v>
      </c>
    </row>
    <row r="34" spans="1:9" x14ac:dyDescent="0.25">
      <c r="A34" t="s">
        <v>111</v>
      </c>
      <c r="B34">
        <f>VLOOKUP(A34,art_category_path_name!A:B,2,FALSE)</f>
        <v>1161</v>
      </c>
      <c r="C34" t="s">
        <v>8665</v>
      </c>
      <c r="D34" t="s">
        <v>1626</v>
      </c>
      <c r="E34" t="s">
        <v>1627</v>
      </c>
      <c r="F34" t="s">
        <v>1628</v>
      </c>
      <c r="G34" t="s">
        <v>8482</v>
      </c>
      <c r="H34" t="s">
        <v>1629</v>
      </c>
      <c r="I34">
        <v>0</v>
      </c>
    </row>
    <row r="35" spans="1:9" x14ac:dyDescent="0.25">
      <c r="A35" t="s">
        <v>123</v>
      </c>
      <c r="B35">
        <f>VLOOKUP(A35,art_category_path_name!A:B,2,FALSE)</f>
        <v>1173</v>
      </c>
      <c r="C35" t="s">
        <v>8666</v>
      </c>
      <c r="D35" t="s">
        <v>1631</v>
      </c>
      <c r="E35" t="s">
        <v>1632</v>
      </c>
      <c r="F35" t="s">
        <v>1633</v>
      </c>
      <c r="G35" t="s">
        <v>8483</v>
      </c>
      <c r="H35" t="s">
        <v>1634</v>
      </c>
      <c r="I35">
        <v>0</v>
      </c>
    </row>
    <row r="36" spans="1:9" x14ac:dyDescent="0.25">
      <c r="A36" t="s">
        <v>126</v>
      </c>
      <c r="B36">
        <f>VLOOKUP(A36,art_category_path_name!A:B,2,FALSE)</f>
        <v>1192</v>
      </c>
      <c r="C36" t="s">
        <v>8667</v>
      </c>
      <c r="D36" t="s">
        <v>1636</v>
      </c>
      <c r="E36" t="s">
        <v>1637</v>
      </c>
      <c r="F36" t="s">
        <v>1638</v>
      </c>
      <c r="G36" t="s">
        <v>8668</v>
      </c>
      <c r="H36" t="s">
        <v>1639</v>
      </c>
      <c r="I36">
        <v>0</v>
      </c>
    </row>
    <row r="37" spans="1:9" x14ac:dyDescent="0.25">
      <c r="A37" t="s">
        <v>135</v>
      </c>
      <c r="B37">
        <f>VLOOKUP(A37,art_category_path_name!A:B,2,FALSE)</f>
        <v>1227</v>
      </c>
      <c r="C37" t="s">
        <v>8669</v>
      </c>
      <c r="D37" t="s">
        <v>1641</v>
      </c>
      <c r="E37" t="s">
        <v>1642</v>
      </c>
      <c r="F37" t="s">
        <v>1643</v>
      </c>
      <c r="G37" t="s">
        <v>8670</v>
      </c>
      <c r="H37" t="s">
        <v>1644</v>
      </c>
      <c r="I37">
        <v>0</v>
      </c>
    </row>
    <row r="38" spans="1:9" x14ac:dyDescent="0.25">
      <c r="A38" t="s">
        <v>143</v>
      </c>
      <c r="B38">
        <f>VLOOKUP(A38,art_category_path_name!A:B,2,FALSE)</f>
        <v>1239</v>
      </c>
      <c r="C38" t="s">
        <v>1585</v>
      </c>
      <c r="D38" t="s">
        <v>1645</v>
      </c>
      <c r="E38" t="s">
        <v>1646</v>
      </c>
      <c r="F38" t="s">
        <v>1647</v>
      </c>
      <c r="G38" t="s">
        <v>8484</v>
      </c>
      <c r="H38" t="s">
        <v>1648</v>
      </c>
      <c r="I38">
        <v>0</v>
      </c>
    </row>
    <row r="39" spans="1:9" x14ac:dyDescent="0.25">
      <c r="A39" t="s">
        <v>146</v>
      </c>
      <c r="B39">
        <f>VLOOKUP(A39,art_category_path_name!A:B,2,FALSE)</f>
        <v>1272</v>
      </c>
      <c r="C39" t="s">
        <v>8671</v>
      </c>
      <c r="D39" t="s">
        <v>1650</v>
      </c>
      <c r="E39" t="s">
        <v>1651</v>
      </c>
      <c r="F39" t="s">
        <v>1652</v>
      </c>
      <c r="G39" t="s">
        <v>8485</v>
      </c>
      <c r="H39" t="s">
        <v>1653</v>
      </c>
      <c r="I39">
        <v>0</v>
      </c>
    </row>
    <row r="40" spans="1:9" x14ac:dyDescent="0.25">
      <c r="A40" t="s">
        <v>152</v>
      </c>
      <c r="B40">
        <f>VLOOKUP(A40,art_category_path_name!A:B,2,FALSE)</f>
        <v>1316</v>
      </c>
      <c r="C40" t="s">
        <v>8672</v>
      </c>
      <c r="D40" t="s">
        <v>1655</v>
      </c>
      <c r="E40" t="s">
        <v>1656</v>
      </c>
      <c r="F40" t="s">
        <v>1657</v>
      </c>
      <c r="G40" t="s">
        <v>8486</v>
      </c>
      <c r="H40" t="s">
        <v>1658</v>
      </c>
      <c r="I40">
        <v>0</v>
      </c>
    </row>
    <row r="41" spans="1:9" x14ac:dyDescent="0.25">
      <c r="A41" t="s">
        <v>102</v>
      </c>
      <c r="B41">
        <f>VLOOKUP(A41,art_category_path_name!A:B,2,FALSE)</f>
        <v>205</v>
      </c>
      <c r="C41" t="s">
        <v>8673</v>
      </c>
      <c r="D41" t="s">
        <v>1660</v>
      </c>
      <c r="E41" t="s">
        <v>1661</v>
      </c>
      <c r="F41" t="s">
        <v>1662</v>
      </c>
      <c r="G41" t="s">
        <v>8487</v>
      </c>
      <c r="H41" t="s">
        <v>1663</v>
      </c>
      <c r="I41">
        <v>0</v>
      </c>
    </row>
    <row r="42" spans="1:9" x14ac:dyDescent="0.25">
      <c r="A42" t="s">
        <v>918</v>
      </c>
      <c r="B42">
        <f>VLOOKUP(A42,art_category_path_name!A:B,2,FALSE)</f>
        <v>453</v>
      </c>
      <c r="C42" t="s">
        <v>8674</v>
      </c>
      <c r="D42" t="s">
        <v>1665</v>
      </c>
      <c r="E42" t="s">
        <v>1666</v>
      </c>
      <c r="F42" t="s">
        <v>1667</v>
      </c>
      <c r="G42" t="s">
        <v>8488</v>
      </c>
      <c r="H42" t="s">
        <v>1668</v>
      </c>
      <c r="I42">
        <v>0</v>
      </c>
    </row>
    <row r="43" spans="1:9" x14ac:dyDescent="0.25">
      <c r="A43" t="s">
        <v>922</v>
      </c>
      <c r="B43">
        <f>VLOOKUP(A43,art_category_path_name!A:B,2,FALSE)</f>
        <v>520</v>
      </c>
      <c r="C43" t="s">
        <v>8675</v>
      </c>
      <c r="D43" t="s">
        <v>1670</v>
      </c>
      <c r="E43" t="s">
        <v>1671</v>
      </c>
      <c r="F43" t="s">
        <v>1672</v>
      </c>
      <c r="G43" t="s">
        <v>8489</v>
      </c>
      <c r="H43" t="s">
        <v>1673</v>
      </c>
      <c r="I43">
        <v>0</v>
      </c>
    </row>
    <row r="44" spans="1:9" x14ac:dyDescent="0.25">
      <c r="A44" t="s">
        <v>930</v>
      </c>
      <c r="B44">
        <f>VLOOKUP(A44,art_category_path_name!A:B,2,FALSE)</f>
        <v>900</v>
      </c>
      <c r="C44" t="s">
        <v>8676</v>
      </c>
      <c r="D44" t="s">
        <v>1675</v>
      </c>
      <c r="E44" t="s">
        <v>1676</v>
      </c>
      <c r="F44" t="s">
        <v>1677</v>
      </c>
      <c r="G44" t="s">
        <v>8677</v>
      </c>
      <c r="H44" t="s">
        <v>1678</v>
      </c>
      <c r="I44">
        <v>0</v>
      </c>
    </row>
    <row r="45" spans="1:9" x14ac:dyDescent="0.25">
      <c r="A45" t="s">
        <v>935</v>
      </c>
      <c r="B45">
        <f>VLOOKUP(A45,art_category_path_name!A:B,2,FALSE)</f>
        <v>973</v>
      </c>
      <c r="C45" t="s">
        <v>8678</v>
      </c>
      <c r="D45" t="s">
        <v>1680</v>
      </c>
      <c r="E45" t="s">
        <v>1681</v>
      </c>
      <c r="F45" t="s">
        <v>1682</v>
      </c>
      <c r="G45" t="s">
        <v>8490</v>
      </c>
      <c r="H45" t="s">
        <v>1683</v>
      </c>
      <c r="I45">
        <v>0</v>
      </c>
    </row>
    <row r="46" spans="1:9" x14ac:dyDescent="0.25">
      <c r="A46" t="s">
        <v>901</v>
      </c>
      <c r="B46">
        <f>VLOOKUP(A46,art_category_path_name!A:B,2,FALSE)</f>
        <v>1036</v>
      </c>
      <c r="C46" t="s">
        <v>8679</v>
      </c>
      <c r="D46" t="s">
        <v>1685</v>
      </c>
      <c r="E46" t="s">
        <v>1686</v>
      </c>
      <c r="F46" t="s">
        <v>1687</v>
      </c>
      <c r="G46" t="s">
        <v>8491</v>
      </c>
      <c r="H46" t="s">
        <v>1688</v>
      </c>
      <c r="I46">
        <v>0</v>
      </c>
    </row>
    <row r="47" spans="1:9" x14ac:dyDescent="0.25">
      <c r="A47" t="s">
        <v>904</v>
      </c>
      <c r="B47">
        <f>VLOOKUP(A47,art_category_path_name!A:B,2,FALSE)</f>
        <v>1223</v>
      </c>
      <c r="C47" t="s">
        <v>8680</v>
      </c>
      <c r="D47" t="s">
        <v>1690</v>
      </c>
      <c r="E47" t="s">
        <v>1691</v>
      </c>
      <c r="F47" t="s">
        <v>1692</v>
      </c>
      <c r="G47" t="s">
        <v>8492</v>
      </c>
      <c r="H47" t="s">
        <v>1693</v>
      </c>
      <c r="I47">
        <v>0</v>
      </c>
    </row>
    <row r="48" spans="1:9" x14ac:dyDescent="0.25">
      <c r="A48" t="s">
        <v>908</v>
      </c>
      <c r="B48">
        <f>VLOOKUP(A48,art_category_path_name!A:B,2,FALSE)</f>
        <v>1235</v>
      </c>
      <c r="C48" t="s">
        <v>8681</v>
      </c>
      <c r="D48" t="s">
        <v>1695</v>
      </c>
      <c r="E48" t="s">
        <v>1696</v>
      </c>
      <c r="F48" t="s">
        <v>1697</v>
      </c>
      <c r="G48" t="s">
        <v>8493</v>
      </c>
      <c r="H48" t="s">
        <v>1698</v>
      </c>
      <c r="I48">
        <v>0</v>
      </c>
    </row>
    <row r="49" spans="1:9" x14ac:dyDescent="0.25">
      <c r="A49" t="s">
        <v>912</v>
      </c>
      <c r="B49">
        <f>VLOOKUP(A49,art_category_path_name!A:B,2,FALSE)</f>
        <v>1314</v>
      </c>
      <c r="C49" t="s">
        <v>8682</v>
      </c>
      <c r="D49" t="s">
        <v>1700</v>
      </c>
      <c r="E49" t="s">
        <v>1701</v>
      </c>
      <c r="F49" t="s">
        <v>1702</v>
      </c>
      <c r="G49" t="s">
        <v>8494</v>
      </c>
      <c r="H49" t="s">
        <v>1703</v>
      </c>
      <c r="I49">
        <v>0</v>
      </c>
    </row>
    <row r="50" spans="1:9" x14ac:dyDescent="0.25">
      <c r="A50" t="s">
        <v>914</v>
      </c>
      <c r="B50">
        <f>VLOOKUP(A50,art_category_path_name!A:B,2,FALSE)</f>
        <v>1386</v>
      </c>
      <c r="C50" t="s">
        <v>8683</v>
      </c>
      <c r="D50" t="s">
        <v>1705</v>
      </c>
      <c r="E50" t="s">
        <v>1706</v>
      </c>
      <c r="F50" t="s">
        <v>1707</v>
      </c>
      <c r="G50" t="s">
        <v>8495</v>
      </c>
      <c r="H50" t="s">
        <v>1708</v>
      </c>
      <c r="I50">
        <v>0</v>
      </c>
    </row>
    <row r="51" spans="1:9" x14ac:dyDescent="0.25">
      <c r="A51" t="s">
        <v>900</v>
      </c>
      <c r="B51">
        <f>VLOOKUP(A51,art_category_path_name!A:B,2,FALSE)</f>
        <v>452</v>
      </c>
      <c r="C51" t="s">
        <v>8684</v>
      </c>
      <c r="D51" t="s">
        <v>1710</v>
      </c>
      <c r="E51" t="s">
        <v>1711</v>
      </c>
      <c r="F51" t="s">
        <v>1712</v>
      </c>
      <c r="G51" t="s">
        <v>8496</v>
      </c>
      <c r="H51" t="s">
        <v>1713</v>
      </c>
      <c r="I51">
        <v>0</v>
      </c>
    </row>
    <row r="52" spans="1:9" x14ac:dyDescent="0.25">
      <c r="A52" t="s">
        <v>780</v>
      </c>
      <c r="B52">
        <f>VLOOKUP(A52,art_category_path_name!A:B,2,FALSE)</f>
        <v>219</v>
      </c>
      <c r="C52" t="s">
        <v>8685</v>
      </c>
      <c r="D52" t="s">
        <v>1715</v>
      </c>
      <c r="E52" t="s">
        <v>1716</v>
      </c>
      <c r="F52" t="s">
        <v>1717</v>
      </c>
      <c r="G52" t="s">
        <v>8497</v>
      </c>
      <c r="H52" t="s">
        <v>1718</v>
      </c>
      <c r="I52">
        <v>0</v>
      </c>
    </row>
    <row r="53" spans="1:9" x14ac:dyDescent="0.25">
      <c r="A53" t="s">
        <v>783</v>
      </c>
      <c r="B53">
        <f>VLOOKUP(A53,art_category_path_name!A:B,2,FALSE)</f>
        <v>462</v>
      </c>
      <c r="C53" t="s">
        <v>8686</v>
      </c>
      <c r="D53" t="s">
        <v>1720</v>
      </c>
      <c r="E53" t="s">
        <v>1721</v>
      </c>
      <c r="F53" t="s">
        <v>1722</v>
      </c>
      <c r="G53" t="e">
        <v>#N/A</v>
      </c>
      <c r="H53" t="s">
        <v>1723</v>
      </c>
      <c r="I53">
        <v>0</v>
      </c>
    </row>
    <row r="54" spans="1:9" x14ac:dyDescent="0.25">
      <c r="A54" t="s">
        <v>804</v>
      </c>
      <c r="B54">
        <f>VLOOKUP(A54,art_category_path_name!A:B,2,FALSE)</f>
        <v>491</v>
      </c>
      <c r="C54" t="s">
        <v>8687</v>
      </c>
      <c r="D54" t="s">
        <v>1725</v>
      </c>
      <c r="E54" t="s">
        <v>1726</v>
      </c>
      <c r="F54" t="s">
        <v>1727</v>
      </c>
      <c r="G54" t="s">
        <v>8498</v>
      </c>
      <c r="H54" t="s">
        <v>1728</v>
      </c>
      <c r="I54">
        <v>0</v>
      </c>
    </row>
    <row r="55" spans="1:9" x14ac:dyDescent="0.25">
      <c r="A55" t="s">
        <v>812</v>
      </c>
      <c r="B55">
        <f>VLOOKUP(A55,art_category_path_name!A:B,2,FALSE)</f>
        <v>561</v>
      </c>
      <c r="C55" t="s">
        <v>8688</v>
      </c>
      <c r="D55" t="s">
        <v>1730</v>
      </c>
      <c r="E55" t="s">
        <v>1731</v>
      </c>
      <c r="F55" t="s">
        <v>1732</v>
      </c>
      <c r="G55" t="s">
        <v>8499</v>
      </c>
      <c r="H55" t="s">
        <v>1733</v>
      </c>
      <c r="I55">
        <v>0</v>
      </c>
    </row>
    <row r="56" spans="1:9" x14ac:dyDescent="0.25">
      <c r="A56" t="s">
        <v>814</v>
      </c>
      <c r="B56">
        <f>VLOOKUP(A56,art_category_path_name!A:B,2,FALSE)</f>
        <v>593</v>
      </c>
      <c r="C56" t="s">
        <v>8689</v>
      </c>
      <c r="D56" t="s">
        <v>1735</v>
      </c>
      <c r="E56" t="s">
        <v>1736</v>
      </c>
      <c r="F56" t="s">
        <v>1737</v>
      </c>
      <c r="G56" t="s">
        <v>8690</v>
      </c>
      <c r="H56" t="s">
        <v>1738</v>
      </c>
      <c r="I56">
        <v>0</v>
      </c>
    </row>
    <row r="57" spans="1:9" x14ac:dyDescent="0.25">
      <c r="A57" t="s">
        <v>822</v>
      </c>
      <c r="B57">
        <f>VLOOKUP(A57,art_category_path_name!A:B,2,FALSE)</f>
        <v>601</v>
      </c>
      <c r="C57" t="s">
        <v>8691</v>
      </c>
      <c r="D57" t="s">
        <v>1740</v>
      </c>
      <c r="E57" t="s">
        <v>1741</v>
      </c>
      <c r="F57" t="s">
        <v>1742</v>
      </c>
      <c r="G57" t="s">
        <v>8500</v>
      </c>
      <c r="H57" t="s">
        <v>1743</v>
      </c>
      <c r="I57">
        <v>0</v>
      </c>
    </row>
    <row r="58" spans="1:9" x14ac:dyDescent="0.25">
      <c r="A58" t="s">
        <v>824</v>
      </c>
      <c r="B58">
        <f>VLOOKUP(A58,art_category_path_name!A:B,2,FALSE)</f>
        <v>705</v>
      </c>
      <c r="C58" t="s">
        <v>8692</v>
      </c>
      <c r="D58" t="s">
        <v>1745</v>
      </c>
      <c r="E58" t="s">
        <v>1746</v>
      </c>
      <c r="F58" t="s">
        <v>1747</v>
      </c>
      <c r="G58" t="s">
        <v>8501</v>
      </c>
      <c r="H58" t="s">
        <v>1748</v>
      </c>
      <c r="I58">
        <v>0</v>
      </c>
    </row>
    <row r="59" spans="1:9" x14ac:dyDescent="0.25">
      <c r="A59" t="s">
        <v>829</v>
      </c>
      <c r="B59">
        <f>VLOOKUP(A59,art_category_path_name!A:B,2,FALSE)</f>
        <v>759</v>
      </c>
      <c r="C59" t="s">
        <v>8693</v>
      </c>
      <c r="D59" t="s">
        <v>1750</v>
      </c>
      <c r="E59" t="s">
        <v>1751</v>
      </c>
      <c r="F59" t="s">
        <v>1752</v>
      </c>
      <c r="G59" t="s">
        <v>8502</v>
      </c>
      <c r="H59" t="s">
        <v>1753</v>
      </c>
      <c r="I59">
        <v>0</v>
      </c>
    </row>
    <row r="60" spans="1:9" x14ac:dyDescent="0.25">
      <c r="A60" t="s">
        <v>833</v>
      </c>
      <c r="B60">
        <f>VLOOKUP(A60,art_category_path_name!A:B,2,FALSE)</f>
        <v>781</v>
      </c>
      <c r="C60" t="s">
        <v>8694</v>
      </c>
      <c r="D60" t="s">
        <v>1755</v>
      </c>
      <c r="E60" t="s">
        <v>1756</v>
      </c>
      <c r="F60" t="s">
        <v>1757</v>
      </c>
      <c r="G60" t="s">
        <v>8695</v>
      </c>
      <c r="H60" t="s">
        <v>1758</v>
      </c>
      <c r="I60">
        <v>0</v>
      </c>
    </row>
    <row r="61" spans="1:9" x14ac:dyDescent="0.25">
      <c r="A61" t="s">
        <v>845</v>
      </c>
      <c r="B61">
        <f>VLOOKUP(A61,art_category_path_name!A:B,2,FALSE)</f>
        <v>793</v>
      </c>
      <c r="C61" t="s">
        <v>8696</v>
      </c>
      <c r="D61" t="s">
        <v>1760</v>
      </c>
      <c r="E61" t="s">
        <v>1761</v>
      </c>
      <c r="F61" t="s">
        <v>1762</v>
      </c>
      <c r="G61" t="s">
        <v>8503</v>
      </c>
      <c r="H61" t="s">
        <v>1763</v>
      </c>
      <c r="I61">
        <v>0</v>
      </c>
    </row>
    <row r="62" spans="1:9" x14ac:dyDescent="0.25">
      <c r="A62" t="s">
        <v>777</v>
      </c>
      <c r="B62">
        <f>VLOOKUP(A62,art_category_path_name!A:B,2,FALSE)</f>
        <v>1296</v>
      </c>
      <c r="C62" t="s">
        <v>8697</v>
      </c>
      <c r="D62" t="s">
        <v>1765</v>
      </c>
      <c r="E62" t="s">
        <v>1766</v>
      </c>
      <c r="F62" t="s">
        <v>1767</v>
      </c>
      <c r="G62" t="s">
        <v>8504</v>
      </c>
      <c r="H62" t="s">
        <v>1768</v>
      </c>
      <c r="I62">
        <v>0</v>
      </c>
    </row>
    <row r="63" spans="1:9" x14ac:dyDescent="0.25">
      <c r="A63" t="s">
        <v>776</v>
      </c>
      <c r="B63">
        <f>VLOOKUP(A63,art_category_path_name!A:B,2,FALSE)</f>
        <v>218</v>
      </c>
      <c r="C63" t="s">
        <v>8698</v>
      </c>
      <c r="D63" t="s">
        <v>1770</v>
      </c>
      <c r="E63" t="s">
        <v>1771</v>
      </c>
      <c r="F63" t="s">
        <v>1772</v>
      </c>
      <c r="G63" t="s">
        <v>8501</v>
      </c>
      <c r="H63" t="s">
        <v>1773</v>
      </c>
      <c r="I63">
        <v>0</v>
      </c>
    </row>
    <row r="64" spans="1:9" x14ac:dyDescent="0.25">
      <c r="A64" t="s">
        <v>997</v>
      </c>
      <c r="B64">
        <f>VLOOKUP(A64,art_category_path_name!A:B,2,FALSE)</f>
        <v>64</v>
      </c>
      <c r="C64" t="s">
        <v>8699</v>
      </c>
      <c r="D64" t="s">
        <v>1775</v>
      </c>
      <c r="E64" t="s">
        <v>1776</v>
      </c>
      <c r="F64" t="s">
        <v>1777</v>
      </c>
      <c r="G64" t="s">
        <v>8505</v>
      </c>
      <c r="H64" t="s">
        <v>1778</v>
      </c>
      <c r="I64">
        <v>0</v>
      </c>
    </row>
    <row r="65" spans="1:9" x14ac:dyDescent="0.25">
      <c r="A65" t="s">
        <v>969</v>
      </c>
      <c r="B65">
        <f>VLOOKUP(A65,art_category_path_name!A:B,2,FALSE)</f>
        <v>460</v>
      </c>
      <c r="C65" t="s">
        <v>8686</v>
      </c>
      <c r="D65" t="s">
        <v>1720</v>
      </c>
      <c r="E65" t="s">
        <v>1721</v>
      </c>
      <c r="F65" t="s">
        <v>1779</v>
      </c>
      <c r="G65" t="s">
        <v>8506</v>
      </c>
      <c r="H65" t="s">
        <v>1780</v>
      </c>
      <c r="I65">
        <v>0</v>
      </c>
    </row>
    <row r="66" spans="1:9" x14ac:dyDescent="0.25">
      <c r="A66" t="s">
        <v>976</v>
      </c>
      <c r="B66">
        <f>VLOOKUP(A66,art_category_path_name!A:B,2,FALSE)</f>
        <v>533</v>
      </c>
      <c r="C66" t="s">
        <v>8700</v>
      </c>
      <c r="D66" t="s">
        <v>1782</v>
      </c>
      <c r="E66" t="s">
        <v>1783</v>
      </c>
      <c r="F66" t="s">
        <v>1784</v>
      </c>
      <c r="G66" t="s">
        <v>8507</v>
      </c>
      <c r="H66" t="s">
        <v>1785</v>
      </c>
      <c r="I66">
        <v>0</v>
      </c>
    </row>
    <row r="67" spans="1:9" x14ac:dyDescent="0.25">
      <c r="A67" t="s">
        <v>980</v>
      </c>
      <c r="B67">
        <f>VLOOKUP(A67,art_category_path_name!A:B,2,FALSE)</f>
        <v>537</v>
      </c>
      <c r="C67" t="s">
        <v>8701</v>
      </c>
      <c r="D67" t="s">
        <v>1787</v>
      </c>
      <c r="E67" t="s">
        <v>1788</v>
      </c>
      <c r="F67" t="s">
        <v>1789</v>
      </c>
      <c r="G67" t="s">
        <v>8508</v>
      </c>
      <c r="H67" t="s">
        <v>1790</v>
      </c>
      <c r="I67">
        <v>0</v>
      </c>
    </row>
    <row r="68" spans="1:9" x14ac:dyDescent="0.25">
      <c r="A68" t="s">
        <v>967</v>
      </c>
      <c r="B68">
        <f>VLOOKUP(A68,art_category_path_name!A:B,2,FALSE)</f>
        <v>1049</v>
      </c>
      <c r="C68" t="s">
        <v>8702</v>
      </c>
      <c r="D68" t="s">
        <v>1792</v>
      </c>
      <c r="E68" t="s">
        <v>1793</v>
      </c>
      <c r="F68" t="s">
        <v>1794</v>
      </c>
      <c r="G68" t="s">
        <v>8509</v>
      </c>
      <c r="H68" t="s">
        <v>1795</v>
      </c>
      <c r="I68">
        <v>0</v>
      </c>
    </row>
    <row r="69" spans="1:9" x14ac:dyDescent="0.25">
      <c r="A69" t="s">
        <v>1796</v>
      </c>
      <c r="B69" t="e">
        <f>VLOOKUP(A69,art_category_path_name!A:B,2,FALSE)</f>
        <v>#N/A</v>
      </c>
      <c r="C69" t="s">
        <v>8703</v>
      </c>
      <c r="D69" t="s">
        <v>1798</v>
      </c>
      <c r="E69" t="s">
        <v>1799</v>
      </c>
      <c r="F69" t="s">
        <v>1800</v>
      </c>
      <c r="G69" t="s">
        <v>8510</v>
      </c>
      <c r="H69" t="s">
        <v>1801</v>
      </c>
      <c r="I69">
        <v>0</v>
      </c>
    </row>
    <row r="70" spans="1:9" x14ac:dyDescent="0.25">
      <c r="A70" t="s">
        <v>966</v>
      </c>
      <c r="B70">
        <f>VLOOKUP(A70,art_category_path_name!A:B,2,FALSE)</f>
        <v>63</v>
      </c>
      <c r="C70" t="s">
        <v>8704</v>
      </c>
      <c r="D70" t="s">
        <v>1803</v>
      </c>
      <c r="E70" t="s">
        <v>1804</v>
      </c>
      <c r="F70" t="s">
        <v>1805</v>
      </c>
      <c r="G70" t="s">
        <v>8511</v>
      </c>
      <c r="H70" t="s">
        <v>1806</v>
      </c>
      <c r="I70">
        <v>0</v>
      </c>
    </row>
    <row r="71" spans="1:9" x14ac:dyDescent="0.25">
      <c r="A71" t="s">
        <v>962</v>
      </c>
      <c r="B71">
        <f>VLOOKUP(A71,art_category_path_name!A:B,2,FALSE)</f>
        <v>607</v>
      </c>
      <c r="C71" t="s">
        <v>8705</v>
      </c>
      <c r="D71" t="s">
        <v>1808</v>
      </c>
      <c r="E71" t="s">
        <v>1809</v>
      </c>
      <c r="F71" t="s">
        <v>1810</v>
      </c>
      <c r="G71" t="s">
        <v>8706</v>
      </c>
      <c r="H71" t="s">
        <v>1811</v>
      </c>
      <c r="I71">
        <v>0</v>
      </c>
    </row>
    <row r="72" spans="1:9" x14ac:dyDescent="0.25">
      <c r="A72" t="s">
        <v>878</v>
      </c>
      <c r="B72">
        <f>VLOOKUP(A72,art_category_path_name!A:B,2,FALSE)</f>
        <v>263</v>
      </c>
      <c r="C72" t="s">
        <v>8707</v>
      </c>
      <c r="D72" t="s">
        <v>1813</v>
      </c>
      <c r="E72" t="s">
        <v>1814</v>
      </c>
      <c r="F72" t="s">
        <v>1815</v>
      </c>
      <c r="G72" t="s">
        <v>8512</v>
      </c>
      <c r="H72" t="s">
        <v>1816</v>
      </c>
      <c r="I72">
        <v>0</v>
      </c>
    </row>
    <row r="73" spans="1:9" x14ac:dyDescent="0.25">
      <c r="A73" t="s">
        <v>884</v>
      </c>
      <c r="B73">
        <f>VLOOKUP(A73,art_category_path_name!A:B,2,FALSE)</f>
        <v>738</v>
      </c>
      <c r="C73" t="s">
        <v>8708</v>
      </c>
      <c r="D73" t="s">
        <v>1818</v>
      </c>
      <c r="E73" t="s">
        <v>1819</v>
      </c>
      <c r="F73" t="s">
        <v>1820</v>
      </c>
      <c r="G73" t="s">
        <v>8513</v>
      </c>
      <c r="H73" t="s">
        <v>1821</v>
      </c>
      <c r="I73">
        <v>0</v>
      </c>
    </row>
    <row r="74" spans="1:9" x14ac:dyDescent="0.25">
      <c r="A74" t="s">
        <v>887</v>
      </c>
      <c r="B74">
        <f>VLOOKUP(A74,art_category_path_name!A:B,2,FALSE)</f>
        <v>819</v>
      </c>
      <c r="C74" t="s">
        <v>8709</v>
      </c>
      <c r="D74" t="s">
        <v>1823</v>
      </c>
      <c r="E74" t="s">
        <v>1824</v>
      </c>
      <c r="F74" t="s">
        <v>1825</v>
      </c>
      <c r="G74" t="s">
        <v>8514</v>
      </c>
      <c r="H74" t="s">
        <v>1826</v>
      </c>
      <c r="I74">
        <v>0</v>
      </c>
    </row>
    <row r="75" spans="1:9" x14ac:dyDescent="0.25">
      <c r="A75" t="s">
        <v>898</v>
      </c>
      <c r="B75">
        <f>VLOOKUP(A75,art_category_path_name!A:B,2,FALSE)</f>
        <v>837</v>
      </c>
      <c r="C75" t="s">
        <v>8710</v>
      </c>
      <c r="D75" t="s">
        <v>1828</v>
      </c>
      <c r="E75" t="s">
        <v>1829</v>
      </c>
      <c r="F75" t="s">
        <v>1830</v>
      </c>
      <c r="G75" t="s">
        <v>8515</v>
      </c>
      <c r="H75" t="s">
        <v>1831</v>
      </c>
      <c r="I75">
        <v>0</v>
      </c>
    </row>
    <row r="76" spans="1:9" x14ac:dyDescent="0.25">
      <c r="A76" t="s">
        <v>850</v>
      </c>
      <c r="B76">
        <f>VLOOKUP(A76,art_category_path_name!A:B,2,FALSE)</f>
        <v>1149</v>
      </c>
      <c r="C76" t="s">
        <v>8711</v>
      </c>
      <c r="D76" t="s">
        <v>1833</v>
      </c>
      <c r="F76" t="s">
        <v>1834</v>
      </c>
      <c r="G76" t="s">
        <v>8712</v>
      </c>
      <c r="H76" t="s">
        <v>1835</v>
      </c>
      <c r="I76">
        <v>0</v>
      </c>
    </row>
    <row r="77" spans="1:9" x14ac:dyDescent="0.25">
      <c r="A77" t="s">
        <v>859</v>
      </c>
      <c r="B77">
        <f>VLOOKUP(A77,art_category_path_name!A:B,2,FALSE)</f>
        <v>1246</v>
      </c>
      <c r="C77" t="s">
        <v>8713</v>
      </c>
      <c r="D77" t="s">
        <v>1837</v>
      </c>
      <c r="E77" t="s">
        <v>1838</v>
      </c>
      <c r="F77" t="s">
        <v>1839</v>
      </c>
      <c r="G77" t="s">
        <v>8516</v>
      </c>
      <c r="H77" t="s">
        <v>1840</v>
      </c>
      <c r="I77">
        <v>0</v>
      </c>
    </row>
    <row r="78" spans="1:9" x14ac:dyDescent="0.25">
      <c r="A78" t="s">
        <v>873</v>
      </c>
      <c r="B78">
        <f>VLOOKUP(A78,art_category_path_name!A:B,2,FALSE)</f>
        <v>1354</v>
      </c>
      <c r="C78" t="s">
        <v>8714</v>
      </c>
      <c r="D78" t="s">
        <v>1842</v>
      </c>
      <c r="E78" t="s">
        <v>1843</v>
      </c>
      <c r="F78" t="s">
        <v>1844</v>
      </c>
      <c r="G78" t="s">
        <v>8517</v>
      </c>
      <c r="H78" t="s">
        <v>1845</v>
      </c>
      <c r="I78">
        <v>0</v>
      </c>
    </row>
    <row r="79" spans="1:9" x14ac:dyDescent="0.25">
      <c r="A79" t="s">
        <v>875</v>
      </c>
      <c r="B79">
        <f>VLOOKUP(A79,art_category_path_name!A:B,2,FALSE)</f>
        <v>1363</v>
      </c>
      <c r="C79" t="s">
        <v>8715</v>
      </c>
      <c r="D79" t="s">
        <v>1847</v>
      </c>
      <c r="E79" t="s">
        <v>1848</v>
      </c>
      <c r="F79" t="s">
        <v>1849</v>
      </c>
      <c r="G79" t="s">
        <v>8518</v>
      </c>
      <c r="H79" t="s">
        <v>1850</v>
      </c>
      <c r="I79">
        <v>0</v>
      </c>
    </row>
    <row r="80" spans="1:9" x14ac:dyDescent="0.25">
      <c r="A80" t="s">
        <v>849</v>
      </c>
      <c r="B80">
        <f>VLOOKUP(A80,art_category_path_name!A:B,2,FALSE)</f>
        <v>262</v>
      </c>
      <c r="C80" t="s">
        <v>8716</v>
      </c>
      <c r="D80" t="s">
        <v>1852</v>
      </c>
      <c r="E80" t="s">
        <v>1853</v>
      </c>
      <c r="F80" t="s">
        <v>1854</v>
      </c>
      <c r="G80" t="s">
        <v>8519</v>
      </c>
      <c r="H80" t="s">
        <v>1855</v>
      </c>
      <c r="I80">
        <v>0</v>
      </c>
    </row>
    <row r="81" spans="1:9" x14ac:dyDescent="0.25">
      <c r="A81" t="s">
        <v>999</v>
      </c>
      <c r="B81">
        <f>VLOOKUP(A81,art_category_path_name!A:B,2,FALSE)</f>
        <v>839</v>
      </c>
      <c r="C81" t="s">
        <v>8717</v>
      </c>
      <c r="D81" t="s">
        <v>1857</v>
      </c>
      <c r="E81" t="s">
        <v>1858</v>
      </c>
      <c r="F81" t="s">
        <v>1859</v>
      </c>
      <c r="G81" t="s">
        <v>8520</v>
      </c>
      <c r="H81" t="s">
        <v>1860</v>
      </c>
      <c r="I81">
        <v>0</v>
      </c>
    </row>
    <row r="82" spans="1:9" x14ac:dyDescent="0.25">
      <c r="A82" t="s">
        <v>772</v>
      </c>
      <c r="B82">
        <f>VLOOKUP(A82,art_category_path_name!A:B,2,FALSE)</f>
        <v>1008</v>
      </c>
      <c r="C82" t="s">
        <v>8718</v>
      </c>
      <c r="D82" t="s">
        <v>1862</v>
      </c>
      <c r="E82" t="s">
        <v>1863</v>
      </c>
      <c r="F82" t="s">
        <v>1864</v>
      </c>
      <c r="G82" t="s">
        <v>8521</v>
      </c>
      <c r="H82" t="s">
        <v>1865</v>
      </c>
      <c r="I82">
        <v>0</v>
      </c>
    </row>
    <row r="83" spans="1:9" x14ac:dyDescent="0.25">
      <c r="A83" t="s">
        <v>944</v>
      </c>
      <c r="B83">
        <f>VLOOKUP(A83,art_category_path_name!A:B,2,FALSE)</f>
        <v>1046</v>
      </c>
      <c r="C83" t="s">
        <v>8719</v>
      </c>
      <c r="D83" t="s">
        <v>1867</v>
      </c>
      <c r="E83" t="s">
        <v>1868</v>
      </c>
      <c r="F83" t="s">
        <v>1869</v>
      </c>
      <c r="G83" t="s">
        <v>8522</v>
      </c>
      <c r="H83" t="s">
        <v>1870</v>
      </c>
      <c r="I83">
        <v>0</v>
      </c>
    </row>
    <row r="84" spans="1:9" x14ac:dyDescent="0.25">
      <c r="A84" t="s">
        <v>946</v>
      </c>
      <c r="B84">
        <f>VLOOKUP(A84,art_category_path_name!A:B,2,FALSE)</f>
        <v>1176</v>
      </c>
      <c r="C84" t="s">
        <v>8720</v>
      </c>
      <c r="D84" t="s">
        <v>1872</v>
      </c>
      <c r="E84" t="s">
        <v>1873</v>
      </c>
      <c r="F84" t="s">
        <v>1874</v>
      </c>
      <c r="G84" t="s">
        <v>8523</v>
      </c>
      <c r="H84" t="s">
        <v>1875</v>
      </c>
      <c r="I84">
        <v>0</v>
      </c>
    </row>
    <row r="85" spans="1:9" x14ac:dyDescent="0.25">
      <c r="A85" t="s">
        <v>771</v>
      </c>
      <c r="B85">
        <f>VLOOKUP(A85,art_category_path_name!A:B,2,FALSE)</f>
        <v>62</v>
      </c>
      <c r="C85" t="s">
        <v>8721</v>
      </c>
      <c r="D85" t="s">
        <v>1877</v>
      </c>
      <c r="E85" t="s">
        <v>1878</v>
      </c>
      <c r="F85" t="s">
        <v>1879</v>
      </c>
      <c r="G85" t="s">
        <v>8524</v>
      </c>
      <c r="H85" t="s">
        <v>1880</v>
      </c>
      <c r="I85">
        <v>0</v>
      </c>
    </row>
    <row r="86" spans="1:9" x14ac:dyDescent="0.25">
      <c r="A86" t="s">
        <v>943</v>
      </c>
      <c r="B86">
        <f>VLOOKUP(A86,art_category_path_name!A:B,2,FALSE)</f>
        <v>457</v>
      </c>
      <c r="C86" t="s">
        <v>8722</v>
      </c>
      <c r="D86" t="s">
        <v>1882</v>
      </c>
      <c r="E86" t="s">
        <v>1883</v>
      </c>
      <c r="F86" t="s">
        <v>1884</v>
      </c>
      <c r="G86" t="s">
        <v>8525</v>
      </c>
      <c r="H86" t="s">
        <v>1885</v>
      </c>
      <c r="I86">
        <v>0</v>
      </c>
    </row>
    <row r="87" spans="1:9" x14ac:dyDescent="0.25">
      <c r="A87" t="s">
        <v>949</v>
      </c>
      <c r="B87">
        <f>VLOOKUP(A87,art_category_path_name!A:B,2,FALSE)</f>
        <v>458</v>
      </c>
      <c r="C87" t="s">
        <v>8723</v>
      </c>
      <c r="D87" t="s">
        <v>1887</v>
      </c>
      <c r="E87" t="s">
        <v>1888</v>
      </c>
      <c r="F87" t="s">
        <v>1889</v>
      </c>
      <c r="G87" t="s">
        <v>8724</v>
      </c>
      <c r="H87" t="s">
        <v>1890</v>
      </c>
      <c r="I87">
        <v>0</v>
      </c>
    </row>
    <row r="88" spans="1:9" x14ac:dyDescent="0.25">
      <c r="A88" t="s">
        <v>768</v>
      </c>
      <c r="B88">
        <f>VLOOKUP(A88,art_category_path_name!A:B,2,FALSE)</f>
        <v>499</v>
      </c>
      <c r="C88" t="s">
        <v>8725</v>
      </c>
      <c r="D88" t="s">
        <v>1892</v>
      </c>
      <c r="E88" t="s">
        <v>1893</v>
      </c>
      <c r="F88" t="s">
        <v>1894</v>
      </c>
      <c r="G88" t="s">
        <v>8726</v>
      </c>
      <c r="H88" t="s">
        <v>1895</v>
      </c>
      <c r="I88">
        <v>0</v>
      </c>
    </row>
    <row r="89" spans="1:9" x14ac:dyDescent="0.25">
      <c r="A89" t="s">
        <v>761</v>
      </c>
      <c r="B89">
        <f>VLOOKUP(A89,art_category_path_name!A:B,2,FALSE)</f>
        <v>1137</v>
      </c>
      <c r="C89" t="s">
        <v>8727</v>
      </c>
      <c r="D89" t="s">
        <v>1897</v>
      </c>
      <c r="E89" t="s">
        <v>1898</v>
      </c>
      <c r="F89" t="s">
        <v>1899</v>
      </c>
      <c r="G89" t="s">
        <v>8526</v>
      </c>
      <c r="H89" t="s">
        <v>1900</v>
      </c>
      <c r="I89">
        <v>0</v>
      </c>
    </row>
    <row r="90" spans="1:9" x14ac:dyDescent="0.25">
      <c r="A90" t="s">
        <v>760</v>
      </c>
      <c r="B90">
        <f>VLOOKUP(A90,art_category_path_name!A:B,2,FALSE)</f>
        <v>498</v>
      </c>
      <c r="C90" t="s">
        <v>8728</v>
      </c>
      <c r="D90" t="s">
        <v>1902</v>
      </c>
      <c r="E90" t="s">
        <v>1903</v>
      </c>
      <c r="F90" t="s">
        <v>1904</v>
      </c>
      <c r="G90" t="s">
        <v>8526</v>
      </c>
      <c r="H90" t="s">
        <v>1905</v>
      </c>
      <c r="I90">
        <v>0</v>
      </c>
    </row>
    <row r="91" spans="1:9" x14ac:dyDescent="0.25">
      <c r="A91" t="s">
        <v>1</v>
      </c>
      <c r="B91">
        <f>VLOOKUP(A91,art_category_path_name!A:B,2,FALSE)</f>
        <v>1000</v>
      </c>
      <c r="C91" t="s">
        <v>8729</v>
      </c>
      <c r="D91" t="s">
        <v>1907</v>
      </c>
      <c r="E91" t="s">
        <v>1908</v>
      </c>
      <c r="F91" t="s">
        <v>1909</v>
      </c>
      <c r="G91" t="s">
        <v>8527</v>
      </c>
      <c r="H91" t="s">
        <v>1910</v>
      </c>
      <c r="I91">
        <v>0</v>
      </c>
    </row>
    <row r="92" spans="1:9" x14ac:dyDescent="0.25">
      <c r="A92" t="s">
        <v>1911</v>
      </c>
      <c r="B92" t="e">
        <f>VLOOKUP(A92,art_category_path_name!A:B,2,FALSE)</f>
        <v>#N/A</v>
      </c>
      <c r="C92" t="s">
        <v>8730</v>
      </c>
      <c r="D92" t="s">
        <v>1481</v>
      </c>
      <c r="E92" t="s">
        <v>1913</v>
      </c>
      <c r="F92" t="s">
        <v>1914</v>
      </c>
      <c r="G92" t="s">
        <v>8467</v>
      </c>
      <c r="H92" t="s">
        <v>1915</v>
      </c>
      <c r="I92">
        <v>0</v>
      </c>
    </row>
    <row r="93" spans="1:9" x14ac:dyDescent="0.25">
      <c r="A93" t="s">
        <v>1916</v>
      </c>
      <c r="B93" t="e">
        <f>VLOOKUP(A93,art_category_path_name!A:B,2,FALSE)</f>
        <v>#N/A</v>
      </c>
      <c r="C93" t="s">
        <v>8662</v>
      </c>
      <c r="D93" t="s">
        <v>1616</v>
      </c>
      <c r="E93" t="s">
        <v>1617</v>
      </c>
      <c r="F93" t="s">
        <v>1917</v>
      </c>
      <c r="G93" t="s">
        <v>8731</v>
      </c>
      <c r="H93" t="s">
        <v>1918</v>
      </c>
      <c r="I93">
        <v>0</v>
      </c>
    </row>
    <row r="94" spans="1:9" x14ac:dyDescent="0.25">
      <c r="A94" t="s">
        <v>1919</v>
      </c>
      <c r="B94" t="e">
        <f>VLOOKUP(A94,art_category_path_name!A:B,2,FALSE)</f>
        <v>#N/A</v>
      </c>
      <c r="C94" t="s">
        <v>8732</v>
      </c>
      <c r="D94" t="s">
        <v>1921</v>
      </c>
      <c r="E94" t="s">
        <v>1922</v>
      </c>
      <c r="F94" t="s">
        <v>1923</v>
      </c>
      <c r="G94" t="s">
        <v>8528</v>
      </c>
      <c r="H94" t="s">
        <v>1924</v>
      </c>
      <c r="I94">
        <v>0</v>
      </c>
    </row>
    <row r="95" spans="1:9" x14ac:dyDescent="0.25">
      <c r="A95" t="s">
        <v>459</v>
      </c>
      <c r="B95">
        <f>VLOOKUP(A95,art_category_path_name!A:B,2,FALSE)</f>
        <v>239</v>
      </c>
      <c r="C95" t="s">
        <v>8733</v>
      </c>
      <c r="D95" t="s">
        <v>1926</v>
      </c>
      <c r="E95" t="s">
        <v>1927</v>
      </c>
      <c r="F95" t="s">
        <v>1928</v>
      </c>
      <c r="G95" t="s">
        <v>8734</v>
      </c>
      <c r="H95" t="s">
        <v>1929</v>
      </c>
      <c r="I95">
        <v>0</v>
      </c>
    </row>
    <row r="96" spans="1:9" x14ac:dyDescent="0.25">
      <c r="A96" t="s">
        <v>469</v>
      </c>
      <c r="B96">
        <f>VLOOKUP(A96,art_category_path_name!A:B,2,FALSE)</f>
        <v>249</v>
      </c>
      <c r="C96" t="s">
        <v>8735</v>
      </c>
      <c r="D96" t="s">
        <v>1931</v>
      </c>
      <c r="E96" t="s">
        <v>1932</v>
      </c>
      <c r="F96" t="s">
        <v>1933</v>
      </c>
      <c r="G96" t="s">
        <v>8529</v>
      </c>
      <c r="H96" t="s">
        <v>1934</v>
      </c>
      <c r="I96">
        <v>0</v>
      </c>
    </row>
    <row r="97" spans="1:9" x14ac:dyDescent="0.25">
      <c r="A97" t="s">
        <v>499</v>
      </c>
      <c r="B97">
        <f>VLOOKUP(A97,art_category_path_name!A:B,2,FALSE)</f>
        <v>580</v>
      </c>
      <c r="C97" t="s">
        <v>8736</v>
      </c>
      <c r="D97" t="s">
        <v>1936</v>
      </c>
      <c r="E97" t="s">
        <v>1937</v>
      </c>
      <c r="F97" t="s">
        <v>1938</v>
      </c>
      <c r="G97" t="s">
        <v>8530</v>
      </c>
      <c r="H97" t="s">
        <v>1939</v>
      </c>
      <c r="I97">
        <v>0</v>
      </c>
    </row>
    <row r="98" spans="1:9" x14ac:dyDescent="0.25">
      <c r="A98" t="s">
        <v>508</v>
      </c>
      <c r="B98">
        <f>VLOOKUP(A98,art_category_path_name!A:B,2,FALSE)</f>
        <v>589</v>
      </c>
      <c r="C98" t="s">
        <v>8737</v>
      </c>
      <c r="D98" t="s">
        <v>1941</v>
      </c>
      <c r="E98" t="s">
        <v>1937</v>
      </c>
      <c r="F98" t="s">
        <v>1942</v>
      </c>
      <c r="G98" t="s">
        <v>8531</v>
      </c>
      <c r="H98" t="s">
        <v>1943</v>
      </c>
      <c r="I98">
        <v>0</v>
      </c>
    </row>
    <row r="99" spans="1:9" x14ac:dyDescent="0.25">
      <c r="A99" t="s">
        <v>498</v>
      </c>
      <c r="B99">
        <f>VLOOKUP(A99,art_category_path_name!A:B,2,FALSE)</f>
        <v>579</v>
      </c>
      <c r="C99" t="s">
        <v>8738</v>
      </c>
      <c r="D99" t="s">
        <v>1945</v>
      </c>
      <c r="E99" t="s">
        <v>1937</v>
      </c>
      <c r="F99" t="s">
        <v>1946</v>
      </c>
      <c r="G99" t="s">
        <v>8532</v>
      </c>
      <c r="H99" t="s">
        <v>1947</v>
      </c>
      <c r="I99">
        <v>0</v>
      </c>
    </row>
    <row r="100" spans="1:9" x14ac:dyDescent="0.25">
      <c r="A100" t="s">
        <v>520</v>
      </c>
      <c r="B100">
        <f>VLOOKUP(A100,art_category_path_name!A:B,2,FALSE)</f>
        <v>906</v>
      </c>
      <c r="C100" t="s">
        <v>8739</v>
      </c>
      <c r="D100" t="s">
        <v>1949</v>
      </c>
      <c r="E100" t="s">
        <v>1950</v>
      </c>
      <c r="F100" t="s">
        <v>1951</v>
      </c>
      <c r="G100" t="s">
        <v>8533</v>
      </c>
      <c r="H100" t="s">
        <v>1952</v>
      </c>
      <c r="I100">
        <v>0</v>
      </c>
    </row>
    <row r="101" spans="1:9" x14ac:dyDescent="0.25">
      <c r="A101" t="s">
        <v>513</v>
      </c>
      <c r="B101">
        <f>VLOOKUP(A101,art_category_path_name!A:B,2,FALSE)</f>
        <v>1051</v>
      </c>
      <c r="C101" t="s">
        <v>8740</v>
      </c>
      <c r="D101" t="s">
        <v>1954</v>
      </c>
      <c r="E101" t="s">
        <v>1955</v>
      </c>
      <c r="F101" t="s">
        <v>1956</v>
      </c>
      <c r="G101" t="s">
        <v>8534</v>
      </c>
      <c r="H101" t="s">
        <v>1957</v>
      </c>
      <c r="I101">
        <v>0</v>
      </c>
    </row>
    <row r="102" spans="1:9" x14ac:dyDescent="0.25">
      <c r="A102" t="s">
        <v>512</v>
      </c>
      <c r="B102">
        <f>VLOOKUP(A102,art_category_path_name!A:B,2,FALSE)</f>
        <v>905</v>
      </c>
      <c r="C102" t="s">
        <v>8741</v>
      </c>
      <c r="D102" t="s">
        <v>1959</v>
      </c>
      <c r="E102" t="s">
        <v>1960</v>
      </c>
      <c r="F102" t="s">
        <v>1961</v>
      </c>
      <c r="G102" t="s">
        <v>8533</v>
      </c>
      <c r="H102" t="s">
        <v>1962</v>
      </c>
      <c r="I102">
        <v>0</v>
      </c>
    </row>
    <row r="103" spans="1:9" x14ac:dyDescent="0.25">
      <c r="A103" t="s">
        <v>489</v>
      </c>
      <c r="B103">
        <f>VLOOKUP(A103,art_category_path_name!A:B,2,FALSE)</f>
        <v>5</v>
      </c>
      <c r="C103" t="s">
        <v>8742</v>
      </c>
      <c r="D103" t="s">
        <v>1964</v>
      </c>
      <c r="E103" t="s">
        <v>1965</v>
      </c>
      <c r="F103" t="s">
        <v>1966</v>
      </c>
      <c r="G103" t="s">
        <v>8535</v>
      </c>
      <c r="H103" t="s">
        <v>1967</v>
      </c>
      <c r="I103">
        <v>0</v>
      </c>
    </row>
    <row r="104" spans="1:9" x14ac:dyDescent="0.25">
      <c r="A104" t="s">
        <v>474</v>
      </c>
      <c r="B104">
        <f>VLOOKUP(A104,art_category_path_name!A:B,2,FALSE)</f>
        <v>14</v>
      </c>
      <c r="C104" t="s">
        <v>8743</v>
      </c>
      <c r="D104" t="s">
        <v>1969</v>
      </c>
      <c r="E104" t="s">
        <v>1970</v>
      </c>
      <c r="F104" t="s">
        <v>1971</v>
      </c>
      <c r="G104" t="s">
        <v>8536</v>
      </c>
      <c r="H104" t="s">
        <v>1972</v>
      </c>
      <c r="I104">
        <v>0</v>
      </c>
    </row>
    <row r="105" spans="1:9" x14ac:dyDescent="0.25">
      <c r="A105" t="s">
        <v>482</v>
      </c>
      <c r="B105">
        <f>VLOOKUP(A105,art_category_path_name!A:B,2,FALSE)</f>
        <v>22</v>
      </c>
      <c r="C105" t="s">
        <v>8744</v>
      </c>
      <c r="D105" t="s">
        <v>1974</v>
      </c>
      <c r="E105" t="s">
        <v>1975</v>
      </c>
      <c r="F105" t="s">
        <v>1976</v>
      </c>
      <c r="G105" t="s">
        <v>8537</v>
      </c>
      <c r="H105" t="s">
        <v>1977</v>
      </c>
      <c r="I105">
        <v>0</v>
      </c>
    </row>
    <row r="106" spans="1:9" x14ac:dyDescent="0.25">
      <c r="A106" t="s">
        <v>473</v>
      </c>
      <c r="B106">
        <f>VLOOKUP(A106,art_category_path_name!A:B,2,FALSE)</f>
        <v>4</v>
      </c>
      <c r="C106" t="s">
        <v>8745</v>
      </c>
      <c r="D106" t="s">
        <v>1979</v>
      </c>
      <c r="E106" t="s">
        <v>1980</v>
      </c>
      <c r="F106" t="s">
        <v>1981</v>
      </c>
      <c r="G106" t="s">
        <v>8540</v>
      </c>
      <c r="H106" t="s">
        <v>1982</v>
      </c>
      <c r="I106">
        <v>0</v>
      </c>
    </row>
    <row r="107" spans="1:9" x14ac:dyDescent="0.25">
      <c r="A107" t="s">
        <v>1983</v>
      </c>
      <c r="B107" t="e">
        <f>VLOOKUP(A107,art_category_path_name!A:B,2,FALSE)</f>
        <v>#N/A</v>
      </c>
      <c r="C107" t="s">
        <v>8746</v>
      </c>
      <c r="D107" t="s">
        <v>1985</v>
      </c>
      <c r="E107" t="s">
        <v>1986</v>
      </c>
      <c r="F107" t="s">
        <v>1987</v>
      </c>
      <c r="G107" t="s">
        <v>8747</v>
      </c>
      <c r="H107" t="s">
        <v>1988</v>
      </c>
      <c r="I107">
        <v>0</v>
      </c>
    </row>
    <row r="108" spans="1:9" x14ac:dyDescent="0.25">
      <c r="A108" t="s">
        <v>438</v>
      </c>
      <c r="B108">
        <f>VLOOKUP(A108,art_category_path_name!A:B,2,FALSE)</f>
        <v>1144</v>
      </c>
      <c r="C108" t="s">
        <v>8748</v>
      </c>
      <c r="D108" t="s">
        <v>1990</v>
      </c>
      <c r="E108" t="s">
        <v>1991</v>
      </c>
      <c r="F108" t="s">
        <v>1992</v>
      </c>
      <c r="G108" t="s">
        <v>8749</v>
      </c>
      <c r="H108" t="s">
        <v>1993</v>
      </c>
      <c r="I108">
        <v>0</v>
      </c>
    </row>
    <row r="109" spans="1:9" x14ac:dyDescent="0.25">
      <c r="A109" t="s">
        <v>443</v>
      </c>
      <c r="B109">
        <f>VLOOKUP(A109,art_category_path_name!A:B,2,FALSE)</f>
        <v>1260</v>
      </c>
      <c r="C109" t="s">
        <v>8750</v>
      </c>
      <c r="D109" t="s">
        <v>1995</v>
      </c>
      <c r="E109" t="s">
        <v>1996</v>
      </c>
      <c r="F109" t="s">
        <v>1997</v>
      </c>
      <c r="G109" t="s">
        <v>8538</v>
      </c>
      <c r="H109" t="s">
        <v>1998</v>
      </c>
      <c r="I109">
        <v>0</v>
      </c>
    </row>
    <row r="110" spans="1:9" x14ac:dyDescent="0.25">
      <c r="A110" t="s">
        <v>447</v>
      </c>
      <c r="B110">
        <f>VLOOKUP(A110,art_category_path_name!A:B,2,FALSE)</f>
        <v>1264</v>
      </c>
      <c r="C110" t="s">
        <v>8751</v>
      </c>
      <c r="D110" t="s">
        <v>2000</v>
      </c>
      <c r="E110" t="s">
        <v>2001</v>
      </c>
      <c r="F110" t="s">
        <v>2002</v>
      </c>
      <c r="G110" t="s">
        <v>8752</v>
      </c>
      <c r="H110" t="s">
        <v>2003</v>
      </c>
      <c r="I110">
        <v>0</v>
      </c>
    </row>
    <row r="111" spans="1:9" x14ac:dyDescent="0.25">
      <c r="A111" t="s">
        <v>455</v>
      </c>
      <c r="B111">
        <f>VLOOKUP(A111,art_category_path_name!A:B,2,FALSE)</f>
        <v>1292</v>
      </c>
      <c r="C111" t="s">
        <v>8753</v>
      </c>
      <c r="D111" t="s">
        <v>2005</v>
      </c>
      <c r="E111" t="s">
        <v>2006</v>
      </c>
      <c r="F111" t="s">
        <v>2007</v>
      </c>
      <c r="G111" t="s">
        <v>8539</v>
      </c>
      <c r="H111" t="s">
        <v>2008</v>
      </c>
      <c r="I111">
        <v>0</v>
      </c>
    </row>
    <row r="112" spans="1:9" x14ac:dyDescent="0.25">
      <c r="A112" t="s">
        <v>437</v>
      </c>
      <c r="B112">
        <f>VLOOKUP(A112,art_category_path_name!A:B,2,FALSE)</f>
        <v>3</v>
      </c>
      <c r="C112" t="s">
        <v>8754</v>
      </c>
      <c r="D112" t="s">
        <v>2010</v>
      </c>
      <c r="E112" t="s">
        <v>2011</v>
      </c>
      <c r="F112" t="s">
        <v>2012</v>
      </c>
      <c r="G112" t="s">
        <v>8540</v>
      </c>
      <c r="H112" t="s">
        <v>2013</v>
      </c>
      <c r="I112">
        <v>0</v>
      </c>
    </row>
    <row r="113" spans="1:9" x14ac:dyDescent="0.25">
      <c r="A113" t="s">
        <v>637</v>
      </c>
      <c r="B113">
        <f>VLOOKUP(A113,art_category_path_name!A:B,2,FALSE)</f>
        <v>48</v>
      </c>
      <c r="C113" t="s">
        <v>8755</v>
      </c>
      <c r="D113" t="s">
        <v>2015</v>
      </c>
      <c r="E113" t="s">
        <v>2016</v>
      </c>
      <c r="F113" t="s">
        <v>2017</v>
      </c>
      <c r="G113" t="s">
        <v>8541</v>
      </c>
      <c r="H113" t="s">
        <v>2018</v>
      </c>
      <c r="I113">
        <v>0</v>
      </c>
    </row>
    <row r="114" spans="1:9" x14ac:dyDescent="0.25">
      <c r="A114" t="s">
        <v>638</v>
      </c>
      <c r="B114">
        <f>VLOOKUP(A114,art_category_path_name!A:B,2,FALSE)</f>
        <v>253</v>
      </c>
      <c r="C114" t="s">
        <v>8756</v>
      </c>
      <c r="D114" t="s">
        <v>2020</v>
      </c>
      <c r="E114" t="s">
        <v>2021</v>
      </c>
      <c r="F114" t="s">
        <v>2022</v>
      </c>
      <c r="G114" t="s">
        <v>8542</v>
      </c>
      <c r="H114" t="s">
        <v>2023</v>
      </c>
      <c r="I114">
        <v>0</v>
      </c>
    </row>
    <row r="115" spans="1:9" x14ac:dyDescent="0.25">
      <c r="A115" t="s">
        <v>643</v>
      </c>
      <c r="B115">
        <f>VLOOKUP(A115,art_category_path_name!A:B,2,FALSE)</f>
        <v>254</v>
      </c>
      <c r="C115" t="s">
        <v>8757</v>
      </c>
      <c r="D115" t="s">
        <v>2025</v>
      </c>
      <c r="E115" t="s">
        <v>2026</v>
      </c>
      <c r="F115" t="s">
        <v>2027</v>
      </c>
      <c r="G115" t="s">
        <v>8543</v>
      </c>
      <c r="H115" t="s">
        <v>2028</v>
      </c>
      <c r="I115">
        <v>0</v>
      </c>
    </row>
    <row r="116" spans="1:9" x14ac:dyDescent="0.25">
      <c r="A116" t="s">
        <v>646</v>
      </c>
      <c r="B116">
        <f>VLOOKUP(A116,art_category_path_name!A:B,2,FALSE)</f>
        <v>287</v>
      </c>
      <c r="C116" t="s">
        <v>8758</v>
      </c>
      <c r="D116" t="s">
        <v>2030</v>
      </c>
      <c r="E116" t="s">
        <v>2031</v>
      </c>
      <c r="F116" t="s">
        <v>2032</v>
      </c>
      <c r="G116" t="s">
        <v>8544</v>
      </c>
      <c r="H116" t="s">
        <v>2033</v>
      </c>
      <c r="I116">
        <v>0</v>
      </c>
    </row>
    <row r="117" spans="1:9" x14ac:dyDescent="0.25">
      <c r="A117" t="s">
        <v>649</v>
      </c>
      <c r="B117">
        <f>VLOOKUP(A117,art_category_path_name!A:B,2,FALSE)</f>
        <v>611</v>
      </c>
      <c r="C117" t="s">
        <v>8759</v>
      </c>
      <c r="D117" t="s">
        <v>2035</v>
      </c>
      <c r="E117" t="s">
        <v>2036</v>
      </c>
      <c r="F117" t="s">
        <v>2037</v>
      </c>
      <c r="G117" t="s">
        <v>8545</v>
      </c>
      <c r="H117" t="s">
        <v>2038</v>
      </c>
      <c r="I117">
        <v>0</v>
      </c>
    </row>
    <row r="118" spans="1:9" x14ac:dyDescent="0.25">
      <c r="A118" t="s">
        <v>639</v>
      </c>
      <c r="B118">
        <f>VLOOKUP(A118,art_category_path_name!A:B,2,FALSE)</f>
        <v>1115</v>
      </c>
      <c r="C118" t="s">
        <v>8760</v>
      </c>
      <c r="D118" t="s">
        <v>2040</v>
      </c>
      <c r="E118" t="s">
        <v>2041</v>
      </c>
      <c r="F118" t="s">
        <v>2042</v>
      </c>
      <c r="G118" t="s">
        <v>8546</v>
      </c>
      <c r="H118" t="s">
        <v>2043</v>
      </c>
      <c r="I118">
        <v>0</v>
      </c>
    </row>
    <row r="119" spans="1:9" x14ac:dyDescent="0.25">
      <c r="A119" t="s">
        <v>641</v>
      </c>
      <c r="B119">
        <f>VLOOKUP(A119,art_category_path_name!A:B,2,FALSE)</f>
        <v>1299</v>
      </c>
      <c r="C119" t="s">
        <v>8761</v>
      </c>
      <c r="D119" t="s">
        <v>2045</v>
      </c>
      <c r="E119" t="s">
        <v>2046</v>
      </c>
      <c r="F119" t="s">
        <v>2047</v>
      </c>
      <c r="G119" t="s">
        <v>8547</v>
      </c>
      <c r="H119" t="s">
        <v>2048</v>
      </c>
      <c r="I119">
        <v>0</v>
      </c>
    </row>
    <row r="120" spans="1:9" x14ac:dyDescent="0.25">
      <c r="A120" t="s">
        <v>651</v>
      </c>
      <c r="B120">
        <f>VLOOKUP(A120,art_category_path_name!A:B,2,FALSE)</f>
        <v>316</v>
      </c>
      <c r="C120" t="s">
        <v>8762</v>
      </c>
      <c r="D120" t="s">
        <v>2050</v>
      </c>
      <c r="E120" t="s">
        <v>2051</v>
      </c>
      <c r="F120" t="s">
        <v>2052</v>
      </c>
      <c r="G120" t="s">
        <v>8548</v>
      </c>
      <c r="H120" t="s">
        <v>2053</v>
      </c>
      <c r="I120">
        <v>0</v>
      </c>
    </row>
    <row r="121" spans="1:9" x14ac:dyDescent="0.25">
      <c r="A121" t="s">
        <v>654</v>
      </c>
      <c r="B121">
        <f>VLOOKUP(A121,art_category_path_name!A:B,2,FALSE)</f>
        <v>317</v>
      </c>
      <c r="C121" t="s">
        <v>8763</v>
      </c>
      <c r="D121" t="s">
        <v>2055</v>
      </c>
      <c r="E121" t="s">
        <v>2056</v>
      </c>
      <c r="F121" t="s">
        <v>2057</v>
      </c>
      <c r="G121" t="s">
        <v>8513</v>
      </c>
      <c r="H121" t="s">
        <v>2058</v>
      </c>
      <c r="I121">
        <v>0</v>
      </c>
    </row>
    <row r="122" spans="1:9" x14ac:dyDescent="0.25">
      <c r="A122" t="s">
        <v>2059</v>
      </c>
      <c r="B122" t="e">
        <f>VLOOKUP(A122,art_category_path_name!A:B,2,FALSE)</f>
        <v>#N/A</v>
      </c>
      <c r="C122" t="s">
        <v>8764</v>
      </c>
      <c r="D122" t="s">
        <v>2061</v>
      </c>
      <c r="E122" t="s">
        <v>2062</v>
      </c>
      <c r="F122" t="s">
        <v>2063</v>
      </c>
      <c r="G122" t="s">
        <v>8549</v>
      </c>
      <c r="H122" t="s">
        <v>2064</v>
      </c>
      <c r="I122">
        <v>0</v>
      </c>
    </row>
    <row r="123" spans="1:9" x14ac:dyDescent="0.25">
      <c r="A123" t="s">
        <v>657</v>
      </c>
      <c r="B123">
        <f>VLOOKUP(A123,art_category_path_name!A:B,2,FALSE)</f>
        <v>483</v>
      </c>
      <c r="C123" t="s">
        <v>8765</v>
      </c>
      <c r="D123" t="s">
        <v>2066</v>
      </c>
      <c r="F123" t="s">
        <v>1834</v>
      </c>
      <c r="G123" t="s">
        <v>8766</v>
      </c>
      <c r="H123" t="s">
        <v>2067</v>
      </c>
      <c r="I123">
        <v>0</v>
      </c>
    </row>
    <row r="124" spans="1:9" x14ac:dyDescent="0.25">
      <c r="A124" t="s">
        <v>665</v>
      </c>
      <c r="B124">
        <f>VLOOKUP(A124,art_category_path_name!A:B,2,FALSE)</f>
        <v>735</v>
      </c>
      <c r="C124" t="s">
        <v>8767</v>
      </c>
      <c r="D124" t="s">
        <v>2069</v>
      </c>
      <c r="E124" t="s">
        <v>2070</v>
      </c>
      <c r="F124" t="s">
        <v>2071</v>
      </c>
      <c r="G124" t="s">
        <v>8768</v>
      </c>
      <c r="H124" t="s">
        <v>2072</v>
      </c>
      <c r="I124">
        <v>0</v>
      </c>
    </row>
    <row r="125" spans="1:9" x14ac:dyDescent="0.25">
      <c r="A125" t="s">
        <v>671</v>
      </c>
      <c r="B125">
        <f>VLOOKUP(A125,art_category_path_name!A:B,2,FALSE)</f>
        <v>741</v>
      </c>
      <c r="C125" t="s">
        <v>8769</v>
      </c>
      <c r="D125" t="s">
        <v>2074</v>
      </c>
      <c r="E125" t="s">
        <v>2075</v>
      </c>
      <c r="F125" t="s">
        <v>2076</v>
      </c>
      <c r="G125" t="s">
        <v>8550</v>
      </c>
      <c r="H125" t="s">
        <v>2077</v>
      </c>
      <c r="I125">
        <v>0</v>
      </c>
    </row>
    <row r="126" spans="1:9" x14ac:dyDescent="0.25">
      <c r="A126" t="s">
        <v>674</v>
      </c>
      <c r="B126">
        <f>VLOOKUP(A126,art_category_path_name!A:B,2,FALSE)</f>
        <v>744</v>
      </c>
      <c r="C126" t="s">
        <v>8770</v>
      </c>
      <c r="D126" t="s">
        <v>2079</v>
      </c>
      <c r="E126" t="s">
        <v>2080</v>
      </c>
      <c r="F126" t="s">
        <v>2081</v>
      </c>
      <c r="G126" t="s">
        <v>8551</v>
      </c>
      <c r="H126" t="s">
        <v>2082</v>
      </c>
      <c r="I126">
        <v>0</v>
      </c>
    </row>
    <row r="127" spans="1:9" x14ac:dyDescent="0.25">
      <c r="A127" t="s">
        <v>652</v>
      </c>
      <c r="B127">
        <f>VLOOKUP(A127,art_category_path_name!A:B,2,FALSE)</f>
        <v>1361</v>
      </c>
      <c r="C127" t="s">
        <v>8771</v>
      </c>
      <c r="D127" t="s">
        <v>2084</v>
      </c>
      <c r="E127" t="s">
        <v>2085</v>
      </c>
      <c r="F127" t="s">
        <v>2086</v>
      </c>
      <c r="G127" t="s">
        <v>8552</v>
      </c>
      <c r="H127" t="s">
        <v>2087</v>
      </c>
      <c r="I127">
        <v>0</v>
      </c>
    </row>
    <row r="128" spans="1:9" x14ac:dyDescent="0.25">
      <c r="A128" t="s">
        <v>723</v>
      </c>
      <c r="B128">
        <f>VLOOKUP(A128,art_category_path_name!A:B,2,FALSE)</f>
        <v>502</v>
      </c>
      <c r="C128" t="s">
        <v>8772</v>
      </c>
      <c r="D128" t="s">
        <v>2089</v>
      </c>
      <c r="E128" t="s">
        <v>2090</v>
      </c>
      <c r="F128" t="s">
        <v>2091</v>
      </c>
      <c r="G128" t="s">
        <v>8553</v>
      </c>
      <c r="H128" t="s">
        <v>2092</v>
      </c>
      <c r="I128">
        <v>0</v>
      </c>
    </row>
    <row r="129" spans="1:9" x14ac:dyDescent="0.25">
      <c r="A129" t="s">
        <v>728</v>
      </c>
      <c r="B129">
        <f>VLOOKUP(A129,art_category_path_name!A:B,2,FALSE)</f>
        <v>506</v>
      </c>
      <c r="C129" t="s">
        <v>8773</v>
      </c>
      <c r="D129" t="s">
        <v>2094</v>
      </c>
      <c r="E129" t="s">
        <v>2095</v>
      </c>
      <c r="F129" t="s">
        <v>2096</v>
      </c>
      <c r="G129" t="s">
        <v>8554</v>
      </c>
      <c r="H129" t="s">
        <v>2097</v>
      </c>
      <c r="I129">
        <v>0</v>
      </c>
    </row>
    <row r="130" spans="1:9" x14ac:dyDescent="0.25">
      <c r="A130" t="s">
        <v>731</v>
      </c>
      <c r="B130">
        <f>VLOOKUP(A130,art_category_path_name!A:B,2,FALSE)</f>
        <v>509</v>
      </c>
      <c r="C130" t="s">
        <v>8774</v>
      </c>
      <c r="D130" t="s">
        <v>2099</v>
      </c>
      <c r="E130" t="s">
        <v>2100</v>
      </c>
      <c r="F130" t="s">
        <v>2101</v>
      </c>
      <c r="G130" t="s">
        <v>8555</v>
      </c>
      <c r="H130" t="s">
        <v>2102</v>
      </c>
      <c r="I130">
        <v>0</v>
      </c>
    </row>
    <row r="131" spans="1:9" x14ac:dyDescent="0.25">
      <c r="A131" t="s">
        <v>708</v>
      </c>
      <c r="B131">
        <f>VLOOKUP(A131,art_category_path_name!A:B,2,FALSE)</f>
        <v>49</v>
      </c>
      <c r="C131" t="s">
        <v>8704</v>
      </c>
      <c r="D131" t="s">
        <v>2103</v>
      </c>
      <c r="E131" t="s">
        <v>2104</v>
      </c>
      <c r="F131" t="s">
        <v>2105</v>
      </c>
      <c r="G131" t="s">
        <v>8775</v>
      </c>
      <c r="H131" t="s">
        <v>2106</v>
      </c>
      <c r="I131">
        <v>0</v>
      </c>
    </row>
    <row r="132" spans="1:9" x14ac:dyDescent="0.25">
      <c r="A132" t="s">
        <v>709</v>
      </c>
      <c r="B132">
        <f>VLOOKUP(A132,art_category_path_name!A:B,2,FALSE)</f>
        <v>50</v>
      </c>
      <c r="C132" t="s">
        <v>8776</v>
      </c>
      <c r="D132" t="s">
        <v>2108</v>
      </c>
      <c r="E132" t="s">
        <v>1804</v>
      </c>
      <c r="F132" t="s">
        <v>1805</v>
      </c>
      <c r="G132" t="s">
        <v>8556</v>
      </c>
      <c r="H132" t="s">
        <v>2109</v>
      </c>
      <c r="I132">
        <v>0</v>
      </c>
    </row>
    <row r="133" spans="1:9" x14ac:dyDescent="0.25">
      <c r="A133" t="s">
        <v>2110</v>
      </c>
      <c r="B133" t="e">
        <f>VLOOKUP(A133,art_category_path_name!A:B,2,FALSE)</f>
        <v>#N/A</v>
      </c>
      <c r="C133" t="s">
        <v>8777</v>
      </c>
      <c r="D133" t="s">
        <v>2112</v>
      </c>
      <c r="E133" t="s">
        <v>2113</v>
      </c>
      <c r="F133" t="s">
        <v>2114</v>
      </c>
      <c r="G133" t="s">
        <v>8509</v>
      </c>
      <c r="H133" t="s">
        <v>2115</v>
      </c>
      <c r="I133">
        <v>0</v>
      </c>
    </row>
    <row r="134" spans="1:9" x14ac:dyDescent="0.25">
      <c r="A134" t="s">
        <v>2116</v>
      </c>
      <c r="B134" t="e">
        <f>VLOOKUP(A134,art_category_path_name!A:B,2,FALSE)</f>
        <v>#N/A</v>
      </c>
      <c r="C134" t="s">
        <v>8778</v>
      </c>
      <c r="D134" t="s">
        <v>1798</v>
      </c>
      <c r="E134" t="s">
        <v>2118</v>
      </c>
      <c r="F134" t="s">
        <v>2119</v>
      </c>
      <c r="G134" t="s">
        <v>8557</v>
      </c>
      <c r="H134" t="s">
        <v>2120</v>
      </c>
      <c r="I134">
        <v>0</v>
      </c>
    </row>
    <row r="135" spans="1:9" x14ac:dyDescent="0.25">
      <c r="A135" t="s">
        <v>757</v>
      </c>
      <c r="B135">
        <f>VLOOKUP(A135,art_category_path_name!A:B,2,FALSE)</f>
        <v>576</v>
      </c>
      <c r="C135" t="s">
        <v>8779</v>
      </c>
      <c r="D135" t="s">
        <v>2122</v>
      </c>
      <c r="E135" t="s">
        <v>2123</v>
      </c>
      <c r="F135" t="s">
        <v>2124</v>
      </c>
      <c r="G135" t="s">
        <v>8780</v>
      </c>
      <c r="H135" t="s">
        <v>2125</v>
      </c>
      <c r="I135">
        <v>0</v>
      </c>
    </row>
    <row r="136" spans="1:9" x14ac:dyDescent="0.25">
      <c r="A136" t="s">
        <v>735</v>
      </c>
      <c r="B136">
        <f>VLOOKUP(A136,art_category_path_name!A:B,2,FALSE)</f>
        <v>513</v>
      </c>
      <c r="C136" t="s">
        <v>8781</v>
      </c>
      <c r="D136" t="s">
        <v>2127</v>
      </c>
      <c r="E136" t="s">
        <v>2128</v>
      </c>
      <c r="F136" t="s">
        <v>2129</v>
      </c>
      <c r="G136" t="s">
        <v>8558</v>
      </c>
      <c r="H136" t="s">
        <v>2130</v>
      </c>
      <c r="I136">
        <v>0</v>
      </c>
    </row>
    <row r="137" spans="1:9" x14ac:dyDescent="0.25">
      <c r="A137" t="s">
        <v>751</v>
      </c>
      <c r="B137">
        <f>VLOOKUP(A137,art_category_path_name!A:B,2,FALSE)</f>
        <v>514</v>
      </c>
      <c r="C137" t="s">
        <v>8782</v>
      </c>
      <c r="D137" t="s">
        <v>2132</v>
      </c>
      <c r="E137" t="s">
        <v>2133</v>
      </c>
      <c r="F137" t="s">
        <v>2134</v>
      </c>
      <c r="G137" t="s">
        <v>8559</v>
      </c>
      <c r="H137" t="s">
        <v>2135</v>
      </c>
      <c r="I137">
        <v>0</v>
      </c>
    </row>
    <row r="138" spans="1:9" x14ac:dyDescent="0.25">
      <c r="A138" t="s">
        <v>736</v>
      </c>
      <c r="B138">
        <f>VLOOKUP(A138,art_category_path_name!A:B,2,FALSE)</f>
        <v>1012</v>
      </c>
      <c r="C138" t="s">
        <v>8783</v>
      </c>
      <c r="D138" t="s">
        <v>2137</v>
      </c>
      <c r="E138" t="s">
        <v>2138</v>
      </c>
      <c r="F138" t="s">
        <v>2139</v>
      </c>
      <c r="G138" t="s">
        <v>8784</v>
      </c>
      <c r="H138" t="s">
        <v>2140</v>
      </c>
      <c r="I138">
        <v>0</v>
      </c>
    </row>
    <row r="139" spans="1:9" x14ac:dyDescent="0.25">
      <c r="A139" t="s">
        <v>742</v>
      </c>
      <c r="B139">
        <f>VLOOKUP(A139,art_category_path_name!A:B,2,FALSE)</f>
        <v>1018</v>
      </c>
      <c r="C139" t="s">
        <v>8785</v>
      </c>
      <c r="D139" t="s">
        <v>2127</v>
      </c>
      <c r="E139" t="s">
        <v>2142</v>
      </c>
      <c r="F139" t="s">
        <v>2143</v>
      </c>
      <c r="G139" t="s">
        <v>8558</v>
      </c>
      <c r="H139" t="s">
        <v>2144</v>
      </c>
      <c r="I139">
        <v>0</v>
      </c>
    </row>
    <row r="140" spans="1:9" x14ac:dyDescent="0.25">
      <c r="A140" t="s">
        <v>2145</v>
      </c>
      <c r="B140" t="e">
        <f>VLOOKUP(A140,art_category_path_name!A:B,2,FALSE)</f>
        <v>#N/A</v>
      </c>
      <c r="C140" t="s">
        <v>8786</v>
      </c>
      <c r="D140" t="s">
        <v>2147</v>
      </c>
      <c r="E140" t="s">
        <v>2148</v>
      </c>
      <c r="F140" t="s">
        <v>2149</v>
      </c>
      <c r="G140" t="s">
        <v>8560</v>
      </c>
      <c r="H140" t="s">
        <v>2150</v>
      </c>
      <c r="I140">
        <v>0</v>
      </c>
    </row>
    <row r="141" spans="1:9" x14ac:dyDescent="0.25">
      <c r="A141" t="s">
        <v>2151</v>
      </c>
      <c r="B141" t="e">
        <f>VLOOKUP(A141,art_category_path_name!A:B,2,FALSE)</f>
        <v>#N/A</v>
      </c>
      <c r="C141" t="s">
        <v>8787</v>
      </c>
      <c r="D141" t="s">
        <v>2153</v>
      </c>
      <c r="E141" t="s">
        <v>2154</v>
      </c>
      <c r="F141" t="s">
        <v>2155</v>
      </c>
      <c r="G141" t="s">
        <v>8561</v>
      </c>
      <c r="H141" t="s">
        <v>2156</v>
      </c>
      <c r="I141">
        <v>0</v>
      </c>
    </row>
    <row r="142" spans="1:9" x14ac:dyDescent="0.25">
      <c r="A142" t="s">
        <v>678</v>
      </c>
      <c r="B142">
        <f>VLOOKUP(A142,art_category_path_name!A:B,2,FALSE)</f>
        <v>324</v>
      </c>
      <c r="C142" t="s">
        <v>8788</v>
      </c>
      <c r="D142" t="s">
        <v>2158</v>
      </c>
      <c r="E142" t="s">
        <v>2159</v>
      </c>
      <c r="F142" t="s">
        <v>2160</v>
      </c>
      <c r="G142" t="s">
        <v>8562</v>
      </c>
      <c r="H142" t="s">
        <v>2161</v>
      </c>
      <c r="I142">
        <v>0</v>
      </c>
    </row>
    <row r="143" spans="1:9" x14ac:dyDescent="0.25">
      <c r="A143" t="s">
        <v>686</v>
      </c>
      <c r="B143">
        <f>VLOOKUP(A143,art_category_path_name!A:B,2,FALSE)</f>
        <v>325</v>
      </c>
      <c r="C143" t="s">
        <v>8789</v>
      </c>
      <c r="D143" t="s">
        <v>2163</v>
      </c>
      <c r="E143" t="s">
        <v>2164</v>
      </c>
      <c r="F143" t="s">
        <v>2165</v>
      </c>
      <c r="G143" t="s">
        <v>8790</v>
      </c>
      <c r="H143" t="s">
        <v>2166</v>
      </c>
      <c r="I143">
        <v>0</v>
      </c>
    </row>
    <row r="144" spans="1:9" x14ac:dyDescent="0.25">
      <c r="A144" t="s">
        <v>693</v>
      </c>
      <c r="B144">
        <f>VLOOKUP(A144,art_category_path_name!A:B,2,FALSE)</f>
        <v>554</v>
      </c>
      <c r="C144" t="s">
        <v>8791</v>
      </c>
      <c r="D144" t="s">
        <v>2168</v>
      </c>
      <c r="E144" t="s">
        <v>2169</v>
      </c>
      <c r="F144" t="s">
        <v>2170</v>
      </c>
      <c r="G144" t="s">
        <v>8563</v>
      </c>
      <c r="H144" t="s">
        <v>2171</v>
      </c>
      <c r="I144">
        <v>0</v>
      </c>
    </row>
    <row r="145" spans="1:9" x14ac:dyDescent="0.25">
      <c r="A145" t="s">
        <v>700</v>
      </c>
      <c r="B145">
        <f>VLOOKUP(A145,art_category_path_name!A:B,2,FALSE)</f>
        <v>710</v>
      </c>
      <c r="C145" t="s">
        <v>8792</v>
      </c>
      <c r="D145" t="s">
        <v>2173</v>
      </c>
      <c r="E145" t="s">
        <v>2174</v>
      </c>
      <c r="F145" t="s">
        <v>2175</v>
      </c>
      <c r="G145" t="s">
        <v>8793</v>
      </c>
      <c r="H145" t="s">
        <v>2176</v>
      </c>
      <c r="I145">
        <v>0</v>
      </c>
    </row>
    <row r="146" spans="1:9" x14ac:dyDescent="0.25">
      <c r="A146" t="s">
        <v>705</v>
      </c>
      <c r="B146">
        <f>VLOOKUP(A146,art_category_path_name!A:B,2,FALSE)</f>
        <v>874</v>
      </c>
      <c r="C146" t="s">
        <v>8794</v>
      </c>
      <c r="D146" t="s">
        <v>2178</v>
      </c>
      <c r="E146" t="s">
        <v>2179</v>
      </c>
      <c r="F146" t="s">
        <v>2180</v>
      </c>
      <c r="G146" t="s">
        <v>8795</v>
      </c>
      <c r="H146" t="s">
        <v>2181</v>
      </c>
      <c r="I146">
        <v>0</v>
      </c>
    </row>
    <row r="147" spans="1:9" x14ac:dyDescent="0.25">
      <c r="A147" t="s">
        <v>2182</v>
      </c>
      <c r="B147" t="e">
        <f>VLOOKUP(A147,art_category_path_name!A:B,2,FALSE)</f>
        <v>#N/A</v>
      </c>
      <c r="C147" t="s">
        <v>8796</v>
      </c>
      <c r="D147" t="s">
        <v>2184</v>
      </c>
      <c r="E147" t="s">
        <v>2185</v>
      </c>
      <c r="F147" t="s">
        <v>2186</v>
      </c>
      <c r="G147" t="s">
        <v>8564</v>
      </c>
      <c r="H147" t="s">
        <v>2187</v>
      </c>
      <c r="I147">
        <v>0</v>
      </c>
    </row>
    <row r="148" spans="1:9" x14ac:dyDescent="0.25">
      <c r="A148" t="s">
        <v>679</v>
      </c>
      <c r="B148">
        <f>VLOOKUP(A148,art_category_path_name!A:B,2,FALSE)</f>
        <v>1039</v>
      </c>
      <c r="C148" t="s">
        <v>8797</v>
      </c>
      <c r="D148" t="s">
        <v>2189</v>
      </c>
      <c r="E148" t="s">
        <v>2113</v>
      </c>
      <c r="F148" t="s">
        <v>2114</v>
      </c>
      <c r="G148" t="s">
        <v>8565</v>
      </c>
      <c r="H148" t="s">
        <v>2190</v>
      </c>
      <c r="I148">
        <v>0</v>
      </c>
    </row>
    <row r="149" spans="1:9" x14ac:dyDescent="0.25">
      <c r="A149" t="s">
        <v>2191</v>
      </c>
      <c r="B149" t="e">
        <f>VLOOKUP(A149,art_category_path_name!A:B,2,FALSE)</f>
        <v>#N/A</v>
      </c>
      <c r="C149" t="s">
        <v>8798</v>
      </c>
      <c r="D149" t="s">
        <v>2193</v>
      </c>
      <c r="E149" t="s">
        <v>2194</v>
      </c>
      <c r="F149" t="s">
        <v>2195</v>
      </c>
      <c r="G149" t="s">
        <v>8799</v>
      </c>
      <c r="H149" t="s">
        <v>2196</v>
      </c>
      <c r="I149">
        <v>0</v>
      </c>
    </row>
    <row r="150" spans="1:9" x14ac:dyDescent="0.25">
      <c r="A150" t="s">
        <v>330</v>
      </c>
      <c r="B150">
        <f>VLOOKUP(A150,art_category_path_name!A:B,2,FALSE)</f>
        <v>281</v>
      </c>
      <c r="C150" t="s">
        <v>8800</v>
      </c>
      <c r="D150" t="s">
        <v>2198</v>
      </c>
      <c r="E150" t="s">
        <v>2199</v>
      </c>
      <c r="F150" t="s">
        <v>2200</v>
      </c>
      <c r="G150" t="s">
        <v>8801</v>
      </c>
      <c r="H150" t="s">
        <v>2201</v>
      </c>
      <c r="I150">
        <v>0</v>
      </c>
    </row>
    <row r="151" spans="1:9" x14ac:dyDescent="0.25">
      <c r="A151" t="s">
        <v>333</v>
      </c>
      <c r="B151">
        <f>VLOOKUP(A151,art_category_path_name!A:B,2,FALSE)</f>
        <v>290</v>
      </c>
      <c r="C151" t="s">
        <v>8802</v>
      </c>
      <c r="D151" t="s">
        <v>2203</v>
      </c>
      <c r="E151" t="s">
        <v>2204</v>
      </c>
      <c r="F151" t="s">
        <v>2205</v>
      </c>
      <c r="G151" t="s">
        <v>8566</v>
      </c>
      <c r="H151" t="s">
        <v>2206</v>
      </c>
      <c r="I151">
        <v>0</v>
      </c>
    </row>
    <row r="152" spans="1:9" x14ac:dyDescent="0.25">
      <c r="A152" t="s">
        <v>336</v>
      </c>
      <c r="B152">
        <f>VLOOKUP(A152,art_category_path_name!A:B,2,FALSE)</f>
        <v>293</v>
      </c>
      <c r="C152" t="s">
        <v>8803</v>
      </c>
      <c r="D152" t="s">
        <v>2208</v>
      </c>
      <c r="E152" t="s">
        <v>2209</v>
      </c>
      <c r="F152" t="s">
        <v>2210</v>
      </c>
      <c r="G152" t="s">
        <v>8804</v>
      </c>
      <c r="H152" t="s">
        <v>2211</v>
      </c>
      <c r="I152">
        <v>0</v>
      </c>
    </row>
    <row r="153" spans="1:9" x14ac:dyDescent="0.25">
      <c r="A153" t="s">
        <v>338</v>
      </c>
      <c r="B153">
        <f>VLOOKUP(A153,art_category_path_name!A:B,2,FALSE)</f>
        <v>295</v>
      </c>
      <c r="C153" t="s">
        <v>8805</v>
      </c>
      <c r="D153" t="s">
        <v>2213</v>
      </c>
      <c r="E153" t="s">
        <v>2214</v>
      </c>
      <c r="F153" t="s">
        <v>2215</v>
      </c>
      <c r="G153" t="s">
        <v>8567</v>
      </c>
      <c r="H153" t="s">
        <v>2216</v>
      </c>
      <c r="I153">
        <v>0</v>
      </c>
    </row>
    <row r="154" spans="1:9" x14ac:dyDescent="0.25">
      <c r="A154" t="s">
        <v>329</v>
      </c>
      <c r="B154">
        <f>VLOOKUP(A154,art_category_path_name!A:B,2,FALSE)</f>
        <v>280</v>
      </c>
      <c r="C154" t="s">
        <v>8806</v>
      </c>
      <c r="D154" t="s">
        <v>2218</v>
      </c>
      <c r="E154" t="s">
        <v>2209</v>
      </c>
      <c r="F154" t="s">
        <v>2219</v>
      </c>
      <c r="G154" t="s">
        <v>8568</v>
      </c>
      <c r="H154" t="s">
        <v>2220</v>
      </c>
      <c r="I154">
        <v>0</v>
      </c>
    </row>
    <row r="155" spans="1:9" x14ac:dyDescent="0.25">
      <c r="A155" t="s">
        <v>212</v>
      </c>
      <c r="B155">
        <f>VLOOKUP(A155,art_category_path_name!A:B,2,FALSE)</f>
        <v>107</v>
      </c>
      <c r="C155" t="s">
        <v>8807</v>
      </c>
      <c r="D155" t="s">
        <v>2222</v>
      </c>
      <c r="E155" t="s">
        <v>2223</v>
      </c>
      <c r="F155" t="s">
        <v>2224</v>
      </c>
      <c r="G155" t="s">
        <v>8808</v>
      </c>
      <c r="H155" t="s">
        <v>2225</v>
      </c>
      <c r="I155">
        <v>0</v>
      </c>
    </row>
    <row r="156" spans="1:9" x14ac:dyDescent="0.25">
      <c r="A156" t="s">
        <v>221</v>
      </c>
      <c r="B156">
        <f>VLOOKUP(A156,art_category_path_name!A:B,2,FALSE)</f>
        <v>630</v>
      </c>
      <c r="C156" t="s">
        <v>8809</v>
      </c>
      <c r="D156" t="s">
        <v>2227</v>
      </c>
      <c r="E156" t="s">
        <v>2228</v>
      </c>
      <c r="F156" t="s">
        <v>2229</v>
      </c>
      <c r="G156" t="s">
        <v>8569</v>
      </c>
      <c r="H156" t="s">
        <v>2230</v>
      </c>
      <c r="I156">
        <v>0</v>
      </c>
    </row>
    <row r="157" spans="1:9" x14ac:dyDescent="0.25">
      <c r="A157" t="s">
        <v>224</v>
      </c>
      <c r="B157">
        <f>VLOOKUP(A157,art_category_path_name!A:B,2,FALSE)</f>
        <v>633</v>
      </c>
      <c r="C157" t="s">
        <v>8810</v>
      </c>
      <c r="D157" t="s">
        <v>2232</v>
      </c>
      <c r="E157" t="s">
        <v>2233</v>
      </c>
      <c r="F157" t="s">
        <v>2234</v>
      </c>
      <c r="G157" t="s">
        <v>8570</v>
      </c>
      <c r="H157" t="s">
        <v>2235</v>
      </c>
      <c r="I157">
        <v>0</v>
      </c>
    </row>
    <row r="158" spans="1:9" x14ac:dyDescent="0.25">
      <c r="A158" t="s">
        <v>230</v>
      </c>
      <c r="B158">
        <f>VLOOKUP(A158,art_category_path_name!A:B,2,FALSE)</f>
        <v>639</v>
      </c>
      <c r="C158" t="s">
        <v>8811</v>
      </c>
      <c r="D158" t="s">
        <v>2237</v>
      </c>
      <c r="E158" t="s">
        <v>2238</v>
      </c>
      <c r="F158" t="s">
        <v>2239</v>
      </c>
      <c r="G158" t="s">
        <v>8571</v>
      </c>
      <c r="H158" t="s">
        <v>2240</v>
      </c>
      <c r="I158">
        <v>0</v>
      </c>
    </row>
    <row r="159" spans="1:9" x14ac:dyDescent="0.25">
      <c r="A159" t="s">
        <v>235</v>
      </c>
      <c r="B159">
        <f>VLOOKUP(A159,art_category_path_name!A:B,2,FALSE)</f>
        <v>644</v>
      </c>
      <c r="C159" t="s">
        <v>8812</v>
      </c>
      <c r="D159" t="s">
        <v>2242</v>
      </c>
      <c r="E159" t="s">
        <v>2243</v>
      </c>
      <c r="F159" t="s">
        <v>2244</v>
      </c>
      <c r="G159" t="s">
        <v>8572</v>
      </c>
      <c r="H159" t="s">
        <v>2245</v>
      </c>
      <c r="I159">
        <v>0</v>
      </c>
    </row>
    <row r="160" spans="1:9" x14ac:dyDescent="0.25">
      <c r="A160" t="s">
        <v>211</v>
      </c>
      <c r="B160">
        <f>VLOOKUP(A160,art_category_path_name!A:B,2,FALSE)</f>
        <v>106</v>
      </c>
      <c r="C160" t="s">
        <v>8813</v>
      </c>
      <c r="D160" t="s">
        <v>2247</v>
      </c>
      <c r="E160" t="s">
        <v>2248</v>
      </c>
      <c r="F160" t="s">
        <v>2249</v>
      </c>
      <c r="G160" t="s">
        <v>8573</v>
      </c>
      <c r="H160" t="s">
        <v>2250</v>
      </c>
      <c r="I160">
        <v>0</v>
      </c>
    </row>
    <row r="161" spans="1:9" x14ac:dyDescent="0.25">
      <c r="A161" t="s">
        <v>428</v>
      </c>
      <c r="B161">
        <f>VLOOKUP(A161,art_category_path_name!A:B,2,FALSE)</f>
        <v>447</v>
      </c>
      <c r="C161" t="s">
        <v>8814</v>
      </c>
      <c r="D161" t="s">
        <v>2252</v>
      </c>
      <c r="E161" t="s">
        <v>2253</v>
      </c>
      <c r="F161" t="s">
        <v>2254</v>
      </c>
      <c r="G161" t="s">
        <v>8574</v>
      </c>
      <c r="H161" t="s">
        <v>2255</v>
      </c>
      <c r="I161">
        <v>0</v>
      </c>
    </row>
    <row r="162" spans="1:9" x14ac:dyDescent="0.25">
      <c r="A162" t="s">
        <v>431</v>
      </c>
      <c r="B162">
        <f>VLOOKUP(A162,art_category_path_name!A:B,2,FALSE)</f>
        <v>677</v>
      </c>
      <c r="C162" t="s">
        <v>8815</v>
      </c>
      <c r="D162" t="s">
        <v>2257</v>
      </c>
      <c r="E162" t="s">
        <v>2258</v>
      </c>
      <c r="F162" t="s">
        <v>2259</v>
      </c>
      <c r="G162" t="s">
        <v>8575</v>
      </c>
      <c r="H162" t="s">
        <v>2260</v>
      </c>
      <c r="I162">
        <v>0</v>
      </c>
    </row>
    <row r="163" spans="1:9" x14ac:dyDescent="0.25">
      <c r="A163" t="s">
        <v>434</v>
      </c>
      <c r="B163">
        <f>VLOOKUP(A163,art_category_path_name!A:B,2,FALSE)</f>
        <v>897</v>
      </c>
      <c r="C163" t="s">
        <v>8816</v>
      </c>
      <c r="D163" t="s">
        <v>2262</v>
      </c>
      <c r="E163" t="s">
        <v>2263</v>
      </c>
      <c r="F163" t="s">
        <v>2264</v>
      </c>
      <c r="G163" t="s">
        <v>8576</v>
      </c>
      <c r="H163" t="s">
        <v>2265</v>
      </c>
      <c r="I163">
        <v>0</v>
      </c>
    </row>
    <row r="164" spans="1:9" x14ac:dyDescent="0.25">
      <c r="A164" t="s">
        <v>427</v>
      </c>
      <c r="B164">
        <f>VLOOKUP(A164,art_category_path_name!A:B,2,FALSE)</f>
        <v>446</v>
      </c>
      <c r="C164" t="s">
        <v>8817</v>
      </c>
      <c r="D164" t="s">
        <v>2267</v>
      </c>
      <c r="E164" t="s">
        <v>2268</v>
      </c>
      <c r="F164" t="s">
        <v>2269</v>
      </c>
      <c r="G164" t="s">
        <v>8577</v>
      </c>
      <c r="H164" t="s">
        <v>2270</v>
      </c>
      <c r="I164">
        <v>0</v>
      </c>
    </row>
    <row r="165" spans="1:9" x14ac:dyDescent="0.25">
      <c r="A165" t="s">
        <v>318</v>
      </c>
      <c r="B165">
        <f>VLOOKUP(A165,art_category_path_name!A:B,2,FALSE)</f>
        <v>270</v>
      </c>
      <c r="C165" t="s">
        <v>1585</v>
      </c>
      <c r="D165" t="s">
        <v>2271</v>
      </c>
      <c r="E165" t="s">
        <v>2272</v>
      </c>
      <c r="F165" t="s">
        <v>2273</v>
      </c>
      <c r="G165" t="s">
        <v>8578</v>
      </c>
      <c r="H165" t="s">
        <v>2274</v>
      </c>
      <c r="I165">
        <v>0</v>
      </c>
    </row>
    <row r="166" spans="1:9" x14ac:dyDescent="0.25">
      <c r="A166" t="s">
        <v>325</v>
      </c>
      <c r="B166">
        <f>VLOOKUP(A166,art_category_path_name!A:B,2,FALSE)</f>
        <v>563</v>
      </c>
      <c r="C166" t="s">
        <v>8818</v>
      </c>
      <c r="D166" t="s">
        <v>2276</v>
      </c>
      <c r="E166" t="s">
        <v>2277</v>
      </c>
      <c r="F166" t="s">
        <v>2278</v>
      </c>
      <c r="G166" t="s">
        <v>8579</v>
      </c>
      <c r="H166" t="s">
        <v>2279</v>
      </c>
      <c r="I166">
        <v>0</v>
      </c>
    </row>
    <row r="167" spans="1:9" x14ac:dyDescent="0.25">
      <c r="A167" t="s">
        <v>315</v>
      </c>
      <c r="B167">
        <f>VLOOKUP(A167,art_category_path_name!A:B,2,FALSE)</f>
        <v>1130</v>
      </c>
      <c r="C167" t="s">
        <v>8819</v>
      </c>
      <c r="D167" t="s">
        <v>2281</v>
      </c>
      <c r="E167" t="s">
        <v>2282</v>
      </c>
      <c r="F167" t="s">
        <v>2283</v>
      </c>
      <c r="G167" t="s">
        <v>8580</v>
      </c>
      <c r="H167" t="s">
        <v>2284</v>
      </c>
      <c r="I167">
        <v>0</v>
      </c>
    </row>
    <row r="168" spans="1:9" x14ac:dyDescent="0.25">
      <c r="A168" t="s">
        <v>314</v>
      </c>
      <c r="B168">
        <f>VLOOKUP(A168,art_category_path_name!A:B,2,FALSE)</f>
        <v>269</v>
      </c>
      <c r="C168" t="s">
        <v>8820</v>
      </c>
      <c r="D168" t="s">
        <v>2286</v>
      </c>
      <c r="E168" t="s">
        <v>2287</v>
      </c>
      <c r="F168" t="s">
        <v>2288</v>
      </c>
      <c r="G168" t="s">
        <v>8581</v>
      </c>
      <c r="H168" t="s">
        <v>2289</v>
      </c>
      <c r="I168">
        <v>0</v>
      </c>
    </row>
    <row r="169" spans="1:9" x14ac:dyDescent="0.25">
      <c r="A169" t="s">
        <v>410</v>
      </c>
      <c r="B169">
        <f>VLOOKUP(A169,art_category_path_name!A:B,2,FALSE)</f>
        <v>31</v>
      </c>
      <c r="C169" t="s">
        <v>8821</v>
      </c>
      <c r="D169" t="s">
        <v>2291</v>
      </c>
      <c r="E169" t="s">
        <v>2292</v>
      </c>
      <c r="F169" t="s">
        <v>2293</v>
      </c>
      <c r="G169" t="s">
        <v>8582</v>
      </c>
      <c r="H169" t="s">
        <v>2294</v>
      </c>
      <c r="I169">
        <v>0</v>
      </c>
    </row>
    <row r="170" spans="1:9" x14ac:dyDescent="0.25">
      <c r="A170" t="s">
        <v>342</v>
      </c>
      <c r="B170">
        <f>VLOOKUP(A170,art_category_path_name!A:B,2,FALSE)</f>
        <v>116</v>
      </c>
      <c r="C170" t="s">
        <v>8822</v>
      </c>
      <c r="D170" t="s">
        <v>2296</v>
      </c>
      <c r="E170" t="s">
        <v>2297</v>
      </c>
      <c r="F170" t="s">
        <v>2298</v>
      </c>
      <c r="G170" t="s">
        <v>8823</v>
      </c>
      <c r="H170" t="s">
        <v>2299</v>
      </c>
      <c r="I170">
        <v>0</v>
      </c>
    </row>
    <row r="171" spans="1:9" x14ac:dyDescent="0.25">
      <c r="A171" t="s">
        <v>376</v>
      </c>
      <c r="B171">
        <f>VLOOKUP(A171,art_category_path_name!A:B,2,FALSE)</f>
        <v>1201</v>
      </c>
      <c r="C171" t="s">
        <v>8824</v>
      </c>
      <c r="D171" t="s">
        <v>2301</v>
      </c>
      <c r="E171" t="s">
        <v>2302</v>
      </c>
      <c r="F171" t="s">
        <v>2303</v>
      </c>
      <c r="G171" t="s">
        <v>8583</v>
      </c>
      <c r="H171" t="s">
        <v>2304</v>
      </c>
      <c r="I171">
        <v>0</v>
      </c>
    </row>
    <row r="172" spans="1:9" x14ac:dyDescent="0.25">
      <c r="A172" t="s">
        <v>388</v>
      </c>
      <c r="B172">
        <f>VLOOKUP(A172,art_category_path_name!A:B,2,FALSE)</f>
        <v>1213</v>
      </c>
      <c r="C172" t="s">
        <v>8825</v>
      </c>
      <c r="D172" t="s">
        <v>2306</v>
      </c>
      <c r="E172" t="s">
        <v>2307</v>
      </c>
      <c r="F172" t="s">
        <v>2308</v>
      </c>
      <c r="G172" t="s">
        <v>8584</v>
      </c>
      <c r="H172" t="s">
        <v>2309</v>
      </c>
      <c r="I172">
        <v>0</v>
      </c>
    </row>
    <row r="173" spans="1:9" x14ac:dyDescent="0.25">
      <c r="A173" t="s">
        <v>390</v>
      </c>
      <c r="B173">
        <f>VLOOKUP(A173,art_category_path_name!A:B,2,FALSE)</f>
        <v>1221</v>
      </c>
      <c r="C173" t="s">
        <v>8826</v>
      </c>
      <c r="D173" t="s">
        <v>2311</v>
      </c>
      <c r="E173" t="s">
        <v>2312</v>
      </c>
      <c r="F173" t="s">
        <v>2313</v>
      </c>
      <c r="G173" t="s">
        <v>8585</v>
      </c>
      <c r="H173" t="s">
        <v>2314</v>
      </c>
      <c r="I173">
        <v>0</v>
      </c>
    </row>
    <row r="174" spans="1:9" x14ac:dyDescent="0.25">
      <c r="A174" t="s">
        <v>341</v>
      </c>
      <c r="B174">
        <f>VLOOKUP(A174,art_category_path_name!A:B,2,FALSE)</f>
        <v>30</v>
      </c>
      <c r="C174" t="s">
        <v>8827</v>
      </c>
      <c r="D174" t="s">
        <v>2316</v>
      </c>
      <c r="E174" t="s">
        <v>2317</v>
      </c>
      <c r="F174" t="s">
        <v>2318</v>
      </c>
      <c r="G174" t="s">
        <v>8586</v>
      </c>
      <c r="H174" t="s">
        <v>2319</v>
      </c>
      <c r="I174">
        <v>0</v>
      </c>
    </row>
    <row r="175" spans="1:9" x14ac:dyDescent="0.25">
      <c r="A175" t="s">
        <v>298</v>
      </c>
      <c r="B175">
        <f>VLOOKUP(A175,art_category_path_name!A:B,2,FALSE)</f>
        <v>223</v>
      </c>
      <c r="C175" t="s">
        <v>8828</v>
      </c>
      <c r="D175" t="s">
        <v>2321</v>
      </c>
      <c r="E175" t="s">
        <v>2322</v>
      </c>
      <c r="F175" t="s">
        <v>2323</v>
      </c>
      <c r="G175" t="s">
        <v>8587</v>
      </c>
      <c r="H175" t="s">
        <v>2324</v>
      </c>
      <c r="I175">
        <v>0</v>
      </c>
    </row>
    <row r="176" spans="1:9" x14ac:dyDescent="0.25">
      <c r="A176" t="s">
        <v>309</v>
      </c>
      <c r="B176">
        <f>VLOOKUP(A176,art_category_path_name!A:B,2,FALSE)</f>
        <v>234</v>
      </c>
      <c r="C176" t="s">
        <v>8829</v>
      </c>
      <c r="D176" t="s">
        <v>2326</v>
      </c>
      <c r="E176" t="s">
        <v>2327</v>
      </c>
      <c r="F176" t="s">
        <v>2328</v>
      </c>
      <c r="G176" t="s">
        <v>8588</v>
      </c>
      <c r="H176" t="s">
        <v>2329</v>
      </c>
      <c r="I176">
        <v>0</v>
      </c>
    </row>
    <row r="177" spans="1:9" x14ac:dyDescent="0.25">
      <c r="A177" t="s">
        <v>261</v>
      </c>
      <c r="B177">
        <f>VLOOKUP(A177,art_category_path_name!A:B,2,FALSE)</f>
        <v>1062</v>
      </c>
      <c r="C177" t="s">
        <v>8830</v>
      </c>
      <c r="D177" t="s">
        <v>2331</v>
      </c>
      <c r="E177" t="s">
        <v>2332</v>
      </c>
      <c r="F177" t="s">
        <v>2333</v>
      </c>
      <c r="G177" t="s">
        <v>8589</v>
      </c>
      <c r="H177" t="s">
        <v>2334</v>
      </c>
      <c r="I177">
        <v>0</v>
      </c>
    </row>
    <row r="178" spans="1:9" x14ac:dyDescent="0.25">
      <c r="A178" t="s">
        <v>274</v>
      </c>
      <c r="B178">
        <f>VLOOKUP(A178,art_category_path_name!A:B,2,FALSE)</f>
        <v>1075</v>
      </c>
      <c r="C178" t="s">
        <v>8831</v>
      </c>
      <c r="D178" t="s">
        <v>2336</v>
      </c>
      <c r="E178" t="s">
        <v>2337</v>
      </c>
      <c r="F178" t="s">
        <v>2338</v>
      </c>
      <c r="G178" t="s">
        <v>8590</v>
      </c>
      <c r="H178" t="s">
        <v>2339</v>
      </c>
      <c r="I178">
        <v>0</v>
      </c>
    </row>
    <row r="179" spans="1:9" x14ac:dyDescent="0.25">
      <c r="A179" t="s">
        <v>277</v>
      </c>
      <c r="B179">
        <f>VLOOKUP(A179,art_category_path_name!A:B,2,FALSE)</f>
        <v>1333</v>
      </c>
      <c r="C179" t="s">
        <v>8832</v>
      </c>
      <c r="D179" t="s">
        <v>2341</v>
      </c>
      <c r="E179" t="s">
        <v>2342</v>
      </c>
      <c r="F179" t="s">
        <v>2343</v>
      </c>
      <c r="G179" t="s">
        <v>8591</v>
      </c>
      <c r="H179" t="s">
        <v>2344</v>
      </c>
      <c r="I179">
        <v>0</v>
      </c>
    </row>
    <row r="180" spans="1:9" x14ac:dyDescent="0.25">
      <c r="A180" t="s">
        <v>292</v>
      </c>
      <c r="B180">
        <f>VLOOKUP(A180,art_category_path_name!A:B,2,FALSE)</f>
        <v>1348</v>
      </c>
      <c r="C180" t="s">
        <v>8833</v>
      </c>
      <c r="D180" t="s">
        <v>2346</v>
      </c>
      <c r="E180" t="s">
        <v>2347</v>
      </c>
      <c r="F180" t="s">
        <v>2348</v>
      </c>
      <c r="G180" t="s">
        <v>8592</v>
      </c>
      <c r="H180" t="s">
        <v>2349</v>
      </c>
      <c r="I180">
        <v>0</v>
      </c>
    </row>
    <row r="181" spans="1:9" x14ac:dyDescent="0.25">
      <c r="A181" t="s">
        <v>260</v>
      </c>
      <c r="B181">
        <f>VLOOKUP(A181,art_category_path_name!A:B,2,FALSE)</f>
        <v>222</v>
      </c>
      <c r="C181" t="s">
        <v>8834</v>
      </c>
      <c r="D181" t="s">
        <v>2351</v>
      </c>
      <c r="E181" t="s">
        <v>2352</v>
      </c>
      <c r="F181" t="s">
        <v>2353</v>
      </c>
      <c r="G181" t="s">
        <v>8593</v>
      </c>
      <c r="H181" t="s">
        <v>2354</v>
      </c>
      <c r="I181">
        <v>0</v>
      </c>
    </row>
    <row r="182" spans="1:9" x14ac:dyDescent="0.25">
      <c r="A182" t="s">
        <v>257</v>
      </c>
      <c r="B182">
        <f>VLOOKUP(A182,art_category_path_name!A:B,2,FALSE)</f>
        <v>1358</v>
      </c>
      <c r="C182" t="s">
        <v>8835</v>
      </c>
      <c r="D182" t="s">
        <v>2356</v>
      </c>
      <c r="E182" t="s">
        <v>2357</v>
      </c>
      <c r="F182" t="s">
        <v>2358</v>
      </c>
      <c r="G182" t="s">
        <v>8836</v>
      </c>
      <c r="H182" t="s">
        <v>2359</v>
      </c>
      <c r="I182">
        <v>0</v>
      </c>
    </row>
    <row r="183" spans="1:9" x14ac:dyDescent="0.25">
      <c r="A183" t="s">
        <v>210</v>
      </c>
      <c r="B183">
        <f>VLOOKUP(A183,art_category_path_name!A:B,2,FALSE)</f>
        <v>29</v>
      </c>
      <c r="C183" t="s">
        <v>8837</v>
      </c>
      <c r="D183" t="s">
        <v>2361</v>
      </c>
      <c r="E183" t="s">
        <v>2362</v>
      </c>
      <c r="F183" t="s">
        <v>2363</v>
      </c>
      <c r="G183" t="s">
        <v>8594</v>
      </c>
      <c r="H183" t="s">
        <v>2364</v>
      </c>
      <c r="I183">
        <v>0</v>
      </c>
    </row>
    <row r="184" spans="1:9" x14ac:dyDescent="0.25">
      <c r="A184" t="s">
        <v>1382</v>
      </c>
      <c r="B184">
        <f>VLOOKUP(A184,art_category_path_name!A:B,2,FALSE)</f>
        <v>70</v>
      </c>
      <c r="C184" t="s">
        <v>8838</v>
      </c>
      <c r="D184" t="s">
        <v>2366</v>
      </c>
      <c r="E184" t="s">
        <v>2367</v>
      </c>
      <c r="F184" t="s">
        <v>2368</v>
      </c>
      <c r="G184" t="s">
        <v>8839</v>
      </c>
      <c r="H184" t="s">
        <v>2369</v>
      </c>
      <c r="I184">
        <v>0</v>
      </c>
    </row>
    <row r="185" spans="1:9" x14ac:dyDescent="0.25">
      <c r="A185" t="s">
        <v>1415</v>
      </c>
      <c r="B185">
        <f>VLOOKUP(A185,art_category_path_name!A:B,2,FALSE)</f>
        <v>85</v>
      </c>
      <c r="C185" t="s">
        <v>8840</v>
      </c>
      <c r="D185" t="s">
        <v>2371</v>
      </c>
      <c r="E185" t="s">
        <v>2372</v>
      </c>
      <c r="F185" t="s">
        <v>2373</v>
      </c>
      <c r="G185" t="s">
        <v>8841</v>
      </c>
      <c r="H185" t="s">
        <v>2374</v>
      </c>
      <c r="I185">
        <v>0</v>
      </c>
    </row>
    <row r="186" spans="1:9" x14ac:dyDescent="0.25">
      <c r="A186" t="s">
        <v>1348</v>
      </c>
      <c r="B186">
        <f>VLOOKUP(A186,art_category_path_name!A:B,2,FALSE)</f>
        <v>104</v>
      </c>
      <c r="C186" t="s">
        <v>8842</v>
      </c>
      <c r="D186" t="s">
        <v>2376</v>
      </c>
      <c r="E186" t="s">
        <v>2377</v>
      </c>
      <c r="F186" t="s">
        <v>2378</v>
      </c>
      <c r="G186" t="s">
        <v>8595</v>
      </c>
      <c r="H186" t="s">
        <v>2379</v>
      </c>
      <c r="I186">
        <v>0</v>
      </c>
    </row>
    <row r="187" spans="1:9" x14ac:dyDescent="0.25">
      <c r="A187" t="s">
        <v>1365</v>
      </c>
      <c r="B187">
        <f>VLOOKUP(A187,art_category_path_name!A:B,2,FALSE)</f>
        <v>165</v>
      </c>
      <c r="C187" t="s">
        <v>8843</v>
      </c>
      <c r="D187" t="s">
        <v>2381</v>
      </c>
      <c r="E187" t="s">
        <v>2382</v>
      </c>
      <c r="F187" t="s">
        <v>2383</v>
      </c>
      <c r="G187" t="s">
        <v>8844</v>
      </c>
      <c r="H187" t="s">
        <v>2384</v>
      </c>
      <c r="I187">
        <v>0</v>
      </c>
    </row>
    <row r="188" spans="1:9" x14ac:dyDescent="0.25">
      <c r="A188" t="s">
        <v>1397</v>
      </c>
      <c r="B188">
        <f>VLOOKUP(A188,art_category_path_name!A:B,2,FALSE)</f>
        <v>763</v>
      </c>
      <c r="C188" t="s">
        <v>8845</v>
      </c>
      <c r="D188" t="s">
        <v>2386</v>
      </c>
      <c r="E188" t="s">
        <v>2387</v>
      </c>
      <c r="F188" t="s">
        <v>2388</v>
      </c>
      <c r="G188" t="s">
        <v>8846</v>
      </c>
      <c r="H188" t="s">
        <v>2389</v>
      </c>
      <c r="I188">
        <v>0</v>
      </c>
    </row>
    <row r="189" spans="1:9" x14ac:dyDescent="0.25">
      <c r="A189" t="s">
        <v>1347</v>
      </c>
      <c r="B189">
        <f>VLOOKUP(A189,art_category_path_name!A:B,2,FALSE)</f>
        <v>69</v>
      </c>
      <c r="C189" t="s">
        <v>8847</v>
      </c>
      <c r="D189" t="s">
        <v>2391</v>
      </c>
      <c r="E189" t="s">
        <v>2392</v>
      </c>
      <c r="F189" t="s">
        <v>2393</v>
      </c>
      <c r="G189" t="s">
        <v>8596</v>
      </c>
      <c r="H189" t="s">
        <v>2394</v>
      </c>
      <c r="I189">
        <v>0</v>
      </c>
    </row>
    <row r="190" spans="1:9" x14ac:dyDescent="0.25">
      <c r="A190" t="s">
        <v>1189</v>
      </c>
      <c r="B190">
        <f>VLOOKUP(A190,art_category_path_name!A:B,2,FALSE)</f>
        <v>310</v>
      </c>
      <c r="C190" t="s">
        <v>1585</v>
      </c>
      <c r="D190" t="s">
        <v>2395</v>
      </c>
      <c r="E190" t="s">
        <v>2396</v>
      </c>
      <c r="F190" t="s">
        <v>2397</v>
      </c>
      <c r="G190" t="s">
        <v>8848</v>
      </c>
      <c r="H190" t="s">
        <v>2398</v>
      </c>
      <c r="I190">
        <v>0</v>
      </c>
    </row>
    <row r="191" spans="1:9" x14ac:dyDescent="0.25">
      <c r="A191" t="s">
        <v>1195</v>
      </c>
      <c r="B191">
        <f>VLOOKUP(A191,art_category_path_name!A:B,2,FALSE)</f>
        <v>409</v>
      </c>
      <c r="C191" t="s">
        <v>8849</v>
      </c>
      <c r="D191" t="s">
        <v>2400</v>
      </c>
      <c r="E191" t="s">
        <v>2401</v>
      </c>
      <c r="F191" t="s">
        <v>2402</v>
      </c>
      <c r="G191" t="s">
        <v>8850</v>
      </c>
      <c r="H191" t="s">
        <v>2403</v>
      </c>
      <c r="I191">
        <v>0</v>
      </c>
    </row>
    <row r="192" spans="1:9" x14ac:dyDescent="0.25">
      <c r="A192" t="s">
        <v>1214</v>
      </c>
      <c r="B192">
        <f>VLOOKUP(A192,art_category_path_name!A:B,2,FALSE)</f>
        <v>441</v>
      </c>
      <c r="C192" t="s">
        <v>8851</v>
      </c>
      <c r="D192" t="s">
        <v>2405</v>
      </c>
      <c r="E192" t="s">
        <v>2406</v>
      </c>
      <c r="F192" t="s">
        <v>2407</v>
      </c>
      <c r="G192" t="s">
        <v>8852</v>
      </c>
      <c r="H192" t="s">
        <v>2408</v>
      </c>
      <c r="I192">
        <v>0</v>
      </c>
    </row>
    <row r="193" spans="1:9" x14ac:dyDescent="0.25">
      <c r="A193" t="s">
        <v>1219</v>
      </c>
      <c r="B193">
        <f>VLOOKUP(A193,art_category_path_name!A:B,2,FALSE)</f>
        <v>864</v>
      </c>
      <c r="C193" t="s">
        <v>8853</v>
      </c>
      <c r="D193" t="s">
        <v>2410</v>
      </c>
      <c r="E193" t="s">
        <v>2411</v>
      </c>
      <c r="F193" t="s">
        <v>2412</v>
      </c>
      <c r="G193" t="s">
        <v>8854</v>
      </c>
      <c r="H193" t="s">
        <v>2413</v>
      </c>
      <c r="I193">
        <v>0</v>
      </c>
    </row>
    <row r="194" spans="1:9" x14ac:dyDescent="0.25">
      <c r="A194" t="s">
        <v>1230</v>
      </c>
      <c r="B194">
        <f>VLOOKUP(A194,art_category_path_name!A:B,2,FALSE)</f>
        <v>949</v>
      </c>
      <c r="C194" t="s">
        <v>8855</v>
      </c>
      <c r="D194" t="s">
        <v>2415</v>
      </c>
      <c r="E194" t="s">
        <v>2416</v>
      </c>
      <c r="F194" t="s">
        <v>2417</v>
      </c>
      <c r="G194" t="s">
        <v>8856</v>
      </c>
      <c r="H194" t="s">
        <v>2418</v>
      </c>
      <c r="I194">
        <v>0</v>
      </c>
    </row>
    <row r="195" spans="1:9" x14ac:dyDescent="0.25">
      <c r="A195" t="s">
        <v>1144</v>
      </c>
      <c r="B195">
        <f>VLOOKUP(A195,art_category_path_name!A:B,2,FALSE)</f>
        <v>1027</v>
      </c>
      <c r="C195" t="s">
        <v>8857</v>
      </c>
      <c r="D195" t="s">
        <v>2420</v>
      </c>
      <c r="E195" t="s">
        <v>2421</v>
      </c>
      <c r="F195" t="s">
        <v>2422</v>
      </c>
      <c r="G195" t="s">
        <v>8597</v>
      </c>
      <c r="H195" t="s">
        <v>2423</v>
      </c>
      <c r="I195">
        <v>0</v>
      </c>
    </row>
    <row r="196" spans="1:9" x14ac:dyDescent="0.25">
      <c r="A196" t="s">
        <v>1187</v>
      </c>
      <c r="B196">
        <f>VLOOKUP(A196,art_category_path_name!A:B,2,FALSE)</f>
        <v>1405</v>
      </c>
      <c r="C196" t="s">
        <v>8858</v>
      </c>
      <c r="D196" t="s">
        <v>2425</v>
      </c>
      <c r="E196" t="s">
        <v>2426</v>
      </c>
      <c r="F196" t="s">
        <v>2425</v>
      </c>
      <c r="G196" t="s">
        <v>8598</v>
      </c>
      <c r="H196" t="s">
        <v>2427</v>
      </c>
      <c r="I196">
        <v>0</v>
      </c>
    </row>
    <row r="197" spans="1:9" x14ac:dyDescent="0.25">
      <c r="A197" t="s">
        <v>2428</v>
      </c>
      <c r="B197" t="e">
        <f>VLOOKUP(A197,art_category_path_name!A:B,2,FALSE)</f>
        <v>#N/A</v>
      </c>
      <c r="C197" t="s">
        <v>8859</v>
      </c>
      <c r="D197" t="s">
        <v>2430</v>
      </c>
      <c r="E197" t="s">
        <v>2431</v>
      </c>
      <c r="F197" t="s">
        <v>2432</v>
      </c>
      <c r="G197" t="s">
        <v>8599</v>
      </c>
      <c r="H197" t="s">
        <v>2433</v>
      </c>
      <c r="I197">
        <v>0</v>
      </c>
    </row>
    <row r="198" spans="1:9" x14ac:dyDescent="0.25">
      <c r="A198" t="s">
        <v>1148</v>
      </c>
      <c r="B198">
        <f>VLOOKUP(A198,art_category_path_name!A:B,2,FALSE)</f>
        <v>1078</v>
      </c>
      <c r="C198" t="s">
        <v>8860</v>
      </c>
      <c r="D198" t="s">
        <v>2435</v>
      </c>
      <c r="E198" t="s">
        <v>2436</v>
      </c>
      <c r="F198" t="s">
        <v>2437</v>
      </c>
      <c r="G198" t="s">
        <v>8861</v>
      </c>
      <c r="H198" t="s">
        <v>2438</v>
      </c>
      <c r="I198">
        <v>0</v>
      </c>
    </row>
    <row r="199" spans="1:9" x14ac:dyDescent="0.25">
      <c r="A199" t="s">
        <v>1167</v>
      </c>
      <c r="B199">
        <f>VLOOKUP(A199,art_category_path_name!A:B,2,FALSE)</f>
        <v>1133</v>
      </c>
      <c r="C199" t="s">
        <v>8862</v>
      </c>
      <c r="D199" t="s">
        <v>2440</v>
      </c>
      <c r="E199" t="s">
        <v>2441</v>
      </c>
      <c r="F199" t="s">
        <v>2442</v>
      </c>
      <c r="G199" t="s">
        <v>8863</v>
      </c>
      <c r="H199" t="s">
        <v>2443</v>
      </c>
      <c r="I199">
        <v>0</v>
      </c>
    </row>
    <row r="200" spans="1:9" x14ac:dyDescent="0.25">
      <c r="A200" t="s">
        <v>1171</v>
      </c>
      <c r="B200">
        <f>VLOOKUP(A200,art_category_path_name!A:B,2,FALSE)</f>
        <v>1215</v>
      </c>
      <c r="C200" t="s">
        <v>8825</v>
      </c>
      <c r="D200" t="s">
        <v>2444</v>
      </c>
      <c r="E200" t="s">
        <v>2445</v>
      </c>
      <c r="F200" t="s">
        <v>2446</v>
      </c>
      <c r="G200" t="e">
        <v>#N/A</v>
      </c>
      <c r="H200" t="s">
        <v>2447</v>
      </c>
      <c r="I200">
        <v>0</v>
      </c>
    </row>
    <row r="201" spans="1:9" x14ac:dyDescent="0.25">
      <c r="A201" t="s">
        <v>1177</v>
      </c>
      <c r="B201">
        <f>VLOOKUP(A201,art_category_path_name!A:B,2,FALSE)</f>
        <v>1373</v>
      </c>
      <c r="C201" t="s">
        <v>8864</v>
      </c>
      <c r="D201" t="s">
        <v>2449</v>
      </c>
      <c r="E201" t="s">
        <v>2450</v>
      </c>
      <c r="F201" t="s">
        <v>2451</v>
      </c>
      <c r="G201" t="e">
        <v>#N/A</v>
      </c>
      <c r="H201" t="s">
        <v>2452</v>
      </c>
      <c r="I201">
        <v>0</v>
      </c>
    </row>
    <row r="202" spans="1:9" x14ac:dyDescent="0.25">
      <c r="A202" t="s">
        <v>1143</v>
      </c>
      <c r="B202">
        <f>VLOOKUP(A202,art_category_path_name!A:B,2,FALSE)</f>
        <v>309</v>
      </c>
      <c r="C202" t="s">
        <v>8860</v>
      </c>
      <c r="D202" t="s">
        <v>2453</v>
      </c>
      <c r="E202" t="s">
        <v>2454</v>
      </c>
      <c r="F202" t="s">
        <v>2455</v>
      </c>
      <c r="G202" t="s">
        <v>8865</v>
      </c>
      <c r="H202" t="s">
        <v>2456</v>
      </c>
      <c r="I202">
        <v>0</v>
      </c>
    </row>
    <row r="203" spans="1:9" x14ac:dyDescent="0.25">
      <c r="A203" t="s">
        <v>1234</v>
      </c>
      <c r="B203">
        <f>VLOOKUP(A203,art_category_path_name!A:B,2,FALSE)</f>
        <v>567</v>
      </c>
      <c r="C203" t="s">
        <v>8866</v>
      </c>
      <c r="D203" t="s">
        <v>2458</v>
      </c>
      <c r="E203" t="s">
        <v>2459</v>
      </c>
      <c r="F203" t="s">
        <v>2460</v>
      </c>
      <c r="G203" t="s">
        <v>8867</v>
      </c>
      <c r="H203" t="s">
        <v>2461</v>
      </c>
      <c r="I203">
        <v>0</v>
      </c>
    </row>
    <row r="204" spans="1:9" x14ac:dyDescent="0.25">
      <c r="A204" t="s">
        <v>1269</v>
      </c>
      <c r="B204">
        <f>VLOOKUP(A204,art_category_path_name!A:B,2,FALSE)</f>
        <v>666</v>
      </c>
      <c r="C204" t="s">
        <v>8868</v>
      </c>
      <c r="D204" t="s">
        <v>2463</v>
      </c>
      <c r="E204" t="s">
        <v>2464</v>
      </c>
      <c r="F204" t="s">
        <v>2465</v>
      </c>
      <c r="G204" t="s">
        <v>8600</v>
      </c>
      <c r="H204" t="s">
        <v>2466</v>
      </c>
      <c r="I204">
        <v>0</v>
      </c>
    </row>
    <row r="205" spans="1:9" x14ac:dyDescent="0.25">
      <c r="A205" t="s">
        <v>1095</v>
      </c>
      <c r="B205">
        <f>VLOOKUP(A205,art_category_path_name!A:B,2,FALSE)</f>
        <v>278</v>
      </c>
      <c r="C205" t="s">
        <v>8869</v>
      </c>
      <c r="D205" t="s">
        <v>2468</v>
      </c>
      <c r="E205" t="s">
        <v>2469</v>
      </c>
      <c r="F205" t="s">
        <v>2470</v>
      </c>
      <c r="G205" t="s">
        <v>8601</v>
      </c>
      <c r="H205" t="s">
        <v>2471</v>
      </c>
      <c r="I205">
        <v>0</v>
      </c>
    </row>
    <row r="206" spans="1:9" x14ac:dyDescent="0.25">
      <c r="A206" t="s">
        <v>1097</v>
      </c>
      <c r="B206">
        <f>VLOOKUP(A206,art_category_path_name!A:B,2,FALSE)</f>
        <v>797</v>
      </c>
      <c r="C206" t="s">
        <v>8870</v>
      </c>
      <c r="D206" t="s">
        <v>2473</v>
      </c>
      <c r="E206" t="s">
        <v>2474</v>
      </c>
      <c r="F206" t="s">
        <v>2475</v>
      </c>
      <c r="G206" t="s">
        <v>8602</v>
      </c>
      <c r="H206" t="s">
        <v>2476</v>
      </c>
      <c r="I206">
        <v>0</v>
      </c>
    </row>
    <row r="207" spans="1:9" x14ac:dyDescent="0.25">
      <c r="A207" t="s">
        <v>1100</v>
      </c>
      <c r="B207">
        <f>VLOOKUP(A207,art_category_path_name!A:B,2,FALSE)</f>
        <v>800</v>
      </c>
      <c r="C207" t="s">
        <v>8871</v>
      </c>
      <c r="D207" t="s">
        <v>2478</v>
      </c>
      <c r="E207" t="s">
        <v>2479</v>
      </c>
      <c r="F207" t="s">
        <v>2480</v>
      </c>
      <c r="G207" t="s">
        <v>8603</v>
      </c>
      <c r="H207" t="s">
        <v>2481</v>
      </c>
      <c r="I207">
        <v>0</v>
      </c>
    </row>
    <row r="208" spans="1:9" x14ac:dyDescent="0.25">
      <c r="A208" t="s">
        <v>1102</v>
      </c>
      <c r="B208">
        <f>VLOOKUP(A208,art_category_path_name!A:B,2,FALSE)</f>
        <v>802</v>
      </c>
      <c r="C208" t="s">
        <v>8872</v>
      </c>
      <c r="D208" t="s">
        <v>2483</v>
      </c>
      <c r="E208" t="s">
        <v>2484</v>
      </c>
      <c r="F208" t="s">
        <v>2485</v>
      </c>
      <c r="G208" t="s">
        <v>8604</v>
      </c>
      <c r="H208" t="s">
        <v>2486</v>
      </c>
      <c r="I208">
        <v>0</v>
      </c>
    </row>
    <row r="209" spans="1:9" x14ac:dyDescent="0.25">
      <c r="A209" t="s">
        <v>1113</v>
      </c>
      <c r="B209">
        <f>VLOOKUP(A209,art_category_path_name!A:B,2,FALSE)</f>
        <v>813</v>
      </c>
      <c r="C209" t="s">
        <v>8873</v>
      </c>
      <c r="D209" t="s">
        <v>2488</v>
      </c>
      <c r="E209" t="s">
        <v>2489</v>
      </c>
      <c r="F209" t="s">
        <v>2490</v>
      </c>
      <c r="G209" t="s">
        <v>8605</v>
      </c>
      <c r="H209" t="s">
        <v>2491</v>
      </c>
      <c r="I209">
        <v>0</v>
      </c>
    </row>
    <row r="210" spans="1:9" x14ac:dyDescent="0.25">
      <c r="A210" t="s">
        <v>1119</v>
      </c>
      <c r="B210">
        <f>VLOOKUP(A210,art_category_path_name!A:B,2,FALSE)</f>
        <v>860</v>
      </c>
      <c r="C210" t="s">
        <v>8874</v>
      </c>
      <c r="D210" t="s">
        <v>2493</v>
      </c>
      <c r="E210" t="s">
        <v>2494</v>
      </c>
      <c r="F210" t="s">
        <v>2495</v>
      </c>
      <c r="G210" t="s">
        <v>8606</v>
      </c>
      <c r="H210" t="s">
        <v>2496</v>
      </c>
      <c r="I210">
        <v>0</v>
      </c>
    </row>
    <row r="211" spans="1:9" x14ac:dyDescent="0.25">
      <c r="A211" t="s">
        <v>1123</v>
      </c>
      <c r="B211">
        <f>VLOOKUP(A211,art_category_path_name!A:B,2,FALSE)</f>
        <v>981</v>
      </c>
      <c r="C211" t="s">
        <v>8875</v>
      </c>
      <c r="D211" t="s">
        <v>2498</v>
      </c>
      <c r="E211" t="s">
        <v>2499</v>
      </c>
      <c r="F211" t="s">
        <v>2500</v>
      </c>
      <c r="G211" t="s">
        <v>8876</v>
      </c>
      <c r="H211" t="s">
        <v>2501</v>
      </c>
      <c r="I211">
        <v>0</v>
      </c>
    </row>
    <row r="212" spans="1:9" x14ac:dyDescent="0.25">
      <c r="A212" t="s">
        <v>1085</v>
      </c>
      <c r="B212">
        <f>VLOOKUP(A212,art_category_path_name!A:B,2,FALSE)</f>
        <v>1117</v>
      </c>
      <c r="C212" t="s">
        <v>8877</v>
      </c>
      <c r="D212" t="s">
        <v>2503</v>
      </c>
      <c r="E212" t="s">
        <v>2504</v>
      </c>
      <c r="F212" t="s">
        <v>2505</v>
      </c>
      <c r="G212" t="s">
        <v>8607</v>
      </c>
      <c r="H212" t="s">
        <v>2506</v>
      </c>
      <c r="I212">
        <v>0</v>
      </c>
    </row>
    <row r="213" spans="1:9" x14ac:dyDescent="0.25">
      <c r="A213" t="s">
        <v>1037</v>
      </c>
      <c r="B213">
        <f>VLOOKUP(A213,art_category_path_name!A:B,2,FALSE)</f>
        <v>195</v>
      </c>
      <c r="C213" t="s">
        <v>8878</v>
      </c>
      <c r="D213" t="s">
        <v>2508</v>
      </c>
      <c r="E213" t="s">
        <v>2509</v>
      </c>
      <c r="F213" t="s">
        <v>2510</v>
      </c>
      <c r="G213" t="s">
        <v>8879</v>
      </c>
      <c r="H213" t="s">
        <v>2511</v>
      </c>
      <c r="I213">
        <v>0</v>
      </c>
    </row>
    <row r="214" spans="1:9" x14ac:dyDescent="0.25">
      <c r="A214" t="s">
        <v>1044</v>
      </c>
      <c r="B214">
        <f>VLOOKUP(A214,art_category_path_name!A:B,2,FALSE)</f>
        <v>431</v>
      </c>
      <c r="C214" t="s">
        <v>8880</v>
      </c>
      <c r="D214" t="s">
        <v>2513</v>
      </c>
      <c r="E214" t="s">
        <v>2514</v>
      </c>
      <c r="F214" t="s">
        <v>2515</v>
      </c>
      <c r="G214" t="s">
        <v>8608</v>
      </c>
      <c r="H214" t="s">
        <v>2516</v>
      </c>
      <c r="I214">
        <v>0</v>
      </c>
    </row>
    <row r="215" spans="1:9" x14ac:dyDescent="0.25">
      <c r="A215" t="s">
        <v>1054</v>
      </c>
      <c r="B215">
        <f>VLOOKUP(A215,art_category_path_name!A:B,2,FALSE)</f>
        <v>449</v>
      </c>
      <c r="C215" t="s">
        <v>8881</v>
      </c>
      <c r="D215" t="s">
        <v>2518</v>
      </c>
      <c r="E215" t="s">
        <v>2519</v>
      </c>
      <c r="F215" t="s">
        <v>2520</v>
      </c>
      <c r="G215" t="s">
        <v>8882</v>
      </c>
      <c r="H215" t="s">
        <v>2521</v>
      </c>
      <c r="I215">
        <v>0</v>
      </c>
    </row>
    <row r="216" spans="1:9" x14ac:dyDescent="0.25">
      <c r="A216" t="s">
        <v>1057</v>
      </c>
      <c r="B216">
        <f>VLOOKUP(A216,art_category_path_name!A:B,2,FALSE)</f>
        <v>702</v>
      </c>
      <c r="C216" t="s">
        <v>8883</v>
      </c>
      <c r="D216" t="s">
        <v>2523</v>
      </c>
      <c r="E216" t="s">
        <v>2524</v>
      </c>
      <c r="F216" t="s">
        <v>2525</v>
      </c>
      <c r="G216" t="s">
        <v>8884</v>
      </c>
      <c r="H216" t="s">
        <v>2526</v>
      </c>
      <c r="I216">
        <v>0</v>
      </c>
    </row>
    <row r="217" spans="1:9" x14ac:dyDescent="0.25">
      <c r="A217" t="s">
        <v>1060</v>
      </c>
      <c r="B217">
        <f>VLOOKUP(A217,art_category_path_name!A:B,2,FALSE)</f>
        <v>748</v>
      </c>
      <c r="C217" t="s">
        <v>1585</v>
      </c>
      <c r="D217" t="s">
        <v>2527</v>
      </c>
      <c r="E217" t="s">
        <v>2528</v>
      </c>
      <c r="F217" t="s">
        <v>2529</v>
      </c>
      <c r="G217" t="s">
        <v>8885</v>
      </c>
      <c r="H217" t="s">
        <v>2530</v>
      </c>
      <c r="I217">
        <v>0</v>
      </c>
    </row>
    <row r="218" spans="1:9" x14ac:dyDescent="0.25">
      <c r="A218" t="s">
        <v>1063</v>
      </c>
      <c r="B218">
        <f>VLOOKUP(A218,art_category_path_name!A:B,2,FALSE)</f>
        <v>830</v>
      </c>
      <c r="C218" t="s">
        <v>8886</v>
      </c>
      <c r="D218" t="s">
        <v>2532</v>
      </c>
      <c r="E218" t="s">
        <v>2533</v>
      </c>
      <c r="F218" t="s">
        <v>2534</v>
      </c>
      <c r="G218" t="s">
        <v>8887</v>
      </c>
      <c r="H218" t="s">
        <v>2535</v>
      </c>
      <c r="I218">
        <v>0</v>
      </c>
    </row>
    <row r="219" spans="1:9" x14ac:dyDescent="0.25">
      <c r="A219" t="s">
        <v>1070</v>
      </c>
      <c r="B219">
        <f>VLOOKUP(A219,art_category_path_name!A:B,2,FALSE)</f>
        <v>959</v>
      </c>
      <c r="C219" t="s">
        <v>8888</v>
      </c>
      <c r="D219" t="s">
        <v>2537</v>
      </c>
      <c r="E219" t="s">
        <v>2538</v>
      </c>
      <c r="F219" t="s">
        <v>2539</v>
      </c>
      <c r="G219" t="s">
        <v>8889</v>
      </c>
      <c r="H219" t="s">
        <v>2540</v>
      </c>
      <c r="I219">
        <v>0</v>
      </c>
    </row>
    <row r="220" spans="1:9" x14ac:dyDescent="0.25">
      <c r="A220" t="s">
        <v>1011</v>
      </c>
      <c r="B220">
        <f>VLOOKUP(A220,art_category_path_name!A:B,2,FALSE)</f>
        <v>1127</v>
      </c>
      <c r="C220" t="s">
        <v>8890</v>
      </c>
      <c r="D220" t="s">
        <v>2542</v>
      </c>
      <c r="E220" t="s">
        <v>2543</v>
      </c>
      <c r="F220" t="s">
        <v>2544</v>
      </c>
      <c r="G220" t="s">
        <v>8891</v>
      </c>
      <c r="H220" t="s">
        <v>2545</v>
      </c>
      <c r="I220">
        <v>0</v>
      </c>
    </row>
    <row r="221" spans="1:9" x14ac:dyDescent="0.25">
      <c r="A221" t="s">
        <v>1014</v>
      </c>
      <c r="B221">
        <f>VLOOKUP(A221,art_category_path_name!A:B,2,FALSE)</f>
        <v>1243</v>
      </c>
      <c r="C221" t="s">
        <v>8892</v>
      </c>
      <c r="D221" t="s">
        <v>2547</v>
      </c>
      <c r="E221" t="s">
        <v>2548</v>
      </c>
      <c r="F221" t="s">
        <v>2549</v>
      </c>
      <c r="G221" t="s">
        <v>8893</v>
      </c>
      <c r="H221" t="s">
        <v>2550</v>
      </c>
      <c r="I221">
        <v>0</v>
      </c>
    </row>
    <row r="222" spans="1:9" x14ac:dyDescent="0.25">
      <c r="A222" t="s">
        <v>1017</v>
      </c>
      <c r="B222">
        <f>VLOOKUP(A222,art_category_path_name!A:B,2,FALSE)</f>
        <v>1319</v>
      </c>
      <c r="C222" t="s">
        <v>8894</v>
      </c>
      <c r="D222" t="s">
        <v>2552</v>
      </c>
      <c r="E222" t="s">
        <v>2553</v>
      </c>
      <c r="F222" t="s">
        <v>2554</v>
      </c>
      <c r="G222" t="s">
        <v>8895</v>
      </c>
      <c r="H222" t="s">
        <v>2555</v>
      </c>
      <c r="I222">
        <v>0</v>
      </c>
    </row>
    <row r="223" spans="1:9" x14ac:dyDescent="0.25">
      <c r="A223" t="s">
        <v>1010</v>
      </c>
      <c r="B223">
        <f>VLOOKUP(A223,art_category_path_name!A:B,2,FALSE)</f>
        <v>194</v>
      </c>
      <c r="C223" t="s">
        <v>8896</v>
      </c>
      <c r="D223" t="s">
        <v>2557</v>
      </c>
      <c r="E223" t="s">
        <v>2558</v>
      </c>
      <c r="F223" t="s">
        <v>2559</v>
      </c>
      <c r="G223" t="s">
        <v>8609</v>
      </c>
      <c r="H223" t="s">
        <v>2560</v>
      </c>
      <c r="I223">
        <v>0</v>
      </c>
    </row>
    <row r="224" spans="1:9" x14ac:dyDescent="0.25">
      <c r="A224" t="s">
        <v>1447</v>
      </c>
      <c r="B224">
        <f>VLOOKUP(A224,art_category_path_name!A:B,2,FALSE)</f>
        <v>917</v>
      </c>
      <c r="C224" t="s">
        <v>8897</v>
      </c>
      <c r="D224" t="s">
        <v>2562</v>
      </c>
      <c r="E224" t="s">
        <v>2563</v>
      </c>
      <c r="F224" t="s">
        <v>2564</v>
      </c>
      <c r="G224" t="s">
        <v>8610</v>
      </c>
      <c r="H224" t="s">
        <v>2565</v>
      </c>
      <c r="I224">
        <v>0</v>
      </c>
    </row>
    <row r="225" spans="1:9" x14ac:dyDescent="0.25">
      <c r="A225" t="s">
        <v>1452</v>
      </c>
      <c r="B225">
        <f>VLOOKUP(A225,art_category_path_name!A:B,2,FALSE)</f>
        <v>953</v>
      </c>
      <c r="C225" t="s">
        <v>8898</v>
      </c>
      <c r="D225" t="s">
        <v>2567</v>
      </c>
      <c r="F225" t="s">
        <v>1834</v>
      </c>
      <c r="G225" t="s">
        <v>8611</v>
      </c>
      <c r="H225" t="s">
        <v>2568</v>
      </c>
      <c r="I225">
        <v>0</v>
      </c>
    </row>
    <row r="226" spans="1:9" x14ac:dyDescent="0.25">
      <c r="A226" t="s">
        <v>1443</v>
      </c>
      <c r="B226">
        <f>VLOOKUP(A226,art_category_path_name!A:B,2,FALSE)</f>
        <v>878</v>
      </c>
      <c r="C226" t="s">
        <v>1585</v>
      </c>
      <c r="D226" t="s">
        <v>2569</v>
      </c>
      <c r="E226" t="s">
        <v>2570</v>
      </c>
      <c r="F226" t="s">
        <v>2571</v>
      </c>
      <c r="G226" t="s">
        <v>8612</v>
      </c>
      <c r="H226" t="s">
        <v>2572</v>
      </c>
      <c r="I226">
        <v>0</v>
      </c>
    </row>
    <row r="227" spans="1:9" x14ac:dyDescent="0.25">
      <c r="A227" t="s">
        <v>2573</v>
      </c>
      <c r="B227" t="e">
        <f>VLOOKUP(A227,art_category_path_name!A:B,2,FALSE)</f>
        <v>#N/A</v>
      </c>
      <c r="C227" t="s">
        <v>8899</v>
      </c>
      <c r="D227" t="s">
        <v>2575</v>
      </c>
      <c r="E227" t="s">
        <v>2576</v>
      </c>
      <c r="F227" t="s">
        <v>2577</v>
      </c>
      <c r="G227" t="s">
        <v>8613</v>
      </c>
      <c r="H227" t="s">
        <v>2578</v>
      </c>
      <c r="I227">
        <v>0</v>
      </c>
    </row>
    <row r="228" spans="1:9" x14ac:dyDescent="0.25">
      <c r="A228" t="s">
        <v>1440</v>
      </c>
      <c r="B228">
        <f>VLOOKUP(A228,art_category_path_name!A:B,2,FALSE)</f>
        <v>1383</v>
      </c>
      <c r="C228" t="s">
        <v>8900</v>
      </c>
      <c r="D228" t="s">
        <v>2580</v>
      </c>
      <c r="E228" t="s">
        <v>2581</v>
      </c>
      <c r="F228" t="s">
        <v>2582</v>
      </c>
      <c r="G228" t="s">
        <v>8614</v>
      </c>
      <c r="H228" t="s">
        <v>2583</v>
      </c>
      <c r="I228">
        <v>0</v>
      </c>
    </row>
    <row r="229" spans="1:9" x14ac:dyDescent="0.25">
      <c r="A229" t="s">
        <v>1439</v>
      </c>
      <c r="B229">
        <f>VLOOKUP(A229,art_category_path_name!A:B,2,FALSE)</f>
        <v>877</v>
      </c>
      <c r="C229" t="s">
        <v>8901</v>
      </c>
      <c r="D229" t="s">
        <v>2585</v>
      </c>
      <c r="E229" t="s">
        <v>2586</v>
      </c>
      <c r="F229" t="s">
        <v>2587</v>
      </c>
      <c r="G229" t="s">
        <v>8902</v>
      </c>
      <c r="H229" t="s">
        <v>2588</v>
      </c>
      <c r="I229">
        <v>0</v>
      </c>
    </row>
    <row r="230" spans="1:9" x14ac:dyDescent="0.25">
      <c r="A230" t="s">
        <v>1290</v>
      </c>
      <c r="B230">
        <f>VLOOKUP(A230,art_category_path_name!A:B,2,FALSE)</f>
        <v>681</v>
      </c>
      <c r="C230" t="s">
        <v>8903</v>
      </c>
      <c r="D230" t="s">
        <v>2590</v>
      </c>
      <c r="E230" t="s">
        <v>2591</v>
      </c>
      <c r="F230" t="s">
        <v>2592</v>
      </c>
      <c r="G230" t="s">
        <v>8615</v>
      </c>
      <c r="H230" t="s">
        <v>2593</v>
      </c>
      <c r="I230">
        <v>0</v>
      </c>
    </row>
    <row r="231" spans="1:9" x14ac:dyDescent="0.25">
      <c r="A231" t="s">
        <v>1311</v>
      </c>
      <c r="B231">
        <f>VLOOKUP(A231,art_category_path_name!A:B,2,FALSE)</f>
        <v>715</v>
      </c>
      <c r="C231" t="s">
        <v>8904</v>
      </c>
      <c r="D231" t="s">
        <v>2595</v>
      </c>
      <c r="E231" t="s">
        <v>2596</v>
      </c>
      <c r="F231" t="s">
        <v>2597</v>
      </c>
      <c r="G231" t="s">
        <v>8905</v>
      </c>
      <c r="H231" t="s">
        <v>2598</v>
      </c>
      <c r="I231">
        <v>0</v>
      </c>
    </row>
    <row r="232" spans="1:9" x14ac:dyDescent="0.25">
      <c r="A232" t="s">
        <v>1331</v>
      </c>
      <c r="B232">
        <f>VLOOKUP(A232,art_category_path_name!A:B,2,FALSE)</f>
        <v>841</v>
      </c>
      <c r="C232" t="s">
        <v>8906</v>
      </c>
      <c r="D232" t="s">
        <v>2600</v>
      </c>
      <c r="E232" t="s">
        <v>2601</v>
      </c>
      <c r="F232" t="s">
        <v>2602</v>
      </c>
      <c r="G232" t="s">
        <v>8616</v>
      </c>
      <c r="H232" t="s">
        <v>2603</v>
      </c>
      <c r="I232">
        <v>0</v>
      </c>
    </row>
    <row r="233" spans="1:9" x14ac:dyDescent="0.25">
      <c r="A233" t="s">
        <v>1282</v>
      </c>
      <c r="B233">
        <f>VLOOKUP(A233,art_category_path_name!A:B,2,FALSE)</f>
        <v>1102</v>
      </c>
      <c r="C233" t="s">
        <v>8907</v>
      </c>
      <c r="D233" t="s">
        <v>2605</v>
      </c>
      <c r="E233" t="s">
        <v>2606</v>
      </c>
      <c r="F233" t="s">
        <v>2607</v>
      </c>
      <c r="G233" t="s">
        <v>8617</v>
      </c>
      <c r="H233" t="s">
        <v>2608</v>
      </c>
      <c r="I233">
        <v>0</v>
      </c>
    </row>
    <row r="234" spans="1:9" x14ac:dyDescent="0.25">
      <c r="A234" t="s">
        <v>1281</v>
      </c>
      <c r="B234">
        <f>VLOOKUP(A234,art_category_path_name!A:B,2,FALSE)</f>
        <v>680</v>
      </c>
      <c r="C234" t="s">
        <v>8908</v>
      </c>
      <c r="D234" t="s">
        <v>2610</v>
      </c>
      <c r="E234" t="s">
        <v>2611</v>
      </c>
      <c r="F234" t="s">
        <v>2612</v>
      </c>
      <c r="G234" t="s">
        <v>8618</v>
      </c>
      <c r="H234" t="s">
        <v>2613</v>
      </c>
      <c r="I234">
        <v>0</v>
      </c>
    </row>
    <row r="235" spans="1:9" x14ac:dyDescent="0.25">
      <c r="A235" t="s">
        <v>1258</v>
      </c>
      <c r="B235">
        <f>VLOOKUP(A235,art_category_path_name!A:B,2,FALSE)</f>
        <v>621</v>
      </c>
      <c r="C235" t="s">
        <v>8909</v>
      </c>
      <c r="D235" t="s">
        <v>2615</v>
      </c>
      <c r="E235" t="s">
        <v>2616</v>
      </c>
      <c r="F235" t="s">
        <v>2617</v>
      </c>
      <c r="G235" t="s">
        <v>8619</v>
      </c>
      <c r="H235" t="s">
        <v>2618</v>
      </c>
      <c r="I235">
        <v>0</v>
      </c>
    </row>
    <row r="236" spans="1:9" x14ac:dyDescent="0.25">
      <c r="A236" t="s">
        <v>1267</v>
      </c>
      <c r="B236">
        <f>VLOOKUP(A236,art_category_path_name!A:B,2,FALSE)</f>
        <v>882</v>
      </c>
      <c r="C236" t="s">
        <v>8910</v>
      </c>
      <c r="D236" t="s">
        <v>2620</v>
      </c>
      <c r="E236" t="s">
        <v>2621</v>
      </c>
      <c r="F236" t="s">
        <v>2622</v>
      </c>
      <c r="G236" t="s">
        <v>8911</v>
      </c>
      <c r="H236" t="s">
        <v>2623</v>
      </c>
      <c r="I236">
        <v>0</v>
      </c>
    </row>
    <row r="237" spans="1:9" x14ac:dyDescent="0.25">
      <c r="A237" t="s">
        <v>1252</v>
      </c>
      <c r="B237">
        <f>VLOOKUP(A237,art_category_path_name!A:B,2,FALSE)</f>
        <v>1286</v>
      </c>
      <c r="C237" t="s">
        <v>8912</v>
      </c>
      <c r="D237" t="s">
        <v>2625</v>
      </c>
      <c r="E237" t="s">
        <v>2626</v>
      </c>
      <c r="F237" t="s">
        <v>2627</v>
      </c>
      <c r="G237" t="s">
        <v>8620</v>
      </c>
      <c r="H237" t="s">
        <v>2628</v>
      </c>
      <c r="I237">
        <v>0</v>
      </c>
    </row>
    <row r="238" spans="1:9" x14ac:dyDescent="0.25">
      <c r="A238" t="s">
        <v>1243</v>
      </c>
      <c r="B238">
        <f>VLOOKUP(A238,art_category_path_name!A:B,2,FALSE)</f>
        <v>620</v>
      </c>
      <c r="C238" t="s">
        <v>8913</v>
      </c>
      <c r="D238" t="s">
        <v>2630</v>
      </c>
      <c r="E238" t="s">
        <v>2631</v>
      </c>
      <c r="F238" t="s">
        <v>2632</v>
      </c>
      <c r="G238" t="s">
        <v>8621</v>
      </c>
      <c r="H238" t="s">
        <v>2633</v>
      </c>
      <c r="I238">
        <v>0</v>
      </c>
    </row>
    <row r="239" spans="1:9" x14ac:dyDescent="0.25">
      <c r="A239" t="s">
        <v>1002</v>
      </c>
      <c r="B239">
        <f>VLOOKUP(A239,art_category_path_name!A:B,2,FALSE)</f>
        <v>1366</v>
      </c>
      <c r="C239" t="s">
        <v>8914</v>
      </c>
      <c r="D239" t="s">
        <v>2635</v>
      </c>
      <c r="E239" t="s">
        <v>2636</v>
      </c>
      <c r="F239" t="s">
        <v>2637</v>
      </c>
      <c r="G239" t="s">
        <v>8915</v>
      </c>
      <c r="H239" t="s">
        <v>2638</v>
      </c>
      <c r="I239">
        <v>0</v>
      </c>
    </row>
    <row r="240" spans="1:9" x14ac:dyDescent="0.25">
      <c r="A240" t="s">
        <v>1001</v>
      </c>
      <c r="B240">
        <f>VLOOKUP(A240,art_category_path_name!A:B,2,FALSE)</f>
        <v>68</v>
      </c>
      <c r="C240" t="s">
        <v>8916</v>
      </c>
      <c r="D240" t="s">
        <v>2640</v>
      </c>
      <c r="E240" t="s">
        <v>2641</v>
      </c>
      <c r="F240" t="s">
        <v>2642</v>
      </c>
      <c r="G240" t="s">
        <v>8622</v>
      </c>
      <c r="H240" t="s">
        <v>2643</v>
      </c>
      <c r="I240">
        <v>0</v>
      </c>
    </row>
    <row r="241" spans="1:9" x14ac:dyDescent="0.25">
      <c r="A241" t="s">
        <v>494</v>
      </c>
      <c r="B241">
        <f>VLOOKUP(A241,art_category_path_name!A:B,2,FALSE)</f>
        <v>6</v>
      </c>
      <c r="C241" t="s">
        <v>8917</v>
      </c>
      <c r="D241" t="s">
        <v>2645</v>
      </c>
      <c r="E241" t="s">
        <v>2646</v>
      </c>
      <c r="F241" t="s">
        <v>2647</v>
      </c>
      <c r="G241" t="s">
        <v>2648</v>
      </c>
      <c r="H241" t="s">
        <v>2649</v>
      </c>
      <c r="I241">
        <v>3</v>
      </c>
    </row>
    <row r="242" spans="1:9" x14ac:dyDescent="0.25">
      <c r="A242" t="s">
        <v>495</v>
      </c>
      <c r="B242">
        <f>VLOOKUP(A242,art_category_path_name!A:B,2,FALSE)</f>
        <v>7</v>
      </c>
      <c r="C242" t="s">
        <v>8918</v>
      </c>
      <c r="D242" t="s">
        <v>2651</v>
      </c>
      <c r="E242" t="s">
        <v>2652</v>
      </c>
      <c r="F242" t="s">
        <v>2653</v>
      </c>
      <c r="G242" t="s">
        <v>2654</v>
      </c>
      <c r="H242" t="s">
        <v>2655</v>
      </c>
      <c r="I242">
        <v>10</v>
      </c>
    </row>
    <row r="243" spans="1:9" x14ac:dyDescent="0.25">
      <c r="A243" t="s">
        <v>496</v>
      </c>
      <c r="B243">
        <f>VLOOKUP(A243,art_category_path_name!A:B,2,FALSE)</f>
        <v>8</v>
      </c>
      <c r="C243" t="s">
        <v>8919</v>
      </c>
      <c r="D243" t="s">
        <v>2657</v>
      </c>
      <c r="E243" t="s">
        <v>2658</v>
      </c>
      <c r="F243" t="s">
        <v>2659</v>
      </c>
      <c r="G243" t="s">
        <v>2660</v>
      </c>
      <c r="H243" t="s">
        <v>2661</v>
      </c>
      <c r="I243">
        <v>3</v>
      </c>
    </row>
    <row r="244" spans="1:9" x14ac:dyDescent="0.25">
      <c r="A244" t="s">
        <v>497</v>
      </c>
      <c r="B244">
        <f>VLOOKUP(A244,art_category_path_name!A:B,2,FALSE)</f>
        <v>9</v>
      </c>
      <c r="C244" t="s">
        <v>8920</v>
      </c>
      <c r="D244" t="s">
        <v>2663</v>
      </c>
      <c r="F244" t="s">
        <v>1834</v>
      </c>
      <c r="G244" t="s">
        <v>2664</v>
      </c>
      <c r="H244" t="s">
        <v>2665</v>
      </c>
      <c r="I244">
        <v>5</v>
      </c>
    </row>
    <row r="245" spans="1:9" x14ac:dyDescent="0.25">
      <c r="A245" t="s">
        <v>490</v>
      </c>
      <c r="B245">
        <f>VLOOKUP(A245,art_category_path_name!A:B,2,FALSE)</f>
        <v>10</v>
      </c>
      <c r="C245" t="s">
        <v>8921</v>
      </c>
      <c r="D245" t="s">
        <v>2667</v>
      </c>
      <c r="F245" t="s">
        <v>1834</v>
      </c>
      <c r="G245" t="s">
        <v>2668</v>
      </c>
      <c r="H245" t="s">
        <v>2669</v>
      </c>
      <c r="I245">
        <v>1</v>
      </c>
    </row>
    <row r="246" spans="1:9" x14ac:dyDescent="0.25">
      <c r="A246" t="s">
        <v>491</v>
      </c>
      <c r="B246">
        <f>VLOOKUP(A246,art_category_path_name!A:B,2,FALSE)</f>
        <v>11</v>
      </c>
      <c r="C246" t="s">
        <v>8922</v>
      </c>
      <c r="D246" t="s">
        <v>2671</v>
      </c>
      <c r="E246" t="s">
        <v>2672</v>
      </c>
      <c r="F246" t="s">
        <v>2673</v>
      </c>
      <c r="G246" t="s">
        <v>2674</v>
      </c>
      <c r="H246" t="s">
        <v>2675</v>
      </c>
      <c r="I246">
        <v>1</v>
      </c>
    </row>
    <row r="247" spans="1:9" x14ac:dyDescent="0.25">
      <c r="A247" t="s">
        <v>492</v>
      </c>
      <c r="B247">
        <f>VLOOKUP(A247,art_category_path_name!A:B,2,FALSE)</f>
        <v>12</v>
      </c>
      <c r="C247" t="s">
        <v>8923</v>
      </c>
      <c r="D247" t="s">
        <v>2677</v>
      </c>
      <c r="F247" t="s">
        <v>1834</v>
      </c>
      <c r="G247" t="s">
        <v>2678</v>
      </c>
      <c r="H247" t="s">
        <v>2679</v>
      </c>
      <c r="I247">
        <v>1</v>
      </c>
    </row>
    <row r="248" spans="1:9" x14ac:dyDescent="0.25">
      <c r="A248" t="s">
        <v>493</v>
      </c>
      <c r="B248">
        <f>VLOOKUP(A248,art_category_path_name!A:B,2,FALSE)</f>
        <v>13</v>
      </c>
      <c r="C248" t="s">
        <v>8924</v>
      </c>
      <c r="D248" t="s">
        <v>2681</v>
      </c>
      <c r="E248" t="s">
        <v>2682</v>
      </c>
      <c r="F248" t="s">
        <v>2683</v>
      </c>
      <c r="G248" t="s">
        <v>2684</v>
      </c>
      <c r="H248" t="s">
        <v>2685</v>
      </c>
      <c r="I248">
        <v>1</v>
      </c>
    </row>
    <row r="249" spans="1:9" x14ac:dyDescent="0.25">
      <c r="A249" t="s">
        <v>475</v>
      </c>
      <c r="B249">
        <f>VLOOKUP(A249,art_category_path_name!A:B,2,FALSE)</f>
        <v>15</v>
      </c>
      <c r="C249" t="s">
        <v>8925</v>
      </c>
      <c r="D249" t="s">
        <v>2687</v>
      </c>
      <c r="F249" t="s">
        <v>1834</v>
      </c>
      <c r="G249" t="s">
        <v>2688</v>
      </c>
      <c r="H249" t="s">
        <v>2689</v>
      </c>
      <c r="I249">
        <v>8</v>
      </c>
    </row>
    <row r="250" spans="1:9" x14ac:dyDescent="0.25">
      <c r="A250" t="s">
        <v>476</v>
      </c>
      <c r="B250">
        <f>VLOOKUP(A250,art_category_path_name!A:B,2,FALSE)</f>
        <v>16</v>
      </c>
      <c r="C250" t="s">
        <v>8926</v>
      </c>
      <c r="D250" t="s">
        <v>2691</v>
      </c>
      <c r="F250" t="s">
        <v>1834</v>
      </c>
      <c r="G250" t="s">
        <v>2692</v>
      </c>
      <c r="H250" t="s">
        <v>2693</v>
      </c>
      <c r="I250">
        <v>2</v>
      </c>
    </row>
    <row r="251" spans="1:9" x14ac:dyDescent="0.25">
      <c r="A251" t="s">
        <v>477</v>
      </c>
      <c r="B251">
        <f>VLOOKUP(A251,art_category_path_name!A:B,2,FALSE)</f>
        <v>17</v>
      </c>
      <c r="C251" t="s">
        <v>8927</v>
      </c>
      <c r="D251" t="s">
        <v>2695</v>
      </c>
      <c r="F251" t="s">
        <v>1834</v>
      </c>
      <c r="G251" t="s">
        <v>2696</v>
      </c>
      <c r="H251" t="s">
        <v>2697</v>
      </c>
      <c r="I251">
        <v>5</v>
      </c>
    </row>
    <row r="252" spans="1:9" x14ac:dyDescent="0.25">
      <c r="A252" t="s">
        <v>478</v>
      </c>
      <c r="B252">
        <f>VLOOKUP(A252,art_category_path_name!A:B,2,FALSE)</f>
        <v>18</v>
      </c>
      <c r="C252" t="s">
        <v>8928</v>
      </c>
      <c r="D252" t="s">
        <v>2699</v>
      </c>
      <c r="E252" t="s">
        <v>2700</v>
      </c>
      <c r="F252" t="s">
        <v>2701</v>
      </c>
      <c r="G252" t="s">
        <v>2702</v>
      </c>
      <c r="H252" t="s">
        <v>2703</v>
      </c>
      <c r="I252">
        <v>4</v>
      </c>
    </row>
    <row r="253" spans="1:9" x14ac:dyDescent="0.25">
      <c r="A253" t="s">
        <v>479</v>
      </c>
      <c r="B253">
        <f>VLOOKUP(A253,art_category_path_name!A:B,2,FALSE)</f>
        <v>19</v>
      </c>
      <c r="C253" t="s">
        <v>8929</v>
      </c>
      <c r="D253" t="s">
        <v>2705</v>
      </c>
      <c r="E253" t="s">
        <v>2706</v>
      </c>
      <c r="F253" t="s">
        <v>2707</v>
      </c>
      <c r="G253" t="s">
        <v>2708</v>
      </c>
      <c r="H253" t="s">
        <v>2709</v>
      </c>
      <c r="I253">
        <v>1</v>
      </c>
    </row>
    <row r="254" spans="1:9" x14ac:dyDescent="0.25">
      <c r="A254" t="s">
        <v>480</v>
      </c>
      <c r="B254">
        <f>VLOOKUP(A254,art_category_path_name!A:B,2,FALSE)</f>
        <v>20</v>
      </c>
      <c r="C254" t="s">
        <v>8930</v>
      </c>
      <c r="D254" t="s">
        <v>2711</v>
      </c>
      <c r="E254" t="s">
        <v>2712</v>
      </c>
      <c r="F254" t="s">
        <v>2713</v>
      </c>
      <c r="G254" t="s">
        <v>2714</v>
      </c>
      <c r="H254" t="s">
        <v>2715</v>
      </c>
      <c r="I254">
        <v>2</v>
      </c>
    </row>
    <row r="255" spans="1:9" x14ac:dyDescent="0.25">
      <c r="A255" t="s">
        <v>481</v>
      </c>
      <c r="B255">
        <f>VLOOKUP(A255,art_category_path_name!A:B,2,FALSE)</f>
        <v>21</v>
      </c>
      <c r="C255" t="s">
        <v>8931</v>
      </c>
      <c r="D255" t="s">
        <v>2717</v>
      </c>
      <c r="F255" t="s">
        <v>1834</v>
      </c>
      <c r="G255" t="s">
        <v>2668</v>
      </c>
      <c r="H255" t="s">
        <v>2718</v>
      </c>
      <c r="I255">
        <v>1</v>
      </c>
    </row>
    <row r="256" spans="1:9" x14ac:dyDescent="0.25">
      <c r="A256" t="s">
        <v>483</v>
      </c>
      <c r="B256">
        <f>VLOOKUP(A256,art_category_path_name!A:B,2,FALSE)</f>
        <v>23</v>
      </c>
      <c r="C256" t="s">
        <v>8932</v>
      </c>
      <c r="D256" t="s">
        <v>2720</v>
      </c>
      <c r="F256" t="s">
        <v>1834</v>
      </c>
      <c r="G256" t="s">
        <v>2721</v>
      </c>
      <c r="H256" t="s">
        <v>2722</v>
      </c>
      <c r="I256">
        <v>2</v>
      </c>
    </row>
    <row r="257" spans="1:9" x14ac:dyDescent="0.25">
      <c r="A257" t="s">
        <v>484</v>
      </c>
      <c r="B257">
        <f>VLOOKUP(A257,art_category_path_name!A:B,2,FALSE)</f>
        <v>24</v>
      </c>
      <c r="C257" t="s">
        <v>8933</v>
      </c>
      <c r="D257" t="s">
        <v>2724</v>
      </c>
      <c r="F257" t="s">
        <v>1834</v>
      </c>
      <c r="G257" t="s">
        <v>2725</v>
      </c>
      <c r="H257" t="s">
        <v>2726</v>
      </c>
      <c r="I257">
        <v>1</v>
      </c>
    </row>
    <row r="258" spans="1:9" x14ac:dyDescent="0.25">
      <c r="A258" t="s">
        <v>485</v>
      </c>
      <c r="B258">
        <f>VLOOKUP(A258,art_category_path_name!A:B,2,FALSE)</f>
        <v>25</v>
      </c>
      <c r="C258" t="s">
        <v>8934</v>
      </c>
      <c r="D258" t="s">
        <v>2728</v>
      </c>
      <c r="E258" t="s">
        <v>2729</v>
      </c>
      <c r="F258" t="s">
        <v>2730</v>
      </c>
      <c r="G258" t="s">
        <v>2731</v>
      </c>
      <c r="H258" t="s">
        <v>2732</v>
      </c>
      <c r="I258">
        <v>1</v>
      </c>
    </row>
    <row r="259" spans="1:9" x14ac:dyDescent="0.25">
      <c r="A259" t="s">
        <v>486</v>
      </c>
      <c r="B259">
        <f>VLOOKUP(A259,art_category_path_name!A:B,2,FALSE)</f>
        <v>26</v>
      </c>
      <c r="C259" t="s">
        <v>8935</v>
      </c>
      <c r="D259" t="s">
        <v>2734</v>
      </c>
      <c r="F259" t="s">
        <v>1834</v>
      </c>
      <c r="G259" t="s">
        <v>2735</v>
      </c>
      <c r="H259" t="s">
        <v>2736</v>
      </c>
      <c r="I259">
        <v>1</v>
      </c>
    </row>
    <row r="260" spans="1:9" x14ac:dyDescent="0.25">
      <c r="A260" t="s">
        <v>487</v>
      </c>
      <c r="B260">
        <f>VLOOKUP(A260,art_category_path_name!A:B,2,FALSE)</f>
        <v>27</v>
      </c>
      <c r="C260" t="s">
        <v>8936</v>
      </c>
      <c r="D260" t="s">
        <v>2738</v>
      </c>
      <c r="E260" t="s">
        <v>2739</v>
      </c>
      <c r="F260" t="s">
        <v>2740</v>
      </c>
      <c r="G260" t="s">
        <v>2741</v>
      </c>
      <c r="H260" t="s">
        <v>2742</v>
      </c>
      <c r="I260">
        <v>2</v>
      </c>
    </row>
    <row r="261" spans="1:9" x14ac:dyDescent="0.25">
      <c r="A261" t="s">
        <v>488</v>
      </c>
      <c r="B261">
        <f>VLOOKUP(A261,art_category_path_name!A:B,2,FALSE)</f>
        <v>28</v>
      </c>
      <c r="C261" t="s">
        <v>8937</v>
      </c>
      <c r="D261" t="s">
        <v>2744</v>
      </c>
      <c r="E261" t="s">
        <v>2745</v>
      </c>
      <c r="F261" t="s">
        <v>2746</v>
      </c>
      <c r="G261" t="s">
        <v>2747</v>
      </c>
      <c r="H261" t="s">
        <v>2748</v>
      </c>
      <c r="I261">
        <v>4</v>
      </c>
    </row>
    <row r="262" spans="1:9" x14ac:dyDescent="0.25">
      <c r="A262" t="s">
        <v>411</v>
      </c>
      <c r="B262">
        <f>VLOOKUP(A262,art_category_path_name!A:B,2,FALSE)</f>
        <v>32</v>
      </c>
      <c r="C262" t="s">
        <v>8938</v>
      </c>
      <c r="D262" t="s">
        <v>2750</v>
      </c>
      <c r="E262" t="s">
        <v>2751</v>
      </c>
      <c r="F262" t="s">
        <v>2752</v>
      </c>
      <c r="G262" t="s">
        <v>2753</v>
      </c>
      <c r="H262" t="s">
        <v>2754</v>
      </c>
      <c r="I262">
        <v>4</v>
      </c>
    </row>
    <row r="263" spans="1:9" x14ac:dyDescent="0.25">
      <c r="A263" t="s">
        <v>412</v>
      </c>
      <c r="B263">
        <f>VLOOKUP(A263,art_category_path_name!A:B,2,FALSE)</f>
        <v>33</v>
      </c>
      <c r="C263" t="s">
        <v>8939</v>
      </c>
      <c r="D263" t="s">
        <v>2756</v>
      </c>
      <c r="E263" t="s">
        <v>2757</v>
      </c>
      <c r="F263" t="s">
        <v>2758</v>
      </c>
      <c r="G263" t="s">
        <v>2759</v>
      </c>
      <c r="H263" t="s">
        <v>2760</v>
      </c>
      <c r="I263">
        <v>10</v>
      </c>
    </row>
    <row r="264" spans="1:9" x14ac:dyDescent="0.25">
      <c r="A264" t="s">
        <v>413</v>
      </c>
      <c r="B264">
        <f>VLOOKUP(A264,art_category_path_name!A:B,2,FALSE)</f>
        <v>34</v>
      </c>
      <c r="C264" t="s">
        <v>8940</v>
      </c>
      <c r="D264" t="s">
        <v>2762</v>
      </c>
      <c r="E264" t="s">
        <v>2763</v>
      </c>
      <c r="F264" t="s">
        <v>2758</v>
      </c>
      <c r="G264" t="s">
        <v>2764</v>
      </c>
      <c r="H264" t="s">
        <v>2765</v>
      </c>
      <c r="I264">
        <v>4</v>
      </c>
    </row>
    <row r="265" spans="1:9" x14ac:dyDescent="0.25">
      <c r="A265" t="s">
        <v>414</v>
      </c>
      <c r="B265">
        <f>VLOOKUP(A265,art_category_path_name!A:B,2,FALSE)</f>
        <v>35</v>
      </c>
      <c r="C265" t="s">
        <v>8941</v>
      </c>
      <c r="D265" t="s">
        <v>2767</v>
      </c>
      <c r="E265" t="s">
        <v>2768</v>
      </c>
      <c r="F265" t="s">
        <v>2769</v>
      </c>
      <c r="G265" t="s">
        <v>2770</v>
      </c>
      <c r="H265" t="s">
        <v>2771</v>
      </c>
      <c r="I265">
        <v>8</v>
      </c>
    </row>
    <row r="266" spans="1:9" x14ac:dyDescent="0.25">
      <c r="A266" t="s">
        <v>415</v>
      </c>
      <c r="B266">
        <f>VLOOKUP(A266,art_category_path_name!A:B,2,FALSE)</f>
        <v>36</v>
      </c>
      <c r="C266" t="s">
        <v>8942</v>
      </c>
      <c r="D266" t="s">
        <v>2773</v>
      </c>
      <c r="E266" t="s">
        <v>2774</v>
      </c>
      <c r="F266" t="s">
        <v>2775</v>
      </c>
      <c r="G266" t="s">
        <v>2776</v>
      </c>
      <c r="H266" t="s">
        <v>2777</v>
      </c>
      <c r="I266">
        <v>8</v>
      </c>
    </row>
    <row r="267" spans="1:9" x14ac:dyDescent="0.25">
      <c r="A267" t="s">
        <v>416</v>
      </c>
      <c r="B267">
        <f>VLOOKUP(A267,art_category_path_name!A:B,2,FALSE)</f>
        <v>37</v>
      </c>
      <c r="C267" t="s">
        <v>8943</v>
      </c>
      <c r="D267" t="s">
        <v>2779</v>
      </c>
      <c r="E267" t="s">
        <v>2780</v>
      </c>
      <c r="F267" t="s">
        <v>2781</v>
      </c>
      <c r="G267" t="s">
        <v>2782</v>
      </c>
      <c r="H267" t="s">
        <v>2783</v>
      </c>
      <c r="I267">
        <v>2</v>
      </c>
    </row>
    <row r="268" spans="1:9" x14ac:dyDescent="0.25">
      <c r="A268" t="s">
        <v>417</v>
      </c>
      <c r="B268">
        <f>VLOOKUP(A268,art_category_path_name!A:B,2,FALSE)</f>
        <v>38</v>
      </c>
      <c r="C268" t="s">
        <v>8944</v>
      </c>
      <c r="G268" t="s">
        <v>2785</v>
      </c>
      <c r="H268" t="s">
        <v>2786</v>
      </c>
      <c r="I268">
        <v>6</v>
      </c>
    </row>
    <row r="269" spans="1:9" x14ac:dyDescent="0.25">
      <c r="A269" t="s">
        <v>418</v>
      </c>
      <c r="B269">
        <f>VLOOKUP(A269,art_category_path_name!A:B,2,FALSE)</f>
        <v>39</v>
      </c>
      <c r="C269" t="s">
        <v>8945</v>
      </c>
      <c r="G269" t="s">
        <v>2788</v>
      </c>
      <c r="H269" t="s">
        <v>2789</v>
      </c>
      <c r="I269">
        <v>4</v>
      </c>
    </row>
    <row r="270" spans="1:9" x14ac:dyDescent="0.25">
      <c r="A270" t="s">
        <v>419</v>
      </c>
      <c r="B270">
        <f>VLOOKUP(A270,art_category_path_name!A:B,2,FALSE)</f>
        <v>40</v>
      </c>
      <c r="C270" t="s">
        <v>8946</v>
      </c>
      <c r="G270" t="s">
        <v>2791</v>
      </c>
      <c r="H270" t="s">
        <v>2792</v>
      </c>
      <c r="I270">
        <v>14</v>
      </c>
    </row>
    <row r="271" spans="1:9" x14ac:dyDescent="0.25">
      <c r="A271" t="s">
        <v>420</v>
      </c>
      <c r="B271">
        <f>VLOOKUP(A271,art_category_path_name!A:B,2,FALSE)</f>
        <v>41</v>
      </c>
      <c r="C271" t="s">
        <v>8947</v>
      </c>
      <c r="D271" t="s">
        <v>2794</v>
      </c>
      <c r="E271" t="s">
        <v>2795</v>
      </c>
      <c r="F271" t="s">
        <v>2781</v>
      </c>
      <c r="G271" t="s">
        <v>2796</v>
      </c>
      <c r="H271" t="s">
        <v>2797</v>
      </c>
      <c r="I271">
        <v>2</v>
      </c>
    </row>
    <row r="272" spans="1:9" x14ac:dyDescent="0.25">
      <c r="A272" t="s">
        <v>421</v>
      </c>
      <c r="B272">
        <f>VLOOKUP(A272,art_category_path_name!A:B,2,FALSE)</f>
        <v>42</v>
      </c>
      <c r="C272" t="s">
        <v>8948</v>
      </c>
      <c r="G272" t="s">
        <v>2799</v>
      </c>
      <c r="H272" t="s">
        <v>2800</v>
      </c>
      <c r="I272">
        <v>2</v>
      </c>
    </row>
    <row r="273" spans="1:9" x14ac:dyDescent="0.25">
      <c r="A273" t="s">
        <v>422</v>
      </c>
      <c r="B273">
        <f>VLOOKUP(A273,art_category_path_name!A:B,2,FALSE)</f>
        <v>43</v>
      </c>
      <c r="C273" t="s">
        <v>8949</v>
      </c>
      <c r="D273" t="s">
        <v>2802</v>
      </c>
      <c r="E273" t="s">
        <v>2803</v>
      </c>
      <c r="F273" t="s">
        <v>2781</v>
      </c>
      <c r="G273" t="s">
        <v>2804</v>
      </c>
      <c r="H273" t="s">
        <v>2805</v>
      </c>
      <c r="I273">
        <v>6</v>
      </c>
    </row>
    <row r="274" spans="1:9" x14ac:dyDescent="0.25">
      <c r="A274" t="s">
        <v>423</v>
      </c>
      <c r="B274">
        <f>VLOOKUP(A274,art_category_path_name!A:B,2,FALSE)</f>
        <v>44</v>
      </c>
      <c r="C274" t="s">
        <v>8950</v>
      </c>
      <c r="D274" t="s">
        <v>2807</v>
      </c>
      <c r="E274" t="s">
        <v>2808</v>
      </c>
      <c r="F274" t="s">
        <v>2781</v>
      </c>
      <c r="G274" t="s">
        <v>2809</v>
      </c>
      <c r="H274" t="s">
        <v>2810</v>
      </c>
      <c r="I274">
        <v>4</v>
      </c>
    </row>
    <row r="275" spans="1:9" x14ac:dyDescent="0.25">
      <c r="A275" t="s">
        <v>424</v>
      </c>
      <c r="B275">
        <f>VLOOKUP(A275,art_category_path_name!A:B,2,FALSE)</f>
        <v>45</v>
      </c>
      <c r="C275" t="s">
        <v>8951</v>
      </c>
      <c r="D275" t="s">
        <v>2812</v>
      </c>
      <c r="E275" t="s">
        <v>2813</v>
      </c>
      <c r="F275" t="s">
        <v>2781</v>
      </c>
      <c r="G275" t="s">
        <v>2814</v>
      </c>
      <c r="H275" t="s">
        <v>2815</v>
      </c>
      <c r="I275">
        <v>4</v>
      </c>
    </row>
    <row r="276" spans="1:9" x14ac:dyDescent="0.25">
      <c r="A276" t="s">
        <v>425</v>
      </c>
      <c r="B276">
        <f>VLOOKUP(A276,art_category_path_name!A:B,2,FALSE)</f>
        <v>46</v>
      </c>
      <c r="C276" t="s">
        <v>8952</v>
      </c>
      <c r="D276" t="s">
        <v>2817</v>
      </c>
      <c r="E276" t="s">
        <v>2818</v>
      </c>
      <c r="F276" t="s">
        <v>2781</v>
      </c>
      <c r="G276" t="s">
        <v>2819</v>
      </c>
      <c r="H276" t="s">
        <v>2820</v>
      </c>
      <c r="I276">
        <v>2</v>
      </c>
    </row>
    <row r="277" spans="1:9" x14ac:dyDescent="0.25">
      <c r="A277" t="s">
        <v>426</v>
      </c>
      <c r="B277">
        <f>VLOOKUP(A277,art_category_path_name!A:B,2,FALSE)</f>
        <v>47</v>
      </c>
      <c r="C277" t="s">
        <v>8953</v>
      </c>
      <c r="D277" t="s">
        <v>2822</v>
      </c>
      <c r="F277" t="s">
        <v>1834</v>
      </c>
      <c r="G277" t="s">
        <v>2823</v>
      </c>
      <c r="H277" t="s">
        <v>2824</v>
      </c>
      <c r="I277">
        <v>4</v>
      </c>
    </row>
    <row r="278" spans="1:9" x14ac:dyDescent="0.25">
      <c r="A278" t="s">
        <v>710</v>
      </c>
      <c r="B278">
        <f>VLOOKUP(A278,art_category_path_name!A:B,2,FALSE)</f>
        <v>51</v>
      </c>
      <c r="C278" t="s">
        <v>8954</v>
      </c>
      <c r="D278" t="s">
        <v>2826</v>
      </c>
      <c r="E278" t="s">
        <v>2827</v>
      </c>
      <c r="F278" t="s">
        <v>2828</v>
      </c>
      <c r="G278" t="s">
        <v>2829</v>
      </c>
      <c r="H278" t="s">
        <v>2830</v>
      </c>
      <c r="I278">
        <v>10</v>
      </c>
    </row>
    <row r="279" spans="1:9" x14ac:dyDescent="0.25">
      <c r="A279" t="s">
        <v>711</v>
      </c>
      <c r="B279">
        <f>VLOOKUP(A279,art_category_path_name!A:B,2,FALSE)</f>
        <v>52</v>
      </c>
      <c r="C279" t="s">
        <v>8955</v>
      </c>
      <c r="D279" t="s">
        <v>2832</v>
      </c>
      <c r="E279" t="s">
        <v>2833</v>
      </c>
      <c r="F279" t="s">
        <v>2834</v>
      </c>
      <c r="G279" t="s">
        <v>2835</v>
      </c>
      <c r="H279" t="s">
        <v>2836</v>
      </c>
      <c r="I279">
        <v>12</v>
      </c>
    </row>
    <row r="280" spans="1:9" x14ac:dyDescent="0.25">
      <c r="A280" t="s">
        <v>712</v>
      </c>
      <c r="B280">
        <f>VLOOKUP(A280,art_category_path_name!A:B,2,FALSE)</f>
        <v>53</v>
      </c>
      <c r="C280" t="s">
        <v>8956</v>
      </c>
      <c r="D280" t="s">
        <v>2838</v>
      </c>
      <c r="E280" t="s">
        <v>2839</v>
      </c>
      <c r="F280" t="s">
        <v>2840</v>
      </c>
      <c r="G280" t="s">
        <v>2841</v>
      </c>
      <c r="H280" t="s">
        <v>2842</v>
      </c>
      <c r="I280">
        <v>12</v>
      </c>
    </row>
    <row r="281" spans="1:9" x14ac:dyDescent="0.25">
      <c r="A281" t="s">
        <v>713</v>
      </c>
      <c r="B281">
        <f>VLOOKUP(A281,art_category_path_name!A:B,2,FALSE)</f>
        <v>54</v>
      </c>
      <c r="C281" t="s">
        <v>8957</v>
      </c>
      <c r="D281" t="s">
        <v>2844</v>
      </c>
      <c r="E281" t="s">
        <v>2845</v>
      </c>
      <c r="F281" t="s">
        <v>2846</v>
      </c>
      <c r="G281" t="s">
        <v>2847</v>
      </c>
      <c r="H281" t="s">
        <v>2848</v>
      </c>
      <c r="I281">
        <v>3</v>
      </c>
    </row>
    <row r="282" spans="1:9" x14ac:dyDescent="0.25">
      <c r="A282" t="s">
        <v>714</v>
      </c>
      <c r="B282">
        <f>VLOOKUP(A282,art_category_path_name!A:B,2,FALSE)</f>
        <v>55</v>
      </c>
      <c r="C282" t="s">
        <v>8958</v>
      </c>
      <c r="D282" t="s">
        <v>2850</v>
      </c>
      <c r="E282" t="s">
        <v>2851</v>
      </c>
      <c r="F282" t="s">
        <v>2852</v>
      </c>
      <c r="G282" t="s">
        <v>2853</v>
      </c>
      <c r="H282" t="s">
        <v>2854</v>
      </c>
      <c r="I282">
        <v>10</v>
      </c>
    </row>
    <row r="283" spans="1:9" x14ac:dyDescent="0.25">
      <c r="A283" t="s">
        <v>715</v>
      </c>
      <c r="B283">
        <f>VLOOKUP(A283,art_category_path_name!A:B,2,FALSE)</f>
        <v>56</v>
      </c>
      <c r="C283" t="s">
        <v>8959</v>
      </c>
      <c r="D283" t="s">
        <v>2856</v>
      </c>
      <c r="E283" t="s">
        <v>2857</v>
      </c>
      <c r="F283" t="s">
        <v>2858</v>
      </c>
      <c r="G283" t="s">
        <v>2859</v>
      </c>
      <c r="H283" t="s">
        <v>2860</v>
      </c>
      <c r="I283">
        <v>19</v>
      </c>
    </row>
    <row r="284" spans="1:9" x14ac:dyDescent="0.25">
      <c r="A284" t="s">
        <v>716</v>
      </c>
      <c r="B284">
        <f>VLOOKUP(A284,art_category_path_name!A:B,2,FALSE)</f>
        <v>57</v>
      </c>
      <c r="C284" t="s">
        <v>8960</v>
      </c>
      <c r="D284" t="s">
        <v>2862</v>
      </c>
      <c r="E284" t="s">
        <v>2863</v>
      </c>
      <c r="F284" t="s">
        <v>2864</v>
      </c>
      <c r="G284" t="s">
        <v>2865</v>
      </c>
      <c r="H284" t="s">
        <v>2866</v>
      </c>
      <c r="I284">
        <v>18</v>
      </c>
    </row>
    <row r="285" spans="1:9" x14ac:dyDescent="0.25">
      <c r="A285" t="s">
        <v>717</v>
      </c>
      <c r="B285">
        <f>VLOOKUP(A285,art_category_path_name!A:B,2,FALSE)</f>
        <v>58</v>
      </c>
      <c r="C285" t="s">
        <v>8961</v>
      </c>
      <c r="D285" t="s">
        <v>2868</v>
      </c>
      <c r="F285" t="s">
        <v>1834</v>
      </c>
      <c r="G285" t="s">
        <v>2869</v>
      </c>
      <c r="H285" t="s">
        <v>2870</v>
      </c>
      <c r="I285">
        <v>7</v>
      </c>
    </row>
    <row r="286" spans="1:9" x14ac:dyDescent="0.25">
      <c r="A286" t="s">
        <v>718</v>
      </c>
      <c r="B286">
        <f>VLOOKUP(A286,art_category_path_name!A:B,2,FALSE)</f>
        <v>59</v>
      </c>
      <c r="C286" t="s">
        <v>8962</v>
      </c>
      <c r="D286" t="s">
        <v>2872</v>
      </c>
      <c r="F286" t="s">
        <v>1834</v>
      </c>
      <c r="G286" t="s">
        <v>2873</v>
      </c>
      <c r="H286" t="s">
        <v>2874</v>
      </c>
      <c r="I286">
        <v>7</v>
      </c>
    </row>
    <row r="287" spans="1:9" x14ac:dyDescent="0.25">
      <c r="A287" t="s">
        <v>719</v>
      </c>
      <c r="B287">
        <f>VLOOKUP(A287,art_category_path_name!A:B,2,FALSE)</f>
        <v>60</v>
      </c>
      <c r="C287" t="s">
        <v>8963</v>
      </c>
      <c r="D287" t="s">
        <v>2876</v>
      </c>
      <c r="F287" t="s">
        <v>1834</v>
      </c>
      <c r="G287" t="s">
        <v>2877</v>
      </c>
      <c r="H287" t="s">
        <v>2878</v>
      </c>
      <c r="I287">
        <v>14</v>
      </c>
    </row>
    <row r="288" spans="1:9" x14ac:dyDescent="0.25">
      <c r="A288" t="s">
        <v>720</v>
      </c>
      <c r="B288">
        <f>VLOOKUP(A288,art_category_path_name!A:B,2,FALSE)</f>
        <v>61</v>
      </c>
      <c r="C288" t="s">
        <v>8964</v>
      </c>
      <c r="D288" t="s">
        <v>2880</v>
      </c>
      <c r="F288" t="s">
        <v>1834</v>
      </c>
      <c r="G288" t="s">
        <v>2881</v>
      </c>
      <c r="H288" t="s">
        <v>2882</v>
      </c>
      <c r="I288">
        <v>9</v>
      </c>
    </row>
    <row r="289" spans="1:9" x14ac:dyDescent="0.25">
      <c r="A289" t="s">
        <v>998</v>
      </c>
      <c r="B289">
        <f>VLOOKUP(A289,art_category_path_name!A:B,2,FALSE)</f>
        <v>65</v>
      </c>
      <c r="C289" t="s">
        <v>8965</v>
      </c>
      <c r="D289" t="s">
        <v>2884</v>
      </c>
      <c r="F289" t="s">
        <v>1834</v>
      </c>
      <c r="G289" t="s">
        <v>2885</v>
      </c>
      <c r="H289" t="s">
        <v>2886</v>
      </c>
      <c r="I289">
        <v>7</v>
      </c>
    </row>
    <row r="290" spans="1:9" x14ac:dyDescent="0.25">
      <c r="A290" t="s">
        <v>721</v>
      </c>
      <c r="B290">
        <f>VLOOKUP(A290,art_category_path_name!A:B,2,FALSE)</f>
        <v>66</v>
      </c>
      <c r="C290" t="s">
        <v>8966</v>
      </c>
      <c r="D290" t="s">
        <v>2888</v>
      </c>
      <c r="F290" t="s">
        <v>1834</v>
      </c>
      <c r="G290" t="s">
        <v>2889</v>
      </c>
      <c r="H290" t="s">
        <v>2890</v>
      </c>
      <c r="I290">
        <v>15</v>
      </c>
    </row>
    <row r="291" spans="1:9" x14ac:dyDescent="0.25">
      <c r="A291" t="s">
        <v>722</v>
      </c>
      <c r="B291">
        <f>VLOOKUP(A291,art_category_path_name!A:B,2,FALSE)</f>
        <v>67</v>
      </c>
      <c r="C291" t="s">
        <v>8967</v>
      </c>
      <c r="D291" t="s">
        <v>2892</v>
      </c>
      <c r="F291" t="s">
        <v>1834</v>
      </c>
      <c r="G291" t="s">
        <v>2893</v>
      </c>
      <c r="H291" t="s">
        <v>2894</v>
      </c>
      <c r="I291">
        <v>4</v>
      </c>
    </row>
    <row r="292" spans="1:9" x14ac:dyDescent="0.25">
      <c r="A292" t="s">
        <v>1383</v>
      </c>
      <c r="B292">
        <f>VLOOKUP(A292,art_category_path_name!A:B,2,FALSE)</f>
        <v>71</v>
      </c>
      <c r="C292" t="s">
        <v>8968</v>
      </c>
      <c r="D292" t="s">
        <v>2896</v>
      </c>
      <c r="E292" t="s">
        <v>2897</v>
      </c>
      <c r="F292" t="s">
        <v>2896</v>
      </c>
      <c r="G292" t="s">
        <v>2898</v>
      </c>
      <c r="H292" t="s">
        <v>2899</v>
      </c>
      <c r="I292">
        <v>2</v>
      </c>
    </row>
    <row r="293" spans="1:9" x14ac:dyDescent="0.25">
      <c r="A293" t="s">
        <v>1384</v>
      </c>
      <c r="B293">
        <f>VLOOKUP(A293,art_category_path_name!A:B,2,FALSE)</f>
        <v>72</v>
      </c>
      <c r="C293" t="s">
        <v>8969</v>
      </c>
      <c r="D293" t="s">
        <v>2901</v>
      </c>
      <c r="E293" t="s">
        <v>2902</v>
      </c>
      <c r="F293" t="s">
        <v>2903</v>
      </c>
      <c r="G293" t="s">
        <v>2904</v>
      </c>
      <c r="H293" t="s">
        <v>2905</v>
      </c>
      <c r="I293">
        <v>1</v>
      </c>
    </row>
    <row r="294" spans="1:9" x14ac:dyDescent="0.25">
      <c r="A294" t="s">
        <v>1385</v>
      </c>
      <c r="B294">
        <f>VLOOKUP(A294,art_category_path_name!A:B,2,FALSE)</f>
        <v>73</v>
      </c>
      <c r="C294" t="s">
        <v>8970</v>
      </c>
      <c r="D294" t="s">
        <v>2907</v>
      </c>
      <c r="E294" t="s">
        <v>2908</v>
      </c>
      <c r="F294" t="s">
        <v>2909</v>
      </c>
      <c r="G294" t="s">
        <v>2910</v>
      </c>
      <c r="H294" t="s">
        <v>2911</v>
      </c>
      <c r="I294">
        <v>6</v>
      </c>
    </row>
    <row r="295" spans="1:9" x14ac:dyDescent="0.25">
      <c r="A295" t="s">
        <v>1386</v>
      </c>
      <c r="B295">
        <f>VLOOKUP(A295,art_category_path_name!A:B,2,FALSE)</f>
        <v>74</v>
      </c>
      <c r="C295" t="s">
        <v>8971</v>
      </c>
      <c r="D295" t="s">
        <v>2913</v>
      </c>
      <c r="E295" t="s">
        <v>2914</v>
      </c>
      <c r="F295" t="s">
        <v>2913</v>
      </c>
      <c r="G295" t="s">
        <v>2915</v>
      </c>
      <c r="H295" t="s">
        <v>2916</v>
      </c>
      <c r="I295">
        <v>4</v>
      </c>
    </row>
    <row r="296" spans="1:9" x14ac:dyDescent="0.25">
      <c r="A296" t="s">
        <v>1387</v>
      </c>
      <c r="B296">
        <f>VLOOKUP(A296,art_category_path_name!A:B,2,FALSE)</f>
        <v>75</v>
      </c>
      <c r="C296" t="s">
        <v>8972</v>
      </c>
      <c r="D296" t="s">
        <v>2918</v>
      </c>
      <c r="E296" t="s">
        <v>2918</v>
      </c>
      <c r="F296" t="s">
        <v>2918</v>
      </c>
      <c r="G296" t="s">
        <v>2919</v>
      </c>
      <c r="H296" t="s">
        <v>2920</v>
      </c>
      <c r="I296">
        <v>4</v>
      </c>
    </row>
    <row r="297" spans="1:9" x14ac:dyDescent="0.25">
      <c r="A297" t="s">
        <v>1388</v>
      </c>
      <c r="B297">
        <f>VLOOKUP(A297,art_category_path_name!A:B,2,FALSE)</f>
        <v>76</v>
      </c>
      <c r="C297" t="s">
        <v>8973</v>
      </c>
      <c r="D297" t="s">
        <v>2922</v>
      </c>
      <c r="E297" t="s">
        <v>2923</v>
      </c>
      <c r="F297" t="s">
        <v>2922</v>
      </c>
      <c r="G297" t="s">
        <v>2924</v>
      </c>
      <c r="H297" t="s">
        <v>2925</v>
      </c>
      <c r="I297">
        <v>2</v>
      </c>
    </row>
    <row r="298" spans="1:9" x14ac:dyDescent="0.25">
      <c r="A298" t="s">
        <v>1389</v>
      </c>
      <c r="B298">
        <f>VLOOKUP(A298,art_category_path_name!A:B,2,FALSE)</f>
        <v>77</v>
      </c>
      <c r="C298" t="s">
        <v>8974</v>
      </c>
      <c r="D298" t="s">
        <v>2927</v>
      </c>
      <c r="E298" t="s">
        <v>2928</v>
      </c>
      <c r="F298" t="s">
        <v>2929</v>
      </c>
      <c r="G298" t="s">
        <v>2930</v>
      </c>
      <c r="H298" t="s">
        <v>2931</v>
      </c>
      <c r="I298">
        <v>8</v>
      </c>
    </row>
    <row r="299" spans="1:9" x14ac:dyDescent="0.25">
      <c r="A299" t="s">
        <v>1390</v>
      </c>
      <c r="B299">
        <f>VLOOKUP(A299,art_category_path_name!A:B,2,FALSE)</f>
        <v>78</v>
      </c>
      <c r="C299" t="s">
        <v>8975</v>
      </c>
      <c r="D299" t="s">
        <v>2933</v>
      </c>
      <c r="E299" t="s">
        <v>2934</v>
      </c>
      <c r="F299" t="s">
        <v>2933</v>
      </c>
      <c r="G299" t="s">
        <v>2935</v>
      </c>
      <c r="H299" t="s">
        <v>2936</v>
      </c>
      <c r="I299">
        <v>1</v>
      </c>
    </row>
    <row r="300" spans="1:9" x14ac:dyDescent="0.25">
      <c r="A300" t="s">
        <v>1391</v>
      </c>
      <c r="B300">
        <f>VLOOKUP(A300,art_category_path_name!A:B,2,FALSE)</f>
        <v>79</v>
      </c>
      <c r="C300" t="s">
        <v>8976</v>
      </c>
      <c r="D300" t="s">
        <v>2938</v>
      </c>
      <c r="E300" t="s">
        <v>2939</v>
      </c>
      <c r="F300" t="s">
        <v>2940</v>
      </c>
      <c r="G300" t="s">
        <v>2941</v>
      </c>
      <c r="H300" t="s">
        <v>2942</v>
      </c>
      <c r="I300">
        <v>3</v>
      </c>
    </row>
    <row r="301" spans="1:9" x14ac:dyDescent="0.25">
      <c r="A301" t="s">
        <v>1392</v>
      </c>
      <c r="B301">
        <f>VLOOKUP(A301,art_category_path_name!A:B,2,FALSE)</f>
        <v>80</v>
      </c>
      <c r="C301" t="s">
        <v>8977</v>
      </c>
      <c r="D301" t="s">
        <v>2944</v>
      </c>
      <c r="E301" t="s">
        <v>2945</v>
      </c>
      <c r="F301" t="s">
        <v>2946</v>
      </c>
      <c r="G301" t="s">
        <v>2947</v>
      </c>
      <c r="H301" t="s">
        <v>2948</v>
      </c>
      <c r="I301">
        <v>3</v>
      </c>
    </row>
    <row r="302" spans="1:9" x14ac:dyDescent="0.25">
      <c r="A302" t="s">
        <v>1393</v>
      </c>
      <c r="B302">
        <f>VLOOKUP(A302,art_category_path_name!A:B,2,FALSE)</f>
        <v>81</v>
      </c>
      <c r="C302" t="s">
        <v>8978</v>
      </c>
      <c r="D302" t="s">
        <v>2950</v>
      </c>
      <c r="E302" t="s">
        <v>2951</v>
      </c>
      <c r="F302" t="s">
        <v>2952</v>
      </c>
      <c r="G302" t="s">
        <v>2953</v>
      </c>
      <c r="H302" t="s">
        <v>2954</v>
      </c>
      <c r="I302">
        <v>6</v>
      </c>
    </row>
    <row r="303" spans="1:9" x14ac:dyDescent="0.25">
      <c r="A303" t="s">
        <v>1394</v>
      </c>
      <c r="B303">
        <f>VLOOKUP(A303,art_category_path_name!A:B,2,FALSE)</f>
        <v>82</v>
      </c>
      <c r="C303" t="s">
        <v>8979</v>
      </c>
      <c r="D303" t="s">
        <v>2956</v>
      </c>
      <c r="E303" t="s">
        <v>2957</v>
      </c>
      <c r="F303" t="s">
        <v>2958</v>
      </c>
      <c r="G303" t="s">
        <v>2959</v>
      </c>
      <c r="H303" t="s">
        <v>2960</v>
      </c>
      <c r="I303">
        <v>9</v>
      </c>
    </row>
    <row r="304" spans="1:9" x14ac:dyDescent="0.25">
      <c r="A304" t="s">
        <v>1395</v>
      </c>
      <c r="B304">
        <f>VLOOKUP(A304,art_category_path_name!A:B,2,FALSE)</f>
        <v>83</v>
      </c>
      <c r="C304" t="s">
        <v>8980</v>
      </c>
      <c r="D304" t="s">
        <v>2962</v>
      </c>
      <c r="E304" t="s">
        <v>2963</v>
      </c>
      <c r="F304" t="s">
        <v>2964</v>
      </c>
      <c r="G304" t="s">
        <v>2965</v>
      </c>
      <c r="H304" t="s">
        <v>2966</v>
      </c>
      <c r="I304">
        <v>5</v>
      </c>
    </row>
    <row r="305" spans="1:9" x14ac:dyDescent="0.25">
      <c r="A305" t="s">
        <v>1396</v>
      </c>
      <c r="B305">
        <f>VLOOKUP(A305,art_category_path_name!A:B,2,FALSE)</f>
        <v>84</v>
      </c>
      <c r="C305" t="s">
        <v>8981</v>
      </c>
      <c r="D305" t="s">
        <v>2968</v>
      </c>
      <c r="E305" t="s">
        <v>2969</v>
      </c>
      <c r="F305" t="s">
        <v>2970</v>
      </c>
      <c r="G305" t="s">
        <v>2965</v>
      </c>
      <c r="H305" t="s">
        <v>2971</v>
      </c>
      <c r="I305">
        <v>5</v>
      </c>
    </row>
    <row r="306" spans="1:9" x14ac:dyDescent="0.25">
      <c r="A306" t="s">
        <v>1420</v>
      </c>
      <c r="B306">
        <f>VLOOKUP(A306,art_category_path_name!A:B,2,FALSE)</f>
        <v>86</v>
      </c>
      <c r="C306" t="s">
        <v>8982</v>
      </c>
      <c r="D306" t="s">
        <v>2973</v>
      </c>
      <c r="E306" t="s">
        <v>2974</v>
      </c>
      <c r="F306" t="s">
        <v>2975</v>
      </c>
      <c r="G306" t="s">
        <v>2976</v>
      </c>
      <c r="H306" t="s">
        <v>2977</v>
      </c>
      <c r="I306">
        <v>2</v>
      </c>
    </row>
    <row r="307" spans="1:9" x14ac:dyDescent="0.25">
      <c r="A307" t="s">
        <v>1421</v>
      </c>
      <c r="B307">
        <f>VLOOKUP(A307,art_category_path_name!A:B,2,FALSE)</f>
        <v>87</v>
      </c>
      <c r="C307" t="s">
        <v>8983</v>
      </c>
      <c r="D307" t="s">
        <v>2979</v>
      </c>
      <c r="E307" t="s">
        <v>2980</v>
      </c>
      <c r="F307" t="s">
        <v>2981</v>
      </c>
      <c r="G307" t="s">
        <v>2982</v>
      </c>
      <c r="H307" t="s">
        <v>2983</v>
      </c>
      <c r="I307">
        <v>3</v>
      </c>
    </row>
    <row r="308" spans="1:9" x14ac:dyDescent="0.25">
      <c r="A308" t="s">
        <v>1422</v>
      </c>
      <c r="B308">
        <f>VLOOKUP(A308,art_category_path_name!A:B,2,FALSE)</f>
        <v>88</v>
      </c>
      <c r="C308" t="s">
        <v>8984</v>
      </c>
      <c r="D308" t="s">
        <v>2985</v>
      </c>
      <c r="E308" t="s">
        <v>2986</v>
      </c>
      <c r="F308" t="s">
        <v>2987</v>
      </c>
      <c r="G308" t="s">
        <v>2988</v>
      </c>
      <c r="H308" t="s">
        <v>2989</v>
      </c>
      <c r="I308">
        <v>3</v>
      </c>
    </row>
    <row r="309" spans="1:9" x14ac:dyDescent="0.25">
      <c r="A309" t="s">
        <v>1423</v>
      </c>
      <c r="B309">
        <f>VLOOKUP(A309,art_category_path_name!A:B,2,FALSE)</f>
        <v>89</v>
      </c>
      <c r="C309" t="s">
        <v>8985</v>
      </c>
      <c r="D309" t="s">
        <v>2991</v>
      </c>
      <c r="E309" t="s">
        <v>2992</v>
      </c>
      <c r="F309" t="s">
        <v>2993</v>
      </c>
      <c r="G309" t="s">
        <v>2994</v>
      </c>
      <c r="H309" t="s">
        <v>2995</v>
      </c>
      <c r="I309">
        <v>1</v>
      </c>
    </row>
    <row r="310" spans="1:9" x14ac:dyDescent="0.25">
      <c r="A310" t="s">
        <v>1424</v>
      </c>
      <c r="B310">
        <f>VLOOKUP(A310,art_category_path_name!A:B,2,FALSE)</f>
        <v>90</v>
      </c>
      <c r="C310" t="s">
        <v>8986</v>
      </c>
      <c r="D310" t="s">
        <v>2997</v>
      </c>
      <c r="E310" t="s">
        <v>2998</v>
      </c>
      <c r="F310" t="s">
        <v>2999</v>
      </c>
      <c r="G310" t="s">
        <v>3000</v>
      </c>
      <c r="H310" t="s">
        <v>3001</v>
      </c>
      <c r="I310">
        <v>1</v>
      </c>
    </row>
    <row r="311" spans="1:9" x14ac:dyDescent="0.25">
      <c r="A311" t="s">
        <v>1425</v>
      </c>
      <c r="B311">
        <f>VLOOKUP(A311,art_category_path_name!A:B,2,FALSE)</f>
        <v>91</v>
      </c>
      <c r="C311" t="s">
        <v>8987</v>
      </c>
      <c r="D311" t="s">
        <v>3003</v>
      </c>
      <c r="E311" t="s">
        <v>3004</v>
      </c>
      <c r="F311" t="s">
        <v>3005</v>
      </c>
      <c r="G311" t="s">
        <v>3006</v>
      </c>
      <c r="H311" t="s">
        <v>3007</v>
      </c>
      <c r="I311">
        <v>2</v>
      </c>
    </row>
    <row r="312" spans="1:9" x14ac:dyDescent="0.25">
      <c r="A312" t="s">
        <v>1426</v>
      </c>
      <c r="B312">
        <f>VLOOKUP(A312,art_category_path_name!A:B,2,FALSE)</f>
        <v>92</v>
      </c>
      <c r="C312" t="s">
        <v>8988</v>
      </c>
      <c r="D312" t="s">
        <v>3009</v>
      </c>
      <c r="E312" t="s">
        <v>3010</v>
      </c>
      <c r="F312" t="s">
        <v>3011</v>
      </c>
      <c r="G312" t="s">
        <v>3012</v>
      </c>
      <c r="H312" t="s">
        <v>3013</v>
      </c>
      <c r="I312">
        <v>2</v>
      </c>
    </row>
    <row r="313" spans="1:9" x14ac:dyDescent="0.25">
      <c r="A313" t="s">
        <v>1427</v>
      </c>
      <c r="B313">
        <f>VLOOKUP(A313,art_category_path_name!A:B,2,FALSE)</f>
        <v>93</v>
      </c>
      <c r="C313" t="s">
        <v>8989</v>
      </c>
      <c r="D313" t="s">
        <v>3015</v>
      </c>
      <c r="E313" t="s">
        <v>3016</v>
      </c>
      <c r="F313" t="s">
        <v>3017</v>
      </c>
      <c r="G313" t="s">
        <v>3018</v>
      </c>
      <c r="H313" t="s">
        <v>3019</v>
      </c>
      <c r="I313">
        <v>1</v>
      </c>
    </row>
    <row r="314" spans="1:9" x14ac:dyDescent="0.25">
      <c r="A314" t="s">
        <v>1428</v>
      </c>
      <c r="B314">
        <f>VLOOKUP(A314,art_category_path_name!A:B,2,FALSE)</f>
        <v>94</v>
      </c>
      <c r="C314" t="s">
        <v>8990</v>
      </c>
      <c r="D314" t="s">
        <v>3021</v>
      </c>
      <c r="E314" t="s">
        <v>3022</v>
      </c>
      <c r="F314" t="s">
        <v>3023</v>
      </c>
      <c r="G314" t="s">
        <v>3024</v>
      </c>
      <c r="H314" t="s">
        <v>3025</v>
      </c>
      <c r="I314">
        <v>3</v>
      </c>
    </row>
    <row r="315" spans="1:9" x14ac:dyDescent="0.25">
      <c r="A315" t="s">
        <v>1429</v>
      </c>
      <c r="B315">
        <f>VLOOKUP(A315,art_category_path_name!A:B,2,FALSE)</f>
        <v>95</v>
      </c>
      <c r="C315" t="s">
        <v>8991</v>
      </c>
      <c r="D315" t="s">
        <v>3027</v>
      </c>
      <c r="E315" t="s">
        <v>3028</v>
      </c>
      <c r="F315" t="s">
        <v>3029</v>
      </c>
      <c r="G315" t="s">
        <v>3030</v>
      </c>
      <c r="H315" t="s">
        <v>3031</v>
      </c>
      <c r="I315">
        <v>3</v>
      </c>
    </row>
    <row r="316" spans="1:9" x14ac:dyDescent="0.25">
      <c r="A316" t="s">
        <v>1430</v>
      </c>
      <c r="B316">
        <f>VLOOKUP(A316,art_category_path_name!A:B,2,FALSE)</f>
        <v>96</v>
      </c>
      <c r="C316" t="s">
        <v>8992</v>
      </c>
      <c r="D316" t="s">
        <v>3033</v>
      </c>
      <c r="E316" t="s">
        <v>3034</v>
      </c>
      <c r="F316" t="s">
        <v>3035</v>
      </c>
      <c r="G316" t="s">
        <v>3036</v>
      </c>
      <c r="H316" t="s">
        <v>3037</v>
      </c>
      <c r="I316">
        <v>1</v>
      </c>
    </row>
    <row r="317" spans="1:9" x14ac:dyDescent="0.25">
      <c r="A317" t="s">
        <v>1431</v>
      </c>
      <c r="B317">
        <f>VLOOKUP(A317,art_category_path_name!A:B,2,FALSE)</f>
        <v>97</v>
      </c>
      <c r="C317" t="s">
        <v>8993</v>
      </c>
      <c r="D317" t="s">
        <v>3039</v>
      </c>
      <c r="E317" t="s">
        <v>3040</v>
      </c>
      <c r="F317" t="s">
        <v>3041</v>
      </c>
      <c r="G317" t="s">
        <v>3042</v>
      </c>
      <c r="H317" t="s">
        <v>3043</v>
      </c>
      <c r="I317">
        <v>1</v>
      </c>
    </row>
    <row r="318" spans="1:9" x14ac:dyDescent="0.25">
      <c r="A318" t="s">
        <v>1432</v>
      </c>
      <c r="B318">
        <f>VLOOKUP(A318,art_category_path_name!A:B,2,FALSE)</f>
        <v>98</v>
      </c>
      <c r="C318" t="s">
        <v>8994</v>
      </c>
      <c r="D318" t="s">
        <v>3045</v>
      </c>
      <c r="E318" t="s">
        <v>3046</v>
      </c>
      <c r="F318" t="s">
        <v>3047</v>
      </c>
      <c r="G318" t="s">
        <v>3048</v>
      </c>
      <c r="H318" t="s">
        <v>3049</v>
      </c>
      <c r="I318">
        <v>3</v>
      </c>
    </row>
    <row r="319" spans="1:9" x14ac:dyDescent="0.25">
      <c r="A319" t="s">
        <v>1433</v>
      </c>
      <c r="B319">
        <f>VLOOKUP(A319,art_category_path_name!A:B,2,FALSE)</f>
        <v>99</v>
      </c>
      <c r="C319" t="s">
        <v>8995</v>
      </c>
      <c r="D319" t="s">
        <v>3051</v>
      </c>
      <c r="E319" t="s">
        <v>3052</v>
      </c>
      <c r="F319" t="s">
        <v>3053</v>
      </c>
      <c r="G319" t="s">
        <v>3054</v>
      </c>
      <c r="H319" t="s">
        <v>3055</v>
      </c>
      <c r="I319">
        <v>26</v>
      </c>
    </row>
    <row r="320" spans="1:9" x14ac:dyDescent="0.25">
      <c r="A320" t="s">
        <v>1416</v>
      </c>
      <c r="B320">
        <f>VLOOKUP(A320,art_category_path_name!A:B,2,FALSE)</f>
        <v>100</v>
      </c>
      <c r="C320" t="s">
        <v>8996</v>
      </c>
      <c r="D320" t="s">
        <v>3057</v>
      </c>
      <c r="E320" t="s">
        <v>3058</v>
      </c>
      <c r="F320" t="s">
        <v>3059</v>
      </c>
      <c r="G320" t="s">
        <v>3060</v>
      </c>
      <c r="H320" t="s">
        <v>3061</v>
      </c>
      <c r="I320">
        <v>3</v>
      </c>
    </row>
    <row r="321" spans="1:9" x14ac:dyDescent="0.25">
      <c r="A321" t="s">
        <v>1417</v>
      </c>
      <c r="B321">
        <f>VLOOKUP(A321,art_category_path_name!A:B,2,FALSE)</f>
        <v>101</v>
      </c>
      <c r="C321" t="s">
        <v>8997</v>
      </c>
      <c r="D321" t="s">
        <v>3063</v>
      </c>
      <c r="E321" t="s">
        <v>3064</v>
      </c>
      <c r="F321" t="s">
        <v>3065</v>
      </c>
      <c r="G321" t="s">
        <v>3066</v>
      </c>
      <c r="H321" t="s">
        <v>3067</v>
      </c>
      <c r="I321">
        <v>3</v>
      </c>
    </row>
    <row r="322" spans="1:9" x14ac:dyDescent="0.25">
      <c r="A322" t="s">
        <v>1418</v>
      </c>
      <c r="B322">
        <f>VLOOKUP(A322,art_category_path_name!A:B,2,FALSE)</f>
        <v>102</v>
      </c>
      <c r="C322" t="s">
        <v>8998</v>
      </c>
      <c r="D322" t="s">
        <v>3069</v>
      </c>
      <c r="E322" t="s">
        <v>3070</v>
      </c>
      <c r="F322" t="s">
        <v>3071</v>
      </c>
      <c r="G322" t="s">
        <v>3072</v>
      </c>
      <c r="H322" t="s">
        <v>3073</v>
      </c>
      <c r="I322">
        <v>1</v>
      </c>
    </row>
    <row r="323" spans="1:9" x14ac:dyDescent="0.25">
      <c r="A323" t="s">
        <v>1419</v>
      </c>
      <c r="B323">
        <f>VLOOKUP(A323,art_category_path_name!A:B,2,FALSE)</f>
        <v>103</v>
      </c>
      <c r="C323" t="s">
        <v>8999</v>
      </c>
      <c r="D323" t="s">
        <v>3075</v>
      </c>
      <c r="E323" t="s">
        <v>3076</v>
      </c>
      <c r="F323" t="s">
        <v>3077</v>
      </c>
      <c r="G323" t="s">
        <v>3078</v>
      </c>
      <c r="H323" t="s">
        <v>3079</v>
      </c>
      <c r="I323">
        <v>2</v>
      </c>
    </row>
    <row r="324" spans="1:9" x14ac:dyDescent="0.25">
      <c r="A324" t="s">
        <v>1349</v>
      </c>
      <c r="B324">
        <f>VLOOKUP(A324,art_category_path_name!A:B,2,FALSE)</f>
        <v>105</v>
      </c>
      <c r="C324" t="s">
        <v>9000</v>
      </c>
      <c r="D324" t="s">
        <v>3081</v>
      </c>
      <c r="E324" t="s">
        <v>3082</v>
      </c>
      <c r="F324" t="s">
        <v>3083</v>
      </c>
      <c r="G324" t="s">
        <v>3084</v>
      </c>
      <c r="H324" t="s">
        <v>3085</v>
      </c>
      <c r="I324">
        <v>2</v>
      </c>
    </row>
    <row r="325" spans="1:9" x14ac:dyDescent="0.25">
      <c r="A325" t="s">
        <v>213</v>
      </c>
      <c r="B325">
        <f>VLOOKUP(A325,art_category_path_name!A:B,2,FALSE)</f>
        <v>108</v>
      </c>
      <c r="C325" t="s">
        <v>9001</v>
      </c>
      <c r="D325" t="s">
        <v>3087</v>
      </c>
      <c r="E325" t="s">
        <v>3088</v>
      </c>
      <c r="F325" t="s">
        <v>3089</v>
      </c>
      <c r="G325" t="s">
        <v>3090</v>
      </c>
      <c r="H325" t="s">
        <v>3091</v>
      </c>
      <c r="I325">
        <v>8</v>
      </c>
    </row>
    <row r="326" spans="1:9" x14ac:dyDescent="0.25">
      <c r="A326" t="s">
        <v>214</v>
      </c>
      <c r="B326">
        <f>VLOOKUP(A326,art_category_path_name!A:B,2,FALSE)</f>
        <v>109</v>
      </c>
      <c r="C326" t="s">
        <v>9002</v>
      </c>
      <c r="D326" t="s">
        <v>3093</v>
      </c>
      <c r="F326" t="s">
        <v>1834</v>
      </c>
      <c r="G326" t="s">
        <v>3094</v>
      </c>
      <c r="H326" t="s">
        <v>3095</v>
      </c>
      <c r="I326">
        <v>1</v>
      </c>
    </row>
    <row r="327" spans="1:9" x14ac:dyDescent="0.25">
      <c r="A327" t="s">
        <v>215</v>
      </c>
      <c r="B327">
        <f>VLOOKUP(A327,art_category_path_name!A:B,2,FALSE)</f>
        <v>110</v>
      </c>
      <c r="C327" t="s">
        <v>9003</v>
      </c>
      <c r="D327" t="s">
        <v>3097</v>
      </c>
      <c r="E327" t="s">
        <v>3098</v>
      </c>
      <c r="F327" t="s">
        <v>3099</v>
      </c>
      <c r="G327" t="s">
        <v>3100</v>
      </c>
      <c r="H327" t="s">
        <v>3101</v>
      </c>
      <c r="I327">
        <v>3</v>
      </c>
    </row>
    <row r="328" spans="1:9" x14ac:dyDescent="0.25">
      <c r="A328" t="s">
        <v>216</v>
      </c>
      <c r="B328">
        <f>VLOOKUP(A328,art_category_path_name!A:B,2,FALSE)</f>
        <v>111</v>
      </c>
      <c r="C328" t="s">
        <v>9004</v>
      </c>
      <c r="D328" t="s">
        <v>3103</v>
      </c>
      <c r="E328" t="s">
        <v>3104</v>
      </c>
      <c r="F328" t="s">
        <v>3105</v>
      </c>
      <c r="G328" t="s">
        <v>3106</v>
      </c>
      <c r="H328" t="s">
        <v>3107</v>
      </c>
      <c r="I328">
        <v>3</v>
      </c>
    </row>
    <row r="329" spans="1:9" x14ac:dyDescent="0.25">
      <c r="A329" t="s">
        <v>217</v>
      </c>
      <c r="B329">
        <f>VLOOKUP(A329,art_category_path_name!A:B,2,FALSE)</f>
        <v>112</v>
      </c>
      <c r="C329" t="s">
        <v>9005</v>
      </c>
      <c r="D329" t="s">
        <v>3109</v>
      </c>
      <c r="E329" t="s">
        <v>3110</v>
      </c>
      <c r="F329" t="s">
        <v>3111</v>
      </c>
      <c r="G329" t="s">
        <v>3112</v>
      </c>
      <c r="H329" t="s">
        <v>3113</v>
      </c>
      <c r="I329">
        <v>14</v>
      </c>
    </row>
    <row r="330" spans="1:9" x14ac:dyDescent="0.25">
      <c r="A330" t="s">
        <v>218</v>
      </c>
      <c r="B330">
        <f>VLOOKUP(A330,art_category_path_name!A:B,2,FALSE)</f>
        <v>113</v>
      </c>
      <c r="C330" t="s">
        <v>9006</v>
      </c>
      <c r="D330" t="s">
        <v>3115</v>
      </c>
      <c r="E330" t="s">
        <v>3116</v>
      </c>
      <c r="F330" t="s">
        <v>3117</v>
      </c>
      <c r="G330" t="s">
        <v>3118</v>
      </c>
      <c r="H330" t="s">
        <v>3119</v>
      </c>
      <c r="I330">
        <v>12</v>
      </c>
    </row>
    <row r="331" spans="1:9" x14ac:dyDescent="0.25">
      <c r="A331" t="s">
        <v>219</v>
      </c>
      <c r="B331">
        <f>VLOOKUP(A331,art_category_path_name!A:B,2,FALSE)</f>
        <v>114</v>
      </c>
      <c r="C331" t="s">
        <v>9007</v>
      </c>
      <c r="D331" t="s">
        <v>3121</v>
      </c>
      <c r="E331" t="s">
        <v>3122</v>
      </c>
      <c r="F331" t="s">
        <v>3121</v>
      </c>
      <c r="G331" t="s">
        <v>3123</v>
      </c>
      <c r="H331" t="s">
        <v>3124</v>
      </c>
      <c r="I331">
        <v>1</v>
      </c>
    </row>
    <row r="332" spans="1:9" x14ac:dyDescent="0.25">
      <c r="A332" t="s">
        <v>220</v>
      </c>
      <c r="B332">
        <f>VLOOKUP(A332,art_category_path_name!A:B,2,FALSE)</f>
        <v>115</v>
      </c>
      <c r="C332" t="s">
        <v>9008</v>
      </c>
      <c r="D332" t="s">
        <v>3126</v>
      </c>
      <c r="F332" t="s">
        <v>1834</v>
      </c>
      <c r="G332" t="s">
        <v>3127</v>
      </c>
      <c r="H332" t="s">
        <v>3128</v>
      </c>
      <c r="I332">
        <v>3</v>
      </c>
    </row>
    <row r="333" spans="1:9" x14ac:dyDescent="0.25">
      <c r="A333" t="s">
        <v>343</v>
      </c>
      <c r="B333">
        <f>VLOOKUP(A333,art_category_path_name!A:B,2,FALSE)</f>
        <v>117</v>
      </c>
      <c r="C333" t="s">
        <v>9009</v>
      </c>
      <c r="D333" t="s">
        <v>3130</v>
      </c>
      <c r="F333" t="s">
        <v>1834</v>
      </c>
      <c r="G333" t="s">
        <v>3131</v>
      </c>
      <c r="H333" t="s">
        <v>3132</v>
      </c>
      <c r="I333">
        <v>2</v>
      </c>
    </row>
    <row r="334" spans="1:9" x14ac:dyDescent="0.25">
      <c r="A334" t="s">
        <v>344</v>
      </c>
      <c r="B334">
        <f>VLOOKUP(A334,art_category_path_name!A:B,2,FALSE)</f>
        <v>118</v>
      </c>
      <c r="C334" t="s">
        <v>9010</v>
      </c>
      <c r="D334" t="s">
        <v>3134</v>
      </c>
      <c r="E334" t="s">
        <v>3135</v>
      </c>
      <c r="F334" t="s">
        <v>3136</v>
      </c>
      <c r="G334" t="s">
        <v>3137</v>
      </c>
      <c r="H334" t="s">
        <v>3138</v>
      </c>
      <c r="I334">
        <v>1</v>
      </c>
    </row>
    <row r="335" spans="1:9" x14ac:dyDescent="0.25">
      <c r="A335" t="s">
        <v>345</v>
      </c>
      <c r="B335">
        <f>VLOOKUP(A335,art_category_path_name!A:B,2,FALSE)</f>
        <v>119</v>
      </c>
      <c r="C335" t="s">
        <v>9011</v>
      </c>
      <c r="D335" t="s">
        <v>3140</v>
      </c>
      <c r="F335" t="s">
        <v>1834</v>
      </c>
      <c r="G335" t="s">
        <v>3141</v>
      </c>
      <c r="H335" t="s">
        <v>3142</v>
      </c>
      <c r="I335">
        <v>12</v>
      </c>
    </row>
    <row r="336" spans="1:9" x14ac:dyDescent="0.25">
      <c r="A336" t="s">
        <v>346</v>
      </c>
      <c r="B336">
        <f>VLOOKUP(A336,art_category_path_name!A:B,2,FALSE)</f>
        <v>120</v>
      </c>
      <c r="C336" t="s">
        <v>9012</v>
      </c>
      <c r="D336" t="s">
        <v>3144</v>
      </c>
      <c r="E336" t="s">
        <v>3145</v>
      </c>
      <c r="F336" t="s">
        <v>3146</v>
      </c>
      <c r="G336" t="s">
        <v>3147</v>
      </c>
      <c r="H336" t="s">
        <v>3148</v>
      </c>
      <c r="I336">
        <v>2</v>
      </c>
    </row>
    <row r="337" spans="1:9" x14ac:dyDescent="0.25">
      <c r="A337" t="s">
        <v>347</v>
      </c>
      <c r="B337">
        <f>VLOOKUP(A337,art_category_path_name!A:B,2,FALSE)</f>
        <v>121</v>
      </c>
      <c r="C337" t="s">
        <v>9013</v>
      </c>
      <c r="D337" t="s">
        <v>3150</v>
      </c>
      <c r="E337" t="s">
        <v>3151</v>
      </c>
      <c r="F337" t="s">
        <v>3150</v>
      </c>
      <c r="G337" t="s">
        <v>3152</v>
      </c>
      <c r="H337" t="s">
        <v>3153</v>
      </c>
      <c r="I337">
        <v>4</v>
      </c>
    </row>
    <row r="338" spans="1:9" x14ac:dyDescent="0.25">
      <c r="A338" t="s">
        <v>348</v>
      </c>
      <c r="B338">
        <f>VLOOKUP(A338,art_category_path_name!A:B,2,FALSE)</f>
        <v>122</v>
      </c>
      <c r="C338" t="s">
        <v>9014</v>
      </c>
      <c r="D338" t="s">
        <v>3155</v>
      </c>
      <c r="E338" t="s">
        <v>3156</v>
      </c>
      <c r="F338" t="s">
        <v>3157</v>
      </c>
      <c r="G338" t="s">
        <v>3158</v>
      </c>
      <c r="H338" t="s">
        <v>3159</v>
      </c>
      <c r="I338">
        <v>1</v>
      </c>
    </row>
    <row r="339" spans="1:9" x14ac:dyDescent="0.25">
      <c r="A339" t="s">
        <v>349</v>
      </c>
      <c r="B339">
        <f>VLOOKUP(A339,art_category_path_name!A:B,2,FALSE)</f>
        <v>123</v>
      </c>
      <c r="C339" t="s">
        <v>9015</v>
      </c>
      <c r="D339" t="s">
        <v>3161</v>
      </c>
      <c r="E339" t="s">
        <v>3162</v>
      </c>
      <c r="F339" t="s">
        <v>3163</v>
      </c>
      <c r="G339" t="s">
        <v>3164</v>
      </c>
      <c r="H339" t="s">
        <v>3165</v>
      </c>
      <c r="I339">
        <v>1</v>
      </c>
    </row>
    <row r="340" spans="1:9" x14ac:dyDescent="0.25">
      <c r="A340" t="s">
        <v>350</v>
      </c>
      <c r="B340">
        <f>VLOOKUP(A340,art_category_path_name!A:B,2,FALSE)</f>
        <v>124</v>
      </c>
      <c r="C340" t="s">
        <v>9016</v>
      </c>
      <c r="D340" t="s">
        <v>3150</v>
      </c>
      <c r="E340" t="s">
        <v>3167</v>
      </c>
      <c r="F340" t="s">
        <v>3150</v>
      </c>
      <c r="G340" t="s">
        <v>3168</v>
      </c>
      <c r="H340" t="s">
        <v>3169</v>
      </c>
      <c r="I340">
        <v>6</v>
      </c>
    </row>
    <row r="341" spans="1:9" x14ac:dyDescent="0.25">
      <c r="A341" t="s">
        <v>351</v>
      </c>
      <c r="B341">
        <f>VLOOKUP(A341,art_category_path_name!A:B,2,FALSE)</f>
        <v>125</v>
      </c>
      <c r="C341" t="s">
        <v>9017</v>
      </c>
      <c r="D341" t="s">
        <v>3150</v>
      </c>
      <c r="E341" t="s">
        <v>3171</v>
      </c>
      <c r="F341" t="s">
        <v>3150</v>
      </c>
      <c r="G341" t="s">
        <v>3172</v>
      </c>
      <c r="H341" t="s">
        <v>3173</v>
      </c>
      <c r="I341">
        <v>5</v>
      </c>
    </row>
    <row r="342" spans="1:9" x14ac:dyDescent="0.25">
      <c r="A342" t="s">
        <v>352</v>
      </c>
      <c r="B342">
        <f>VLOOKUP(A342,art_category_path_name!A:B,2,FALSE)</f>
        <v>126</v>
      </c>
      <c r="C342" t="s">
        <v>9018</v>
      </c>
      <c r="D342" t="s">
        <v>3150</v>
      </c>
      <c r="E342" t="s">
        <v>3175</v>
      </c>
      <c r="F342" t="s">
        <v>3150</v>
      </c>
      <c r="G342" t="s">
        <v>3176</v>
      </c>
      <c r="H342" t="s">
        <v>3177</v>
      </c>
      <c r="I342">
        <v>3</v>
      </c>
    </row>
    <row r="343" spans="1:9" x14ac:dyDescent="0.25">
      <c r="A343" t="s">
        <v>353</v>
      </c>
      <c r="B343">
        <f>VLOOKUP(A343,art_category_path_name!A:B,2,FALSE)</f>
        <v>127</v>
      </c>
      <c r="C343" t="s">
        <v>9019</v>
      </c>
      <c r="D343" t="s">
        <v>3150</v>
      </c>
      <c r="E343" t="s">
        <v>3179</v>
      </c>
      <c r="F343" t="s">
        <v>3150</v>
      </c>
      <c r="G343" t="s">
        <v>3180</v>
      </c>
      <c r="H343" t="s">
        <v>3181</v>
      </c>
      <c r="I343">
        <v>8</v>
      </c>
    </row>
    <row r="344" spans="1:9" x14ac:dyDescent="0.25">
      <c r="A344" t="s">
        <v>354</v>
      </c>
      <c r="B344">
        <f>VLOOKUP(A344,art_category_path_name!A:B,2,FALSE)</f>
        <v>128</v>
      </c>
      <c r="C344" t="s">
        <v>9020</v>
      </c>
      <c r="D344" t="s">
        <v>3150</v>
      </c>
      <c r="E344" t="s">
        <v>3183</v>
      </c>
      <c r="F344" t="s">
        <v>3150</v>
      </c>
      <c r="G344" t="s">
        <v>3184</v>
      </c>
      <c r="H344" t="s">
        <v>3185</v>
      </c>
      <c r="I344">
        <v>4</v>
      </c>
    </row>
    <row r="345" spans="1:9" x14ac:dyDescent="0.25">
      <c r="A345" t="s">
        <v>355</v>
      </c>
      <c r="B345">
        <f>VLOOKUP(A345,art_category_path_name!A:B,2,FALSE)</f>
        <v>129</v>
      </c>
      <c r="C345" t="s">
        <v>9021</v>
      </c>
      <c r="D345" t="s">
        <v>3187</v>
      </c>
      <c r="E345" t="s">
        <v>3188</v>
      </c>
      <c r="F345" t="s">
        <v>3189</v>
      </c>
      <c r="G345" t="s">
        <v>3190</v>
      </c>
      <c r="H345" t="s">
        <v>3191</v>
      </c>
      <c r="I345">
        <v>7</v>
      </c>
    </row>
    <row r="346" spans="1:9" x14ac:dyDescent="0.25">
      <c r="A346" t="s">
        <v>356</v>
      </c>
      <c r="B346">
        <f>VLOOKUP(A346,art_category_path_name!A:B,2,FALSE)</f>
        <v>130</v>
      </c>
      <c r="C346" t="s">
        <v>9022</v>
      </c>
      <c r="D346" t="s">
        <v>3150</v>
      </c>
      <c r="E346" t="s">
        <v>3193</v>
      </c>
      <c r="F346" t="s">
        <v>3150</v>
      </c>
      <c r="G346" t="s">
        <v>3194</v>
      </c>
      <c r="H346" t="s">
        <v>3195</v>
      </c>
      <c r="I346">
        <v>2</v>
      </c>
    </row>
    <row r="347" spans="1:9" x14ac:dyDescent="0.25">
      <c r="A347" t="s">
        <v>357</v>
      </c>
      <c r="B347">
        <f>VLOOKUP(A347,art_category_path_name!A:B,2,FALSE)</f>
        <v>131</v>
      </c>
      <c r="C347" t="s">
        <v>9023</v>
      </c>
      <c r="D347" t="s">
        <v>3197</v>
      </c>
      <c r="F347" t="s">
        <v>1834</v>
      </c>
      <c r="G347" t="s">
        <v>3198</v>
      </c>
      <c r="H347" t="s">
        <v>3199</v>
      </c>
      <c r="I347">
        <v>2</v>
      </c>
    </row>
    <row r="348" spans="1:9" x14ac:dyDescent="0.25">
      <c r="A348" t="s">
        <v>358</v>
      </c>
      <c r="B348">
        <f>VLOOKUP(A348,art_category_path_name!A:B,2,FALSE)</f>
        <v>132</v>
      </c>
      <c r="C348" t="s">
        <v>9024</v>
      </c>
      <c r="D348" t="s">
        <v>3201</v>
      </c>
      <c r="F348" t="s">
        <v>1834</v>
      </c>
      <c r="G348" t="s">
        <v>3202</v>
      </c>
      <c r="H348" t="s">
        <v>3203</v>
      </c>
      <c r="I348">
        <v>1</v>
      </c>
    </row>
    <row r="349" spans="1:9" x14ac:dyDescent="0.25">
      <c r="A349" t="s">
        <v>359</v>
      </c>
      <c r="B349">
        <f>VLOOKUP(A349,art_category_path_name!A:B,2,FALSE)</f>
        <v>133</v>
      </c>
      <c r="C349" t="s">
        <v>9025</v>
      </c>
      <c r="D349" t="s">
        <v>3205</v>
      </c>
      <c r="E349" t="s">
        <v>3206</v>
      </c>
      <c r="F349" t="s">
        <v>3205</v>
      </c>
      <c r="G349" t="s">
        <v>3207</v>
      </c>
      <c r="H349" t="s">
        <v>3208</v>
      </c>
      <c r="I349">
        <v>4</v>
      </c>
    </row>
    <row r="350" spans="1:9" x14ac:dyDescent="0.25">
      <c r="A350" t="s">
        <v>360</v>
      </c>
      <c r="B350">
        <f>VLOOKUP(A350,art_category_path_name!A:B,2,FALSE)</f>
        <v>134</v>
      </c>
      <c r="C350" t="s">
        <v>9026</v>
      </c>
      <c r="D350" t="s">
        <v>3210</v>
      </c>
      <c r="F350" t="s">
        <v>1834</v>
      </c>
      <c r="G350" t="s">
        <v>3211</v>
      </c>
      <c r="H350" t="s">
        <v>3212</v>
      </c>
      <c r="I350">
        <v>6</v>
      </c>
    </row>
    <row r="351" spans="1:9" x14ac:dyDescent="0.25">
      <c r="A351" t="s">
        <v>361</v>
      </c>
      <c r="B351">
        <f>VLOOKUP(A351,art_category_path_name!A:B,2,FALSE)</f>
        <v>135</v>
      </c>
      <c r="C351" t="s">
        <v>9027</v>
      </c>
      <c r="D351" t="s">
        <v>3214</v>
      </c>
      <c r="F351" t="s">
        <v>1834</v>
      </c>
      <c r="G351" t="s">
        <v>3215</v>
      </c>
      <c r="H351" t="s">
        <v>3216</v>
      </c>
      <c r="I351">
        <v>1</v>
      </c>
    </row>
    <row r="352" spans="1:9" x14ac:dyDescent="0.25">
      <c r="A352" t="s">
        <v>362</v>
      </c>
      <c r="B352">
        <f>VLOOKUP(A352,art_category_path_name!A:B,2,FALSE)</f>
        <v>136</v>
      </c>
      <c r="C352" t="s">
        <v>9028</v>
      </c>
      <c r="D352" t="s">
        <v>3218</v>
      </c>
      <c r="F352" t="s">
        <v>1834</v>
      </c>
      <c r="G352" t="s">
        <v>3219</v>
      </c>
      <c r="H352" t="s">
        <v>3220</v>
      </c>
      <c r="I352">
        <v>3</v>
      </c>
    </row>
    <row r="353" spans="1:9" x14ac:dyDescent="0.25">
      <c r="A353" t="s">
        <v>363</v>
      </c>
      <c r="B353">
        <f>VLOOKUP(A353,art_category_path_name!A:B,2,FALSE)</f>
        <v>137</v>
      </c>
      <c r="C353" t="s">
        <v>9029</v>
      </c>
      <c r="D353" t="s">
        <v>3222</v>
      </c>
      <c r="F353" t="s">
        <v>1834</v>
      </c>
      <c r="G353" t="s">
        <v>3223</v>
      </c>
      <c r="H353" t="s">
        <v>3224</v>
      </c>
      <c r="I353">
        <v>2</v>
      </c>
    </row>
    <row r="354" spans="1:9" x14ac:dyDescent="0.25">
      <c r="A354" t="s">
        <v>364</v>
      </c>
      <c r="B354">
        <f>VLOOKUP(A354,art_category_path_name!A:B,2,FALSE)</f>
        <v>138</v>
      </c>
      <c r="C354" t="s">
        <v>9030</v>
      </c>
      <c r="D354" t="s">
        <v>3226</v>
      </c>
      <c r="F354" t="s">
        <v>1834</v>
      </c>
      <c r="G354" t="s">
        <v>3227</v>
      </c>
      <c r="H354" t="s">
        <v>3228</v>
      </c>
      <c r="I354">
        <v>1</v>
      </c>
    </row>
    <row r="355" spans="1:9" x14ac:dyDescent="0.25">
      <c r="A355" t="s">
        <v>365</v>
      </c>
      <c r="B355">
        <f>VLOOKUP(A355,art_category_path_name!A:B,2,FALSE)</f>
        <v>139</v>
      </c>
      <c r="C355" t="s">
        <v>9031</v>
      </c>
      <c r="D355" t="s">
        <v>3230</v>
      </c>
      <c r="E355" t="s">
        <v>3231</v>
      </c>
      <c r="F355" t="s">
        <v>3232</v>
      </c>
      <c r="G355" t="s">
        <v>3233</v>
      </c>
      <c r="H355" t="s">
        <v>3234</v>
      </c>
      <c r="I355">
        <v>3</v>
      </c>
    </row>
    <row r="356" spans="1:9" x14ac:dyDescent="0.25">
      <c r="A356" t="s">
        <v>366</v>
      </c>
      <c r="B356">
        <f>VLOOKUP(A356,art_category_path_name!A:B,2,FALSE)</f>
        <v>140</v>
      </c>
      <c r="C356" t="s">
        <v>9032</v>
      </c>
      <c r="D356" t="s">
        <v>3150</v>
      </c>
      <c r="E356" t="s">
        <v>3236</v>
      </c>
      <c r="F356" t="s">
        <v>3150</v>
      </c>
      <c r="G356" t="s">
        <v>3237</v>
      </c>
      <c r="H356" t="s">
        <v>3238</v>
      </c>
      <c r="I356">
        <v>5</v>
      </c>
    </row>
    <row r="357" spans="1:9" x14ac:dyDescent="0.25">
      <c r="A357" t="s">
        <v>367</v>
      </c>
      <c r="B357">
        <f>VLOOKUP(A357,art_category_path_name!A:B,2,FALSE)</f>
        <v>141</v>
      </c>
      <c r="C357" t="s">
        <v>9033</v>
      </c>
      <c r="D357" t="s">
        <v>3240</v>
      </c>
      <c r="F357" t="s">
        <v>1834</v>
      </c>
      <c r="G357" t="s">
        <v>3241</v>
      </c>
      <c r="H357" t="s">
        <v>3242</v>
      </c>
      <c r="I357">
        <v>1</v>
      </c>
    </row>
    <row r="358" spans="1:9" x14ac:dyDescent="0.25">
      <c r="A358" t="s">
        <v>368</v>
      </c>
      <c r="B358">
        <f>VLOOKUP(A358,art_category_path_name!A:B,2,FALSE)</f>
        <v>142</v>
      </c>
      <c r="C358" t="s">
        <v>9034</v>
      </c>
      <c r="D358" t="s">
        <v>3244</v>
      </c>
      <c r="F358" t="s">
        <v>1834</v>
      </c>
      <c r="G358" t="s">
        <v>3245</v>
      </c>
      <c r="H358" t="s">
        <v>3246</v>
      </c>
      <c r="I358">
        <v>3</v>
      </c>
    </row>
    <row r="359" spans="1:9" x14ac:dyDescent="0.25">
      <c r="A359" t="s">
        <v>369</v>
      </c>
      <c r="B359">
        <f>VLOOKUP(A359,art_category_path_name!A:B,2,FALSE)</f>
        <v>143</v>
      </c>
      <c r="C359" t="s">
        <v>9035</v>
      </c>
      <c r="D359" t="s">
        <v>3150</v>
      </c>
      <c r="E359" t="s">
        <v>3248</v>
      </c>
      <c r="F359" t="s">
        <v>3150</v>
      </c>
      <c r="G359" t="s">
        <v>3249</v>
      </c>
      <c r="H359" t="s">
        <v>3250</v>
      </c>
      <c r="I359">
        <v>1</v>
      </c>
    </row>
    <row r="360" spans="1:9" x14ac:dyDescent="0.25">
      <c r="A360" t="s">
        <v>370</v>
      </c>
      <c r="B360">
        <f>VLOOKUP(A360,art_category_path_name!A:B,2,FALSE)</f>
        <v>144</v>
      </c>
      <c r="C360" t="s">
        <v>9036</v>
      </c>
      <c r="D360" t="s">
        <v>3252</v>
      </c>
      <c r="F360" t="s">
        <v>1834</v>
      </c>
      <c r="G360" t="s">
        <v>3253</v>
      </c>
      <c r="H360" t="s">
        <v>3254</v>
      </c>
      <c r="I360">
        <v>6</v>
      </c>
    </row>
    <row r="361" spans="1:9" x14ac:dyDescent="0.25">
      <c r="A361" t="s">
        <v>371</v>
      </c>
      <c r="B361">
        <f>VLOOKUP(A361,art_category_path_name!A:B,2,FALSE)</f>
        <v>145</v>
      </c>
      <c r="C361" t="s">
        <v>9037</v>
      </c>
      <c r="D361" t="s">
        <v>3256</v>
      </c>
      <c r="F361" t="s">
        <v>1834</v>
      </c>
      <c r="G361" t="s">
        <v>3257</v>
      </c>
      <c r="H361" t="s">
        <v>3258</v>
      </c>
      <c r="I361">
        <v>7</v>
      </c>
    </row>
    <row r="362" spans="1:9" x14ac:dyDescent="0.25">
      <c r="A362" t="s">
        <v>372</v>
      </c>
      <c r="B362">
        <f>VLOOKUP(A362,art_category_path_name!A:B,2,FALSE)</f>
        <v>146</v>
      </c>
      <c r="C362" t="s">
        <v>9038</v>
      </c>
      <c r="D362" t="s">
        <v>3260</v>
      </c>
      <c r="F362" t="s">
        <v>1834</v>
      </c>
      <c r="G362" t="s">
        <v>3261</v>
      </c>
      <c r="H362" t="s">
        <v>3262</v>
      </c>
      <c r="I362">
        <v>3</v>
      </c>
    </row>
    <row r="363" spans="1:9" x14ac:dyDescent="0.25">
      <c r="A363" t="s">
        <v>373</v>
      </c>
      <c r="B363">
        <f>VLOOKUP(A363,art_category_path_name!A:B,2,FALSE)</f>
        <v>147</v>
      </c>
      <c r="C363" t="s">
        <v>9039</v>
      </c>
      <c r="D363" t="s">
        <v>3264</v>
      </c>
      <c r="F363" t="s">
        <v>1834</v>
      </c>
      <c r="G363" t="s">
        <v>3265</v>
      </c>
      <c r="H363" t="s">
        <v>3266</v>
      </c>
      <c r="I363">
        <v>3</v>
      </c>
    </row>
    <row r="364" spans="1:9" x14ac:dyDescent="0.25">
      <c r="A364" t="s">
        <v>374</v>
      </c>
      <c r="B364">
        <f>VLOOKUP(A364,art_category_path_name!A:B,2,FALSE)</f>
        <v>148</v>
      </c>
      <c r="C364" t="s">
        <v>9040</v>
      </c>
      <c r="D364" t="s">
        <v>2991</v>
      </c>
      <c r="E364" t="s">
        <v>2992</v>
      </c>
      <c r="F364" t="s">
        <v>2993</v>
      </c>
      <c r="G364" t="s">
        <v>3268</v>
      </c>
      <c r="H364" t="s">
        <v>3269</v>
      </c>
      <c r="I364">
        <v>3</v>
      </c>
    </row>
    <row r="365" spans="1:9" x14ac:dyDescent="0.25">
      <c r="A365" t="s">
        <v>375</v>
      </c>
      <c r="B365">
        <f>VLOOKUP(A365,art_category_path_name!A:B,2,FALSE)</f>
        <v>149</v>
      </c>
      <c r="C365" t="s">
        <v>9041</v>
      </c>
      <c r="D365" t="s">
        <v>3271</v>
      </c>
      <c r="E365" t="s">
        <v>3272</v>
      </c>
      <c r="F365" t="s">
        <v>3273</v>
      </c>
      <c r="G365" t="s">
        <v>3274</v>
      </c>
      <c r="H365" t="s">
        <v>3275</v>
      </c>
      <c r="I365">
        <v>12</v>
      </c>
    </row>
    <row r="366" spans="1:9" x14ac:dyDescent="0.25">
      <c r="A366" t="s">
        <v>1351</v>
      </c>
      <c r="B366">
        <f>VLOOKUP(A366,art_category_path_name!A:B,2,FALSE)</f>
        <v>151</v>
      </c>
      <c r="C366" t="s">
        <v>9042</v>
      </c>
      <c r="D366" t="s">
        <v>3277</v>
      </c>
      <c r="E366" t="s">
        <v>3278</v>
      </c>
      <c r="F366" t="s">
        <v>3279</v>
      </c>
      <c r="G366" t="s">
        <v>3280</v>
      </c>
      <c r="H366" t="s">
        <v>3281</v>
      </c>
      <c r="I366">
        <v>9</v>
      </c>
    </row>
    <row r="367" spans="1:9" x14ac:dyDescent="0.25">
      <c r="A367" t="s">
        <v>1352</v>
      </c>
      <c r="B367">
        <f>VLOOKUP(A367,art_category_path_name!A:B,2,FALSE)</f>
        <v>152</v>
      </c>
      <c r="C367" t="s">
        <v>9043</v>
      </c>
      <c r="D367" t="s">
        <v>3283</v>
      </c>
      <c r="F367" t="s">
        <v>1834</v>
      </c>
      <c r="G367" t="s">
        <v>3284</v>
      </c>
      <c r="H367" t="s">
        <v>3285</v>
      </c>
      <c r="I367">
        <v>1</v>
      </c>
    </row>
    <row r="368" spans="1:9" x14ac:dyDescent="0.25">
      <c r="A368" t="s">
        <v>1353</v>
      </c>
      <c r="B368">
        <f>VLOOKUP(A368,art_category_path_name!A:B,2,FALSE)</f>
        <v>153</v>
      </c>
      <c r="C368" t="s">
        <v>9044</v>
      </c>
      <c r="D368" t="s">
        <v>3287</v>
      </c>
      <c r="F368" t="s">
        <v>1834</v>
      </c>
      <c r="G368" t="s">
        <v>3288</v>
      </c>
      <c r="H368" t="s">
        <v>3289</v>
      </c>
      <c r="I368">
        <v>2</v>
      </c>
    </row>
    <row r="369" spans="1:9" x14ac:dyDescent="0.25">
      <c r="A369" t="s">
        <v>1354</v>
      </c>
      <c r="B369">
        <f>VLOOKUP(A369,art_category_path_name!A:B,2,FALSE)</f>
        <v>154</v>
      </c>
      <c r="C369" t="s">
        <v>9045</v>
      </c>
      <c r="D369" t="s">
        <v>3291</v>
      </c>
      <c r="E369" t="s">
        <v>3292</v>
      </c>
      <c r="F369" t="s">
        <v>3293</v>
      </c>
      <c r="G369" t="s">
        <v>3294</v>
      </c>
      <c r="H369" t="s">
        <v>3295</v>
      </c>
      <c r="I369">
        <v>6</v>
      </c>
    </row>
    <row r="370" spans="1:9" x14ac:dyDescent="0.25">
      <c r="A370" t="s">
        <v>1355</v>
      </c>
      <c r="B370">
        <f>VLOOKUP(A370,art_category_path_name!A:B,2,FALSE)</f>
        <v>155</v>
      </c>
      <c r="C370" t="s">
        <v>9046</v>
      </c>
      <c r="D370" t="s">
        <v>3297</v>
      </c>
      <c r="F370" t="s">
        <v>1834</v>
      </c>
      <c r="G370" t="s">
        <v>3298</v>
      </c>
      <c r="H370" t="s">
        <v>3299</v>
      </c>
      <c r="I370">
        <v>4</v>
      </c>
    </row>
    <row r="371" spans="1:9" x14ac:dyDescent="0.25">
      <c r="A371" t="s">
        <v>1356</v>
      </c>
      <c r="B371">
        <f>VLOOKUP(A371,art_category_path_name!A:B,2,FALSE)</f>
        <v>156</v>
      </c>
      <c r="C371" t="s">
        <v>9047</v>
      </c>
      <c r="D371" t="s">
        <v>3301</v>
      </c>
      <c r="E371" t="s">
        <v>3302</v>
      </c>
      <c r="F371" t="s">
        <v>3303</v>
      </c>
      <c r="G371" t="s">
        <v>3304</v>
      </c>
      <c r="H371" t="s">
        <v>3305</v>
      </c>
      <c r="I371">
        <v>1</v>
      </c>
    </row>
    <row r="372" spans="1:9" x14ac:dyDescent="0.25">
      <c r="A372" t="s">
        <v>1357</v>
      </c>
      <c r="B372">
        <f>VLOOKUP(A372,art_category_path_name!A:B,2,FALSE)</f>
        <v>157</v>
      </c>
      <c r="C372" t="s">
        <v>9048</v>
      </c>
      <c r="D372" t="s">
        <v>3307</v>
      </c>
      <c r="E372" t="s">
        <v>3308</v>
      </c>
      <c r="F372" t="s">
        <v>3309</v>
      </c>
      <c r="G372" t="s">
        <v>3310</v>
      </c>
      <c r="H372" t="s">
        <v>3311</v>
      </c>
      <c r="I372">
        <v>2</v>
      </c>
    </row>
    <row r="373" spans="1:9" x14ac:dyDescent="0.25">
      <c r="A373" t="s">
        <v>1358</v>
      </c>
      <c r="B373">
        <f>VLOOKUP(A373,art_category_path_name!A:B,2,FALSE)</f>
        <v>158</v>
      </c>
      <c r="C373" t="s">
        <v>9049</v>
      </c>
      <c r="D373" t="s">
        <v>3313</v>
      </c>
      <c r="E373" t="s">
        <v>3314</v>
      </c>
      <c r="F373" t="s">
        <v>3314</v>
      </c>
      <c r="G373" t="s">
        <v>3315</v>
      </c>
      <c r="H373" t="s">
        <v>3316</v>
      </c>
      <c r="I373">
        <v>8</v>
      </c>
    </row>
    <row r="374" spans="1:9" x14ac:dyDescent="0.25">
      <c r="A374" t="s">
        <v>1359</v>
      </c>
      <c r="B374">
        <f>VLOOKUP(A374,art_category_path_name!A:B,2,FALSE)</f>
        <v>159</v>
      </c>
      <c r="C374" t="s">
        <v>9050</v>
      </c>
      <c r="D374" t="s">
        <v>3318</v>
      </c>
      <c r="F374" t="s">
        <v>1834</v>
      </c>
      <c r="G374" t="s">
        <v>3319</v>
      </c>
      <c r="H374" t="s">
        <v>3320</v>
      </c>
      <c r="I374">
        <v>2</v>
      </c>
    </row>
    <row r="375" spans="1:9" x14ac:dyDescent="0.25">
      <c r="A375" t="s">
        <v>1360</v>
      </c>
      <c r="B375">
        <f>VLOOKUP(A375,art_category_path_name!A:B,2,FALSE)</f>
        <v>160</v>
      </c>
      <c r="C375" t="s">
        <v>9051</v>
      </c>
      <c r="D375" t="s">
        <v>3322</v>
      </c>
      <c r="F375" t="s">
        <v>1834</v>
      </c>
      <c r="G375" t="s">
        <v>3323</v>
      </c>
      <c r="H375" t="s">
        <v>3324</v>
      </c>
      <c r="I375">
        <v>3</v>
      </c>
    </row>
    <row r="376" spans="1:9" x14ac:dyDescent="0.25">
      <c r="A376" t="s">
        <v>1361</v>
      </c>
      <c r="B376">
        <f>VLOOKUP(A376,art_category_path_name!A:B,2,FALSE)</f>
        <v>161</v>
      </c>
      <c r="C376" t="s">
        <v>9052</v>
      </c>
      <c r="D376" t="s">
        <v>3326</v>
      </c>
      <c r="E376" t="s">
        <v>3327</v>
      </c>
      <c r="F376" t="s">
        <v>3326</v>
      </c>
      <c r="G376" t="s">
        <v>3328</v>
      </c>
      <c r="H376" t="s">
        <v>3329</v>
      </c>
      <c r="I376">
        <v>2</v>
      </c>
    </row>
    <row r="377" spans="1:9" x14ac:dyDescent="0.25">
      <c r="A377" t="s">
        <v>1362</v>
      </c>
      <c r="B377">
        <f>VLOOKUP(A377,art_category_path_name!A:B,2,FALSE)</f>
        <v>162</v>
      </c>
      <c r="C377" t="s">
        <v>9053</v>
      </c>
      <c r="D377" t="s">
        <v>3331</v>
      </c>
      <c r="E377" t="s">
        <v>3332</v>
      </c>
      <c r="F377" t="s">
        <v>3331</v>
      </c>
      <c r="G377" t="s">
        <v>3333</v>
      </c>
      <c r="H377" t="s">
        <v>3334</v>
      </c>
      <c r="I377">
        <v>1</v>
      </c>
    </row>
    <row r="378" spans="1:9" x14ac:dyDescent="0.25">
      <c r="A378" t="s">
        <v>1363</v>
      </c>
      <c r="B378">
        <f>VLOOKUP(A378,art_category_path_name!A:B,2,FALSE)</f>
        <v>163</v>
      </c>
      <c r="C378" t="s">
        <v>9054</v>
      </c>
      <c r="D378" t="s">
        <v>3336</v>
      </c>
      <c r="F378" t="s">
        <v>1834</v>
      </c>
      <c r="G378" t="s">
        <v>3337</v>
      </c>
      <c r="H378" t="s">
        <v>3338</v>
      </c>
      <c r="I378">
        <v>3</v>
      </c>
    </row>
    <row r="379" spans="1:9" x14ac:dyDescent="0.25">
      <c r="A379" t="s">
        <v>1364</v>
      </c>
      <c r="B379">
        <f>VLOOKUP(A379,art_category_path_name!A:B,2,FALSE)</f>
        <v>164</v>
      </c>
      <c r="C379" t="s">
        <v>9055</v>
      </c>
      <c r="D379" t="s">
        <v>3340</v>
      </c>
      <c r="E379" t="s">
        <v>3341</v>
      </c>
      <c r="F379" t="s">
        <v>3342</v>
      </c>
      <c r="G379" t="s">
        <v>3343</v>
      </c>
      <c r="H379" t="s">
        <v>3344</v>
      </c>
      <c r="I379">
        <v>6</v>
      </c>
    </row>
    <row r="380" spans="1:9" x14ac:dyDescent="0.25">
      <c r="A380" t="s">
        <v>1367</v>
      </c>
      <c r="B380">
        <f>VLOOKUP(A380,art_category_path_name!A:B,2,FALSE)</f>
        <v>166</v>
      </c>
      <c r="C380" t="s">
        <v>9056</v>
      </c>
      <c r="D380" t="s">
        <v>3346</v>
      </c>
      <c r="E380" t="s">
        <v>3347</v>
      </c>
      <c r="F380" t="s">
        <v>3348</v>
      </c>
      <c r="G380" t="s">
        <v>3349</v>
      </c>
      <c r="H380" t="s">
        <v>3350</v>
      </c>
      <c r="I380">
        <v>3</v>
      </c>
    </row>
    <row r="381" spans="1:9" x14ac:dyDescent="0.25">
      <c r="A381" t="s">
        <v>1368</v>
      </c>
      <c r="B381">
        <f>VLOOKUP(A381,art_category_path_name!A:B,2,FALSE)</f>
        <v>167</v>
      </c>
      <c r="C381" t="s">
        <v>9057</v>
      </c>
      <c r="D381" t="s">
        <v>3352</v>
      </c>
      <c r="E381" s="1">
        <v>42739</v>
      </c>
      <c r="F381" t="s">
        <v>3353</v>
      </c>
      <c r="G381" t="s">
        <v>3354</v>
      </c>
      <c r="H381" t="s">
        <v>3355</v>
      </c>
      <c r="I381">
        <v>4</v>
      </c>
    </row>
    <row r="382" spans="1:9" x14ac:dyDescent="0.25">
      <c r="A382" t="s">
        <v>1369</v>
      </c>
      <c r="B382">
        <f>VLOOKUP(A382,art_category_path_name!A:B,2,FALSE)</f>
        <v>168</v>
      </c>
      <c r="C382" t="s">
        <v>9058</v>
      </c>
      <c r="D382" t="s">
        <v>3357</v>
      </c>
      <c r="E382" s="1">
        <v>42743</v>
      </c>
      <c r="F382" t="s">
        <v>3358</v>
      </c>
      <c r="G382" t="s">
        <v>3359</v>
      </c>
      <c r="H382" t="s">
        <v>3360</v>
      </c>
      <c r="I382">
        <v>11</v>
      </c>
    </row>
    <row r="383" spans="1:9" x14ac:dyDescent="0.25">
      <c r="A383" t="s">
        <v>1370</v>
      </c>
      <c r="B383">
        <f>VLOOKUP(A383,art_category_path_name!A:B,2,FALSE)</f>
        <v>169</v>
      </c>
      <c r="C383" t="s">
        <v>9059</v>
      </c>
      <c r="D383" t="s">
        <v>3362</v>
      </c>
      <c r="E383" t="s">
        <v>3363</v>
      </c>
      <c r="F383" t="s">
        <v>3364</v>
      </c>
      <c r="G383" t="s">
        <v>3365</v>
      </c>
      <c r="H383" t="s">
        <v>3366</v>
      </c>
      <c r="I383">
        <v>15</v>
      </c>
    </row>
    <row r="384" spans="1:9" x14ac:dyDescent="0.25">
      <c r="A384" t="s">
        <v>1371</v>
      </c>
      <c r="B384">
        <f>VLOOKUP(A384,art_category_path_name!A:B,2,FALSE)</f>
        <v>170</v>
      </c>
      <c r="C384" t="s">
        <v>9060</v>
      </c>
      <c r="D384" t="s">
        <v>3368</v>
      </c>
      <c r="E384" t="s">
        <v>3369</v>
      </c>
      <c r="F384">
        <v>2</v>
      </c>
      <c r="G384" t="s">
        <v>3370</v>
      </c>
      <c r="H384" t="s">
        <v>3371</v>
      </c>
      <c r="I384">
        <v>4</v>
      </c>
    </row>
    <row r="385" spans="1:9" x14ac:dyDescent="0.25">
      <c r="A385" t="s">
        <v>1372</v>
      </c>
      <c r="B385">
        <f>VLOOKUP(A385,art_category_path_name!A:B,2,FALSE)</f>
        <v>171</v>
      </c>
      <c r="C385" t="s">
        <v>9061</v>
      </c>
      <c r="D385" t="s">
        <v>3373</v>
      </c>
      <c r="E385" t="s">
        <v>3374</v>
      </c>
      <c r="F385" t="s">
        <v>3375</v>
      </c>
      <c r="G385" t="s">
        <v>3376</v>
      </c>
      <c r="H385" t="s">
        <v>3377</v>
      </c>
      <c r="I385">
        <v>1</v>
      </c>
    </row>
    <row r="386" spans="1:9" x14ac:dyDescent="0.25">
      <c r="A386" t="s">
        <v>1373</v>
      </c>
      <c r="B386">
        <f>VLOOKUP(A386,art_category_path_name!A:B,2,FALSE)</f>
        <v>172</v>
      </c>
      <c r="C386" t="s">
        <v>9062</v>
      </c>
      <c r="D386" t="s">
        <v>3379</v>
      </c>
      <c r="E386" s="1">
        <v>42743</v>
      </c>
      <c r="F386" t="s">
        <v>3380</v>
      </c>
      <c r="G386" t="s">
        <v>3381</v>
      </c>
      <c r="H386" t="s">
        <v>3382</v>
      </c>
      <c r="I386">
        <v>1</v>
      </c>
    </row>
    <row r="387" spans="1:9" x14ac:dyDescent="0.25">
      <c r="A387" t="s">
        <v>1374</v>
      </c>
      <c r="B387">
        <f>VLOOKUP(A387,art_category_path_name!A:B,2,FALSE)</f>
        <v>173</v>
      </c>
      <c r="C387" t="s">
        <v>9063</v>
      </c>
      <c r="D387" t="s">
        <v>3384</v>
      </c>
      <c r="E387" s="1">
        <v>42739</v>
      </c>
      <c r="F387" t="s">
        <v>3385</v>
      </c>
      <c r="G387" t="s">
        <v>3386</v>
      </c>
      <c r="H387" t="s">
        <v>3387</v>
      </c>
      <c r="I387">
        <v>1</v>
      </c>
    </row>
    <row r="388" spans="1:9" x14ac:dyDescent="0.25">
      <c r="A388" t="s">
        <v>1375</v>
      </c>
      <c r="B388">
        <f>VLOOKUP(A388,art_category_path_name!A:B,2,FALSE)</f>
        <v>174</v>
      </c>
      <c r="C388" t="s">
        <v>9064</v>
      </c>
      <c r="D388" t="s">
        <v>3389</v>
      </c>
      <c r="E388" s="1">
        <v>42737</v>
      </c>
      <c r="F388" t="s">
        <v>3390</v>
      </c>
      <c r="G388" t="s">
        <v>3354</v>
      </c>
      <c r="H388" t="s">
        <v>3391</v>
      </c>
      <c r="I388">
        <v>4</v>
      </c>
    </row>
    <row r="389" spans="1:9" x14ac:dyDescent="0.25">
      <c r="A389" t="s">
        <v>1376</v>
      </c>
      <c r="B389">
        <f>VLOOKUP(A389,art_category_path_name!A:B,2,FALSE)</f>
        <v>175</v>
      </c>
      <c r="C389" t="s">
        <v>9065</v>
      </c>
      <c r="D389" t="s">
        <v>3393</v>
      </c>
      <c r="E389" s="1">
        <v>42810</v>
      </c>
      <c r="F389" t="s">
        <v>3394</v>
      </c>
      <c r="G389" t="s">
        <v>3395</v>
      </c>
      <c r="H389" t="s">
        <v>3396</v>
      </c>
      <c r="I389">
        <v>1</v>
      </c>
    </row>
    <row r="390" spans="1:9" x14ac:dyDescent="0.25">
      <c r="A390" t="s">
        <v>1377</v>
      </c>
      <c r="B390">
        <f>VLOOKUP(A390,art_category_path_name!A:B,2,FALSE)</f>
        <v>176</v>
      </c>
      <c r="C390" t="s">
        <v>9066</v>
      </c>
      <c r="D390" t="s">
        <v>3398</v>
      </c>
      <c r="E390" t="s">
        <v>3399</v>
      </c>
      <c r="F390" t="s">
        <v>3390</v>
      </c>
      <c r="G390" t="s">
        <v>3400</v>
      </c>
      <c r="H390" t="s">
        <v>3401</v>
      </c>
      <c r="I390">
        <v>4</v>
      </c>
    </row>
    <row r="391" spans="1:9" x14ac:dyDescent="0.25">
      <c r="A391" t="s">
        <v>1378</v>
      </c>
      <c r="B391">
        <f>VLOOKUP(A391,art_category_path_name!A:B,2,FALSE)</f>
        <v>177</v>
      </c>
      <c r="C391" t="s">
        <v>9067</v>
      </c>
      <c r="D391" t="s">
        <v>3403</v>
      </c>
      <c r="E391" s="1">
        <v>42737</v>
      </c>
      <c r="F391" t="s">
        <v>3390</v>
      </c>
      <c r="G391" t="s">
        <v>3404</v>
      </c>
      <c r="H391" t="s">
        <v>3405</v>
      </c>
      <c r="I391">
        <v>4</v>
      </c>
    </row>
    <row r="392" spans="1:9" x14ac:dyDescent="0.25">
      <c r="A392" t="s">
        <v>1379</v>
      </c>
      <c r="B392">
        <f>VLOOKUP(A392,art_category_path_name!A:B,2,FALSE)</f>
        <v>178</v>
      </c>
      <c r="C392" t="s">
        <v>9068</v>
      </c>
      <c r="D392" t="s">
        <v>3407</v>
      </c>
      <c r="E392" t="s">
        <v>3408</v>
      </c>
      <c r="F392" t="s">
        <v>3409</v>
      </c>
      <c r="G392" t="s">
        <v>3410</v>
      </c>
      <c r="H392" t="s">
        <v>3411</v>
      </c>
      <c r="I392">
        <v>1</v>
      </c>
    </row>
    <row r="393" spans="1:9" x14ac:dyDescent="0.25">
      <c r="A393" t="s">
        <v>1380</v>
      </c>
      <c r="B393">
        <f>VLOOKUP(A393,art_category_path_name!A:B,2,FALSE)</f>
        <v>179</v>
      </c>
      <c r="C393" t="s">
        <v>9069</v>
      </c>
      <c r="D393" t="s">
        <v>3413</v>
      </c>
      <c r="E393" t="s">
        <v>3414</v>
      </c>
      <c r="F393" t="s">
        <v>3415</v>
      </c>
      <c r="G393" t="s">
        <v>3416</v>
      </c>
      <c r="H393" t="s">
        <v>3417</v>
      </c>
      <c r="I393">
        <v>1</v>
      </c>
    </row>
    <row r="394" spans="1:9" x14ac:dyDescent="0.25">
      <c r="A394" t="s">
        <v>1381</v>
      </c>
      <c r="B394">
        <f>VLOOKUP(A394,art_category_path_name!A:B,2,FALSE)</f>
        <v>180</v>
      </c>
      <c r="C394" t="s">
        <v>9070</v>
      </c>
      <c r="D394" t="s">
        <v>3419</v>
      </c>
      <c r="E394" t="s">
        <v>3420</v>
      </c>
      <c r="F394" t="s">
        <v>3421</v>
      </c>
      <c r="G394" t="s">
        <v>3422</v>
      </c>
      <c r="H394" t="s">
        <v>3423</v>
      </c>
      <c r="I394">
        <v>1</v>
      </c>
    </row>
    <row r="395" spans="1:9" x14ac:dyDescent="0.25">
      <c r="A395" t="s">
        <v>52</v>
      </c>
      <c r="B395">
        <f>VLOOKUP(A395,art_category_path_name!A:B,2,FALSE)</f>
        <v>184</v>
      </c>
      <c r="C395" t="s">
        <v>9071</v>
      </c>
      <c r="D395" t="s">
        <v>3425</v>
      </c>
      <c r="F395" t="s">
        <v>1834</v>
      </c>
      <c r="G395" t="s">
        <v>3426</v>
      </c>
      <c r="H395" t="s">
        <v>3427</v>
      </c>
      <c r="I395">
        <v>3</v>
      </c>
    </row>
    <row r="396" spans="1:9" x14ac:dyDescent="0.25">
      <c r="A396" t="s">
        <v>53</v>
      </c>
      <c r="B396">
        <f>VLOOKUP(A396,art_category_path_name!A:B,2,FALSE)</f>
        <v>185</v>
      </c>
      <c r="C396" t="s">
        <v>9072</v>
      </c>
      <c r="D396" t="s">
        <v>3429</v>
      </c>
      <c r="F396" t="s">
        <v>1834</v>
      </c>
      <c r="G396" t="s">
        <v>3430</v>
      </c>
      <c r="H396" t="s">
        <v>3431</v>
      </c>
      <c r="I396">
        <v>5</v>
      </c>
    </row>
    <row r="397" spans="1:9" x14ac:dyDescent="0.25">
      <c r="A397" t="s">
        <v>54</v>
      </c>
      <c r="B397">
        <f>VLOOKUP(A397,art_category_path_name!A:B,2,FALSE)</f>
        <v>186</v>
      </c>
      <c r="C397" t="s">
        <v>9073</v>
      </c>
      <c r="D397" t="s">
        <v>3433</v>
      </c>
      <c r="F397" t="s">
        <v>1834</v>
      </c>
      <c r="G397" t="s">
        <v>3434</v>
      </c>
      <c r="H397" t="s">
        <v>3435</v>
      </c>
      <c r="I397">
        <v>2</v>
      </c>
    </row>
    <row r="398" spans="1:9" x14ac:dyDescent="0.25">
      <c r="A398" t="s">
        <v>55</v>
      </c>
      <c r="B398">
        <f>VLOOKUP(A398,art_category_path_name!A:B,2,FALSE)</f>
        <v>187</v>
      </c>
      <c r="C398" t="s">
        <v>9074</v>
      </c>
      <c r="D398" t="s">
        <v>3437</v>
      </c>
      <c r="F398" t="s">
        <v>1834</v>
      </c>
      <c r="G398" t="s">
        <v>3438</v>
      </c>
      <c r="H398" t="s">
        <v>3439</v>
      </c>
      <c r="I398">
        <v>1</v>
      </c>
    </row>
    <row r="399" spans="1:9" x14ac:dyDescent="0.25">
      <c r="A399" t="s">
        <v>56</v>
      </c>
      <c r="B399">
        <f>VLOOKUP(A399,art_category_path_name!A:B,2,FALSE)</f>
        <v>188</v>
      </c>
      <c r="C399" t="s">
        <v>9075</v>
      </c>
      <c r="D399" t="s">
        <v>3441</v>
      </c>
      <c r="E399" t="s">
        <v>3442</v>
      </c>
      <c r="F399" t="s">
        <v>3443</v>
      </c>
      <c r="G399" t="s">
        <v>3444</v>
      </c>
      <c r="H399" t="s">
        <v>3445</v>
      </c>
      <c r="I399">
        <v>1</v>
      </c>
    </row>
    <row r="400" spans="1:9" x14ac:dyDescent="0.25">
      <c r="A400" t="s">
        <v>57</v>
      </c>
      <c r="B400">
        <f>VLOOKUP(A400,art_category_path_name!A:B,2,FALSE)</f>
        <v>189</v>
      </c>
      <c r="C400" t="s">
        <v>9076</v>
      </c>
      <c r="D400" t="s">
        <v>3447</v>
      </c>
      <c r="E400" t="s">
        <v>3448</v>
      </c>
      <c r="F400" t="s">
        <v>3449</v>
      </c>
      <c r="G400" t="s">
        <v>3450</v>
      </c>
      <c r="H400" t="s">
        <v>3451</v>
      </c>
      <c r="I400">
        <v>1</v>
      </c>
    </row>
    <row r="401" spans="1:9" x14ac:dyDescent="0.25">
      <c r="A401" t="s">
        <v>58</v>
      </c>
      <c r="B401">
        <f>VLOOKUP(A401,art_category_path_name!A:B,2,FALSE)</f>
        <v>190</v>
      </c>
      <c r="C401" t="s">
        <v>9077</v>
      </c>
      <c r="D401" t="s">
        <v>3453</v>
      </c>
      <c r="F401" t="s">
        <v>1834</v>
      </c>
      <c r="G401" t="s">
        <v>3454</v>
      </c>
      <c r="H401" t="s">
        <v>3455</v>
      </c>
      <c r="I401">
        <v>15</v>
      </c>
    </row>
    <row r="402" spans="1:9" x14ac:dyDescent="0.25">
      <c r="A402" t="s">
        <v>59</v>
      </c>
      <c r="B402">
        <f>VLOOKUP(A402,art_category_path_name!A:B,2,FALSE)</f>
        <v>191</v>
      </c>
      <c r="C402" t="s">
        <v>9078</v>
      </c>
      <c r="D402" t="s">
        <v>3457</v>
      </c>
      <c r="F402" t="s">
        <v>1834</v>
      </c>
      <c r="G402" t="s">
        <v>3458</v>
      </c>
      <c r="H402" t="s">
        <v>3459</v>
      </c>
      <c r="I402">
        <v>15</v>
      </c>
    </row>
    <row r="403" spans="1:9" x14ac:dyDescent="0.25">
      <c r="A403" t="s">
        <v>60</v>
      </c>
      <c r="B403">
        <f>VLOOKUP(A403,art_category_path_name!A:B,2,FALSE)</f>
        <v>192</v>
      </c>
      <c r="C403" t="s">
        <v>9079</v>
      </c>
      <c r="D403" t="s">
        <v>3461</v>
      </c>
      <c r="F403" t="s">
        <v>1834</v>
      </c>
      <c r="G403" t="s">
        <v>3462</v>
      </c>
      <c r="H403" t="s">
        <v>3463</v>
      </c>
      <c r="I403">
        <v>12</v>
      </c>
    </row>
    <row r="404" spans="1:9" x14ac:dyDescent="0.25">
      <c r="A404" t="s">
        <v>61</v>
      </c>
      <c r="B404">
        <f>VLOOKUP(A404,art_category_path_name!A:B,2,FALSE)</f>
        <v>193</v>
      </c>
      <c r="C404" t="s">
        <v>9080</v>
      </c>
      <c r="D404" t="s">
        <v>3465</v>
      </c>
      <c r="F404" t="s">
        <v>1834</v>
      </c>
      <c r="G404" t="s">
        <v>3466</v>
      </c>
      <c r="H404" t="s">
        <v>3467</v>
      </c>
      <c r="I404">
        <v>7</v>
      </c>
    </row>
    <row r="405" spans="1:9" x14ac:dyDescent="0.25">
      <c r="A405" t="s">
        <v>1038</v>
      </c>
      <c r="B405">
        <f>VLOOKUP(A405,art_category_path_name!A:B,2,FALSE)</f>
        <v>196</v>
      </c>
      <c r="C405" t="s">
        <v>9081</v>
      </c>
      <c r="D405" t="s">
        <v>3469</v>
      </c>
      <c r="F405" t="s">
        <v>1834</v>
      </c>
      <c r="G405" t="s">
        <v>3470</v>
      </c>
      <c r="H405" t="s">
        <v>3471</v>
      </c>
      <c r="I405">
        <v>2</v>
      </c>
    </row>
    <row r="406" spans="1:9" x14ac:dyDescent="0.25">
      <c r="A406" t="s">
        <v>1039</v>
      </c>
      <c r="B406">
        <f>VLOOKUP(A406,art_category_path_name!A:B,2,FALSE)</f>
        <v>197</v>
      </c>
      <c r="C406" t="s">
        <v>9082</v>
      </c>
      <c r="D406" t="s">
        <v>3473</v>
      </c>
      <c r="F406" t="s">
        <v>1834</v>
      </c>
      <c r="G406" t="s">
        <v>3474</v>
      </c>
      <c r="H406" t="s">
        <v>3475</v>
      </c>
      <c r="I406">
        <v>2</v>
      </c>
    </row>
    <row r="407" spans="1:9" x14ac:dyDescent="0.25">
      <c r="A407" t="s">
        <v>1040</v>
      </c>
      <c r="B407">
        <f>VLOOKUP(A407,art_category_path_name!A:B,2,FALSE)</f>
        <v>198</v>
      </c>
      <c r="C407" t="s">
        <v>9083</v>
      </c>
      <c r="D407" t="s">
        <v>3477</v>
      </c>
      <c r="F407" t="s">
        <v>1834</v>
      </c>
      <c r="G407" t="s">
        <v>3478</v>
      </c>
      <c r="H407" t="s">
        <v>3479</v>
      </c>
      <c r="I407">
        <v>2</v>
      </c>
    </row>
    <row r="408" spans="1:9" x14ac:dyDescent="0.25">
      <c r="A408" t="s">
        <v>1041</v>
      </c>
      <c r="B408">
        <f>VLOOKUP(A408,art_category_path_name!A:B,2,FALSE)</f>
        <v>199</v>
      </c>
      <c r="C408" t="s">
        <v>9084</v>
      </c>
      <c r="D408" t="s">
        <v>3481</v>
      </c>
      <c r="F408" t="s">
        <v>1834</v>
      </c>
      <c r="G408" t="s">
        <v>3482</v>
      </c>
      <c r="H408" t="s">
        <v>3483</v>
      </c>
      <c r="I408">
        <v>2</v>
      </c>
    </row>
    <row r="409" spans="1:9" x14ac:dyDescent="0.25">
      <c r="A409" t="s">
        <v>1042</v>
      </c>
      <c r="B409">
        <f>VLOOKUP(A409,art_category_path_name!A:B,2,FALSE)</f>
        <v>200</v>
      </c>
      <c r="C409" t="s">
        <v>9085</v>
      </c>
      <c r="D409" t="s">
        <v>3485</v>
      </c>
      <c r="F409" t="s">
        <v>1834</v>
      </c>
      <c r="G409" t="s">
        <v>3486</v>
      </c>
      <c r="H409" t="s">
        <v>3487</v>
      </c>
      <c r="I409">
        <v>1</v>
      </c>
    </row>
    <row r="410" spans="1:9" x14ac:dyDescent="0.25">
      <c r="A410" t="s">
        <v>1043</v>
      </c>
      <c r="B410">
        <f>VLOOKUP(A410,art_category_path_name!A:B,2,FALSE)</f>
        <v>201</v>
      </c>
      <c r="C410" t="s">
        <v>9086</v>
      </c>
      <c r="D410" t="s">
        <v>3489</v>
      </c>
      <c r="F410" t="s">
        <v>1834</v>
      </c>
      <c r="G410" t="s">
        <v>3490</v>
      </c>
      <c r="H410" t="s">
        <v>3491</v>
      </c>
      <c r="I410">
        <v>2</v>
      </c>
    </row>
    <row r="411" spans="1:9" x14ac:dyDescent="0.25">
      <c r="A411" t="s">
        <v>98</v>
      </c>
      <c r="B411">
        <f>VLOOKUP(A411,art_category_path_name!A:B,2,FALSE)</f>
        <v>203</v>
      </c>
      <c r="C411" t="s">
        <v>9087</v>
      </c>
      <c r="D411" t="s">
        <v>3493</v>
      </c>
      <c r="F411" t="s">
        <v>1834</v>
      </c>
      <c r="G411" t="s">
        <v>3494</v>
      </c>
      <c r="H411" t="s">
        <v>3495</v>
      </c>
      <c r="I411">
        <v>1</v>
      </c>
    </row>
    <row r="412" spans="1:9" x14ac:dyDescent="0.25">
      <c r="A412" t="s">
        <v>99</v>
      </c>
      <c r="B412">
        <f>VLOOKUP(A412,art_category_path_name!A:B,2,FALSE)</f>
        <v>204</v>
      </c>
      <c r="C412" t="s">
        <v>9088</v>
      </c>
      <c r="D412" t="s">
        <v>3497</v>
      </c>
      <c r="F412" t="s">
        <v>1834</v>
      </c>
      <c r="G412" t="s">
        <v>3498</v>
      </c>
      <c r="H412" t="s">
        <v>3499</v>
      </c>
      <c r="I412">
        <v>1</v>
      </c>
    </row>
    <row r="413" spans="1:9" x14ac:dyDescent="0.25">
      <c r="A413" t="s">
        <v>156</v>
      </c>
      <c r="B413">
        <f>VLOOKUP(A413,art_category_path_name!A:B,2,FALSE)</f>
        <v>207</v>
      </c>
      <c r="C413" t="s">
        <v>9089</v>
      </c>
      <c r="D413" t="s">
        <v>3501</v>
      </c>
      <c r="E413" t="s">
        <v>3502</v>
      </c>
      <c r="F413" t="s">
        <v>3503</v>
      </c>
      <c r="G413" t="s">
        <v>3504</v>
      </c>
      <c r="H413" t="s">
        <v>3505</v>
      </c>
      <c r="I413">
        <v>1</v>
      </c>
    </row>
    <row r="414" spans="1:9" x14ac:dyDescent="0.25">
      <c r="A414" t="s">
        <v>157</v>
      </c>
      <c r="B414">
        <f>VLOOKUP(A414,art_category_path_name!A:B,2,FALSE)</f>
        <v>208</v>
      </c>
      <c r="C414" t="s">
        <v>9090</v>
      </c>
      <c r="D414" t="s">
        <v>3507</v>
      </c>
      <c r="F414" t="s">
        <v>1834</v>
      </c>
      <c r="G414" t="s">
        <v>3508</v>
      </c>
      <c r="H414" t="s">
        <v>3509</v>
      </c>
      <c r="I414">
        <v>1</v>
      </c>
    </row>
    <row r="415" spans="1:9" x14ac:dyDescent="0.25">
      <c r="A415" t="s">
        <v>158</v>
      </c>
      <c r="B415">
        <f>VLOOKUP(A415,art_category_path_name!A:B,2,FALSE)</f>
        <v>209</v>
      </c>
      <c r="C415" t="s">
        <v>9091</v>
      </c>
      <c r="D415" t="s">
        <v>3511</v>
      </c>
      <c r="F415" t="s">
        <v>1834</v>
      </c>
      <c r="G415" t="s">
        <v>3512</v>
      </c>
      <c r="H415" t="s">
        <v>3513</v>
      </c>
      <c r="I415">
        <v>2</v>
      </c>
    </row>
    <row r="416" spans="1:9" x14ac:dyDescent="0.25">
      <c r="A416" t="s">
        <v>159</v>
      </c>
      <c r="B416">
        <f>VLOOKUP(A416,art_category_path_name!A:B,2,FALSE)</f>
        <v>210</v>
      </c>
      <c r="C416" t="s">
        <v>9092</v>
      </c>
      <c r="D416" t="s">
        <v>3515</v>
      </c>
      <c r="F416" t="s">
        <v>1834</v>
      </c>
      <c r="G416" t="s">
        <v>3516</v>
      </c>
      <c r="H416" t="s">
        <v>3517</v>
      </c>
      <c r="I416">
        <v>3</v>
      </c>
    </row>
    <row r="417" spans="1:9" x14ac:dyDescent="0.25">
      <c r="A417" t="s">
        <v>160</v>
      </c>
      <c r="B417">
        <f>VLOOKUP(A417,art_category_path_name!A:B,2,FALSE)</f>
        <v>211</v>
      </c>
      <c r="C417" t="s">
        <v>9093</v>
      </c>
      <c r="D417" t="s">
        <v>3519</v>
      </c>
      <c r="F417" t="s">
        <v>1834</v>
      </c>
      <c r="G417" t="s">
        <v>3520</v>
      </c>
      <c r="H417" t="s">
        <v>3521</v>
      </c>
      <c r="I417">
        <v>4</v>
      </c>
    </row>
    <row r="418" spans="1:9" x14ac:dyDescent="0.25">
      <c r="A418" t="s">
        <v>161</v>
      </c>
      <c r="B418">
        <f>VLOOKUP(A418,art_category_path_name!A:B,2,FALSE)</f>
        <v>212</v>
      </c>
      <c r="C418" t="s">
        <v>9094</v>
      </c>
      <c r="D418" t="s">
        <v>3523</v>
      </c>
      <c r="F418" t="s">
        <v>1834</v>
      </c>
      <c r="G418" t="s">
        <v>3524</v>
      </c>
      <c r="H418" t="s">
        <v>3525</v>
      </c>
      <c r="I418">
        <v>1</v>
      </c>
    </row>
    <row r="419" spans="1:9" x14ac:dyDescent="0.25">
      <c r="A419" t="s">
        <v>162</v>
      </c>
      <c r="B419">
        <f>VLOOKUP(A419,art_category_path_name!A:B,2,FALSE)</f>
        <v>213</v>
      </c>
      <c r="C419" t="s">
        <v>9095</v>
      </c>
      <c r="D419" t="s">
        <v>3527</v>
      </c>
      <c r="F419" t="s">
        <v>1834</v>
      </c>
      <c r="G419" t="s">
        <v>3528</v>
      </c>
      <c r="H419" t="s">
        <v>3529</v>
      </c>
      <c r="I419">
        <v>3</v>
      </c>
    </row>
    <row r="420" spans="1:9" x14ac:dyDescent="0.25">
      <c r="A420" t="s">
        <v>163</v>
      </c>
      <c r="B420">
        <f>VLOOKUP(A420,art_category_path_name!A:B,2,FALSE)</f>
        <v>214</v>
      </c>
      <c r="C420" t="s">
        <v>9096</v>
      </c>
      <c r="D420" t="s">
        <v>3531</v>
      </c>
      <c r="F420" t="s">
        <v>1834</v>
      </c>
      <c r="G420" t="s">
        <v>3532</v>
      </c>
      <c r="H420" t="s">
        <v>3533</v>
      </c>
      <c r="I420">
        <v>1</v>
      </c>
    </row>
    <row r="421" spans="1:9" x14ac:dyDescent="0.25">
      <c r="A421" t="s">
        <v>164</v>
      </c>
      <c r="B421">
        <f>VLOOKUP(A421,art_category_path_name!A:B,2,FALSE)</f>
        <v>215</v>
      </c>
      <c r="C421" t="s">
        <v>9097</v>
      </c>
      <c r="D421" t="s">
        <v>3535</v>
      </c>
      <c r="F421" t="s">
        <v>1834</v>
      </c>
      <c r="G421" t="s">
        <v>3536</v>
      </c>
      <c r="H421" t="s">
        <v>3537</v>
      </c>
      <c r="I421">
        <v>1</v>
      </c>
    </row>
    <row r="422" spans="1:9" x14ac:dyDescent="0.25">
      <c r="A422" t="s">
        <v>165</v>
      </c>
      <c r="B422">
        <f>VLOOKUP(A422,art_category_path_name!A:B,2,FALSE)</f>
        <v>216</v>
      </c>
      <c r="C422" t="s">
        <v>3539</v>
      </c>
      <c r="D422" t="s">
        <v>3539</v>
      </c>
      <c r="F422" t="s">
        <v>1834</v>
      </c>
      <c r="G422" t="s">
        <v>3540</v>
      </c>
      <c r="H422" t="s">
        <v>3541</v>
      </c>
      <c r="I422">
        <v>1</v>
      </c>
    </row>
    <row r="423" spans="1:9" x14ac:dyDescent="0.25">
      <c r="A423" t="s">
        <v>166</v>
      </c>
      <c r="B423">
        <f>VLOOKUP(A423,art_category_path_name!A:B,2,FALSE)</f>
        <v>217</v>
      </c>
      <c r="C423" t="s">
        <v>9098</v>
      </c>
      <c r="D423" t="s">
        <v>3543</v>
      </c>
      <c r="F423" t="s">
        <v>1834</v>
      </c>
      <c r="G423" t="s">
        <v>3544</v>
      </c>
      <c r="H423" t="s">
        <v>3545</v>
      </c>
      <c r="I423">
        <v>2</v>
      </c>
    </row>
    <row r="424" spans="1:9" x14ac:dyDescent="0.25">
      <c r="A424" t="s">
        <v>781</v>
      </c>
      <c r="B424">
        <f>VLOOKUP(A424,art_category_path_name!A:B,2,FALSE)</f>
        <v>220</v>
      </c>
      <c r="C424" t="s">
        <v>9099</v>
      </c>
      <c r="D424" t="s">
        <v>3547</v>
      </c>
      <c r="E424" t="s">
        <v>3548</v>
      </c>
      <c r="F424" t="s">
        <v>3549</v>
      </c>
      <c r="G424" t="s">
        <v>3550</v>
      </c>
      <c r="H424" t="s">
        <v>3551</v>
      </c>
      <c r="I424">
        <v>7</v>
      </c>
    </row>
    <row r="425" spans="1:9" x14ac:dyDescent="0.25">
      <c r="A425" t="s">
        <v>782</v>
      </c>
      <c r="B425">
        <f>VLOOKUP(A425,art_category_path_name!A:B,2,FALSE)</f>
        <v>221</v>
      </c>
      <c r="C425" t="s">
        <v>9100</v>
      </c>
      <c r="D425" t="s">
        <v>3547</v>
      </c>
      <c r="E425" t="s">
        <v>3553</v>
      </c>
      <c r="F425" t="s">
        <v>3554</v>
      </c>
      <c r="G425" t="s">
        <v>3555</v>
      </c>
      <c r="H425" t="s">
        <v>3556</v>
      </c>
      <c r="I425">
        <v>7</v>
      </c>
    </row>
    <row r="426" spans="1:9" x14ac:dyDescent="0.25">
      <c r="A426" t="s">
        <v>299</v>
      </c>
      <c r="B426">
        <f>VLOOKUP(A426,art_category_path_name!A:B,2,FALSE)</f>
        <v>224</v>
      </c>
      <c r="C426" t="s">
        <v>9101</v>
      </c>
      <c r="D426" t="s">
        <v>3558</v>
      </c>
      <c r="F426" t="s">
        <v>1834</v>
      </c>
      <c r="G426" t="s">
        <v>3559</v>
      </c>
      <c r="H426" t="s">
        <v>3560</v>
      </c>
      <c r="I426">
        <v>2</v>
      </c>
    </row>
    <row r="427" spans="1:9" x14ac:dyDescent="0.25">
      <c r="A427" t="s">
        <v>300</v>
      </c>
      <c r="B427">
        <f>VLOOKUP(A427,art_category_path_name!A:B,2,FALSE)</f>
        <v>225</v>
      </c>
      <c r="C427" t="s">
        <v>9102</v>
      </c>
      <c r="D427" t="s">
        <v>3562</v>
      </c>
      <c r="F427" t="s">
        <v>1834</v>
      </c>
      <c r="G427" t="s">
        <v>3563</v>
      </c>
      <c r="H427" t="s">
        <v>3564</v>
      </c>
      <c r="I427">
        <v>4</v>
      </c>
    </row>
    <row r="428" spans="1:9" x14ac:dyDescent="0.25">
      <c r="A428" t="s">
        <v>301</v>
      </c>
      <c r="B428">
        <f>VLOOKUP(A428,art_category_path_name!A:B,2,FALSE)</f>
        <v>226</v>
      </c>
      <c r="C428" t="s">
        <v>9103</v>
      </c>
      <c r="D428" t="s">
        <v>3566</v>
      </c>
      <c r="F428" t="s">
        <v>1834</v>
      </c>
      <c r="G428" t="s">
        <v>3567</v>
      </c>
      <c r="H428" t="s">
        <v>3568</v>
      </c>
      <c r="I428">
        <v>4</v>
      </c>
    </row>
    <row r="429" spans="1:9" x14ac:dyDescent="0.25">
      <c r="A429" t="s">
        <v>302</v>
      </c>
      <c r="B429">
        <f>VLOOKUP(A429,art_category_path_name!A:B,2,FALSE)</f>
        <v>227</v>
      </c>
      <c r="C429" t="s">
        <v>9104</v>
      </c>
      <c r="D429" t="s">
        <v>3570</v>
      </c>
      <c r="F429" t="s">
        <v>1834</v>
      </c>
      <c r="G429" t="s">
        <v>3571</v>
      </c>
      <c r="H429" t="s">
        <v>3572</v>
      </c>
      <c r="I429">
        <v>1</v>
      </c>
    </row>
    <row r="430" spans="1:9" x14ac:dyDescent="0.25">
      <c r="A430" t="s">
        <v>303</v>
      </c>
      <c r="B430">
        <f>VLOOKUP(A430,art_category_path_name!A:B,2,FALSE)</f>
        <v>228</v>
      </c>
      <c r="C430" t="s">
        <v>9105</v>
      </c>
      <c r="D430" t="s">
        <v>3574</v>
      </c>
      <c r="F430" t="s">
        <v>1834</v>
      </c>
      <c r="G430" t="s">
        <v>3575</v>
      </c>
      <c r="H430" t="s">
        <v>3576</v>
      </c>
      <c r="I430">
        <v>2</v>
      </c>
    </row>
    <row r="431" spans="1:9" x14ac:dyDescent="0.25">
      <c r="A431" t="s">
        <v>304</v>
      </c>
      <c r="B431">
        <f>VLOOKUP(A431,art_category_path_name!A:B,2,FALSE)</f>
        <v>229</v>
      </c>
      <c r="C431" t="s">
        <v>9106</v>
      </c>
      <c r="D431" t="s">
        <v>3578</v>
      </c>
      <c r="F431" t="s">
        <v>1834</v>
      </c>
      <c r="G431" t="s">
        <v>3579</v>
      </c>
      <c r="H431" t="s">
        <v>3580</v>
      </c>
      <c r="I431">
        <v>1</v>
      </c>
    </row>
    <row r="432" spans="1:9" x14ac:dyDescent="0.25">
      <c r="A432" t="s">
        <v>305</v>
      </c>
      <c r="B432">
        <f>VLOOKUP(A432,art_category_path_name!A:B,2,FALSE)</f>
        <v>230</v>
      </c>
      <c r="C432" t="s">
        <v>9107</v>
      </c>
      <c r="D432" t="s">
        <v>3582</v>
      </c>
      <c r="F432" t="s">
        <v>1834</v>
      </c>
      <c r="G432" t="s">
        <v>3583</v>
      </c>
      <c r="H432" t="s">
        <v>3584</v>
      </c>
      <c r="I432">
        <v>2</v>
      </c>
    </row>
    <row r="433" spans="1:9" x14ac:dyDescent="0.25">
      <c r="A433" t="s">
        <v>306</v>
      </c>
      <c r="B433">
        <f>VLOOKUP(A433,art_category_path_name!A:B,2,FALSE)</f>
        <v>231</v>
      </c>
      <c r="C433" t="s">
        <v>9108</v>
      </c>
      <c r="D433" t="s">
        <v>3586</v>
      </c>
      <c r="F433" t="s">
        <v>1834</v>
      </c>
      <c r="G433" t="s">
        <v>3587</v>
      </c>
      <c r="H433" t="s">
        <v>3588</v>
      </c>
      <c r="I433">
        <v>1</v>
      </c>
    </row>
    <row r="434" spans="1:9" x14ac:dyDescent="0.25">
      <c r="A434" t="s">
        <v>307</v>
      </c>
      <c r="B434">
        <f>VLOOKUP(A434,art_category_path_name!A:B,2,FALSE)</f>
        <v>232</v>
      </c>
      <c r="C434" t="s">
        <v>9109</v>
      </c>
      <c r="D434" t="s">
        <v>3590</v>
      </c>
      <c r="F434" t="s">
        <v>1834</v>
      </c>
      <c r="G434" t="s">
        <v>3591</v>
      </c>
      <c r="H434" t="s">
        <v>3592</v>
      </c>
      <c r="I434">
        <v>5</v>
      </c>
    </row>
    <row r="435" spans="1:9" x14ac:dyDescent="0.25">
      <c r="A435" t="s">
        <v>308</v>
      </c>
      <c r="B435">
        <f>VLOOKUP(A435,art_category_path_name!A:B,2,FALSE)</f>
        <v>233</v>
      </c>
      <c r="C435" t="s">
        <v>9110</v>
      </c>
      <c r="D435" t="s">
        <v>3594</v>
      </c>
      <c r="F435" t="s">
        <v>1834</v>
      </c>
      <c r="G435" t="s">
        <v>3595</v>
      </c>
      <c r="H435" t="s">
        <v>3596</v>
      </c>
      <c r="I435">
        <v>2</v>
      </c>
    </row>
    <row r="436" spans="1:9" x14ac:dyDescent="0.25">
      <c r="A436" t="s">
        <v>310</v>
      </c>
      <c r="B436">
        <f>VLOOKUP(A436,art_category_path_name!A:B,2,FALSE)</f>
        <v>235</v>
      </c>
      <c r="C436" t="s">
        <v>9111</v>
      </c>
      <c r="D436" t="s">
        <v>3598</v>
      </c>
      <c r="F436" t="s">
        <v>1834</v>
      </c>
      <c r="G436" t="s">
        <v>3599</v>
      </c>
      <c r="H436" t="s">
        <v>3600</v>
      </c>
      <c r="I436">
        <v>1</v>
      </c>
    </row>
    <row r="437" spans="1:9" x14ac:dyDescent="0.25">
      <c r="A437" t="s">
        <v>311</v>
      </c>
      <c r="B437">
        <f>VLOOKUP(A437,art_category_path_name!A:B,2,FALSE)</f>
        <v>236</v>
      </c>
      <c r="C437" t="s">
        <v>9112</v>
      </c>
      <c r="D437" t="s">
        <v>3602</v>
      </c>
      <c r="F437" t="s">
        <v>1834</v>
      </c>
      <c r="G437" t="s">
        <v>3603</v>
      </c>
      <c r="H437" t="s">
        <v>3604</v>
      </c>
      <c r="I437">
        <v>8</v>
      </c>
    </row>
    <row r="438" spans="1:9" x14ac:dyDescent="0.25">
      <c r="A438" t="s">
        <v>312</v>
      </c>
      <c r="B438">
        <f>VLOOKUP(A438,art_category_path_name!A:B,2,FALSE)</f>
        <v>237</v>
      </c>
      <c r="C438" t="s">
        <v>9113</v>
      </c>
      <c r="D438" t="s">
        <v>3606</v>
      </c>
      <c r="F438" t="s">
        <v>1834</v>
      </c>
      <c r="G438" t="s">
        <v>3607</v>
      </c>
      <c r="H438" t="s">
        <v>3608</v>
      </c>
      <c r="I438">
        <v>5</v>
      </c>
    </row>
    <row r="439" spans="1:9" x14ac:dyDescent="0.25">
      <c r="A439" t="s">
        <v>313</v>
      </c>
      <c r="B439">
        <f>VLOOKUP(A439,art_category_path_name!A:B,2,FALSE)</f>
        <v>238</v>
      </c>
      <c r="C439" t="s">
        <v>9114</v>
      </c>
      <c r="D439" t="s">
        <v>3610</v>
      </c>
      <c r="F439" t="s">
        <v>1834</v>
      </c>
      <c r="G439" t="s">
        <v>3611</v>
      </c>
      <c r="H439" t="s">
        <v>3612</v>
      </c>
      <c r="I439">
        <v>6</v>
      </c>
    </row>
    <row r="440" spans="1:9" x14ac:dyDescent="0.25">
      <c r="A440" t="s">
        <v>460</v>
      </c>
      <c r="B440">
        <f>VLOOKUP(A440,art_category_path_name!A:B,2,FALSE)</f>
        <v>240</v>
      </c>
      <c r="C440" t="s">
        <v>9115</v>
      </c>
      <c r="D440" t="s">
        <v>3614</v>
      </c>
      <c r="F440" t="s">
        <v>1834</v>
      </c>
      <c r="G440" t="s">
        <v>3615</v>
      </c>
      <c r="H440" t="s">
        <v>3616</v>
      </c>
      <c r="I440">
        <v>1</v>
      </c>
    </row>
    <row r="441" spans="1:9" x14ac:dyDescent="0.25">
      <c r="A441" t="s">
        <v>461</v>
      </c>
      <c r="B441">
        <f>VLOOKUP(A441,art_category_path_name!A:B,2,FALSE)</f>
        <v>241</v>
      </c>
      <c r="C441" t="s">
        <v>9116</v>
      </c>
      <c r="D441" t="s">
        <v>3618</v>
      </c>
      <c r="F441" t="s">
        <v>1834</v>
      </c>
      <c r="G441" t="s">
        <v>3619</v>
      </c>
      <c r="H441" t="s">
        <v>3620</v>
      </c>
      <c r="I441">
        <v>12</v>
      </c>
    </row>
    <row r="442" spans="1:9" x14ac:dyDescent="0.25">
      <c r="A442" t="s">
        <v>462</v>
      </c>
      <c r="B442">
        <f>VLOOKUP(A442,art_category_path_name!A:B,2,FALSE)</f>
        <v>242</v>
      </c>
      <c r="C442" t="s">
        <v>9117</v>
      </c>
      <c r="D442" t="s">
        <v>3622</v>
      </c>
      <c r="E442" t="s">
        <v>3623</v>
      </c>
      <c r="F442" t="s">
        <v>3624</v>
      </c>
      <c r="G442" t="s">
        <v>3625</v>
      </c>
      <c r="H442" t="s">
        <v>3626</v>
      </c>
      <c r="I442">
        <v>12</v>
      </c>
    </row>
    <row r="443" spans="1:9" x14ac:dyDescent="0.25">
      <c r="A443" t="s">
        <v>463</v>
      </c>
      <c r="B443">
        <f>VLOOKUP(A443,art_category_path_name!A:B,2,FALSE)</f>
        <v>243</v>
      </c>
      <c r="C443" t="s">
        <v>9118</v>
      </c>
      <c r="D443" t="s">
        <v>3628</v>
      </c>
      <c r="F443" t="s">
        <v>1834</v>
      </c>
      <c r="G443" t="s">
        <v>3629</v>
      </c>
      <c r="H443" t="s">
        <v>3630</v>
      </c>
      <c r="I443">
        <v>8</v>
      </c>
    </row>
    <row r="444" spans="1:9" x14ac:dyDescent="0.25">
      <c r="A444" t="s">
        <v>464</v>
      </c>
      <c r="B444">
        <f>VLOOKUP(A444,art_category_path_name!A:B,2,FALSE)</f>
        <v>244</v>
      </c>
      <c r="C444" t="s">
        <v>9119</v>
      </c>
      <c r="D444" t="s">
        <v>3632</v>
      </c>
      <c r="F444" t="s">
        <v>1834</v>
      </c>
      <c r="G444" t="s">
        <v>3633</v>
      </c>
      <c r="H444" t="s">
        <v>3634</v>
      </c>
      <c r="I444">
        <v>1</v>
      </c>
    </row>
    <row r="445" spans="1:9" x14ac:dyDescent="0.25">
      <c r="A445" t="s">
        <v>465</v>
      </c>
      <c r="B445">
        <f>VLOOKUP(A445,art_category_path_name!A:B,2,FALSE)</f>
        <v>245</v>
      </c>
      <c r="C445" t="s">
        <v>9120</v>
      </c>
      <c r="D445" t="s">
        <v>3636</v>
      </c>
      <c r="F445" t="s">
        <v>1834</v>
      </c>
      <c r="G445" t="s">
        <v>3637</v>
      </c>
      <c r="H445" t="s">
        <v>3638</v>
      </c>
      <c r="I445">
        <v>2</v>
      </c>
    </row>
    <row r="446" spans="1:9" x14ac:dyDescent="0.25">
      <c r="A446" t="s">
        <v>466</v>
      </c>
      <c r="B446">
        <f>VLOOKUP(A446,art_category_path_name!A:B,2,FALSE)</f>
        <v>246</v>
      </c>
      <c r="C446" t="s">
        <v>9121</v>
      </c>
      <c r="D446" t="s">
        <v>3640</v>
      </c>
      <c r="F446" t="s">
        <v>1834</v>
      </c>
      <c r="G446" t="s">
        <v>3641</v>
      </c>
      <c r="H446" t="s">
        <v>3642</v>
      </c>
      <c r="I446">
        <v>2</v>
      </c>
    </row>
    <row r="447" spans="1:9" x14ac:dyDescent="0.25">
      <c r="A447" t="s">
        <v>467</v>
      </c>
      <c r="B447">
        <f>VLOOKUP(A447,art_category_path_name!A:B,2,FALSE)</f>
        <v>247</v>
      </c>
      <c r="C447" t="s">
        <v>9122</v>
      </c>
      <c r="D447" t="s">
        <v>3644</v>
      </c>
      <c r="F447" t="s">
        <v>1834</v>
      </c>
      <c r="G447" t="s">
        <v>3645</v>
      </c>
      <c r="H447" t="s">
        <v>3646</v>
      </c>
      <c r="I447">
        <v>1</v>
      </c>
    </row>
    <row r="448" spans="1:9" x14ac:dyDescent="0.25">
      <c r="A448" t="s">
        <v>468</v>
      </c>
      <c r="B448">
        <f>VLOOKUP(A448,art_category_path_name!A:B,2,FALSE)</f>
        <v>248</v>
      </c>
      <c r="C448" t="s">
        <v>3648</v>
      </c>
      <c r="D448" t="s">
        <v>3648</v>
      </c>
      <c r="F448" t="s">
        <v>1834</v>
      </c>
      <c r="G448" t="s">
        <v>3649</v>
      </c>
      <c r="H448" t="s">
        <v>3650</v>
      </c>
      <c r="I448">
        <v>1</v>
      </c>
    </row>
    <row r="449" spans="1:9" x14ac:dyDescent="0.25">
      <c r="A449" t="s">
        <v>470</v>
      </c>
      <c r="B449">
        <f>VLOOKUP(A449,art_category_path_name!A:B,2,FALSE)</f>
        <v>250</v>
      </c>
      <c r="C449" t="s">
        <v>9123</v>
      </c>
      <c r="D449" t="s">
        <v>3652</v>
      </c>
      <c r="F449" t="s">
        <v>1834</v>
      </c>
      <c r="G449" t="s">
        <v>3653</v>
      </c>
      <c r="H449" t="s">
        <v>3654</v>
      </c>
      <c r="I449">
        <v>5</v>
      </c>
    </row>
    <row r="450" spans="1:9" x14ac:dyDescent="0.25">
      <c r="A450" t="s">
        <v>471</v>
      </c>
      <c r="B450">
        <f>VLOOKUP(A450,art_category_path_name!A:B,2,FALSE)</f>
        <v>251</v>
      </c>
      <c r="C450" t="s">
        <v>9124</v>
      </c>
      <c r="D450" t="s">
        <v>3656</v>
      </c>
      <c r="F450" t="s">
        <v>1834</v>
      </c>
      <c r="G450" t="s">
        <v>3657</v>
      </c>
      <c r="H450" t="s">
        <v>3658</v>
      </c>
      <c r="I450">
        <v>6</v>
      </c>
    </row>
    <row r="451" spans="1:9" x14ac:dyDescent="0.25">
      <c r="A451" t="s">
        <v>472</v>
      </c>
      <c r="B451">
        <f>VLOOKUP(A451,art_category_path_name!A:B,2,FALSE)</f>
        <v>252</v>
      </c>
      <c r="C451" t="s">
        <v>9125</v>
      </c>
      <c r="D451" t="s">
        <v>3660</v>
      </c>
      <c r="F451" t="s">
        <v>1834</v>
      </c>
      <c r="G451" t="s">
        <v>3661</v>
      </c>
      <c r="H451" t="s">
        <v>3662</v>
      </c>
      <c r="I451">
        <v>16</v>
      </c>
    </row>
    <row r="452" spans="1:9" x14ac:dyDescent="0.25">
      <c r="A452" t="s">
        <v>644</v>
      </c>
      <c r="B452">
        <f>VLOOKUP(A452,art_category_path_name!A:B,2,FALSE)</f>
        <v>255</v>
      </c>
      <c r="C452" t="s">
        <v>9126</v>
      </c>
      <c r="D452" t="s">
        <v>3664</v>
      </c>
      <c r="E452" t="s">
        <v>3665</v>
      </c>
      <c r="F452" t="s">
        <v>3666</v>
      </c>
      <c r="G452" t="s">
        <v>3667</v>
      </c>
      <c r="H452" t="s">
        <v>3668</v>
      </c>
      <c r="I452">
        <v>4</v>
      </c>
    </row>
    <row r="453" spans="1:9" x14ac:dyDescent="0.25">
      <c r="A453" t="s">
        <v>645</v>
      </c>
      <c r="B453">
        <f>VLOOKUP(A453,art_category_path_name!A:B,2,FALSE)</f>
        <v>256</v>
      </c>
      <c r="C453" t="s">
        <v>9127</v>
      </c>
      <c r="D453" t="s">
        <v>3670</v>
      </c>
      <c r="E453" t="s">
        <v>3671</v>
      </c>
      <c r="F453" t="s">
        <v>3672</v>
      </c>
      <c r="G453" t="s">
        <v>3673</v>
      </c>
      <c r="H453" t="s">
        <v>3674</v>
      </c>
      <c r="I453">
        <v>12</v>
      </c>
    </row>
    <row r="454" spans="1:9" x14ac:dyDescent="0.25">
      <c r="A454" t="s">
        <v>70</v>
      </c>
      <c r="B454">
        <f>VLOOKUP(A454,art_category_path_name!A:B,2,FALSE)</f>
        <v>258</v>
      </c>
      <c r="C454" t="s">
        <v>9128</v>
      </c>
      <c r="D454" t="s">
        <v>3676</v>
      </c>
      <c r="E454" t="s">
        <v>3677</v>
      </c>
      <c r="F454" t="s">
        <v>3678</v>
      </c>
      <c r="G454" t="s">
        <v>3679</v>
      </c>
      <c r="H454" t="s">
        <v>3680</v>
      </c>
      <c r="I454">
        <v>24</v>
      </c>
    </row>
    <row r="455" spans="1:9" x14ac:dyDescent="0.25">
      <c r="A455" t="s">
        <v>71</v>
      </c>
      <c r="B455">
        <f>VLOOKUP(A455,art_category_path_name!A:B,2,FALSE)</f>
        <v>259</v>
      </c>
      <c r="C455" t="s">
        <v>9129</v>
      </c>
      <c r="D455" t="s">
        <v>3682</v>
      </c>
      <c r="F455" t="s">
        <v>1834</v>
      </c>
      <c r="G455" t="s">
        <v>3683</v>
      </c>
      <c r="H455" t="s">
        <v>3684</v>
      </c>
      <c r="I455">
        <v>1</v>
      </c>
    </row>
    <row r="456" spans="1:9" x14ac:dyDescent="0.25">
      <c r="A456" t="s">
        <v>72</v>
      </c>
      <c r="B456">
        <f>VLOOKUP(A456,art_category_path_name!A:B,2,FALSE)</f>
        <v>260</v>
      </c>
      <c r="C456" t="s">
        <v>9130</v>
      </c>
      <c r="D456" t="s">
        <v>3686</v>
      </c>
      <c r="F456" t="s">
        <v>1834</v>
      </c>
      <c r="G456" t="s">
        <v>3687</v>
      </c>
      <c r="H456" t="s">
        <v>3688</v>
      </c>
      <c r="I456">
        <v>8</v>
      </c>
    </row>
    <row r="457" spans="1:9" x14ac:dyDescent="0.25">
      <c r="A457" t="s">
        <v>73</v>
      </c>
      <c r="B457">
        <f>VLOOKUP(A457,art_category_path_name!A:B,2,FALSE)</f>
        <v>261</v>
      </c>
      <c r="C457" t="s">
        <v>9131</v>
      </c>
      <c r="D457" t="s">
        <v>3690</v>
      </c>
      <c r="F457" t="s">
        <v>1834</v>
      </c>
      <c r="G457" t="s">
        <v>3691</v>
      </c>
      <c r="H457" t="s">
        <v>3692</v>
      </c>
      <c r="I457">
        <v>4</v>
      </c>
    </row>
    <row r="458" spans="1:9" x14ac:dyDescent="0.25">
      <c r="A458" t="s">
        <v>879</v>
      </c>
      <c r="B458">
        <f>VLOOKUP(A458,art_category_path_name!A:B,2,FALSE)</f>
        <v>264</v>
      </c>
      <c r="C458" t="s">
        <v>9132</v>
      </c>
      <c r="D458" t="s">
        <v>3694</v>
      </c>
      <c r="E458" t="s">
        <v>3695</v>
      </c>
      <c r="F458" t="s">
        <v>3696</v>
      </c>
      <c r="G458" t="s">
        <v>3697</v>
      </c>
      <c r="H458" t="s">
        <v>3698</v>
      </c>
      <c r="I458">
        <v>11</v>
      </c>
    </row>
    <row r="459" spans="1:9" x14ac:dyDescent="0.25">
      <c r="A459" t="s">
        <v>880</v>
      </c>
      <c r="B459">
        <f>VLOOKUP(A459,art_category_path_name!A:B,2,FALSE)</f>
        <v>265</v>
      </c>
      <c r="C459" t="s">
        <v>9133</v>
      </c>
      <c r="D459" t="s">
        <v>3700</v>
      </c>
      <c r="F459" t="s">
        <v>1834</v>
      </c>
      <c r="G459" t="s">
        <v>3701</v>
      </c>
      <c r="H459" t="s">
        <v>3702</v>
      </c>
      <c r="I459">
        <v>28</v>
      </c>
    </row>
    <row r="460" spans="1:9" x14ac:dyDescent="0.25">
      <c r="A460" t="s">
        <v>881</v>
      </c>
      <c r="B460">
        <f>VLOOKUP(A460,art_category_path_name!A:B,2,FALSE)</f>
        <v>266</v>
      </c>
      <c r="C460" t="s">
        <v>9134</v>
      </c>
      <c r="D460" t="s">
        <v>3704</v>
      </c>
      <c r="E460" t="s">
        <v>3705</v>
      </c>
      <c r="F460" t="s">
        <v>3706</v>
      </c>
      <c r="G460" t="s">
        <v>3707</v>
      </c>
      <c r="H460" t="s">
        <v>3708</v>
      </c>
      <c r="I460">
        <v>4</v>
      </c>
    </row>
    <row r="461" spans="1:9" x14ac:dyDescent="0.25">
      <c r="A461" t="s">
        <v>882</v>
      </c>
      <c r="B461">
        <f>VLOOKUP(A461,art_category_path_name!A:B,2,FALSE)</f>
        <v>267</v>
      </c>
      <c r="C461" t="s">
        <v>9135</v>
      </c>
      <c r="D461" t="s">
        <v>3710</v>
      </c>
      <c r="F461" t="s">
        <v>1834</v>
      </c>
      <c r="G461" t="s">
        <v>3711</v>
      </c>
      <c r="H461" t="s">
        <v>3712</v>
      </c>
      <c r="I461">
        <v>26</v>
      </c>
    </row>
    <row r="462" spans="1:9" x14ac:dyDescent="0.25">
      <c r="A462" t="s">
        <v>883</v>
      </c>
      <c r="B462">
        <f>VLOOKUP(A462,art_category_path_name!A:B,2,FALSE)</f>
        <v>268</v>
      </c>
      <c r="C462" t="s">
        <v>9136</v>
      </c>
      <c r="D462" t="s">
        <v>3714</v>
      </c>
      <c r="F462" t="s">
        <v>1834</v>
      </c>
      <c r="G462" t="s">
        <v>3715</v>
      </c>
      <c r="H462" t="s">
        <v>3716</v>
      </c>
      <c r="I462">
        <v>6</v>
      </c>
    </row>
    <row r="463" spans="1:9" x14ac:dyDescent="0.25">
      <c r="A463" t="s">
        <v>319</v>
      </c>
      <c r="B463">
        <f>VLOOKUP(A463,art_category_path_name!A:B,2,FALSE)</f>
        <v>271</v>
      </c>
      <c r="C463" t="s">
        <v>9137</v>
      </c>
      <c r="D463" t="s">
        <v>3718</v>
      </c>
      <c r="E463" t="s">
        <v>3719</v>
      </c>
      <c r="F463" t="s">
        <v>3720</v>
      </c>
      <c r="G463" t="s">
        <v>3721</v>
      </c>
      <c r="H463" t="s">
        <v>3722</v>
      </c>
      <c r="I463">
        <v>4</v>
      </c>
    </row>
    <row r="464" spans="1:9" x14ac:dyDescent="0.25">
      <c r="A464" t="s">
        <v>320</v>
      </c>
      <c r="B464">
        <f>VLOOKUP(A464,art_category_path_name!A:B,2,FALSE)</f>
        <v>272</v>
      </c>
      <c r="C464" t="s">
        <v>9138</v>
      </c>
      <c r="D464" t="s">
        <v>3724</v>
      </c>
      <c r="E464" t="s">
        <v>3725</v>
      </c>
      <c r="F464" t="s">
        <v>3726</v>
      </c>
      <c r="G464" t="s">
        <v>3727</v>
      </c>
      <c r="H464" t="s">
        <v>3728</v>
      </c>
      <c r="I464">
        <v>2</v>
      </c>
    </row>
    <row r="465" spans="1:9" x14ac:dyDescent="0.25">
      <c r="A465" t="s">
        <v>321</v>
      </c>
      <c r="B465">
        <f>VLOOKUP(A465,art_category_path_name!A:B,2,FALSE)</f>
        <v>273</v>
      </c>
      <c r="C465" t="s">
        <v>9139</v>
      </c>
      <c r="D465" t="s">
        <v>3730</v>
      </c>
      <c r="E465" t="s">
        <v>3731</v>
      </c>
      <c r="F465" t="s">
        <v>3732</v>
      </c>
      <c r="G465" t="s">
        <v>3733</v>
      </c>
      <c r="H465" t="s">
        <v>3734</v>
      </c>
      <c r="I465">
        <v>1</v>
      </c>
    </row>
    <row r="466" spans="1:9" x14ac:dyDescent="0.25">
      <c r="A466" t="s">
        <v>322</v>
      </c>
      <c r="B466">
        <f>VLOOKUP(A466,art_category_path_name!A:B,2,FALSE)</f>
        <v>274</v>
      </c>
      <c r="C466" t="s">
        <v>9140</v>
      </c>
      <c r="D466" t="s">
        <v>3736</v>
      </c>
      <c r="E466" t="s">
        <v>3737</v>
      </c>
      <c r="F466" t="s">
        <v>3738</v>
      </c>
      <c r="G466" t="s">
        <v>3739</v>
      </c>
      <c r="H466" t="s">
        <v>3740</v>
      </c>
      <c r="I466">
        <v>1</v>
      </c>
    </row>
    <row r="467" spans="1:9" x14ac:dyDescent="0.25">
      <c r="A467" t="s">
        <v>323</v>
      </c>
      <c r="B467">
        <f>VLOOKUP(A467,art_category_path_name!A:B,2,FALSE)</f>
        <v>275</v>
      </c>
      <c r="C467" t="s">
        <v>9141</v>
      </c>
      <c r="D467" t="s">
        <v>3742</v>
      </c>
      <c r="E467" t="s">
        <v>3743</v>
      </c>
      <c r="F467" t="s">
        <v>3744</v>
      </c>
      <c r="G467" t="s">
        <v>3745</v>
      </c>
      <c r="H467" t="s">
        <v>3746</v>
      </c>
      <c r="I467">
        <v>3</v>
      </c>
    </row>
    <row r="468" spans="1:9" x14ac:dyDescent="0.25">
      <c r="A468" t="s">
        <v>324</v>
      </c>
      <c r="B468">
        <f>VLOOKUP(A468,art_category_path_name!A:B,2,FALSE)</f>
        <v>276</v>
      </c>
      <c r="C468" t="s">
        <v>9142</v>
      </c>
      <c r="D468" t="s">
        <v>3748</v>
      </c>
      <c r="E468" t="s">
        <v>3749</v>
      </c>
      <c r="F468" t="s">
        <v>3750</v>
      </c>
      <c r="G468" t="s">
        <v>3751</v>
      </c>
      <c r="H468" t="s">
        <v>3752</v>
      </c>
      <c r="I468">
        <v>3</v>
      </c>
    </row>
    <row r="469" spans="1:9" x14ac:dyDescent="0.25">
      <c r="A469" t="s">
        <v>1096</v>
      </c>
      <c r="B469">
        <f>VLOOKUP(A469,art_category_path_name!A:B,2,FALSE)</f>
        <v>279</v>
      </c>
      <c r="C469" t="s">
        <v>9143</v>
      </c>
      <c r="D469" t="s">
        <v>3754</v>
      </c>
      <c r="E469" t="s">
        <v>3755</v>
      </c>
      <c r="F469" t="s">
        <v>3756</v>
      </c>
      <c r="G469" t="s">
        <v>3757</v>
      </c>
      <c r="H469" t="s">
        <v>3758</v>
      </c>
      <c r="I469">
        <v>10</v>
      </c>
    </row>
    <row r="470" spans="1:9" x14ac:dyDescent="0.25">
      <c r="A470" t="s">
        <v>331</v>
      </c>
      <c r="B470">
        <f>VLOOKUP(A470,art_category_path_name!A:B,2,FALSE)</f>
        <v>282</v>
      </c>
      <c r="C470" t="s">
        <v>9144</v>
      </c>
      <c r="D470" t="s">
        <v>3760</v>
      </c>
      <c r="F470" t="s">
        <v>1834</v>
      </c>
      <c r="G470" t="s">
        <v>3761</v>
      </c>
      <c r="H470" t="s">
        <v>3762</v>
      </c>
      <c r="I470">
        <v>2</v>
      </c>
    </row>
    <row r="471" spans="1:9" x14ac:dyDescent="0.25">
      <c r="A471" t="s">
        <v>332</v>
      </c>
      <c r="B471">
        <f>VLOOKUP(A471,art_category_path_name!A:B,2,FALSE)</f>
        <v>283</v>
      </c>
      <c r="C471" t="s">
        <v>9145</v>
      </c>
      <c r="D471" t="s">
        <v>3764</v>
      </c>
      <c r="F471" t="s">
        <v>1834</v>
      </c>
      <c r="G471" t="s">
        <v>3765</v>
      </c>
      <c r="H471" t="s">
        <v>3766</v>
      </c>
      <c r="I471">
        <v>2</v>
      </c>
    </row>
    <row r="472" spans="1:9" x14ac:dyDescent="0.25">
      <c r="A472" t="s">
        <v>168</v>
      </c>
      <c r="B472">
        <f>VLOOKUP(A472,art_category_path_name!A:B,2,FALSE)</f>
        <v>285</v>
      </c>
      <c r="C472" t="s">
        <v>9146</v>
      </c>
      <c r="D472" t="s">
        <v>3768</v>
      </c>
      <c r="E472" t="s">
        <v>3769</v>
      </c>
      <c r="F472" t="s">
        <v>3770</v>
      </c>
      <c r="G472" t="s">
        <v>3771</v>
      </c>
      <c r="H472" t="s">
        <v>3772</v>
      </c>
      <c r="I472">
        <v>1</v>
      </c>
    </row>
    <row r="473" spans="1:9" x14ac:dyDescent="0.25">
      <c r="A473" t="s">
        <v>169</v>
      </c>
      <c r="B473">
        <f>VLOOKUP(A473,art_category_path_name!A:B,2,FALSE)</f>
        <v>286</v>
      </c>
      <c r="C473" t="s">
        <v>9147</v>
      </c>
      <c r="D473" t="s">
        <v>3774</v>
      </c>
      <c r="E473" t="s">
        <v>3775</v>
      </c>
      <c r="F473" t="s">
        <v>3776</v>
      </c>
      <c r="G473" t="s">
        <v>3777</v>
      </c>
      <c r="H473" t="s">
        <v>3778</v>
      </c>
      <c r="I473">
        <v>1</v>
      </c>
    </row>
    <row r="474" spans="1:9" x14ac:dyDescent="0.25">
      <c r="A474" t="s">
        <v>647</v>
      </c>
      <c r="B474">
        <f>VLOOKUP(A474,art_category_path_name!A:B,2,FALSE)</f>
        <v>288</v>
      </c>
      <c r="C474" t="s">
        <v>9148</v>
      </c>
      <c r="D474" t="s">
        <v>3780</v>
      </c>
      <c r="E474" t="s">
        <v>3781</v>
      </c>
      <c r="F474" t="s">
        <v>3782</v>
      </c>
      <c r="G474" t="s">
        <v>3783</v>
      </c>
      <c r="H474" t="s">
        <v>3784</v>
      </c>
      <c r="I474">
        <v>2</v>
      </c>
    </row>
    <row r="475" spans="1:9" x14ac:dyDescent="0.25">
      <c r="A475" t="s">
        <v>648</v>
      </c>
      <c r="B475">
        <f>VLOOKUP(A475,art_category_path_name!A:B,2,FALSE)</f>
        <v>289</v>
      </c>
      <c r="C475" t="s">
        <v>9149</v>
      </c>
      <c r="D475" t="s">
        <v>3786</v>
      </c>
      <c r="E475" t="s">
        <v>3787</v>
      </c>
      <c r="F475" t="s">
        <v>3788</v>
      </c>
      <c r="G475" t="s">
        <v>3789</v>
      </c>
      <c r="H475" t="s">
        <v>3790</v>
      </c>
      <c r="I475">
        <v>2</v>
      </c>
    </row>
    <row r="476" spans="1:9" x14ac:dyDescent="0.25">
      <c r="A476" t="s">
        <v>334</v>
      </c>
      <c r="B476">
        <f>VLOOKUP(A476,art_category_path_name!A:B,2,FALSE)</f>
        <v>291</v>
      </c>
      <c r="C476" t="s">
        <v>9150</v>
      </c>
      <c r="D476" t="s">
        <v>3792</v>
      </c>
      <c r="E476" t="s">
        <v>2204</v>
      </c>
      <c r="F476" t="s">
        <v>3793</v>
      </c>
      <c r="G476" t="s">
        <v>3794</v>
      </c>
      <c r="H476" t="s">
        <v>3795</v>
      </c>
      <c r="I476">
        <v>6</v>
      </c>
    </row>
    <row r="477" spans="1:9" x14ac:dyDescent="0.25">
      <c r="A477" t="s">
        <v>335</v>
      </c>
      <c r="B477">
        <f>VLOOKUP(A477,art_category_path_name!A:B,2,FALSE)</f>
        <v>292</v>
      </c>
      <c r="C477" t="s">
        <v>9151</v>
      </c>
      <c r="D477" t="s">
        <v>3797</v>
      </c>
      <c r="F477" t="s">
        <v>1834</v>
      </c>
      <c r="G477" t="s">
        <v>3798</v>
      </c>
      <c r="H477" t="s">
        <v>3799</v>
      </c>
      <c r="I477">
        <v>2</v>
      </c>
    </row>
    <row r="478" spans="1:9" x14ac:dyDescent="0.25">
      <c r="A478" t="s">
        <v>337</v>
      </c>
      <c r="B478">
        <f>VLOOKUP(A478,art_category_path_name!A:B,2,FALSE)</f>
        <v>294</v>
      </c>
      <c r="C478" t="s">
        <v>9152</v>
      </c>
      <c r="D478" t="s">
        <v>3801</v>
      </c>
      <c r="F478" t="s">
        <v>1834</v>
      </c>
      <c r="G478" t="s">
        <v>3802</v>
      </c>
      <c r="H478" t="s">
        <v>3803</v>
      </c>
      <c r="I478">
        <v>4</v>
      </c>
    </row>
    <row r="479" spans="1:9" x14ac:dyDescent="0.25">
      <c r="A479" t="s">
        <v>339</v>
      </c>
      <c r="B479">
        <f>VLOOKUP(A479,art_category_path_name!A:B,2,FALSE)</f>
        <v>296</v>
      </c>
      <c r="C479" t="s">
        <v>9153</v>
      </c>
      <c r="D479" t="s">
        <v>3805</v>
      </c>
      <c r="F479" t="s">
        <v>1834</v>
      </c>
      <c r="G479" t="s">
        <v>3806</v>
      </c>
      <c r="H479" t="s">
        <v>3807</v>
      </c>
      <c r="I479">
        <v>1</v>
      </c>
    </row>
    <row r="480" spans="1:9" x14ac:dyDescent="0.25">
      <c r="A480" t="s">
        <v>340</v>
      </c>
      <c r="B480">
        <f>VLOOKUP(A480,art_category_path_name!A:B,2,FALSE)</f>
        <v>297</v>
      </c>
      <c r="C480" t="s">
        <v>9154</v>
      </c>
      <c r="D480" t="s">
        <v>3809</v>
      </c>
      <c r="F480" t="s">
        <v>1834</v>
      </c>
      <c r="G480" t="s">
        <v>3810</v>
      </c>
      <c r="H480" t="s">
        <v>3811</v>
      </c>
      <c r="I480">
        <v>1</v>
      </c>
    </row>
    <row r="481" spans="1:9" x14ac:dyDescent="0.25">
      <c r="A481" t="s">
        <v>171</v>
      </c>
      <c r="B481">
        <f>VLOOKUP(A481,art_category_path_name!A:B,2,FALSE)</f>
        <v>299</v>
      </c>
      <c r="C481" t="s">
        <v>9155</v>
      </c>
      <c r="D481" t="s">
        <v>3813</v>
      </c>
      <c r="F481" t="s">
        <v>1834</v>
      </c>
      <c r="G481" t="s">
        <v>3814</v>
      </c>
      <c r="H481" t="s">
        <v>3815</v>
      </c>
      <c r="I481">
        <v>1</v>
      </c>
    </row>
    <row r="482" spans="1:9" x14ac:dyDescent="0.25">
      <c r="A482" t="s">
        <v>172</v>
      </c>
      <c r="B482">
        <f>VLOOKUP(A482,art_category_path_name!A:B,2,FALSE)</f>
        <v>300</v>
      </c>
      <c r="C482" t="s">
        <v>9156</v>
      </c>
      <c r="D482" t="s">
        <v>3817</v>
      </c>
      <c r="F482" t="s">
        <v>1834</v>
      </c>
      <c r="G482" t="s">
        <v>3818</v>
      </c>
      <c r="H482" t="s">
        <v>3819</v>
      </c>
      <c r="I482">
        <v>1</v>
      </c>
    </row>
    <row r="483" spans="1:9" x14ac:dyDescent="0.25">
      <c r="A483" t="s">
        <v>173</v>
      </c>
      <c r="B483">
        <f>VLOOKUP(A483,art_category_path_name!A:B,2,FALSE)</f>
        <v>301</v>
      </c>
      <c r="C483" t="s">
        <v>9157</v>
      </c>
      <c r="D483" t="s">
        <v>3821</v>
      </c>
      <c r="F483" t="s">
        <v>1834</v>
      </c>
      <c r="G483" t="s">
        <v>3822</v>
      </c>
      <c r="H483" t="s">
        <v>3823</v>
      </c>
      <c r="I483">
        <v>1</v>
      </c>
    </row>
    <row r="484" spans="1:9" x14ac:dyDescent="0.25">
      <c r="A484" t="s">
        <v>174</v>
      </c>
      <c r="B484">
        <f>VLOOKUP(A484,art_category_path_name!A:B,2,FALSE)</f>
        <v>302</v>
      </c>
      <c r="C484" t="s">
        <v>9158</v>
      </c>
      <c r="D484" t="s">
        <v>3825</v>
      </c>
      <c r="F484" t="s">
        <v>1834</v>
      </c>
      <c r="G484" t="s">
        <v>3826</v>
      </c>
      <c r="H484" t="s">
        <v>3827</v>
      </c>
      <c r="I484">
        <v>2</v>
      </c>
    </row>
    <row r="485" spans="1:9" x14ac:dyDescent="0.25">
      <c r="A485" t="s">
        <v>175</v>
      </c>
      <c r="B485">
        <f>VLOOKUP(A485,art_category_path_name!A:B,2,FALSE)</f>
        <v>303</v>
      </c>
      <c r="C485" t="s">
        <v>9159</v>
      </c>
      <c r="D485" t="s">
        <v>3829</v>
      </c>
      <c r="F485" t="s">
        <v>1834</v>
      </c>
      <c r="G485" t="s">
        <v>3830</v>
      </c>
      <c r="H485" t="s">
        <v>3831</v>
      </c>
      <c r="I485">
        <v>1</v>
      </c>
    </row>
    <row r="486" spans="1:9" x14ac:dyDescent="0.25">
      <c r="A486" t="s">
        <v>176</v>
      </c>
      <c r="B486">
        <f>VLOOKUP(A486,art_category_path_name!A:B,2,FALSE)</f>
        <v>304</v>
      </c>
      <c r="C486" t="s">
        <v>9160</v>
      </c>
      <c r="D486" t="s">
        <v>3833</v>
      </c>
      <c r="F486" t="s">
        <v>1834</v>
      </c>
      <c r="G486" t="s">
        <v>3834</v>
      </c>
      <c r="H486" t="s">
        <v>3835</v>
      </c>
      <c r="I486">
        <v>2</v>
      </c>
    </row>
    <row r="487" spans="1:9" x14ac:dyDescent="0.25">
      <c r="A487" t="s">
        <v>177</v>
      </c>
      <c r="B487">
        <f>VLOOKUP(A487,art_category_path_name!A:B,2,FALSE)</f>
        <v>305</v>
      </c>
      <c r="C487" t="s">
        <v>9161</v>
      </c>
      <c r="D487" t="s">
        <v>3837</v>
      </c>
      <c r="F487" t="s">
        <v>1834</v>
      </c>
      <c r="G487" t="s">
        <v>3838</v>
      </c>
      <c r="H487" t="s">
        <v>3839</v>
      </c>
      <c r="I487">
        <v>7</v>
      </c>
    </row>
    <row r="488" spans="1:9" x14ac:dyDescent="0.25">
      <c r="A488" t="s">
        <v>179</v>
      </c>
      <c r="B488">
        <f>VLOOKUP(A488,art_category_path_name!A:B,2,FALSE)</f>
        <v>307</v>
      </c>
      <c r="C488" t="s">
        <v>9162</v>
      </c>
      <c r="D488" t="s">
        <v>3841</v>
      </c>
      <c r="E488" t="s">
        <v>3842</v>
      </c>
      <c r="F488" t="s">
        <v>3843</v>
      </c>
      <c r="G488" t="s">
        <v>3844</v>
      </c>
      <c r="H488" t="s">
        <v>3845</v>
      </c>
      <c r="I488">
        <v>6</v>
      </c>
    </row>
    <row r="489" spans="1:9" x14ac:dyDescent="0.25">
      <c r="A489" t="s">
        <v>180</v>
      </c>
      <c r="B489">
        <f>VLOOKUP(A489,art_category_path_name!A:B,2,FALSE)</f>
        <v>308</v>
      </c>
      <c r="C489" t="s">
        <v>9163</v>
      </c>
      <c r="D489" t="s">
        <v>3847</v>
      </c>
      <c r="E489" t="s">
        <v>3848</v>
      </c>
      <c r="F489" t="s">
        <v>3849</v>
      </c>
      <c r="G489" t="s">
        <v>3844</v>
      </c>
      <c r="H489" t="s">
        <v>3850</v>
      </c>
      <c r="I489">
        <v>1</v>
      </c>
    </row>
    <row r="490" spans="1:9" x14ac:dyDescent="0.25">
      <c r="A490" t="s">
        <v>1190</v>
      </c>
      <c r="B490">
        <f>VLOOKUP(A490,art_category_path_name!A:B,2,FALSE)</f>
        <v>311</v>
      </c>
      <c r="C490" t="s">
        <v>9164</v>
      </c>
      <c r="D490" t="s">
        <v>3852</v>
      </c>
      <c r="F490" t="s">
        <v>1834</v>
      </c>
      <c r="G490" t="s">
        <v>3853</v>
      </c>
      <c r="H490" t="s">
        <v>3854</v>
      </c>
      <c r="I490">
        <v>1</v>
      </c>
    </row>
    <row r="491" spans="1:9" x14ac:dyDescent="0.25">
      <c r="A491" t="s">
        <v>1191</v>
      </c>
      <c r="B491">
        <f>VLOOKUP(A491,art_category_path_name!A:B,2,FALSE)</f>
        <v>312</v>
      </c>
      <c r="C491" t="s">
        <v>9165</v>
      </c>
      <c r="D491" t="s">
        <v>3856</v>
      </c>
      <c r="F491" t="s">
        <v>1834</v>
      </c>
      <c r="G491" t="s">
        <v>3857</v>
      </c>
      <c r="H491" t="s">
        <v>3858</v>
      </c>
      <c r="I491">
        <v>1</v>
      </c>
    </row>
    <row r="492" spans="1:9" x14ac:dyDescent="0.25">
      <c r="A492" t="s">
        <v>1192</v>
      </c>
      <c r="B492">
        <f>VLOOKUP(A492,art_category_path_name!A:B,2,FALSE)</f>
        <v>313</v>
      </c>
      <c r="C492" t="s">
        <v>9166</v>
      </c>
      <c r="D492" t="s">
        <v>3860</v>
      </c>
      <c r="F492" t="s">
        <v>1834</v>
      </c>
      <c r="G492" t="s">
        <v>3861</v>
      </c>
      <c r="H492" t="s">
        <v>3862</v>
      </c>
      <c r="I492">
        <v>1</v>
      </c>
    </row>
    <row r="493" spans="1:9" x14ac:dyDescent="0.25">
      <c r="A493" t="s">
        <v>1193</v>
      </c>
      <c r="B493">
        <f>VLOOKUP(A493,art_category_path_name!A:B,2,FALSE)</f>
        <v>314</v>
      </c>
      <c r="C493" t="s">
        <v>9167</v>
      </c>
      <c r="D493" t="s">
        <v>3864</v>
      </c>
      <c r="F493" t="s">
        <v>1834</v>
      </c>
      <c r="G493" t="s">
        <v>3865</v>
      </c>
      <c r="H493" t="s">
        <v>3866</v>
      </c>
      <c r="I493">
        <v>3</v>
      </c>
    </row>
    <row r="494" spans="1:9" x14ac:dyDescent="0.25">
      <c r="A494" t="s">
        <v>1194</v>
      </c>
      <c r="B494">
        <f>VLOOKUP(A494,art_category_path_name!A:B,2,FALSE)</f>
        <v>315</v>
      </c>
      <c r="C494" t="s">
        <v>9168</v>
      </c>
      <c r="D494" t="s">
        <v>3868</v>
      </c>
      <c r="E494" t="s">
        <v>3869</v>
      </c>
      <c r="F494" t="s">
        <v>3870</v>
      </c>
      <c r="G494" t="s">
        <v>3871</v>
      </c>
      <c r="H494" t="s">
        <v>3872</v>
      </c>
      <c r="I494">
        <v>1</v>
      </c>
    </row>
    <row r="495" spans="1:9" x14ac:dyDescent="0.25">
      <c r="A495" t="s">
        <v>655</v>
      </c>
      <c r="B495">
        <f>VLOOKUP(A495,art_category_path_name!A:B,2,FALSE)</f>
        <v>318</v>
      </c>
      <c r="C495" t="s">
        <v>9169</v>
      </c>
      <c r="D495" t="s">
        <v>3874</v>
      </c>
      <c r="E495" t="s">
        <v>3875</v>
      </c>
      <c r="F495" t="s">
        <v>3876</v>
      </c>
      <c r="G495" t="s">
        <v>3877</v>
      </c>
      <c r="H495" t="s">
        <v>3878</v>
      </c>
      <c r="I495">
        <v>64</v>
      </c>
    </row>
    <row r="496" spans="1:9" x14ac:dyDescent="0.25">
      <c r="A496" t="s">
        <v>656</v>
      </c>
      <c r="B496">
        <f>VLOOKUP(A496,art_category_path_name!A:B,2,FALSE)</f>
        <v>319</v>
      </c>
      <c r="C496" t="s">
        <v>9170</v>
      </c>
      <c r="D496" t="s">
        <v>3880</v>
      </c>
      <c r="F496" t="s">
        <v>1834</v>
      </c>
      <c r="G496" t="s">
        <v>3881</v>
      </c>
      <c r="H496" t="s">
        <v>3882</v>
      </c>
      <c r="I496">
        <v>195</v>
      </c>
    </row>
    <row r="497" spans="1:9" x14ac:dyDescent="0.25">
      <c r="A497" t="s">
        <v>63</v>
      </c>
      <c r="B497">
        <f>VLOOKUP(A497,art_category_path_name!A:B,2,FALSE)</f>
        <v>321</v>
      </c>
      <c r="C497" t="s">
        <v>9171</v>
      </c>
      <c r="D497" t="s">
        <v>3884</v>
      </c>
      <c r="F497" t="s">
        <v>1834</v>
      </c>
      <c r="G497" t="s">
        <v>3885</v>
      </c>
      <c r="H497" t="s">
        <v>3886</v>
      </c>
      <c r="I497">
        <v>13</v>
      </c>
    </row>
    <row r="498" spans="1:9" x14ac:dyDescent="0.25">
      <c r="A498" t="s">
        <v>64</v>
      </c>
      <c r="B498">
        <f>VLOOKUP(A498,art_category_path_name!A:B,2,FALSE)</f>
        <v>322</v>
      </c>
      <c r="C498" t="s">
        <v>9172</v>
      </c>
      <c r="G498" t="s">
        <v>3888</v>
      </c>
      <c r="H498" t="s">
        <v>3889</v>
      </c>
      <c r="I498">
        <v>4</v>
      </c>
    </row>
    <row r="499" spans="1:9" x14ac:dyDescent="0.25">
      <c r="A499" t="s">
        <v>65</v>
      </c>
      <c r="B499">
        <f>VLOOKUP(A499,art_category_path_name!A:B,2,FALSE)</f>
        <v>323</v>
      </c>
      <c r="C499" t="s">
        <v>9173</v>
      </c>
      <c r="G499" t="s">
        <v>3891</v>
      </c>
      <c r="H499" t="s">
        <v>3892</v>
      </c>
      <c r="I499">
        <v>2</v>
      </c>
    </row>
    <row r="500" spans="1:9" x14ac:dyDescent="0.25">
      <c r="A500" t="s">
        <v>687</v>
      </c>
      <c r="B500">
        <f>VLOOKUP(A500,art_category_path_name!A:B,2,FALSE)</f>
        <v>326</v>
      </c>
      <c r="C500" t="s">
        <v>9174</v>
      </c>
      <c r="D500" t="s">
        <v>3894</v>
      </c>
      <c r="E500" t="s">
        <v>3895</v>
      </c>
      <c r="F500" t="s">
        <v>3896</v>
      </c>
      <c r="G500" t="s">
        <v>3897</v>
      </c>
      <c r="H500" t="s">
        <v>3898</v>
      </c>
      <c r="I500">
        <v>7</v>
      </c>
    </row>
    <row r="501" spans="1:9" x14ac:dyDescent="0.25">
      <c r="A501" t="s">
        <v>688</v>
      </c>
      <c r="B501">
        <f>VLOOKUP(A501,art_category_path_name!A:B,2,FALSE)</f>
        <v>327</v>
      </c>
      <c r="C501" t="s">
        <v>9175</v>
      </c>
      <c r="D501" t="s">
        <v>3900</v>
      </c>
      <c r="E501" t="s">
        <v>3901</v>
      </c>
      <c r="F501" t="s">
        <v>3902</v>
      </c>
      <c r="G501" t="s">
        <v>3903</v>
      </c>
      <c r="H501" t="s">
        <v>3904</v>
      </c>
      <c r="I501">
        <v>25</v>
      </c>
    </row>
    <row r="502" spans="1:9" x14ac:dyDescent="0.25">
      <c r="A502" t="s">
        <v>689</v>
      </c>
      <c r="B502">
        <f>VLOOKUP(A502,art_category_path_name!A:B,2,FALSE)</f>
        <v>328</v>
      </c>
      <c r="C502" t="s">
        <v>9176</v>
      </c>
      <c r="D502" t="s">
        <v>3906</v>
      </c>
      <c r="E502" t="s">
        <v>3907</v>
      </c>
      <c r="F502" t="s">
        <v>3908</v>
      </c>
      <c r="G502" t="s">
        <v>3909</v>
      </c>
      <c r="H502" t="s">
        <v>3910</v>
      </c>
      <c r="I502">
        <v>2</v>
      </c>
    </row>
    <row r="503" spans="1:9" x14ac:dyDescent="0.25">
      <c r="A503" t="s">
        <v>690</v>
      </c>
      <c r="B503">
        <f>VLOOKUP(A503,art_category_path_name!A:B,2,FALSE)</f>
        <v>329</v>
      </c>
      <c r="C503" t="s">
        <v>9177</v>
      </c>
      <c r="D503" t="s">
        <v>3912</v>
      </c>
      <c r="E503" t="s">
        <v>3913</v>
      </c>
      <c r="F503" t="s">
        <v>3914</v>
      </c>
      <c r="G503" t="s">
        <v>3915</v>
      </c>
      <c r="H503" t="s">
        <v>3916</v>
      </c>
      <c r="I503">
        <v>36</v>
      </c>
    </row>
    <row r="504" spans="1:9" x14ac:dyDescent="0.25">
      <c r="A504" t="s">
        <v>691</v>
      </c>
      <c r="B504">
        <f>VLOOKUP(A504,art_category_path_name!A:B,2,FALSE)</f>
        <v>330</v>
      </c>
      <c r="C504" t="s">
        <v>9178</v>
      </c>
      <c r="D504" t="s">
        <v>3918</v>
      </c>
      <c r="E504" t="s">
        <v>3919</v>
      </c>
      <c r="F504" t="s">
        <v>3920</v>
      </c>
      <c r="G504" t="s">
        <v>3921</v>
      </c>
      <c r="H504" t="s">
        <v>3922</v>
      </c>
      <c r="I504">
        <v>4</v>
      </c>
    </row>
    <row r="505" spans="1:9" x14ac:dyDescent="0.25">
      <c r="A505" t="s">
        <v>692</v>
      </c>
      <c r="B505">
        <f>VLOOKUP(A505,art_category_path_name!A:B,2,FALSE)</f>
        <v>331</v>
      </c>
      <c r="C505" t="s">
        <v>9179</v>
      </c>
      <c r="G505" t="s">
        <v>3924</v>
      </c>
      <c r="H505" t="s">
        <v>3925</v>
      </c>
      <c r="I505">
        <v>5</v>
      </c>
    </row>
    <row r="506" spans="1:9" x14ac:dyDescent="0.25">
      <c r="A506" t="s">
        <v>533</v>
      </c>
      <c r="B506">
        <f>VLOOKUP(A506,art_category_path_name!A:B,2,FALSE)</f>
        <v>334</v>
      </c>
      <c r="C506" t="s">
        <v>9180</v>
      </c>
      <c r="D506" t="s">
        <v>3927</v>
      </c>
      <c r="F506" t="s">
        <v>1834</v>
      </c>
      <c r="G506" t="s">
        <v>3928</v>
      </c>
      <c r="H506" t="s">
        <v>3929</v>
      </c>
      <c r="I506">
        <v>1</v>
      </c>
    </row>
    <row r="507" spans="1:9" x14ac:dyDescent="0.25">
      <c r="A507" t="s">
        <v>534</v>
      </c>
      <c r="B507">
        <f>VLOOKUP(A507,art_category_path_name!A:B,2,FALSE)</f>
        <v>335</v>
      </c>
      <c r="C507" t="s">
        <v>9181</v>
      </c>
      <c r="D507" t="s">
        <v>3931</v>
      </c>
      <c r="F507" t="s">
        <v>1834</v>
      </c>
      <c r="G507" t="s">
        <v>3932</v>
      </c>
      <c r="H507" t="s">
        <v>3933</v>
      </c>
      <c r="I507">
        <v>1</v>
      </c>
    </row>
    <row r="508" spans="1:9" x14ac:dyDescent="0.25">
      <c r="A508" t="s">
        <v>535</v>
      </c>
      <c r="B508">
        <f>VLOOKUP(A508,art_category_path_name!A:B,2,FALSE)</f>
        <v>336</v>
      </c>
      <c r="C508" t="s">
        <v>9182</v>
      </c>
      <c r="D508" t="s">
        <v>3935</v>
      </c>
      <c r="F508" t="s">
        <v>1834</v>
      </c>
      <c r="G508" t="s">
        <v>3936</v>
      </c>
      <c r="H508" t="s">
        <v>3937</v>
      </c>
      <c r="I508">
        <v>1</v>
      </c>
    </row>
    <row r="509" spans="1:9" x14ac:dyDescent="0.25">
      <c r="A509" t="s">
        <v>536</v>
      </c>
      <c r="B509">
        <f>VLOOKUP(A509,art_category_path_name!A:B,2,FALSE)</f>
        <v>337</v>
      </c>
      <c r="C509" t="s">
        <v>9183</v>
      </c>
      <c r="D509" t="s">
        <v>3939</v>
      </c>
      <c r="F509" t="s">
        <v>1834</v>
      </c>
      <c r="G509" t="s">
        <v>3940</v>
      </c>
      <c r="H509" t="s">
        <v>3941</v>
      </c>
      <c r="I509">
        <v>2</v>
      </c>
    </row>
    <row r="510" spans="1:9" x14ac:dyDescent="0.25">
      <c r="A510" t="s">
        <v>537</v>
      </c>
      <c r="B510">
        <f>VLOOKUP(A510,art_category_path_name!A:B,2,FALSE)</f>
        <v>338</v>
      </c>
      <c r="C510" t="s">
        <v>9184</v>
      </c>
      <c r="D510" t="s">
        <v>3943</v>
      </c>
      <c r="F510" t="s">
        <v>1834</v>
      </c>
      <c r="G510" t="s">
        <v>3944</v>
      </c>
      <c r="H510" t="s">
        <v>3945</v>
      </c>
      <c r="I510">
        <v>1</v>
      </c>
    </row>
    <row r="511" spans="1:9" x14ac:dyDescent="0.25">
      <c r="A511" t="s">
        <v>538</v>
      </c>
      <c r="B511">
        <f>VLOOKUP(A511,art_category_path_name!A:B,2,FALSE)</f>
        <v>339</v>
      </c>
      <c r="C511" t="s">
        <v>9185</v>
      </c>
      <c r="D511" t="s">
        <v>3947</v>
      </c>
      <c r="F511" t="s">
        <v>1834</v>
      </c>
      <c r="H511" t="s">
        <v>3948</v>
      </c>
      <c r="I511">
        <v>1</v>
      </c>
    </row>
    <row r="512" spans="1:9" x14ac:dyDescent="0.25">
      <c r="A512" t="s">
        <v>539</v>
      </c>
      <c r="B512">
        <f>VLOOKUP(A512,art_category_path_name!A:B,2,FALSE)</f>
        <v>340</v>
      </c>
      <c r="C512" t="s">
        <v>9186</v>
      </c>
      <c r="D512" t="s">
        <v>3950</v>
      </c>
      <c r="F512" t="s">
        <v>1834</v>
      </c>
      <c r="G512" t="s">
        <v>3932</v>
      </c>
      <c r="H512" t="s">
        <v>3951</v>
      </c>
      <c r="I512">
        <v>1</v>
      </c>
    </row>
    <row r="513" spans="1:9" x14ac:dyDescent="0.25">
      <c r="A513" t="s">
        <v>540</v>
      </c>
      <c r="B513">
        <f>VLOOKUP(A513,art_category_path_name!A:B,2,FALSE)</f>
        <v>341</v>
      </c>
      <c r="C513" t="s">
        <v>9187</v>
      </c>
      <c r="D513" t="s">
        <v>3953</v>
      </c>
      <c r="F513" t="s">
        <v>1834</v>
      </c>
      <c r="G513" t="s">
        <v>3458</v>
      </c>
      <c r="H513" t="s">
        <v>3954</v>
      </c>
      <c r="I513">
        <v>3</v>
      </c>
    </row>
    <row r="514" spans="1:9" x14ac:dyDescent="0.25">
      <c r="A514" t="s">
        <v>542</v>
      </c>
      <c r="B514">
        <f>VLOOKUP(A514,art_category_path_name!A:B,2,FALSE)</f>
        <v>343</v>
      </c>
      <c r="C514" t="s">
        <v>9182</v>
      </c>
      <c r="D514" t="s">
        <v>3956</v>
      </c>
      <c r="F514" t="s">
        <v>1834</v>
      </c>
      <c r="G514" t="s">
        <v>3957</v>
      </c>
      <c r="H514" t="s">
        <v>3958</v>
      </c>
      <c r="I514">
        <v>15</v>
      </c>
    </row>
    <row r="515" spans="1:9" x14ac:dyDescent="0.25">
      <c r="A515" t="s">
        <v>543</v>
      </c>
      <c r="B515">
        <f>VLOOKUP(A515,art_category_path_name!A:B,2,FALSE)</f>
        <v>344</v>
      </c>
      <c r="C515" t="s">
        <v>9182</v>
      </c>
      <c r="D515" t="s">
        <v>3959</v>
      </c>
      <c r="F515" t="s">
        <v>1834</v>
      </c>
      <c r="G515" t="s">
        <v>3960</v>
      </c>
      <c r="H515" t="s">
        <v>3961</v>
      </c>
      <c r="I515">
        <v>22</v>
      </c>
    </row>
    <row r="516" spans="1:9" x14ac:dyDescent="0.25">
      <c r="A516" t="s">
        <v>544</v>
      </c>
      <c r="B516">
        <f>VLOOKUP(A516,art_category_path_name!A:B,2,FALSE)</f>
        <v>345</v>
      </c>
      <c r="C516" t="s">
        <v>9188</v>
      </c>
      <c r="D516" t="s">
        <v>3963</v>
      </c>
      <c r="F516" t="s">
        <v>1834</v>
      </c>
      <c r="G516" t="s">
        <v>3936</v>
      </c>
      <c r="H516" t="s">
        <v>3964</v>
      </c>
      <c r="I516">
        <v>2</v>
      </c>
    </row>
    <row r="517" spans="1:9" x14ac:dyDescent="0.25">
      <c r="A517" t="s">
        <v>548</v>
      </c>
      <c r="B517">
        <f>VLOOKUP(A517,art_category_path_name!A:B,2,FALSE)</f>
        <v>347</v>
      </c>
      <c r="C517" t="s">
        <v>9189</v>
      </c>
      <c r="D517" t="s">
        <v>3966</v>
      </c>
      <c r="F517" t="s">
        <v>1834</v>
      </c>
      <c r="G517" t="s">
        <v>3967</v>
      </c>
      <c r="H517" t="s">
        <v>3968</v>
      </c>
      <c r="I517">
        <v>2</v>
      </c>
    </row>
    <row r="518" spans="1:9" x14ac:dyDescent="0.25">
      <c r="A518" t="s">
        <v>549</v>
      </c>
      <c r="B518">
        <f>VLOOKUP(A518,art_category_path_name!A:B,2,FALSE)</f>
        <v>348</v>
      </c>
      <c r="C518" t="s">
        <v>9190</v>
      </c>
      <c r="D518" t="s">
        <v>3970</v>
      </c>
      <c r="F518" t="s">
        <v>1834</v>
      </c>
      <c r="G518" t="s">
        <v>3971</v>
      </c>
      <c r="H518" t="s">
        <v>3972</v>
      </c>
      <c r="I518">
        <v>3</v>
      </c>
    </row>
    <row r="519" spans="1:9" x14ac:dyDescent="0.25">
      <c r="A519" t="s">
        <v>550</v>
      </c>
      <c r="B519">
        <f>VLOOKUP(A519,art_category_path_name!A:B,2,FALSE)</f>
        <v>349</v>
      </c>
      <c r="C519" t="s">
        <v>9191</v>
      </c>
      <c r="D519" t="s">
        <v>3974</v>
      </c>
      <c r="F519" t="s">
        <v>1834</v>
      </c>
      <c r="G519" t="s">
        <v>3975</v>
      </c>
      <c r="H519" t="s">
        <v>3976</v>
      </c>
      <c r="I519">
        <v>1</v>
      </c>
    </row>
    <row r="520" spans="1:9" x14ac:dyDescent="0.25">
      <c r="A520" t="s">
        <v>551</v>
      </c>
      <c r="B520">
        <f>VLOOKUP(A520,art_category_path_name!A:B,2,FALSE)</f>
        <v>350</v>
      </c>
      <c r="C520" t="s">
        <v>9192</v>
      </c>
      <c r="D520" t="s">
        <v>3978</v>
      </c>
      <c r="F520" t="s">
        <v>1834</v>
      </c>
      <c r="G520" t="s">
        <v>3979</v>
      </c>
      <c r="H520" t="s">
        <v>3980</v>
      </c>
      <c r="I520">
        <v>1</v>
      </c>
    </row>
    <row r="521" spans="1:9" x14ac:dyDescent="0.25">
      <c r="A521" t="s">
        <v>552</v>
      </c>
      <c r="B521">
        <f>VLOOKUP(A521,art_category_path_name!A:B,2,FALSE)</f>
        <v>351</v>
      </c>
      <c r="C521" t="s">
        <v>9193</v>
      </c>
      <c r="D521" t="s">
        <v>3982</v>
      </c>
      <c r="F521" t="s">
        <v>1834</v>
      </c>
      <c r="G521" t="s">
        <v>3983</v>
      </c>
      <c r="H521" t="s">
        <v>3984</v>
      </c>
      <c r="I521">
        <v>1</v>
      </c>
    </row>
    <row r="522" spans="1:9" x14ac:dyDescent="0.25">
      <c r="A522" t="s">
        <v>553</v>
      </c>
      <c r="B522">
        <f>VLOOKUP(A522,art_category_path_name!A:B,2,FALSE)</f>
        <v>352</v>
      </c>
      <c r="C522" t="s">
        <v>9194</v>
      </c>
      <c r="D522" t="s">
        <v>3986</v>
      </c>
      <c r="F522" t="s">
        <v>1834</v>
      </c>
      <c r="G522" t="s">
        <v>3987</v>
      </c>
      <c r="H522" t="s">
        <v>3988</v>
      </c>
      <c r="I522">
        <v>1</v>
      </c>
    </row>
    <row r="523" spans="1:9" x14ac:dyDescent="0.25">
      <c r="A523" t="s">
        <v>554</v>
      </c>
      <c r="B523">
        <f>VLOOKUP(A523,art_category_path_name!A:B,2,FALSE)</f>
        <v>353</v>
      </c>
      <c r="C523" t="s">
        <v>9195</v>
      </c>
      <c r="D523" t="s">
        <v>3990</v>
      </c>
      <c r="F523" t="s">
        <v>1834</v>
      </c>
      <c r="G523" t="s">
        <v>3567</v>
      </c>
      <c r="H523" t="s">
        <v>3991</v>
      </c>
      <c r="I523">
        <v>1</v>
      </c>
    </row>
    <row r="524" spans="1:9" x14ac:dyDescent="0.25">
      <c r="A524" t="s">
        <v>555</v>
      </c>
      <c r="B524">
        <f>VLOOKUP(A524,art_category_path_name!A:B,2,FALSE)</f>
        <v>354</v>
      </c>
      <c r="C524" t="s">
        <v>9196</v>
      </c>
      <c r="D524" t="s">
        <v>3993</v>
      </c>
      <c r="F524" t="s">
        <v>1834</v>
      </c>
      <c r="G524" t="s">
        <v>3994</v>
      </c>
      <c r="H524" t="s">
        <v>3995</v>
      </c>
      <c r="I524">
        <v>1</v>
      </c>
    </row>
    <row r="525" spans="1:9" x14ac:dyDescent="0.25">
      <c r="A525" t="s">
        <v>556</v>
      </c>
      <c r="B525">
        <f>VLOOKUP(A525,art_category_path_name!A:B,2,FALSE)</f>
        <v>355</v>
      </c>
      <c r="C525" t="s">
        <v>9197</v>
      </c>
      <c r="D525" t="s">
        <v>3997</v>
      </c>
      <c r="F525" t="s">
        <v>1834</v>
      </c>
      <c r="G525" t="s">
        <v>3998</v>
      </c>
      <c r="H525" t="s">
        <v>3999</v>
      </c>
      <c r="I525">
        <v>1</v>
      </c>
    </row>
    <row r="526" spans="1:9" x14ac:dyDescent="0.25">
      <c r="A526" t="s">
        <v>557</v>
      </c>
      <c r="B526">
        <f>VLOOKUP(A526,art_category_path_name!A:B,2,FALSE)</f>
        <v>356</v>
      </c>
      <c r="C526" t="s">
        <v>9198</v>
      </c>
      <c r="D526" t="s">
        <v>4001</v>
      </c>
      <c r="F526" t="s">
        <v>1834</v>
      </c>
      <c r="G526" t="s">
        <v>3745</v>
      </c>
      <c r="H526" t="s">
        <v>4002</v>
      </c>
      <c r="I526">
        <v>1</v>
      </c>
    </row>
    <row r="527" spans="1:9" x14ac:dyDescent="0.25">
      <c r="A527" t="s">
        <v>558</v>
      </c>
      <c r="B527">
        <f>VLOOKUP(A527,art_category_path_name!A:B,2,FALSE)</f>
        <v>357</v>
      </c>
      <c r="C527" t="s">
        <v>9199</v>
      </c>
      <c r="D527" t="s">
        <v>4004</v>
      </c>
      <c r="F527" t="s">
        <v>1834</v>
      </c>
      <c r="G527" t="s">
        <v>4005</v>
      </c>
      <c r="H527" t="s">
        <v>4006</v>
      </c>
      <c r="I527">
        <v>1</v>
      </c>
    </row>
    <row r="528" spans="1:9" x14ac:dyDescent="0.25">
      <c r="A528" t="s">
        <v>559</v>
      </c>
      <c r="B528">
        <f>VLOOKUP(A528,art_category_path_name!A:B,2,FALSE)</f>
        <v>358</v>
      </c>
      <c r="C528" t="s">
        <v>9200</v>
      </c>
      <c r="D528" t="s">
        <v>4008</v>
      </c>
      <c r="F528" t="s">
        <v>1834</v>
      </c>
      <c r="G528" t="s">
        <v>4009</v>
      </c>
      <c r="H528" t="s">
        <v>4010</v>
      </c>
      <c r="I528">
        <v>1</v>
      </c>
    </row>
    <row r="529" spans="1:9" x14ac:dyDescent="0.25">
      <c r="A529" t="s">
        <v>560</v>
      </c>
      <c r="B529">
        <f>VLOOKUP(A529,art_category_path_name!A:B,2,FALSE)</f>
        <v>359</v>
      </c>
      <c r="C529" t="s">
        <v>9201</v>
      </c>
      <c r="D529" t="s">
        <v>4012</v>
      </c>
      <c r="F529" t="s">
        <v>1834</v>
      </c>
      <c r="G529" t="s">
        <v>4013</v>
      </c>
      <c r="H529" t="s">
        <v>4014</v>
      </c>
      <c r="I529">
        <v>1</v>
      </c>
    </row>
    <row r="530" spans="1:9" x14ac:dyDescent="0.25">
      <c r="A530" t="s">
        <v>561</v>
      </c>
      <c r="B530">
        <f>VLOOKUP(A530,art_category_path_name!A:B,2,FALSE)</f>
        <v>360</v>
      </c>
      <c r="C530" t="s">
        <v>9202</v>
      </c>
      <c r="D530" t="s">
        <v>4016</v>
      </c>
      <c r="F530" t="s">
        <v>1834</v>
      </c>
      <c r="G530" t="s">
        <v>4017</v>
      </c>
      <c r="H530" t="s">
        <v>4018</v>
      </c>
      <c r="I530">
        <v>3</v>
      </c>
    </row>
    <row r="531" spans="1:9" x14ac:dyDescent="0.25">
      <c r="A531" t="s">
        <v>562</v>
      </c>
      <c r="B531">
        <f>VLOOKUP(A531,art_category_path_name!A:B,2,FALSE)</f>
        <v>361</v>
      </c>
      <c r="C531" t="s">
        <v>9182</v>
      </c>
      <c r="D531" t="s">
        <v>4019</v>
      </c>
      <c r="F531" t="s">
        <v>1834</v>
      </c>
      <c r="G531" t="s">
        <v>4020</v>
      </c>
      <c r="H531" t="s">
        <v>4021</v>
      </c>
      <c r="I531">
        <v>1</v>
      </c>
    </row>
    <row r="532" spans="1:9" x14ac:dyDescent="0.25">
      <c r="A532" t="s">
        <v>563</v>
      </c>
      <c r="B532">
        <f>VLOOKUP(A532,art_category_path_name!A:B,2,FALSE)</f>
        <v>362</v>
      </c>
      <c r="C532" t="s">
        <v>9182</v>
      </c>
      <c r="D532" t="s">
        <v>4022</v>
      </c>
      <c r="F532" t="s">
        <v>1834</v>
      </c>
      <c r="G532" t="s">
        <v>4023</v>
      </c>
      <c r="H532" t="s">
        <v>4024</v>
      </c>
      <c r="I532">
        <v>1</v>
      </c>
    </row>
    <row r="533" spans="1:9" x14ac:dyDescent="0.25">
      <c r="A533" t="s">
        <v>564</v>
      </c>
      <c r="B533">
        <f>VLOOKUP(A533,art_category_path_name!A:B,2,FALSE)</f>
        <v>363</v>
      </c>
      <c r="C533" t="s">
        <v>9203</v>
      </c>
      <c r="D533" t="s">
        <v>4026</v>
      </c>
      <c r="F533" t="s">
        <v>1834</v>
      </c>
      <c r="G533" t="s">
        <v>4027</v>
      </c>
      <c r="H533" t="s">
        <v>4028</v>
      </c>
      <c r="I533">
        <v>1</v>
      </c>
    </row>
    <row r="534" spans="1:9" x14ac:dyDescent="0.25">
      <c r="A534" t="s">
        <v>565</v>
      </c>
      <c r="B534">
        <f>VLOOKUP(A534,art_category_path_name!A:B,2,FALSE)</f>
        <v>364</v>
      </c>
      <c r="C534" t="s">
        <v>9204</v>
      </c>
      <c r="D534" t="s">
        <v>4030</v>
      </c>
      <c r="F534" t="s">
        <v>1834</v>
      </c>
      <c r="G534" t="s">
        <v>4031</v>
      </c>
      <c r="H534" t="s">
        <v>4032</v>
      </c>
      <c r="I534">
        <v>1</v>
      </c>
    </row>
    <row r="535" spans="1:9" x14ac:dyDescent="0.25">
      <c r="A535" t="s">
        <v>569</v>
      </c>
      <c r="B535">
        <f>VLOOKUP(A535,art_category_path_name!A:B,2,FALSE)</f>
        <v>366</v>
      </c>
      <c r="C535" t="s">
        <v>9205</v>
      </c>
      <c r="D535" t="s">
        <v>4034</v>
      </c>
      <c r="F535" t="s">
        <v>1834</v>
      </c>
      <c r="G535" t="s">
        <v>4035</v>
      </c>
      <c r="H535" t="s">
        <v>4036</v>
      </c>
      <c r="I535">
        <v>5</v>
      </c>
    </row>
    <row r="536" spans="1:9" x14ac:dyDescent="0.25">
      <c r="A536" t="s">
        <v>570</v>
      </c>
      <c r="B536">
        <f>VLOOKUP(A536,art_category_path_name!A:B,2,FALSE)</f>
        <v>367</v>
      </c>
      <c r="C536" t="s">
        <v>9206</v>
      </c>
      <c r="D536" t="s">
        <v>4038</v>
      </c>
      <c r="F536" t="s">
        <v>1834</v>
      </c>
      <c r="G536" t="s">
        <v>4039</v>
      </c>
      <c r="H536" t="s">
        <v>4040</v>
      </c>
      <c r="I536">
        <v>3</v>
      </c>
    </row>
    <row r="537" spans="1:9" x14ac:dyDescent="0.25">
      <c r="A537" t="s">
        <v>571</v>
      </c>
      <c r="B537">
        <f>VLOOKUP(A537,art_category_path_name!A:B,2,FALSE)</f>
        <v>368</v>
      </c>
      <c r="C537" t="s">
        <v>9207</v>
      </c>
      <c r="D537" t="s">
        <v>4042</v>
      </c>
      <c r="F537" t="s">
        <v>1834</v>
      </c>
      <c r="G537" t="s">
        <v>4043</v>
      </c>
      <c r="H537" t="s">
        <v>4044</v>
      </c>
      <c r="I537">
        <v>1</v>
      </c>
    </row>
    <row r="538" spans="1:9" x14ac:dyDescent="0.25">
      <c r="A538" t="s">
        <v>572</v>
      </c>
      <c r="B538">
        <f>VLOOKUP(A538,art_category_path_name!A:B,2,FALSE)</f>
        <v>369</v>
      </c>
      <c r="C538" t="s">
        <v>9208</v>
      </c>
      <c r="D538" t="s">
        <v>4046</v>
      </c>
      <c r="F538" t="s">
        <v>1834</v>
      </c>
      <c r="G538" t="s">
        <v>4047</v>
      </c>
      <c r="H538" t="s">
        <v>4048</v>
      </c>
      <c r="I538">
        <v>1</v>
      </c>
    </row>
    <row r="539" spans="1:9" x14ac:dyDescent="0.25">
      <c r="A539" t="s">
        <v>573</v>
      </c>
      <c r="B539">
        <f>VLOOKUP(A539,art_category_path_name!A:B,2,FALSE)</f>
        <v>370</v>
      </c>
      <c r="C539" t="s">
        <v>9209</v>
      </c>
      <c r="D539" t="s">
        <v>4050</v>
      </c>
      <c r="F539" t="s">
        <v>1834</v>
      </c>
      <c r="G539" t="s">
        <v>4051</v>
      </c>
      <c r="H539" t="s">
        <v>4052</v>
      </c>
      <c r="I539">
        <v>1</v>
      </c>
    </row>
    <row r="540" spans="1:9" x14ac:dyDescent="0.25">
      <c r="A540" t="s">
        <v>574</v>
      </c>
      <c r="B540">
        <f>VLOOKUP(A540,art_category_path_name!A:B,2,FALSE)</f>
        <v>371</v>
      </c>
      <c r="C540" t="s">
        <v>9210</v>
      </c>
      <c r="D540" t="s">
        <v>4054</v>
      </c>
      <c r="F540" t="s">
        <v>1834</v>
      </c>
      <c r="G540" t="s">
        <v>4055</v>
      </c>
      <c r="H540" t="s">
        <v>4056</v>
      </c>
      <c r="I540">
        <v>1</v>
      </c>
    </row>
    <row r="541" spans="1:9" x14ac:dyDescent="0.25">
      <c r="A541" t="s">
        <v>575</v>
      </c>
      <c r="B541">
        <f>VLOOKUP(A541,art_category_path_name!A:B,2,FALSE)</f>
        <v>372</v>
      </c>
      <c r="C541" t="s">
        <v>9211</v>
      </c>
      <c r="D541" t="s">
        <v>4058</v>
      </c>
      <c r="F541" t="s">
        <v>1834</v>
      </c>
      <c r="G541" t="s">
        <v>4059</v>
      </c>
      <c r="H541" t="s">
        <v>4060</v>
      </c>
      <c r="I541">
        <v>4</v>
      </c>
    </row>
    <row r="542" spans="1:9" x14ac:dyDescent="0.25">
      <c r="A542" t="s">
        <v>576</v>
      </c>
      <c r="B542">
        <f>VLOOKUP(A542,art_category_path_name!A:B,2,FALSE)</f>
        <v>373</v>
      </c>
      <c r="C542" t="s">
        <v>9212</v>
      </c>
      <c r="D542" t="s">
        <v>4062</v>
      </c>
      <c r="F542" t="s">
        <v>1834</v>
      </c>
      <c r="G542" t="s">
        <v>4063</v>
      </c>
      <c r="H542" t="s">
        <v>4064</v>
      </c>
      <c r="I542">
        <v>1</v>
      </c>
    </row>
    <row r="543" spans="1:9" x14ac:dyDescent="0.25">
      <c r="A543" t="s">
        <v>577</v>
      </c>
      <c r="B543">
        <f>VLOOKUP(A543,art_category_path_name!A:B,2,FALSE)</f>
        <v>374</v>
      </c>
      <c r="C543" t="s">
        <v>9213</v>
      </c>
      <c r="D543" t="s">
        <v>4066</v>
      </c>
      <c r="F543" t="s">
        <v>1834</v>
      </c>
      <c r="G543" t="s">
        <v>4067</v>
      </c>
      <c r="H543" t="s">
        <v>4068</v>
      </c>
      <c r="I543">
        <v>1</v>
      </c>
    </row>
    <row r="544" spans="1:9" x14ac:dyDescent="0.25">
      <c r="A544" t="s">
        <v>578</v>
      </c>
      <c r="B544">
        <f>VLOOKUP(A544,art_category_path_name!A:B,2,FALSE)</f>
        <v>375</v>
      </c>
      <c r="C544" t="s">
        <v>9214</v>
      </c>
      <c r="D544" t="s">
        <v>4070</v>
      </c>
      <c r="F544" t="s">
        <v>1834</v>
      </c>
      <c r="G544" t="s">
        <v>4071</v>
      </c>
      <c r="H544" t="s">
        <v>4072</v>
      </c>
      <c r="I544">
        <v>1</v>
      </c>
    </row>
    <row r="545" spans="1:9" x14ac:dyDescent="0.25">
      <c r="A545" t="s">
        <v>579</v>
      </c>
      <c r="B545">
        <f>VLOOKUP(A545,art_category_path_name!A:B,2,FALSE)</f>
        <v>376</v>
      </c>
      <c r="C545" t="s">
        <v>9215</v>
      </c>
      <c r="D545" t="s">
        <v>4074</v>
      </c>
      <c r="F545" t="s">
        <v>1834</v>
      </c>
      <c r="G545" t="s">
        <v>4075</v>
      </c>
      <c r="H545" t="s">
        <v>4076</v>
      </c>
      <c r="I545">
        <v>1</v>
      </c>
    </row>
    <row r="546" spans="1:9" x14ac:dyDescent="0.25">
      <c r="A546" t="s">
        <v>580</v>
      </c>
      <c r="B546">
        <f>VLOOKUP(A546,art_category_path_name!A:B,2,FALSE)</f>
        <v>377</v>
      </c>
      <c r="C546" t="s">
        <v>9216</v>
      </c>
      <c r="D546" t="s">
        <v>4078</v>
      </c>
      <c r="F546" t="s">
        <v>1834</v>
      </c>
      <c r="G546" t="s">
        <v>4079</v>
      </c>
      <c r="H546" t="s">
        <v>4080</v>
      </c>
      <c r="I546">
        <v>1</v>
      </c>
    </row>
    <row r="547" spans="1:9" x14ac:dyDescent="0.25">
      <c r="A547" t="s">
        <v>581</v>
      </c>
      <c r="B547">
        <f>VLOOKUP(A547,art_category_path_name!A:B,2,FALSE)</f>
        <v>378</v>
      </c>
      <c r="C547" t="s">
        <v>9217</v>
      </c>
      <c r="D547" t="s">
        <v>4082</v>
      </c>
      <c r="F547" t="s">
        <v>1834</v>
      </c>
      <c r="G547" t="s">
        <v>4083</v>
      </c>
      <c r="H547" t="s">
        <v>4084</v>
      </c>
      <c r="I547">
        <v>1</v>
      </c>
    </row>
    <row r="548" spans="1:9" x14ac:dyDescent="0.25">
      <c r="A548" t="s">
        <v>582</v>
      </c>
      <c r="B548">
        <f>VLOOKUP(A548,art_category_path_name!A:B,2,FALSE)</f>
        <v>379</v>
      </c>
      <c r="C548" t="s">
        <v>9218</v>
      </c>
      <c r="D548" t="s">
        <v>4086</v>
      </c>
      <c r="F548" t="s">
        <v>1834</v>
      </c>
      <c r="G548" t="s">
        <v>4087</v>
      </c>
      <c r="H548" t="s">
        <v>4088</v>
      </c>
      <c r="I548">
        <v>1</v>
      </c>
    </row>
    <row r="549" spans="1:9" x14ac:dyDescent="0.25">
      <c r="A549" t="s">
        <v>583</v>
      </c>
      <c r="B549">
        <f>VLOOKUP(A549,art_category_path_name!A:B,2,FALSE)</f>
        <v>380</v>
      </c>
      <c r="C549" t="s">
        <v>9219</v>
      </c>
      <c r="D549" t="s">
        <v>4090</v>
      </c>
      <c r="F549" t="s">
        <v>1834</v>
      </c>
      <c r="G549" t="s">
        <v>4091</v>
      </c>
      <c r="H549" t="s">
        <v>4092</v>
      </c>
      <c r="I549">
        <v>1</v>
      </c>
    </row>
    <row r="550" spans="1:9" x14ac:dyDescent="0.25">
      <c r="A550" t="s">
        <v>584</v>
      </c>
      <c r="B550">
        <f>VLOOKUP(A550,art_category_path_name!A:B,2,FALSE)</f>
        <v>381</v>
      </c>
      <c r="C550" t="s">
        <v>9220</v>
      </c>
      <c r="D550" t="s">
        <v>4094</v>
      </c>
      <c r="F550" t="s">
        <v>1834</v>
      </c>
      <c r="G550" t="s">
        <v>4091</v>
      </c>
      <c r="H550" t="s">
        <v>4095</v>
      </c>
      <c r="I550">
        <v>1</v>
      </c>
    </row>
    <row r="551" spans="1:9" x14ac:dyDescent="0.25">
      <c r="A551" t="s">
        <v>585</v>
      </c>
      <c r="B551">
        <f>VLOOKUP(A551,art_category_path_name!A:B,2,FALSE)</f>
        <v>382</v>
      </c>
      <c r="C551" t="s">
        <v>9221</v>
      </c>
      <c r="D551" t="s">
        <v>4097</v>
      </c>
      <c r="F551" t="s">
        <v>1834</v>
      </c>
      <c r="G551" t="s">
        <v>4098</v>
      </c>
      <c r="H551" t="s">
        <v>4099</v>
      </c>
      <c r="I551">
        <v>1</v>
      </c>
    </row>
    <row r="552" spans="1:9" x14ac:dyDescent="0.25">
      <c r="A552" t="s">
        <v>590</v>
      </c>
      <c r="B552">
        <f>VLOOKUP(A552,art_category_path_name!A:B,2,FALSE)</f>
        <v>384</v>
      </c>
      <c r="C552" t="s">
        <v>9222</v>
      </c>
      <c r="D552" t="s">
        <v>4101</v>
      </c>
      <c r="F552" t="s">
        <v>1834</v>
      </c>
      <c r="G552" t="s">
        <v>4102</v>
      </c>
      <c r="H552" t="s">
        <v>4103</v>
      </c>
      <c r="I552">
        <v>2</v>
      </c>
    </row>
    <row r="553" spans="1:9" x14ac:dyDescent="0.25">
      <c r="A553" t="s">
        <v>591</v>
      </c>
      <c r="B553">
        <f>VLOOKUP(A553,art_category_path_name!A:B,2,FALSE)</f>
        <v>385</v>
      </c>
      <c r="C553" t="s">
        <v>9182</v>
      </c>
      <c r="D553" t="s">
        <v>4104</v>
      </c>
      <c r="F553" t="s">
        <v>1834</v>
      </c>
      <c r="G553" t="s">
        <v>4105</v>
      </c>
      <c r="H553" t="s">
        <v>4106</v>
      </c>
      <c r="I553">
        <v>1</v>
      </c>
    </row>
    <row r="554" spans="1:9" x14ac:dyDescent="0.25">
      <c r="A554" t="s">
        <v>592</v>
      </c>
      <c r="B554">
        <f>VLOOKUP(A554,art_category_path_name!A:B,2,FALSE)</f>
        <v>386</v>
      </c>
      <c r="C554" t="s">
        <v>9223</v>
      </c>
      <c r="D554" t="s">
        <v>4108</v>
      </c>
      <c r="F554" t="s">
        <v>1834</v>
      </c>
      <c r="G554" t="s">
        <v>4109</v>
      </c>
      <c r="H554" t="s">
        <v>4110</v>
      </c>
      <c r="I554">
        <v>3</v>
      </c>
    </row>
    <row r="555" spans="1:9" x14ac:dyDescent="0.25">
      <c r="A555" t="s">
        <v>593</v>
      </c>
      <c r="B555">
        <f>VLOOKUP(A555,art_category_path_name!A:B,2,FALSE)</f>
        <v>387</v>
      </c>
      <c r="C555" t="s">
        <v>9182</v>
      </c>
      <c r="D555" t="s">
        <v>4111</v>
      </c>
      <c r="F555" t="s">
        <v>1834</v>
      </c>
      <c r="G555" t="s">
        <v>4112</v>
      </c>
      <c r="H555" t="s">
        <v>4113</v>
      </c>
      <c r="I555">
        <v>1</v>
      </c>
    </row>
    <row r="556" spans="1:9" x14ac:dyDescent="0.25">
      <c r="A556" t="s">
        <v>594</v>
      </c>
      <c r="B556">
        <f>VLOOKUP(A556,art_category_path_name!A:B,2,FALSE)</f>
        <v>388</v>
      </c>
      <c r="C556" t="s">
        <v>9224</v>
      </c>
      <c r="D556" t="s">
        <v>4115</v>
      </c>
      <c r="F556" t="s">
        <v>1834</v>
      </c>
      <c r="G556" t="s">
        <v>4116</v>
      </c>
      <c r="H556" t="s">
        <v>4117</v>
      </c>
      <c r="I556">
        <v>3</v>
      </c>
    </row>
    <row r="557" spans="1:9" x14ac:dyDescent="0.25">
      <c r="A557" t="s">
        <v>595</v>
      </c>
      <c r="B557">
        <f>VLOOKUP(A557,art_category_path_name!A:B,2,FALSE)</f>
        <v>389</v>
      </c>
      <c r="C557" t="s">
        <v>9182</v>
      </c>
      <c r="D557" t="s">
        <v>4118</v>
      </c>
      <c r="F557" t="s">
        <v>1834</v>
      </c>
      <c r="G557" t="s">
        <v>4119</v>
      </c>
      <c r="H557" t="s">
        <v>4120</v>
      </c>
      <c r="I557">
        <v>2</v>
      </c>
    </row>
    <row r="558" spans="1:9" x14ac:dyDescent="0.25">
      <c r="A558" t="s">
        <v>596</v>
      </c>
      <c r="B558">
        <f>VLOOKUP(A558,art_category_path_name!A:B,2,FALSE)</f>
        <v>390</v>
      </c>
      <c r="C558" t="s">
        <v>9225</v>
      </c>
      <c r="D558" t="s">
        <v>4122</v>
      </c>
      <c r="F558" t="s">
        <v>1834</v>
      </c>
      <c r="G558" t="s">
        <v>4123</v>
      </c>
      <c r="H558" t="s">
        <v>4124</v>
      </c>
      <c r="I558">
        <v>1</v>
      </c>
    </row>
    <row r="559" spans="1:9" x14ac:dyDescent="0.25">
      <c r="A559" t="s">
        <v>597</v>
      </c>
      <c r="B559">
        <f>VLOOKUP(A559,art_category_path_name!A:B,2,FALSE)</f>
        <v>391</v>
      </c>
      <c r="C559" t="s">
        <v>9180</v>
      </c>
      <c r="D559" t="s">
        <v>4126</v>
      </c>
      <c r="F559" t="s">
        <v>1834</v>
      </c>
      <c r="G559" t="s">
        <v>4127</v>
      </c>
      <c r="H559" t="s">
        <v>4128</v>
      </c>
      <c r="I559">
        <v>1</v>
      </c>
    </row>
    <row r="560" spans="1:9" x14ac:dyDescent="0.25">
      <c r="A560" t="s">
        <v>599</v>
      </c>
      <c r="B560">
        <f>VLOOKUP(A560,art_category_path_name!A:B,2,FALSE)</f>
        <v>393</v>
      </c>
      <c r="C560" t="s">
        <v>9226</v>
      </c>
      <c r="D560" t="s">
        <v>4130</v>
      </c>
      <c r="F560" t="s">
        <v>1834</v>
      </c>
      <c r="G560" t="s">
        <v>4131</v>
      </c>
      <c r="H560" t="s">
        <v>4132</v>
      </c>
      <c r="I560">
        <v>1</v>
      </c>
    </row>
    <row r="561" spans="1:9" x14ac:dyDescent="0.25">
      <c r="A561" t="s">
        <v>600</v>
      </c>
      <c r="B561">
        <f>VLOOKUP(A561,art_category_path_name!A:B,2,FALSE)</f>
        <v>394</v>
      </c>
      <c r="C561" t="s">
        <v>9227</v>
      </c>
      <c r="D561" t="s">
        <v>4134</v>
      </c>
      <c r="F561" t="s">
        <v>1834</v>
      </c>
      <c r="G561" t="s">
        <v>4135</v>
      </c>
      <c r="H561" t="s">
        <v>4136</v>
      </c>
      <c r="I561">
        <v>1</v>
      </c>
    </row>
    <row r="562" spans="1:9" x14ac:dyDescent="0.25">
      <c r="A562" t="s">
        <v>601</v>
      </c>
      <c r="B562">
        <f>VLOOKUP(A562,art_category_path_name!A:B,2,FALSE)</f>
        <v>395</v>
      </c>
      <c r="C562" t="s">
        <v>9228</v>
      </c>
      <c r="D562" t="s">
        <v>4138</v>
      </c>
      <c r="F562" t="s">
        <v>1834</v>
      </c>
      <c r="G562" t="s">
        <v>4139</v>
      </c>
      <c r="H562" t="s">
        <v>4140</v>
      </c>
      <c r="I562">
        <v>1</v>
      </c>
    </row>
    <row r="563" spans="1:9" x14ac:dyDescent="0.25">
      <c r="A563" t="s">
        <v>602</v>
      </c>
      <c r="B563">
        <f>VLOOKUP(A563,art_category_path_name!A:B,2,FALSE)</f>
        <v>396</v>
      </c>
      <c r="C563" t="s">
        <v>9182</v>
      </c>
      <c r="D563" t="s">
        <v>4141</v>
      </c>
      <c r="F563" t="s">
        <v>1834</v>
      </c>
      <c r="G563" t="s">
        <v>4142</v>
      </c>
      <c r="H563" t="s">
        <v>4143</v>
      </c>
      <c r="I563">
        <v>1</v>
      </c>
    </row>
    <row r="564" spans="1:9" x14ac:dyDescent="0.25">
      <c r="A564" t="s">
        <v>603</v>
      </c>
      <c r="B564">
        <f>VLOOKUP(A564,art_category_path_name!A:B,2,FALSE)</f>
        <v>397</v>
      </c>
      <c r="C564" t="s">
        <v>9182</v>
      </c>
      <c r="D564" t="s">
        <v>4144</v>
      </c>
      <c r="F564" t="s">
        <v>1834</v>
      </c>
      <c r="G564" t="s">
        <v>4145</v>
      </c>
      <c r="H564" t="s">
        <v>4146</v>
      </c>
      <c r="I564">
        <v>1</v>
      </c>
    </row>
    <row r="565" spans="1:9" x14ac:dyDescent="0.25">
      <c r="A565" t="s">
        <v>604</v>
      </c>
      <c r="B565">
        <f>VLOOKUP(A565,art_category_path_name!A:B,2,FALSE)</f>
        <v>398</v>
      </c>
      <c r="C565" t="s">
        <v>9182</v>
      </c>
      <c r="D565" t="s">
        <v>4147</v>
      </c>
      <c r="F565" t="s">
        <v>1834</v>
      </c>
      <c r="G565" t="s">
        <v>4148</v>
      </c>
      <c r="H565" t="s">
        <v>4149</v>
      </c>
      <c r="I565">
        <v>1</v>
      </c>
    </row>
    <row r="566" spans="1:9" x14ac:dyDescent="0.25">
      <c r="A566" t="s">
        <v>605</v>
      </c>
      <c r="B566">
        <f>VLOOKUP(A566,art_category_path_name!A:B,2,FALSE)</f>
        <v>399</v>
      </c>
      <c r="C566" t="s">
        <v>9182</v>
      </c>
      <c r="D566" t="s">
        <v>4150</v>
      </c>
      <c r="F566" t="s">
        <v>1834</v>
      </c>
      <c r="G566" t="s">
        <v>4151</v>
      </c>
      <c r="H566" t="s">
        <v>4152</v>
      </c>
      <c r="I566">
        <v>1</v>
      </c>
    </row>
    <row r="567" spans="1:9" x14ac:dyDescent="0.25">
      <c r="A567" t="s">
        <v>606</v>
      </c>
      <c r="B567">
        <f>VLOOKUP(A567,art_category_path_name!A:B,2,FALSE)</f>
        <v>400</v>
      </c>
      <c r="C567" t="s">
        <v>9182</v>
      </c>
      <c r="D567" t="s">
        <v>4153</v>
      </c>
      <c r="F567" t="s">
        <v>1834</v>
      </c>
      <c r="G567" t="s">
        <v>4154</v>
      </c>
      <c r="H567" t="s">
        <v>4155</v>
      </c>
      <c r="I567">
        <v>1</v>
      </c>
    </row>
    <row r="568" spans="1:9" x14ac:dyDescent="0.25">
      <c r="A568" t="s">
        <v>607</v>
      </c>
      <c r="B568">
        <f>VLOOKUP(A568,art_category_path_name!A:B,2,FALSE)</f>
        <v>401</v>
      </c>
      <c r="C568" t="s">
        <v>9182</v>
      </c>
      <c r="D568" t="s">
        <v>4156</v>
      </c>
      <c r="F568" t="s">
        <v>1834</v>
      </c>
      <c r="G568" t="s">
        <v>4157</v>
      </c>
      <c r="H568" t="s">
        <v>4158</v>
      </c>
      <c r="I568">
        <v>1</v>
      </c>
    </row>
    <row r="569" spans="1:9" x14ac:dyDescent="0.25">
      <c r="A569" t="s">
        <v>608</v>
      </c>
      <c r="B569">
        <f>VLOOKUP(A569,art_category_path_name!A:B,2,FALSE)</f>
        <v>402</v>
      </c>
      <c r="C569" t="s">
        <v>1585</v>
      </c>
      <c r="D569" t="s">
        <v>4159</v>
      </c>
      <c r="F569" t="s">
        <v>1834</v>
      </c>
      <c r="G569" t="s">
        <v>4160</v>
      </c>
      <c r="H569" t="s">
        <v>4161</v>
      </c>
      <c r="I569">
        <v>1</v>
      </c>
    </row>
    <row r="570" spans="1:9" x14ac:dyDescent="0.25">
      <c r="A570" t="s">
        <v>609</v>
      </c>
      <c r="B570">
        <f>VLOOKUP(A570,art_category_path_name!A:B,2,FALSE)</f>
        <v>403</v>
      </c>
      <c r="C570" t="s">
        <v>9229</v>
      </c>
      <c r="D570" t="s">
        <v>4163</v>
      </c>
      <c r="F570" t="s">
        <v>1834</v>
      </c>
      <c r="G570" t="s">
        <v>4164</v>
      </c>
      <c r="H570" t="s">
        <v>4165</v>
      </c>
      <c r="I570">
        <v>1</v>
      </c>
    </row>
    <row r="571" spans="1:9" x14ac:dyDescent="0.25">
      <c r="A571" t="s">
        <v>610</v>
      </c>
      <c r="B571">
        <f>VLOOKUP(A571,art_category_path_name!A:B,2,FALSE)</f>
        <v>404</v>
      </c>
      <c r="C571" t="s">
        <v>9230</v>
      </c>
      <c r="D571" t="s">
        <v>4167</v>
      </c>
      <c r="F571" t="s">
        <v>1834</v>
      </c>
      <c r="G571" t="s">
        <v>4168</v>
      </c>
      <c r="H571" t="s">
        <v>4169</v>
      </c>
      <c r="I571">
        <v>1</v>
      </c>
    </row>
    <row r="572" spans="1:9" x14ac:dyDescent="0.25">
      <c r="A572" t="s">
        <v>611</v>
      </c>
      <c r="B572">
        <f>VLOOKUP(A572,art_category_path_name!A:B,2,FALSE)</f>
        <v>405</v>
      </c>
      <c r="C572" t="s">
        <v>9231</v>
      </c>
      <c r="D572" t="s">
        <v>4171</v>
      </c>
      <c r="F572" t="s">
        <v>1834</v>
      </c>
      <c r="G572" t="s">
        <v>4172</v>
      </c>
      <c r="H572" t="s">
        <v>4173</v>
      </c>
      <c r="I572">
        <v>1</v>
      </c>
    </row>
    <row r="573" spans="1:9" x14ac:dyDescent="0.25">
      <c r="A573" t="s">
        <v>612</v>
      </c>
      <c r="B573">
        <f>VLOOKUP(A573,art_category_path_name!A:B,2,FALSE)</f>
        <v>406</v>
      </c>
      <c r="C573" t="s">
        <v>9232</v>
      </c>
      <c r="D573" t="s">
        <v>4175</v>
      </c>
      <c r="F573" t="s">
        <v>1834</v>
      </c>
      <c r="G573" t="s">
        <v>4176</v>
      </c>
      <c r="H573" t="s">
        <v>4177</v>
      </c>
      <c r="I573">
        <v>1</v>
      </c>
    </row>
    <row r="574" spans="1:9" x14ac:dyDescent="0.25">
      <c r="A574" t="s">
        <v>613</v>
      </c>
      <c r="B574">
        <f>VLOOKUP(A574,art_category_path_name!A:B,2,FALSE)</f>
        <v>407</v>
      </c>
      <c r="C574" t="s">
        <v>9233</v>
      </c>
      <c r="D574" t="s">
        <v>4179</v>
      </c>
      <c r="F574" t="s">
        <v>1834</v>
      </c>
      <c r="G574" t="s">
        <v>4180</v>
      </c>
      <c r="H574" t="s">
        <v>4181</v>
      </c>
      <c r="I574">
        <v>2</v>
      </c>
    </row>
    <row r="575" spans="1:9" x14ac:dyDescent="0.25">
      <c r="A575" t="s">
        <v>614</v>
      </c>
      <c r="B575">
        <f>VLOOKUP(A575,art_category_path_name!A:B,2,FALSE)</f>
        <v>408</v>
      </c>
      <c r="C575" t="s">
        <v>9234</v>
      </c>
      <c r="D575" t="s">
        <v>4183</v>
      </c>
      <c r="F575" t="s">
        <v>1834</v>
      </c>
      <c r="G575" t="s">
        <v>4184</v>
      </c>
      <c r="H575" t="s">
        <v>4185</v>
      </c>
      <c r="I575">
        <v>1</v>
      </c>
    </row>
    <row r="576" spans="1:9" x14ac:dyDescent="0.25">
      <c r="A576" t="s">
        <v>1196</v>
      </c>
      <c r="B576">
        <f>VLOOKUP(A576,art_category_path_name!A:B,2,FALSE)</f>
        <v>410</v>
      </c>
      <c r="C576" t="s">
        <v>9235</v>
      </c>
      <c r="D576" t="s">
        <v>4187</v>
      </c>
      <c r="E576" t="s">
        <v>4188</v>
      </c>
      <c r="F576" t="s">
        <v>4189</v>
      </c>
      <c r="G576" t="s">
        <v>4190</v>
      </c>
      <c r="H576" t="s">
        <v>4191</v>
      </c>
      <c r="I576">
        <v>1</v>
      </c>
    </row>
    <row r="577" spans="1:9" x14ac:dyDescent="0.25">
      <c r="A577" t="s">
        <v>1197</v>
      </c>
      <c r="B577">
        <f>VLOOKUP(A577,art_category_path_name!A:B,2,FALSE)</f>
        <v>411</v>
      </c>
      <c r="C577" t="s">
        <v>9236</v>
      </c>
      <c r="D577" t="s">
        <v>4193</v>
      </c>
      <c r="F577" t="s">
        <v>1834</v>
      </c>
      <c r="G577" t="s">
        <v>4194</v>
      </c>
      <c r="H577" t="s">
        <v>4195</v>
      </c>
      <c r="I577">
        <v>2</v>
      </c>
    </row>
    <row r="578" spans="1:9" x14ac:dyDescent="0.25">
      <c r="A578" t="s">
        <v>1198</v>
      </c>
      <c r="B578">
        <f>VLOOKUP(A578,art_category_path_name!A:B,2,FALSE)</f>
        <v>412</v>
      </c>
      <c r="C578" t="s">
        <v>9237</v>
      </c>
      <c r="D578" t="s">
        <v>4197</v>
      </c>
      <c r="E578" t="s">
        <v>4198</v>
      </c>
      <c r="F578" t="s">
        <v>4199</v>
      </c>
      <c r="G578" t="s">
        <v>4200</v>
      </c>
      <c r="H578" t="s">
        <v>4201</v>
      </c>
      <c r="I578">
        <v>1</v>
      </c>
    </row>
    <row r="579" spans="1:9" x14ac:dyDescent="0.25">
      <c r="A579" t="s">
        <v>1199</v>
      </c>
      <c r="B579">
        <f>VLOOKUP(A579,art_category_path_name!A:B,2,FALSE)</f>
        <v>413</v>
      </c>
      <c r="C579" t="s">
        <v>9238</v>
      </c>
      <c r="D579" t="s">
        <v>4203</v>
      </c>
      <c r="F579" t="s">
        <v>1834</v>
      </c>
      <c r="G579" t="s">
        <v>4204</v>
      </c>
      <c r="H579" t="s">
        <v>4205</v>
      </c>
      <c r="I579">
        <v>1</v>
      </c>
    </row>
    <row r="580" spans="1:9" x14ac:dyDescent="0.25">
      <c r="A580" t="s">
        <v>1200</v>
      </c>
      <c r="B580">
        <f>VLOOKUP(A580,art_category_path_name!A:B,2,FALSE)</f>
        <v>414</v>
      </c>
      <c r="C580" t="s">
        <v>9239</v>
      </c>
      <c r="D580" t="s">
        <v>4207</v>
      </c>
      <c r="F580" t="s">
        <v>1834</v>
      </c>
      <c r="G580" t="s">
        <v>4208</v>
      </c>
      <c r="H580" t="s">
        <v>4209</v>
      </c>
      <c r="I580">
        <v>1</v>
      </c>
    </row>
    <row r="581" spans="1:9" x14ac:dyDescent="0.25">
      <c r="A581" t="s">
        <v>1201</v>
      </c>
      <c r="B581">
        <f>VLOOKUP(A581,art_category_path_name!A:B,2,FALSE)</f>
        <v>415</v>
      </c>
      <c r="C581" t="s">
        <v>9240</v>
      </c>
      <c r="D581" t="s">
        <v>4211</v>
      </c>
      <c r="F581" t="s">
        <v>1834</v>
      </c>
      <c r="G581" t="s">
        <v>4212</v>
      </c>
      <c r="H581" t="s">
        <v>4213</v>
      </c>
      <c r="I581">
        <v>1</v>
      </c>
    </row>
    <row r="582" spans="1:9" x14ac:dyDescent="0.25">
      <c r="A582" t="s">
        <v>1202</v>
      </c>
      <c r="B582">
        <f>VLOOKUP(A582,art_category_path_name!A:B,2,FALSE)</f>
        <v>416</v>
      </c>
      <c r="C582" t="s">
        <v>9241</v>
      </c>
      <c r="D582" t="s">
        <v>4215</v>
      </c>
      <c r="F582" t="s">
        <v>1834</v>
      </c>
      <c r="G582" t="s">
        <v>4216</v>
      </c>
      <c r="H582" t="s">
        <v>4217</v>
      </c>
      <c r="I582">
        <v>1</v>
      </c>
    </row>
    <row r="583" spans="1:9" x14ac:dyDescent="0.25">
      <c r="A583" t="s">
        <v>1203</v>
      </c>
      <c r="B583">
        <f>VLOOKUP(A583,art_category_path_name!A:B,2,FALSE)</f>
        <v>417</v>
      </c>
      <c r="C583" t="s">
        <v>9242</v>
      </c>
      <c r="D583" t="s">
        <v>4219</v>
      </c>
      <c r="E583" t="s">
        <v>4220</v>
      </c>
      <c r="F583" t="s">
        <v>4221</v>
      </c>
      <c r="G583" t="s">
        <v>4222</v>
      </c>
      <c r="H583" t="s">
        <v>4223</v>
      </c>
      <c r="I583">
        <v>1</v>
      </c>
    </row>
    <row r="584" spans="1:9" x14ac:dyDescent="0.25">
      <c r="A584" t="s">
        <v>1204</v>
      </c>
      <c r="B584">
        <f>VLOOKUP(A584,art_category_path_name!A:B,2,FALSE)</f>
        <v>418</v>
      </c>
      <c r="C584" t="s">
        <v>9243</v>
      </c>
      <c r="D584" t="s">
        <v>4225</v>
      </c>
      <c r="F584" t="s">
        <v>1834</v>
      </c>
      <c r="G584" t="s">
        <v>4226</v>
      </c>
      <c r="H584" t="s">
        <v>4227</v>
      </c>
      <c r="I584">
        <v>1</v>
      </c>
    </row>
    <row r="585" spans="1:9" x14ac:dyDescent="0.25">
      <c r="A585" t="s">
        <v>1205</v>
      </c>
      <c r="B585">
        <f>VLOOKUP(A585,art_category_path_name!A:B,2,FALSE)</f>
        <v>419</v>
      </c>
      <c r="C585" t="s">
        <v>9244</v>
      </c>
      <c r="D585" t="s">
        <v>4229</v>
      </c>
      <c r="E585" t="s">
        <v>4230</v>
      </c>
      <c r="F585" t="s">
        <v>4231</v>
      </c>
      <c r="G585" t="s">
        <v>4232</v>
      </c>
      <c r="H585" t="s">
        <v>4233</v>
      </c>
      <c r="I585">
        <v>1</v>
      </c>
    </row>
    <row r="586" spans="1:9" x14ac:dyDescent="0.25">
      <c r="A586" t="s">
        <v>1206</v>
      </c>
      <c r="B586">
        <f>VLOOKUP(A586,art_category_path_name!A:B,2,FALSE)</f>
        <v>420</v>
      </c>
      <c r="C586" t="s">
        <v>9245</v>
      </c>
      <c r="D586" t="s">
        <v>4235</v>
      </c>
      <c r="E586" t="s">
        <v>4236</v>
      </c>
      <c r="F586" t="s">
        <v>4237</v>
      </c>
      <c r="G586" t="s">
        <v>4238</v>
      </c>
      <c r="H586" t="s">
        <v>4239</v>
      </c>
      <c r="I586">
        <v>1</v>
      </c>
    </row>
    <row r="587" spans="1:9" x14ac:dyDescent="0.25">
      <c r="A587" t="s">
        <v>1207</v>
      </c>
      <c r="B587">
        <f>VLOOKUP(A587,art_category_path_name!A:B,2,FALSE)</f>
        <v>421</v>
      </c>
      <c r="C587" t="s">
        <v>9246</v>
      </c>
      <c r="D587" t="s">
        <v>4241</v>
      </c>
      <c r="E587" t="s">
        <v>4242</v>
      </c>
      <c r="F587" t="s">
        <v>4243</v>
      </c>
      <c r="G587" t="s">
        <v>4244</v>
      </c>
      <c r="H587" t="s">
        <v>4245</v>
      </c>
      <c r="I587">
        <v>1</v>
      </c>
    </row>
    <row r="588" spans="1:9" x14ac:dyDescent="0.25">
      <c r="A588" t="s">
        <v>1208</v>
      </c>
      <c r="B588">
        <f>VLOOKUP(A588,art_category_path_name!A:B,2,FALSE)</f>
        <v>422</v>
      </c>
      <c r="C588" t="s">
        <v>9247</v>
      </c>
      <c r="D588" t="s">
        <v>4247</v>
      </c>
      <c r="F588" t="s">
        <v>1834</v>
      </c>
      <c r="G588" t="s">
        <v>4248</v>
      </c>
      <c r="H588" t="s">
        <v>4249</v>
      </c>
      <c r="I588">
        <v>2</v>
      </c>
    </row>
    <row r="589" spans="1:9" x14ac:dyDescent="0.25">
      <c r="A589" t="s">
        <v>1209</v>
      </c>
      <c r="B589">
        <f>VLOOKUP(A589,art_category_path_name!A:B,2,FALSE)</f>
        <v>423</v>
      </c>
      <c r="C589" t="s">
        <v>9248</v>
      </c>
      <c r="D589" t="s">
        <v>4251</v>
      </c>
      <c r="F589" t="s">
        <v>1834</v>
      </c>
      <c r="G589" t="s">
        <v>4252</v>
      </c>
      <c r="H589" t="s">
        <v>4253</v>
      </c>
      <c r="I589">
        <v>1</v>
      </c>
    </row>
    <row r="590" spans="1:9" x14ac:dyDescent="0.25">
      <c r="A590" t="s">
        <v>1210</v>
      </c>
      <c r="B590">
        <f>VLOOKUP(A590,art_category_path_name!A:B,2,FALSE)</f>
        <v>424</v>
      </c>
      <c r="C590" t="s">
        <v>9249</v>
      </c>
      <c r="D590" t="s">
        <v>4255</v>
      </c>
      <c r="E590" t="s">
        <v>4256</v>
      </c>
      <c r="F590" t="s">
        <v>4257</v>
      </c>
      <c r="G590" t="s">
        <v>4258</v>
      </c>
      <c r="H590" t="s">
        <v>4259</v>
      </c>
      <c r="I590">
        <v>1</v>
      </c>
    </row>
    <row r="591" spans="1:9" x14ac:dyDescent="0.25">
      <c r="A591" t="s">
        <v>1211</v>
      </c>
      <c r="B591">
        <f>VLOOKUP(A591,art_category_path_name!A:B,2,FALSE)</f>
        <v>425</v>
      </c>
      <c r="C591" t="s">
        <v>9250</v>
      </c>
      <c r="D591" t="s">
        <v>4261</v>
      </c>
      <c r="E591" t="s">
        <v>4262</v>
      </c>
      <c r="F591" t="s">
        <v>4263</v>
      </c>
      <c r="G591" t="s">
        <v>4264</v>
      </c>
      <c r="H591" t="s">
        <v>4265</v>
      </c>
      <c r="I591">
        <v>1</v>
      </c>
    </row>
    <row r="592" spans="1:9" x14ac:dyDescent="0.25">
      <c r="A592" t="s">
        <v>1212</v>
      </c>
      <c r="B592">
        <f>VLOOKUP(A592,art_category_path_name!A:B,2,FALSE)</f>
        <v>426</v>
      </c>
      <c r="C592" t="s">
        <v>9251</v>
      </c>
      <c r="D592" t="s">
        <v>4267</v>
      </c>
      <c r="F592" t="s">
        <v>1834</v>
      </c>
      <c r="G592" t="s">
        <v>4268</v>
      </c>
      <c r="H592" t="s">
        <v>4269</v>
      </c>
      <c r="I592">
        <v>1</v>
      </c>
    </row>
    <row r="593" spans="1:9" x14ac:dyDescent="0.25">
      <c r="A593" t="s">
        <v>1213</v>
      </c>
      <c r="B593">
        <f>VLOOKUP(A593,art_category_path_name!A:B,2,FALSE)</f>
        <v>427</v>
      </c>
      <c r="C593" t="s">
        <v>9252</v>
      </c>
      <c r="D593" t="s">
        <v>4271</v>
      </c>
      <c r="F593" t="s">
        <v>1834</v>
      </c>
      <c r="G593" t="s">
        <v>4272</v>
      </c>
      <c r="H593" t="s">
        <v>4273</v>
      </c>
      <c r="I593">
        <v>1</v>
      </c>
    </row>
    <row r="594" spans="1:9" x14ac:dyDescent="0.25">
      <c r="A594" t="s">
        <v>75</v>
      </c>
      <c r="B594">
        <f>VLOOKUP(A594,art_category_path_name!A:B,2,FALSE)</f>
        <v>429</v>
      </c>
      <c r="C594" t="s">
        <v>9253</v>
      </c>
      <c r="D594" t="s">
        <v>4275</v>
      </c>
      <c r="E594" t="s">
        <v>4276</v>
      </c>
      <c r="F594" t="s">
        <v>4277</v>
      </c>
      <c r="G594" t="s">
        <v>4278</v>
      </c>
      <c r="H594" t="s">
        <v>4279</v>
      </c>
      <c r="I594">
        <v>2</v>
      </c>
    </row>
    <row r="595" spans="1:9" x14ac:dyDescent="0.25">
      <c r="A595" t="s">
        <v>76</v>
      </c>
      <c r="B595">
        <f>VLOOKUP(A595,art_category_path_name!A:B,2,FALSE)</f>
        <v>430</v>
      </c>
      <c r="C595" t="s">
        <v>9254</v>
      </c>
      <c r="D595" t="s">
        <v>4281</v>
      </c>
      <c r="E595" t="s">
        <v>4282</v>
      </c>
      <c r="F595" t="s">
        <v>4283</v>
      </c>
      <c r="G595" t="s">
        <v>4284</v>
      </c>
      <c r="H595" t="s">
        <v>4285</v>
      </c>
      <c r="I595">
        <v>1</v>
      </c>
    </row>
    <row r="596" spans="1:9" x14ac:dyDescent="0.25">
      <c r="A596" t="s">
        <v>1045</v>
      </c>
      <c r="B596">
        <f>VLOOKUP(A596,art_category_path_name!A:B,2,FALSE)</f>
        <v>432</v>
      </c>
      <c r="C596" t="s">
        <v>9255</v>
      </c>
      <c r="D596" t="s">
        <v>4287</v>
      </c>
      <c r="F596" t="s">
        <v>1834</v>
      </c>
      <c r="G596" t="s">
        <v>4288</v>
      </c>
      <c r="H596" t="s">
        <v>4289</v>
      </c>
      <c r="I596">
        <v>2</v>
      </c>
    </row>
    <row r="597" spans="1:9" x14ac:dyDescent="0.25">
      <c r="A597" t="s">
        <v>1046</v>
      </c>
      <c r="B597">
        <f>VLOOKUP(A597,art_category_path_name!A:B,2,FALSE)</f>
        <v>433</v>
      </c>
      <c r="C597" t="s">
        <v>9256</v>
      </c>
      <c r="D597" t="s">
        <v>4291</v>
      </c>
      <c r="F597" t="s">
        <v>1834</v>
      </c>
      <c r="G597" t="s">
        <v>4292</v>
      </c>
      <c r="H597" t="s">
        <v>4293</v>
      </c>
      <c r="I597">
        <v>1</v>
      </c>
    </row>
    <row r="598" spans="1:9" x14ac:dyDescent="0.25">
      <c r="A598" t="s">
        <v>1047</v>
      </c>
      <c r="B598">
        <f>VLOOKUP(A598,art_category_path_name!A:B,2,FALSE)</f>
        <v>434</v>
      </c>
      <c r="C598" t="s">
        <v>9257</v>
      </c>
      <c r="D598" t="s">
        <v>4295</v>
      </c>
      <c r="F598" t="s">
        <v>1834</v>
      </c>
      <c r="G598" t="s">
        <v>4292</v>
      </c>
      <c r="H598" t="s">
        <v>4296</v>
      </c>
      <c r="I598">
        <v>1</v>
      </c>
    </row>
    <row r="599" spans="1:9" x14ac:dyDescent="0.25">
      <c r="A599" t="s">
        <v>1048</v>
      </c>
      <c r="B599">
        <f>VLOOKUP(A599,art_category_path_name!A:B,2,FALSE)</f>
        <v>435</v>
      </c>
      <c r="C599" t="s">
        <v>9258</v>
      </c>
      <c r="D599" t="s">
        <v>4298</v>
      </c>
      <c r="F599" t="s">
        <v>1834</v>
      </c>
      <c r="G599" t="s">
        <v>4299</v>
      </c>
      <c r="H599" t="s">
        <v>4300</v>
      </c>
      <c r="I599">
        <v>2</v>
      </c>
    </row>
    <row r="600" spans="1:9" x14ac:dyDescent="0.25">
      <c r="A600" t="s">
        <v>1049</v>
      </c>
      <c r="B600">
        <f>VLOOKUP(A600,art_category_path_name!A:B,2,FALSE)</f>
        <v>436</v>
      </c>
      <c r="C600" t="s">
        <v>9259</v>
      </c>
      <c r="D600" t="s">
        <v>4302</v>
      </c>
      <c r="F600" t="s">
        <v>1834</v>
      </c>
      <c r="G600" t="s">
        <v>4303</v>
      </c>
      <c r="H600" t="s">
        <v>4304</v>
      </c>
      <c r="I600">
        <v>1</v>
      </c>
    </row>
    <row r="601" spans="1:9" x14ac:dyDescent="0.25">
      <c r="A601" t="s">
        <v>1050</v>
      </c>
      <c r="B601">
        <f>VLOOKUP(A601,art_category_path_name!A:B,2,FALSE)</f>
        <v>437</v>
      </c>
      <c r="C601" t="s">
        <v>9260</v>
      </c>
      <c r="D601" t="s">
        <v>4306</v>
      </c>
      <c r="F601" t="s">
        <v>1834</v>
      </c>
      <c r="G601" t="s">
        <v>4307</v>
      </c>
      <c r="H601" t="s">
        <v>4308</v>
      </c>
      <c r="I601">
        <v>1</v>
      </c>
    </row>
    <row r="602" spans="1:9" x14ac:dyDescent="0.25">
      <c r="A602" t="s">
        <v>1051</v>
      </c>
      <c r="B602">
        <f>VLOOKUP(A602,art_category_path_name!A:B,2,FALSE)</f>
        <v>438</v>
      </c>
      <c r="C602" t="s">
        <v>9261</v>
      </c>
      <c r="D602" t="s">
        <v>4310</v>
      </c>
      <c r="F602" t="s">
        <v>1834</v>
      </c>
      <c r="G602" t="s">
        <v>4311</v>
      </c>
      <c r="H602" t="s">
        <v>4312</v>
      </c>
      <c r="I602">
        <v>1</v>
      </c>
    </row>
    <row r="603" spans="1:9" x14ac:dyDescent="0.25">
      <c r="A603" t="s">
        <v>1052</v>
      </c>
      <c r="B603">
        <f>VLOOKUP(A603,art_category_path_name!A:B,2,FALSE)</f>
        <v>439</v>
      </c>
      <c r="C603" t="s">
        <v>9262</v>
      </c>
      <c r="D603" t="s">
        <v>4314</v>
      </c>
      <c r="F603" t="s">
        <v>1834</v>
      </c>
      <c r="G603" t="s">
        <v>4311</v>
      </c>
      <c r="H603" t="s">
        <v>4315</v>
      </c>
      <c r="I603">
        <v>1</v>
      </c>
    </row>
    <row r="604" spans="1:9" x14ac:dyDescent="0.25">
      <c r="A604" t="s">
        <v>1053</v>
      </c>
      <c r="B604">
        <f>VLOOKUP(A604,art_category_path_name!A:B,2,FALSE)</f>
        <v>440</v>
      </c>
      <c r="C604" t="s">
        <v>9263</v>
      </c>
      <c r="D604" t="s">
        <v>4317</v>
      </c>
      <c r="F604" t="s">
        <v>1834</v>
      </c>
      <c r="G604" t="s">
        <v>4318</v>
      </c>
      <c r="H604" t="s">
        <v>4319</v>
      </c>
      <c r="I604">
        <v>1</v>
      </c>
    </row>
    <row r="605" spans="1:9" x14ac:dyDescent="0.25">
      <c r="A605" t="s">
        <v>1215</v>
      </c>
      <c r="B605">
        <f>VLOOKUP(A605,art_category_path_name!A:B,2,FALSE)</f>
        <v>442</v>
      </c>
      <c r="C605" t="s">
        <v>9264</v>
      </c>
      <c r="D605" t="s">
        <v>4321</v>
      </c>
      <c r="F605" t="s">
        <v>1834</v>
      </c>
      <c r="G605" t="s">
        <v>4322</v>
      </c>
      <c r="H605" t="s">
        <v>4323</v>
      </c>
      <c r="I605">
        <v>2</v>
      </c>
    </row>
    <row r="606" spans="1:9" x14ac:dyDescent="0.25">
      <c r="A606" t="s">
        <v>1216</v>
      </c>
      <c r="B606">
        <f>VLOOKUP(A606,art_category_path_name!A:B,2,FALSE)</f>
        <v>443</v>
      </c>
      <c r="C606" t="s">
        <v>9265</v>
      </c>
      <c r="D606" t="s">
        <v>4325</v>
      </c>
      <c r="F606" t="s">
        <v>1834</v>
      </c>
      <c r="G606" t="s">
        <v>4326</v>
      </c>
      <c r="H606" t="s">
        <v>4327</v>
      </c>
      <c r="I606">
        <v>1</v>
      </c>
    </row>
    <row r="607" spans="1:9" x14ac:dyDescent="0.25">
      <c r="A607" t="s">
        <v>1217</v>
      </c>
      <c r="B607">
        <f>VLOOKUP(A607,art_category_path_name!A:B,2,FALSE)</f>
        <v>444</v>
      </c>
      <c r="C607" t="s">
        <v>9266</v>
      </c>
      <c r="D607" t="s">
        <v>4329</v>
      </c>
      <c r="F607" t="s">
        <v>1834</v>
      </c>
      <c r="G607" t="s">
        <v>4330</v>
      </c>
      <c r="H607" t="s">
        <v>4331</v>
      </c>
      <c r="I607">
        <v>2</v>
      </c>
    </row>
    <row r="608" spans="1:9" x14ac:dyDescent="0.25">
      <c r="A608" t="s">
        <v>1218</v>
      </c>
      <c r="B608">
        <f>VLOOKUP(A608,art_category_path_name!A:B,2,FALSE)</f>
        <v>445</v>
      </c>
      <c r="C608" t="s">
        <v>9267</v>
      </c>
      <c r="D608" t="s">
        <v>4333</v>
      </c>
      <c r="F608" t="s">
        <v>1834</v>
      </c>
      <c r="G608" t="s">
        <v>4334</v>
      </c>
      <c r="H608" t="s">
        <v>4335</v>
      </c>
      <c r="I608">
        <v>1</v>
      </c>
    </row>
    <row r="609" spans="1:9" x14ac:dyDescent="0.25">
      <c r="A609" t="s">
        <v>430</v>
      </c>
      <c r="B609">
        <f>VLOOKUP(A609,art_category_path_name!A:B,2,FALSE)</f>
        <v>448</v>
      </c>
      <c r="C609" t="s">
        <v>9268</v>
      </c>
      <c r="D609" t="s">
        <v>4337</v>
      </c>
      <c r="F609" t="s">
        <v>1834</v>
      </c>
      <c r="G609" t="s">
        <v>4338</v>
      </c>
      <c r="H609" t="s">
        <v>4339</v>
      </c>
      <c r="I609">
        <v>16</v>
      </c>
    </row>
    <row r="610" spans="1:9" x14ac:dyDescent="0.25">
      <c r="A610" t="s">
        <v>1055</v>
      </c>
      <c r="B610">
        <f>VLOOKUP(A610,art_category_path_name!A:B,2,FALSE)</f>
        <v>450</v>
      </c>
      <c r="C610" t="s">
        <v>9269</v>
      </c>
      <c r="D610" t="s">
        <v>4341</v>
      </c>
      <c r="F610" t="s">
        <v>1834</v>
      </c>
      <c r="G610" t="s">
        <v>4342</v>
      </c>
      <c r="H610" t="s">
        <v>4343</v>
      </c>
      <c r="I610">
        <v>1</v>
      </c>
    </row>
    <row r="611" spans="1:9" x14ac:dyDescent="0.25">
      <c r="A611" t="s">
        <v>1056</v>
      </c>
      <c r="B611">
        <f>VLOOKUP(A611,art_category_path_name!A:B,2,FALSE)</f>
        <v>451</v>
      </c>
      <c r="C611" t="s">
        <v>9270</v>
      </c>
      <c r="D611" t="s">
        <v>4345</v>
      </c>
      <c r="F611" t="s">
        <v>1834</v>
      </c>
      <c r="G611" t="s">
        <v>4346</v>
      </c>
      <c r="H611" t="s">
        <v>4347</v>
      </c>
      <c r="I611">
        <v>1</v>
      </c>
    </row>
    <row r="612" spans="1:9" x14ac:dyDescent="0.25">
      <c r="A612" t="s">
        <v>919</v>
      </c>
      <c r="B612">
        <f>VLOOKUP(A612,art_category_path_name!A:B,2,FALSE)</f>
        <v>454</v>
      </c>
      <c r="C612" t="s">
        <v>9271</v>
      </c>
      <c r="D612" t="s">
        <v>4349</v>
      </c>
      <c r="E612" t="s">
        <v>4350</v>
      </c>
      <c r="F612" t="s">
        <v>4351</v>
      </c>
      <c r="G612" t="s">
        <v>4352</v>
      </c>
      <c r="H612" t="s">
        <v>4353</v>
      </c>
      <c r="I612">
        <v>81</v>
      </c>
    </row>
    <row r="613" spans="1:9" x14ac:dyDescent="0.25">
      <c r="A613" t="s">
        <v>920</v>
      </c>
      <c r="B613">
        <f>VLOOKUP(A613,art_category_path_name!A:B,2,FALSE)</f>
        <v>455</v>
      </c>
      <c r="C613" t="s">
        <v>9272</v>
      </c>
      <c r="D613" t="s">
        <v>4355</v>
      </c>
      <c r="E613" t="s">
        <v>4356</v>
      </c>
      <c r="F613" t="s">
        <v>4357</v>
      </c>
      <c r="G613" t="s">
        <v>4358</v>
      </c>
      <c r="H613" t="s">
        <v>4359</v>
      </c>
      <c r="I613">
        <v>4</v>
      </c>
    </row>
    <row r="614" spans="1:9" x14ac:dyDescent="0.25">
      <c r="A614" t="s">
        <v>921</v>
      </c>
      <c r="B614">
        <f>VLOOKUP(A614,art_category_path_name!A:B,2,FALSE)</f>
        <v>456</v>
      </c>
      <c r="C614" t="s">
        <v>9273</v>
      </c>
      <c r="D614" t="s">
        <v>4361</v>
      </c>
      <c r="E614" t="s">
        <v>4362</v>
      </c>
      <c r="F614" t="s">
        <v>4363</v>
      </c>
      <c r="G614" t="s">
        <v>4364</v>
      </c>
      <c r="H614" t="s">
        <v>4365</v>
      </c>
      <c r="I614">
        <v>1</v>
      </c>
    </row>
    <row r="615" spans="1:9" x14ac:dyDescent="0.25">
      <c r="A615" t="s">
        <v>961</v>
      </c>
      <c r="B615">
        <f>VLOOKUP(A615,art_category_path_name!A:B,2,FALSE)</f>
        <v>459</v>
      </c>
      <c r="C615" t="s">
        <v>9274</v>
      </c>
      <c r="D615" t="s">
        <v>4367</v>
      </c>
      <c r="E615" t="s">
        <v>4368</v>
      </c>
      <c r="F615" t="s">
        <v>4369</v>
      </c>
      <c r="G615" t="s">
        <v>4370</v>
      </c>
      <c r="H615" t="s">
        <v>4371</v>
      </c>
      <c r="I615">
        <v>70</v>
      </c>
    </row>
    <row r="616" spans="1:9" x14ac:dyDescent="0.25">
      <c r="A616" t="s">
        <v>975</v>
      </c>
      <c r="B616">
        <f>VLOOKUP(A616,art_category_path_name!A:B,2,FALSE)</f>
        <v>461</v>
      </c>
      <c r="C616" t="s">
        <v>9275</v>
      </c>
      <c r="D616" t="s">
        <v>4373</v>
      </c>
      <c r="E616" t="s">
        <v>4374</v>
      </c>
      <c r="F616" t="s">
        <v>4375</v>
      </c>
      <c r="G616" t="s">
        <v>4376</v>
      </c>
      <c r="H616" t="s">
        <v>4377</v>
      </c>
      <c r="I616">
        <v>4</v>
      </c>
    </row>
    <row r="617" spans="1:9" x14ac:dyDescent="0.25">
      <c r="A617" t="s">
        <v>784</v>
      </c>
      <c r="B617">
        <f>VLOOKUP(A617,art_category_path_name!A:B,2,FALSE)</f>
        <v>463</v>
      </c>
      <c r="C617" t="s">
        <v>9276</v>
      </c>
      <c r="D617" t="s">
        <v>4379</v>
      </c>
      <c r="E617" t="s">
        <v>4380</v>
      </c>
      <c r="F617" t="s">
        <v>4381</v>
      </c>
      <c r="G617" t="s">
        <v>4382</v>
      </c>
      <c r="H617" t="s">
        <v>4383</v>
      </c>
      <c r="I617">
        <v>11</v>
      </c>
    </row>
    <row r="618" spans="1:9" x14ac:dyDescent="0.25">
      <c r="A618" t="s">
        <v>785</v>
      </c>
      <c r="B618">
        <f>VLOOKUP(A618,art_category_path_name!A:B,2,FALSE)</f>
        <v>464</v>
      </c>
      <c r="C618" t="s">
        <v>9277</v>
      </c>
      <c r="D618" t="s">
        <v>4385</v>
      </c>
      <c r="E618" t="s">
        <v>4386</v>
      </c>
      <c r="F618" t="s">
        <v>4387</v>
      </c>
      <c r="G618" t="s">
        <v>4388</v>
      </c>
      <c r="H618" t="s">
        <v>4389</v>
      </c>
      <c r="I618">
        <v>6</v>
      </c>
    </row>
    <row r="619" spans="1:9" x14ac:dyDescent="0.25">
      <c r="A619" t="s">
        <v>786</v>
      </c>
      <c r="B619">
        <f>VLOOKUP(A619,art_category_path_name!A:B,2,FALSE)</f>
        <v>465</v>
      </c>
      <c r="C619" t="s">
        <v>9278</v>
      </c>
      <c r="D619" t="s">
        <v>4391</v>
      </c>
      <c r="E619" t="s">
        <v>4392</v>
      </c>
      <c r="F619" t="s">
        <v>4393</v>
      </c>
      <c r="G619" t="s">
        <v>4394</v>
      </c>
      <c r="H619" t="s">
        <v>4395</v>
      </c>
      <c r="I619">
        <v>14</v>
      </c>
    </row>
    <row r="620" spans="1:9" x14ac:dyDescent="0.25">
      <c r="A620" t="s">
        <v>787</v>
      </c>
      <c r="B620">
        <f>VLOOKUP(A620,art_category_path_name!A:B,2,FALSE)</f>
        <v>466</v>
      </c>
      <c r="C620" t="s">
        <v>9279</v>
      </c>
      <c r="D620" t="s">
        <v>4397</v>
      </c>
      <c r="E620" t="s">
        <v>4398</v>
      </c>
      <c r="F620" t="s">
        <v>4399</v>
      </c>
      <c r="G620" t="s">
        <v>4400</v>
      </c>
      <c r="H620" t="s">
        <v>4401</v>
      </c>
      <c r="I620">
        <v>8</v>
      </c>
    </row>
    <row r="621" spans="1:9" x14ac:dyDescent="0.25">
      <c r="A621" t="s">
        <v>788</v>
      </c>
      <c r="B621">
        <f>VLOOKUP(A621,art_category_path_name!A:B,2,FALSE)</f>
        <v>467</v>
      </c>
      <c r="C621" t="s">
        <v>9280</v>
      </c>
      <c r="D621" t="s">
        <v>4403</v>
      </c>
      <c r="E621" t="s">
        <v>4404</v>
      </c>
      <c r="F621" t="s">
        <v>4405</v>
      </c>
      <c r="G621" t="s">
        <v>4406</v>
      </c>
      <c r="H621" t="s">
        <v>4407</v>
      </c>
      <c r="I621">
        <v>6</v>
      </c>
    </row>
    <row r="622" spans="1:9" x14ac:dyDescent="0.25">
      <c r="A622" t="s">
        <v>789</v>
      </c>
      <c r="B622">
        <f>VLOOKUP(A622,art_category_path_name!A:B,2,FALSE)</f>
        <v>468</v>
      </c>
      <c r="C622" t="s">
        <v>9281</v>
      </c>
      <c r="D622" t="s">
        <v>4409</v>
      </c>
      <c r="E622" t="s">
        <v>4410</v>
      </c>
      <c r="F622" t="s">
        <v>4411</v>
      </c>
      <c r="G622" t="s">
        <v>4412</v>
      </c>
      <c r="H622" t="s">
        <v>4413</v>
      </c>
      <c r="I622">
        <v>7</v>
      </c>
    </row>
    <row r="623" spans="1:9" x14ac:dyDescent="0.25">
      <c r="A623" t="s">
        <v>790</v>
      </c>
      <c r="B623">
        <f>VLOOKUP(A623,art_category_path_name!A:B,2,FALSE)</f>
        <v>469</v>
      </c>
      <c r="C623" t="s">
        <v>9282</v>
      </c>
      <c r="D623" t="s">
        <v>4415</v>
      </c>
      <c r="E623" t="s">
        <v>4416</v>
      </c>
      <c r="F623" t="s">
        <v>4417</v>
      </c>
      <c r="G623" t="s">
        <v>4418</v>
      </c>
      <c r="H623" t="s">
        <v>4419</v>
      </c>
      <c r="I623">
        <v>3</v>
      </c>
    </row>
    <row r="624" spans="1:9" x14ac:dyDescent="0.25">
      <c r="A624" t="s">
        <v>791</v>
      </c>
      <c r="B624">
        <f>VLOOKUP(A624,art_category_path_name!A:B,2,FALSE)</f>
        <v>470</v>
      </c>
      <c r="C624" t="s">
        <v>9283</v>
      </c>
      <c r="D624" t="s">
        <v>4421</v>
      </c>
      <c r="E624" t="s">
        <v>4422</v>
      </c>
      <c r="F624" t="s">
        <v>4423</v>
      </c>
      <c r="G624" t="s">
        <v>4424</v>
      </c>
      <c r="H624" t="s">
        <v>4425</v>
      </c>
      <c r="I624">
        <v>15</v>
      </c>
    </row>
    <row r="625" spans="1:9" x14ac:dyDescent="0.25">
      <c r="A625" t="s">
        <v>792</v>
      </c>
      <c r="B625">
        <f>VLOOKUP(A625,art_category_path_name!A:B,2,FALSE)</f>
        <v>471</v>
      </c>
      <c r="C625" t="s">
        <v>9284</v>
      </c>
      <c r="D625" t="s">
        <v>4427</v>
      </c>
      <c r="E625" t="s">
        <v>4428</v>
      </c>
      <c r="F625" t="s">
        <v>4429</v>
      </c>
      <c r="G625" t="s">
        <v>4430</v>
      </c>
      <c r="H625" t="s">
        <v>4431</v>
      </c>
      <c r="I625">
        <v>9</v>
      </c>
    </row>
    <row r="626" spans="1:9" x14ac:dyDescent="0.25">
      <c r="A626" t="s">
        <v>793</v>
      </c>
      <c r="B626">
        <f>VLOOKUP(A626,art_category_path_name!A:B,2,FALSE)</f>
        <v>472</v>
      </c>
      <c r="C626" t="s">
        <v>9285</v>
      </c>
      <c r="D626" t="s">
        <v>4433</v>
      </c>
      <c r="E626" t="s">
        <v>4434</v>
      </c>
      <c r="F626" t="s">
        <v>4435</v>
      </c>
      <c r="G626" t="s">
        <v>4436</v>
      </c>
      <c r="H626" t="s">
        <v>4437</v>
      </c>
      <c r="I626">
        <v>6</v>
      </c>
    </row>
    <row r="627" spans="1:9" x14ac:dyDescent="0.25">
      <c r="A627" t="s">
        <v>794</v>
      </c>
      <c r="B627">
        <f>VLOOKUP(A627,art_category_path_name!A:B,2,FALSE)</f>
        <v>473</v>
      </c>
      <c r="C627" t="s">
        <v>9286</v>
      </c>
      <c r="D627" t="s">
        <v>4439</v>
      </c>
      <c r="E627" t="s">
        <v>4440</v>
      </c>
      <c r="F627" t="s">
        <v>4441</v>
      </c>
      <c r="G627" t="s">
        <v>4442</v>
      </c>
      <c r="H627" t="s">
        <v>4443</v>
      </c>
      <c r="I627">
        <v>17</v>
      </c>
    </row>
    <row r="628" spans="1:9" x14ac:dyDescent="0.25">
      <c r="A628" t="s">
        <v>795</v>
      </c>
      <c r="B628">
        <f>VLOOKUP(A628,art_category_path_name!A:B,2,FALSE)</f>
        <v>474</v>
      </c>
      <c r="C628" t="s">
        <v>9287</v>
      </c>
      <c r="D628" t="s">
        <v>4445</v>
      </c>
      <c r="E628" t="s">
        <v>4446</v>
      </c>
      <c r="F628" t="s">
        <v>4447</v>
      </c>
      <c r="G628" t="s">
        <v>4448</v>
      </c>
      <c r="H628" t="s">
        <v>4449</v>
      </c>
      <c r="I628">
        <v>9</v>
      </c>
    </row>
    <row r="629" spans="1:9" x14ac:dyDescent="0.25">
      <c r="A629" t="s">
        <v>796</v>
      </c>
      <c r="B629">
        <f>VLOOKUP(A629,art_category_path_name!A:B,2,FALSE)</f>
        <v>475</v>
      </c>
      <c r="C629" t="s">
        <v>9288</v>
      </c>
      <c r="D629" t="s">
        <v>4451</v>
      </c>
      <c r="E629" t="s">
        <v>4452</v>
      </c>
      <c r="F629" t="s">
        <v>4453</v>
      </c>
      <c r="G629" t="s">
        <v>4454</v>
      </c>
      <c r="H629" t="s">
        <v>4455</v>
      </c>
      <c r="I629">
        <v>4</v>
      </c>
    </row>
    <row r="630" spans="1:9" x14ac:dyDescent="0.25">
      <c r="A630" t="s">
        <v>797</v>
      </c>
      <c r="B630">
        <f>VLOOKUP(A630,art_category_path_name!A:B,2,FALSE)</f>
        <v>476</v>
      </c>
      <c r="C630" t="s">
        <v>9289</v>
      </c>
      <c r="D630" t="s">
        <v>4457</v>
      </c>
      <c r="E630" t="s">
        <v>4458</v>
      </c>
      <c r="F630" t="s">
        <v>4459</v>
      </c>
      <c r="G630" t="s">
        <v>4460</v>
      </c>
      <c r="H630" t="s">
        <v>4461</v>
      </c>
      <c r="I630">
        <v>4</v>
      </c>
    </row>
    <row r="631" spans="1:9" x14ac:dyDescent="0.25">
      <c r="A631" t="s">
        <v>798</v>
      </c>
      <c r="B631">
        <f>VLOOKUP(A631,art_category_path_name!A:B,2,FALSE)</f>
        <v>477</v>
      </c>
      <c r="C631" t="s">
        <v>9290</v>
      </c>
      <c r="D631" t="s">
        <v>4463</v>
      </c>
      <c r="E631" t="s">
        <v>4464</v>
      </c>
      <c r="F631" t="s">
        <v>4465</v>
      </c>
      <c r="G631" t="s">
        <v>4466</v>
      </c>
      <c r="H631" t="s">
        <v>4467</v>
      </c>
      <c r="I631">
        <v>3</v>
      </c>
    </row>
    <row r="632" spans="1:9" x14ac:dyDescent="0.25">
      <c r="A632" t="s">
        <v>799</v>
      </c>
      <c r="B632">
        <f>VLOOKUP(A632,art_category_path_name!A:B,2,FALSE)</f>
        <v>478</v>
      </c>
      <c r="C632" t="s">
        <v>9291</v>
      </c>
      <c r="D632" t="s">
        <v>4385</v>
      </c>
      <c r="E632" t="s">
        <v>4386</v>
      </c>
      <c r="F632" t="s">
        <v>4387</v>
      </c>
      <c r="G632" t="s">
        <v>4469</v>
      </c>
      <c r="H632" t="s">
        <v>4470</v>
      </c>
      <c r="I632">
        <v>6</v>
      </c>
    </row>
    <row r="633" spans="1:9" x14ac:dyDescent="0.25">
      <c r="A633" t="s">
        <v>800</v>
      </c>
      <c r="B633">
        <f>VLOOKUP(A633,art_category_path_name!A:B,2,FALSE)</f>
        <v>479</v>
      </c>
      <c r="C633" t="s">
        <v>9292</v>
      </c>
      <c r="D633" t="s">
        <v>4472</v>
      </c>
      <c r="E633" t="s">
        <v>4473</v>
      </c>
      <c r="F633" t="s">
        <v>4381</v>
      </c>
      <c r="G633" t="s">
        <v>4474</v>
      </c>
      <c r="H633" t="s">
        <v>4475</v>
      </c>
      <c r="I633">
        <v>9</v>
      </c>
    </row>
    <row r="634" spans="1:9" x14ac:dyDescent="0.25">
      <c r="A634" t="s">
        <v>801</v>
      </c>
      <c r="B634">
        <f>VLOOKUP(A634,art_category_path_name!A:B,2,FALSE)</f>
        <v>480</v>
      </c>
      <c r="C634" t="s">
        <v>9293</v>
      </c>
      <c r="D634" t="s">
        <v>4477</v>
      </c>
      <c r="F634" t="s">
        <v>1834</v>
      </c>
      <c r="G634" t="s">
        <v>4478</v>
      </c>
      <c r="H634" t="s">
        <v>4479</v>
      </c>
      <c r="I634">
        <v>2</v>
      </c>
    </row>
    <row r="635" spans="1:9" x14ac:dyDescent="0.25">
      <c r="A635" t="s">
        <v>802</v>
      </c>
      <c r="B635">
        <f>VLOOKUP(A635,art_category_path_name!A:B,2,FALSE)</f>
        <v>481</v>
      </c>
      <c r="C635" t="s">
        <v>9294</v>
      </c>
      <c r="D635" t="s">
        <v>4481</v>
      </c>
      <c r="F635" t="s">
        <v>1834</v>
      </c>
      <c r="G635" t="s">
        <v>4482</v>
      </c>
      <c r="H635" t="s">
        <v>4483</v>
      </c>
      <c r="I635">
        <v>5</v>
      </c>
    </row>
    <row r="636" spans="1:9" x14ac:dyDescent="0.25">
      <c r="A636" t="s">
        <v>803</v>
      </c>
      <c r="B636">
        <f>VLOOKUP(A636,art_category_path_name!A:B,2,FALSE)</f>
        <v>482</v>
      </c>
      <c r="C636" t="s">
        <v>9295</v>
      </c>
      <c r="D636" t="s">
        <v>4485</v>
      </c>
      <c r="F636" t="s">
        <v>1834</v>
      </c>
      <c r="G636" t="s">
        <v>4486</v>
      </c>
      <c r="H636" t="s">
        <v>4487</v>
      </c>
      <c r="I636">
        <v>5</v>
      </c>
    </row>
    <row r="637" spans="1:9" x14ac:dyDescent="0.25">
      <c r="A637" t="s">
        <v>658</v>
      </c>
      <c r="B637">
        <f>VLOOKUP(A637,art_category_path_name!A:B,2,FALSE)</f>
        <v>484</v>
      </c>
      <c r="C637" t="s">
        <v>9296</v>
      </c>
      <c r="D637" t="s">
        <v>4489</v>
      </c>
      <c r="F637" t="s">
        <v>1834</v>
      </c>
      <c r="G637" t="s">
        <v>4490</v>
      </c>
      <c r="H637" t="s">
        <v>4491</v>
      </c>
      <c r="I637">
        <v>14</v>
      </c>
    </row>
    <row r="638" spans="1:9" x14ac:dyDescent="0.25">
      <c r="A638" t="s">
        <v>659</v>
      </c>
      <c r="B638">
        <f>VLOOKUP(A638,art_category_path_name!A:B,2,FALSE)</f>
        <v>485</v>
      </c>
      <c r="C638" t="s">
        <v>9297</v>
      </c>
      <c r="D638" t="s">
        <v>4493</v>
      </c>
      <c r="F638" t="s">
        <v>1834</v>
      </c>
      <c r="G638" t="s">
        <v>4494</v>
      </c>
      <c r="H638" t="s">
        <v>4495</v>
      </c>
      <c r="I638">
        <v>9</v>
      </c>
    </row>
    <row r="639" spans="1:9" x14ac:dyDescent="0.25">
      <c r="A639" t="s">
        <v>660</v>
      </c>
      <c r="B639">
        <f>VLOOKUP(A639,art_category_path_name!A:B,2,FALSE)</f>
        <v>486</v>
      </c>
      <c r="C639" t="s">
        <v>9298</v>
      </c>
      <c r="D639" t="s">
        <v>4497</v>
      </c>
      <c r="F639" t="s">
        <v>1834</v>
      </c>
      <c r="G639" t="s">
        <v>4498</v>
      </c>
      <c r="H639" t="s">
        <v>4499</v>
      </c>
      <c r="I639">
        <v>7</v>
      </c>
    </row>
    <row r="640" spans="1:9" x14ac:dyDescent="0.25">
      <c r="A640" t="s">
        <v>661</v>
      </c>
      <c r="B640">
        <f>VLOOKUP(A640,art_category_path_name!A:B,2,FALSE)</f>
        <v>487</v>
      </c>
      <c r="C640" t="s">
        <v>9299</v>
      </c>
      <c r="D640" t="s">
        <v>4501</v>
      </c>
      <c r="F640" t="s">
        <v>1834</v>
      </c>
      <c r="G640" t="s">
        <v>4502</v>
      </c>
      <c r="H640" t="s">
        <v>4503</v>
      </c>
      <c r="I640">
        <v>3</v>
      </c>
    </row>
    <row r="641" spans="1:9" x14ac:dyDescent="0.25">
      <c r="A641" t="s">
        <v>662</v>
      </c>
      <c r="B641">
        <f>VLOOKUP(A641,art_category_path_name!A:B,2,FALSE)</f>
        <v>488</v>
      </c>
      <c r="C641" t="s">
        <v>9300</v>
      </c>
      <c r="D641" t="s">
        <v>4505</v>
      </c>
      <c r="F641" t="s">
        <v>1834</v>
      </c>
      <c r="G641" t="s">
        <v>4506</v>
      </c>
      <c r="H641" t="s">
        <v>4507</v>
      </c>
      <c r="I641">
        <v>3</v>
      </c>
    </row>
    <row r="642" spans="1:9" x14ac:dyDescent="0.25">
      <c r="A642" t="s">
        <v>663</v>
      </c>
      <c r="B642">
        <f>VLOOKUP(A642,art_category_path_name!A:B,2,FALSE)</f>
        <v>489</v>
      </c>
      <c r="C642" t="s">
        <v>9301</v>
      </c>
      <c r="D642" t="s">
        <v>4509</v>
      </c>
      <c r="F642" t="s">
        <v>1834</v>
      </c>
      <c r="G642" t="s">
        <v>4510</v>
      </c>
      <c r="H642" t="s">
        <v>4511</v>
      </c>
      <c r="I642">
        <v>2</v>
      </c>
    </row>
    <row r="643" spans="1:9" x14ac:dyDescent="0.25">
      <c r="A643" t="s">
        <v>664</v>
      </c>
      <c r="B643">
        <f>VLOOKUP(A643,art_category_path_name!A:B,2,FALSE)</f>
        <v>490</v>
      </c>
      <c r="C643" t="s">
        <v>9302</v>
      </c>
      <c r="D643" t="s">
        <v>4513</v>
      </c>
      <c r="F643" t="s">
        <v>1834</v>
      </c>
      <c r="G643" t="s">
        <v>4514</v>
      </c>
      <c r="H643" t="s">
        <v>4515</v>
      </c>
      <c r="I643">
        <v>4</v>
      </c>
    </row>
    <row r="644" spans="1:9" x14ac:dyDescent="0.25">
      <c r="A644" t="s">
        <v>806</v>
      </c>
      <c r="B644">
        <f>VLOOKUP(A644,art_category_path_name!A:B,2,FALSE)</f>
        <v>492</v>
      </c>
      <c r="C644" t="s">
        <v>9303</v>
      </c>
      <c r="D644" t="s">
        <v>4517</v>
      </c>
      <c r="E644" t="s">
        <v>4518</v>
      </c>
      <c r="F644" t="s">
        <v>4519</v>
      </c>
      <c r="G644" t="s">
        <v>4520</v>
      </c>
      <c r="H644" t="s">
        <v>4521</v>
      </c>
      <c r="I644">
        <v>15</v>
      </c>
    </row>
    <row r="645" spans="1:9" x14ac:dyDescent="0.25">
      <c r="A645" t="s">
        <v>807</v>
      </c>
      <c r="B645">
        <f>VLOOKUP(A645,art_category_path_name!A:B,2,FALSE)</f>
        <v>493</v>
      </c>
      <c r="C645" t="s">
        <v>9304</v>
      </c>
      <c r="D645" t="s">
        <v>4523</v>
      </c>
      <c r="E645" t="s">
        <v>4524</v>
      </c>
      <c r="F645" t="s">
        <v>4525</v>
      </c>
      <c r="G645" t="s">
        <v>4526</v>
      </c>
      <c r="H645" t="s">
        <v>4527</v>
      </c>
      <c r="I645">
        <v>8</v>
      </c>
    </row>
    <row r="646" spans="1:9" x14ac:dyDescent="0.25">
      <c r="A646" t="s">
        <v>808</v>
      </c>
      <c r="B646">
        <f>VLOOKUP(A646,art_category_path_name!A:B,2,FALSE)</f>
        <v>494</v>
      </c>
      <c r="C646" t="s">
        <v>9305</v>
      </c>
      <c r="D646" t="s">
        <v>4529</v>
      </c>
      <c r="E646" t="s">
        <v>4530</v>
      </c>
      <c r="F646" t="s">
        <v>4531</v>
      </c>
      <c r="G646" t="s">
        <v>4532</v>
      </c>
      <c r="H646" t="s">
        <v>4533</v>
      </c>
      <c r="I646">
        <v>4</v>
      </c>
    </row>
    <row r="647" spans="1:9" x14ac:dyDescent="0.25">
      <c r="A647" t="s">
        <v>809</v>
      </c>
      <c r="B647">
        <f>VLOOKUP(A647,art_category_path_name!A:B,2,FALSE)</f>
        <v>495</v>
      </c>
      <c r="C647" t="s">
        <v>9306</v>
      </c>
      <c r="D647" t="s">
        <v>4535</v>
      </c>
      <c r="E647" t="s">
        <v>4536</v>
      </c>
      <c r="F647" t="s">
        <v>4537</v>
      </c>
      <c r="G647" t="s">
        <v>4538</v>
      </c>
      <c r="H647" t="s">
        <v>4539</v>
      </c>
      <c r="I647">
        <v>20</v>
      </c>
    </row>
    <row r="648" spans="1:9" x14ac:dyDescent="0.25">
      <c r="A648" t="s">
        <v>810</v>
      </c>
      <c r="B648">
        <f>VLOOKUP(A648,art_category_path_name!A:B,2,FALSE)</f>
        <v>496</v>
      </c>
      <c r="C648" t="s">
        <v>9307</v>
      </c>
      <c r="D648" t="s">
        <v>4541</v>
      </c>
      <c r="E648" t="s">
        <v>4542</v>
      </c>
      <c r="F648" t="s">
        <v>4543</v>
      </c>
      <c r="G648" t="s">
        <v>4544</v>
      </c>
      <c r="H648" t="s">
        <v>4545</v>
      </c>
      <c r="I648">
        <v>15</v>
      </c>
    </row>
    <row r="649" spans="1:9" x14ac:dyDescent="0.25">
      <c r="A649" t="s">
        <v>811</v>
      </c>
      <c r="B649">
        <f>VLOOKUP(A649,art_category_path_name!A:B,2,FALSE)</f>
        <v>497</v>
      </c>
      <c r="C649" t="s">
        <v>9308</v>
      </c>
      <c r="D649" t="s">
        <v>4547</v>
      </c>
      <c r="E649" t="s">
        <v>4548</v>
      </c>
      <c r="F649" t="s">
        <v>4549</v>
      </c>
      <c r="G649" t="s">
        <v>4550</v>
      </c>
      <c r="H649" t="s">
        <v>4551</v>
      </c>
      <c r="I649">
        <v>15</v>
      </c>
    </row>
    <row r="650" spans="1:9" x14ac:dyDescent="0.25">
      <c r="A650" t="s">
        <v>769</v>
      </c>
      <c r="B650">
        <f>VLOOKUP(A650,art_category_path_name!A:B,2,FALSE)</f>
        <v>500</v>
      </c>
      <c r="C650" t="s">
        <v>9309</v>
      </c>
      <c r="D650" t="s">
        <v>4553</v>
      </c>
      <c r="E650" t="s">
        <v>4554</v>
      </c>
      <c r="F650" t="s">
        <v>4555</v>
      </c>
      <c r="G650" t="s">
        <v>4556</v>
      </c>
      <c r="H650" t="s">
        <v>4557</v>
      </c>
      <c r="I650">
        <v>5</v>
      </c>
    </row>
    <row r="651" spans="1:9" x14ac:dyDescent="0.25">
      <c r="A651" t="s">
        <v>770</v>
      </c>
      <c r="B651">
        <f>VLOOKUP(A651,art_category_path_name!A:B,2,FALSE)</f>
        <v>501</v>
      </c>
      <c r="C651" t="s">
        <v>9310</v>
      </c>
      <c r="D651" t="s">
        <v>4559</v>
      </c>
      <c r="E651" t="s">
        <v>4560</v>
      </c>
      <c r="F651" t="s">
        <v>4561</v>
      </c>
      <c r="G651" t="s">
        <v>4562</v>
      </c>
      <c r="H651" t="s">
        <v>4563</v>
      </c>
      <c r="I651">
        <v>3</v>
      </c>
    </row>
    <row r="652" spans="1:9" x14ac:dyDescent="0.25">
      <c r="A652" t="s">
        <v>725</v>
      </c>
      <c r="B652">
        <f>VLOOKUP(A652,art_category_path_name!A:B,2,FALSE)</f>
        <v>503</v>
      </c>
      <c r="C652" t="s">
        <v>9311</v>
      </c>
      <c r="D652" t="s">
        <v>4565</v>
      </c>
      <c r="E652" t="s">
        <v>4566</v>
      </c>
      <c r="F652" t="s">
        <v>4567</v>
      </c>
      <c r="G652" t="s">
        <v>4568</v>
      </c>
      <c r="H652" t="s">
        <v>4569</v>
      </c>
      <c r="I652">
        <v>15</v>
      </c>
    </row>
    <row r="653" spans="1:9" x14ac:dyDescent="0.25">
      <c r="A653" t="s">
        <v>726</v>
      </c>
      <c r="B653">
        <f>VLOOKUP(A653,art_category_path_name!A:B,2,FALSE)</f>
        <v>504</v>
      </c>
      <c r="C653" t="s">
        <v>9312</v>
      </c>
      <c r="D653" t="s">
        <v>4571</v>
      </c>
      <c r="E653" t="s">
        <v>4572</v>
      </c>
      <c r="F653" t="s">
        <v>4573</v>
      </c>
      <c r="G653" t="s">
        <v>4574</v>
      </c>
      <c r="H653" t="s">
        <v>4575</v>
      </c>
      <c r="I653">
        <v>23</v>
      </c>
    </row>
    <row r="654" spans="1:9" x14ac:dyDescent="0.25">
      <c r="A654" t="s">
        <v>727</v>
      </c>
      <c r="B654">
        <f>VLOOKUP(A654,art_category_path_name!A:B,2,FALSE)</f>
        <v>505</v>
      </c>
      <c r="C654" t="s">
        <v>9313</v>
      </c>
      <c r="D654" t="s">
        <v>4577</v>
      </c>
      <c r="E654" t="s">
        <v>4578</v>
      </c>
      <c r="F654" t="s">
        <v>4579</v>
      </c>
      <c r="G654" t="s">
        <v>4580</v>
      </c>
      <c r="H654" t="s">
        <v>4581</v>
      </c>
      <c r="I654">
        <v>13</v>
      </c>
    </row>
    <row r="655" spans="1:9" x14ac:dyDescent="0.25">
      <c r="A655" t="s">
        <v>729</v>
      </c>
      <c r="B655">
        <f>VLOOKUP(A655,art_category_path_name!A:B,2,FALSE)</f>
        <v>507</v>
      </c>
      <c r="C655" t="s">
        <v>9314</v>
      </c>
      <c r="D655" t="s">
        <v>4583</v>
      </c>
      <c r="E655" t="s">
        <v>4584</v>
      </c>
      <c r="F655" t="s">
        <v>4585</v>
      </c>
      <c r="G655" t="s">
        <v>4586</v>
      </c>
      <c r="H655" t="s">
        <v>4587</v>
      </c>
      <c r="I655">
        <v>15</v>
      </c>
    </row>
    <row r="656" spans="1:9" x14ac:dyDescent="0.25">
      <c r="A656" t="s">
        <v>730</v>
      </c>
      <c r="B656">
        <f>VLOOKUP(A656,art_category_path_name!A:B,2,FALSE)</f>
        <v>508</v>
      </c>
      <c r="C656" t="s">
        <v>9315</v>
      </c>
      <c r="D656" t="s">
        <v>4583</v>
      </c>
      <c r="E656" t="s">
        <v>4584</v>
      </c>
      <c r="F656" t="s">
        <v>4585</v>
      </c>
      <c r="G656" t="s">
        <v>4589</v>
      </c>
      <c r="H656" t="s">
        <v>4590</v>
      </c>
      <c r="I656">
        <v>13</v>
      </c>
    </row>
    <row r="657" spans="1:9" x14ac:dyDescent="0.25">
      <c r="A657" t="s">
        <v>732</v>
      </c>
      <c r="B657">
        <f>VLOOKUP(A657,art_category_path_name!A:B,2,FALSE)</f>
        <v>510</v>
      </c>
      <c r="C657" t="s">
        <v>9316</v>
      </c>
      <c r="D657" t="s">
        <v>4592</v>
      </c>
      <c r="E657" t="s">
        <v>4593</v>
      </c>
      <c r="F657" t="s">
        <v>4594</v>
      </c>
      <c r="G657" t="s">
        <v>4595</v>
      </c>
      <c r="H657" t="s">
        <v>4596</v>
      </c>
      <c r="I657">
        <v>8</v>
      </c>
    </row>
    <row r="658" spans="1:9" x14ac:dyDescent="0.25">
      <c r="A658" t="s">
        <v>734</v>
      </c>
      <c r="B658">
        <f>VLOOKUP(A658,art_category_path_name!A:B,2,FALSE)</f>
        <v>512</v>
      </c>
      <c r="C658" t="s">
        <v>9317</v>
      </c>
      <c r="D658" t="s">
        <v>4592</v>
      </c>
      <c r="E658" t="s">
        <v>4604</v>
      </c>
      <c r="F658" t="s">
        <v>4594</v>
      </c>
      <c r="G658" t="s">
        <v>4605</v>
      </c>
      <c r="H658" t="s">
        <v>4606</v>
      </c>
      <c r="I658">
        <v>7</v>
      </c>
    </row>
    <row r="659" spans="1:9" x14ac:dyDescent="0.25">
      <c r="A659" t="s">
        <v>752</v>
      </c>
      <c r="B659">
        <f>VLOOKUP(A659,art_category_path_name!A:B,2,FALSE)</f>
        <v>515</v>
      </c>
      <c r="C659" t="s">
        <v>9318</v>
      </c>
      <c r="D659" t="s">
        <v>4608</v>
      </c>
      <c r="E659" t="s">
        <v>4609</v>
      </c>
      <c r="F659" t="s">
        <v>4610</v>
      </c>
      <c r="G659" t="s">
        <v>4611</v>
      </c>
      <c r="H659" t="s">
        <v>4612</v>
      </c>
      <c r="I659">
        <v>114</v>
      </c>
    </row>
    <row r="660" spans="1:9" x14ac:dyDescent="0.25">
      <c r="A660" t="s">
        <v>753</v>
      </c>
      <c r="B660">
        <f>VLOOKUP(A660,art_category_path_name!A:B,2,FALSE)</f>
        <v>516</v>
      </c>
      <c r="C660" t="s">
        <v>9319</v>
      </c>
      <c r="D660" t="s">
        <v>4614</v>
      </c>
      <c r="E660" t="s">
        <v>4615</v>
      </c>
      <c r="F660" t="s">
        <v>4616</v>
      </c>
      <c r="G660" t="s">
        <v>4617</v>
      </c>
      <c r="H660" t="s">
        <v>4618</v>
      </c>
      <c r="I660">
        <v>138</v>
      </c>
    </row>
    <row r="661" spans="1:9" x14ac:dyDescent="0.25">
      <c r="A661" t="s">
        <v>754</v>
      </c>
      <c r="B661">
        <f>VLOOKUP(A661,art_category_path_name!A:B,2,FALSE)</f>
        <v>517</v>
      </c>
      <c r="C661" t="s">
        <v>9320</v>
      </c>
      <c r="D661" t="s">
        <v>4620</v>
      </c>
      <c r="E661" t="s">
        <v>4621</v>
      </c>
      <c r="F661" t="s">
        <v>4622</v>
      </c>
      <c r="G661" t="s">
        <v>4623</v>
      </c>
      <c r="H661" t="s">
        <v>4624</v>
      </c>
      <c r="I661">
        <v>114</v>
      </c>
    </row>
    <row r="662" spans="1:9" x14ac:dyDescent="0.25">
      <c r="A662" t="s">
        <v>755</v>
      </c>
      <c r="B662">
        <f>VLOOKUP(A662,art_category_path_name!A:B,2,FALSE)</f>
        <v>518</v>
      </c>
      <c r="C662" t="s">
        <v>9321</v>
      </c>
      <c r="D662" t="s">
        <v>4626</v>
      </c>
      <c r="F662" t="s">
        <v>1834</v>
      </c>
      <c r="G662" t="s">
        <v>4627</v>
      </c>
      <c r="H662" t="s">
        <v>4628</v>
      </c>
      <c r="I662">
        <v>6</v>
      </c>
    </row>
    <row r="663" spans="1:9" x14ac:dyDescent="0.25">
      <c r="A663" t="s">
        <v>756</v>
      </c>
      <c r="B663">
        <f>VLOOKUP(A663,art_category_path_name!A:B,2,FALSE)</f>
        <v>519</v>
      </c>
      <c r="C663" t="s">
        <v>9322</v>
      </c>
      <c r="D663" t="s">
        <v>4630</v>
      </c>
      <c r="F663" t="s">
        <v>1834</v>
      </c>
      <c r="G663" t="s">
        <v>4631</v>
      </c>
      <c r="H663" t="s">
        <v>4632</v>
      </c>
      <c r="I663">
        <v>17</v>
      </c>
    </row>
    <row r="664" spans="1:9" x14ac:dyDescent="0.25">
      <c r="A664" t="s">
        <v>923</v>
      </c>
      <c r="B664">
        <f>VLOOKUP(A664,art_category_path_name!A:B,2,FALSE)</f>
        <v>521</v>
      </c>
      <c r="C664" t="s">
        <v>9323</v>
      </c>
      <c r="D664" t="s">
        <v>4634</v>
      </c>
      <c r="E664" t="s">
        <v>4635</v>
      </c>
      <c r="F664" t="s">
        <v>4636</v>
      </c>
      <c r="G664" t="s">
        <v>4637</v>
      </c>
      <c r="H664" t="s">
        <v>4638</v>
      </c>
      <c r="I664">
        <v>75</v>
      </c>
    </row>
    <row r="665" spans="1:9" x14ac:dyDescent="0.25">
      <c r="A665" t="s">
        <v>924</v>
      </c>
      <c r="B665">
        <f>VLOOKUP(A665,art_category_path_name!A:B,2,FALSE)</f>
        <v>522</v>
      </c>
      <c r="C665" t="s">
        <v>9324</v>
      </c>
      <c r="D665" t="s">
        <v>4640</v>
      </c>
      <c r="E665" t="s">
        <v>4641</v>
      </c>
      <c r="F665" t="s">
        <v>4642</v>
      </c>
      <c r="G665" t="s">
        <v>4643</v>
      </c>
      <c r="H665" t="s">
        <v>4644</v>
      </c>
      <c r="I665">
        <v>42</v>
      </c>
    </row>
    <row r="666" spans="1:9" x14ac:dyDescent="0.25">
      <c r="A666" t="s">
        <v>925</v>
      </c>
      <c r="B666">
        <f>VLOOKUP(A666,art_category_path_name!A:B,2,FALSE)</f>
        <v>523</v>
      </c>
      <c r="C666" t="s">
        <v>9325</v>
      </c>
      <c r="D666" t="s">
        <v>4646</v>
      </c>
      <c r="E666" t="s">
        <v>4647</v>
      </c>
      <c r="F666" t="s">
        <v>4648</v>
      </c>
      <c r="G666" t="s">
        <v>4649</v>
      </c>
      <c r="H666" t="s">
        <v>4650</v>
      </c>
      <c r="I666">
        <v>28</v>
      </c>
    </row>
    <row r="667" spans="1:9" x14ac:dyDescent="0.25">
      <c r="A667" t="s">
        <v>926</v>
      </c>
      <c r="B667">
        <f>VLOOKUP(A667,art_category_path_name!A:B,2,FALSE)</f>
        <v>524</v>
      </c>
      <c r="C667" t="s">
        <v>9326</v>
      </c>
      <c r="D667" t="s">
        <v>4652</v>
      </c>
      <c r="E667" t="s">
        <v>4653</v>
      </c>
      <c r="F667" t="s">
        <v>4654</v>
      </c>
      <c r="G667" t="s">
        <v>4655</v>
      </c>
      <c r="H667" t="s">
        <v>4656</v>
      </c>
      <c r="I667">
        <v>50</v>
      </c>
    </row>
    <row r="668" spans="1:9" x14ac:dyDescent="0.25">
      <c r="A668" t="s">
        <v>927</v>
      </c>
      <c r="B668">
        <f>VLOOKUP(A668,art_category_path_name!A:B,2,FALSE)</f>
        <v>525</v>
      </c>
      <c r="C668" t="s">
        <v>9327</v>
      </c>
      <c r="D668" t="s">
        <v>4658</v>
      </c>
      <c r="E668" t="s">
        <v>4659</v>
      </c>
      <c r="F668" t="s">
        <v>4660</v>
      </c>
      <c r="G668" t="s">
        <v>4661</v>
      </c>
      <c r="H668" t="s">
        <v>4662</v>
      </c>
      <c r="I668">
        <v>48</v>
      </c>
    </row>
    <row r="669" spans="1:9" x14ac:dyDescent="0.25">
      <c r="A669" t="s">
        <v>928</v>
      </c>
      <c r="B669">
        <f>VLOOKUP(A669,art_category_path_name!A:B,2,FALSE)</f>
        <v>526</v>
      </c>
      <c r="C669" t="s">
        <v>9328</v>
      </c>
      <c r="D669" t="s">
        <v>4664</v>
      </c>
      <c r="E669" t="s">
        <v>4665</v>
      </c>
      <c r="F669" t="s">
        <v>4666</v>
      </c>
      <c r="G669" t="s">
        <v>4667</v>
      </c>
      <c r="H669" t="s">
        <v>4668</v>
      </c>
      <c r="I669">
        <v>14</v>
      </c>
    </row>
    <row r="670" spans="1:9" x14ac:dyDescent="0.25">
      <c r="A670" t="s">
        <v>929</v>
      </c>
      <c r="B670">
        <f>VLOOKUP(A670,art_category_path_name!A:B,2,FALSE)</f>
        <v>527</v>
      </c>
      <c r="C670" t="s">
        <v>9329</v>
      </c>
      <c r="D670" t="s">
        <v>4670</v>
      </c>
      <c r="E670" t="s">
        <v>4671</v>
      </c>
      <c r="F670" t="s">
        <v>4672</v>
      </c>
      <c r="G670" t="s">
        <v>4673</v>
      </c>
      <c r="H670" t="s">
        <v>4674</v>
      </c>
      <c r="I670">
        <v>49</v>
      </c>
    </row>
    <row r="671" spans="1:9" x14ac:dyDescent="0.25">
      <c r="A671" t="s">
        <v>79</v>
      </c>
      <c r="B671">
        <f>VLOOKUP(A671,art_category_path_name!A:B,2,FALSE)</f>
        <v>529</v>
      </c>
      <c r="C671" t="s">
        <v>9330</v>
      </c>
      <c r="D671" t="s">
        <v>4676</v>
      </c>
      <c r="E671" t="s">
        <v>4677</v>
      </c>
      <c r="F671" t="s">
        <v>4678</v>
      </c>
      <c r="G671" t="s">
        <v>4679</v>
      </c>
      <c r="H671" t="s">
        <v>4680</v>
      </c>
      <c r="I671">
        <v>6</v>
      </c>
    </row>
    <row r="672" spans="1:9" x14ac:dyDescent="0.25">
      <c r="A672" t="s">
        <v>80</v>
      </c>
      <c r="B672">
        <f>VLOOKUP(A672,art_category_path_name!A:B,2,FALSE)</f>
        <v>530</v>
      </c>
      <c r="C672" t="s">
        <v>9331</v>
      </c>
      <c r="D672" t="s">
        <v>4682</v>
      </c>
      <c r="E672" t="s">
        <v>4683</v>
      </c>
      <c r="F672" t="s">
        <v>4684</v>
      </c>
      <c r="G672" t="s">
        <v>4685</v>
      </c>
      <c r="H672" t="s">
        <v>4686</v>
      </c>
      <c r="I672">
        <v>13</v>
      </c>
    </row>
    <row r="673" spans="1:9" x14ac:dyDescent="0.25">
      <c r="A673" t="s">
        <v>81</v>
      </c>
      <c r="B673">
        <f>VLOOKUP(A673,art_category_path_name!A:B,2,FALSE)</f>
        <v>531</v>
      </c>
      <c r="C673" t="s">
        <v>9332</v>
      </c>
      <c r="D673" t="s">
        <v>4688</v>
      </c>
      <c r="E673" t="s">
        <v>4689</v>
      </c>
      <c r="F673" t="s">
        <v>4690</v>
      </c>
      <c r="G673" t="s">
        <v>4691</v>
      </c>
      <c r="H673" t="s">
        <v>4692</v>
      </c>
      <c r="I673">
        <v>1</v>
      </c>
    </row>
    <row r="674" spans="1:9" x14ac:dyDescent="0.25">
      <c r="A674" t="s">
        <v>82</v>
      </c>
      <c r="B674">
        <f>VLOOKUP(A674,art_category_path_name!A:B,2,FALSE)</f>
        <v>532</v>
      </c>
      <c r="C674" t="s">
        <v>9333</v>
      </c>
      <c r="D674" t="s">
        <v>4694</v>
      </c>
      <c r="E674" t="s">
        <v>4695</v>
      </c>
      <c r="F674" t="s">
        <v>4696</v>
      </c>
      <c r="G674" t="s">
        <v>4697</v>
      </c>
      <c r="H674" t="s">
        <v>4698</v>
      </c>
      <c r="I674">
        <v>1</v>
      </c>
    </row>
    <row r="675" spans="1:9" x14ac:dyDescent="0.25">
      <c r="A675" t="s">
        <v>977</v>
      </c>
      <c r="B675">
        <f>VLOOKUP(A675,art_category_path_name!A:B,2,FALSE)</f>
        <v>534</v>
      </c>
      <c r="C675" t="s">
        <v>9334</v>
      </c>
      <c r="D675" t="s">
        <v>4700</v>
      </c>
      <c r="E675" t="s">
        <v>4701</v>
      </c>
      <c r="F675" t="s">
        <v>4702</v>
      </c>
      <c r="G675" t="s">
        <v>4703</v>
      </c>
      <c r="H675" t="s">
        <v>4704</v>
      </c>
      <c r="I675">
        <v>22</v>
      </c>
    </row>
    <row r="676" spans="1:9" x14ac:dyDescent="0.25">
      <c r="A676" t="s">
        <v>978</v>
      </c>
      <c r="B676">
        <f>VLOOKUP(A676,art_category_path_name!A:B,2,FALSE)</f>
        <v>535</v>
      </c>
      <c r="C676" t="s">
        <v>9335</v>
      </c>
      <c r="D676" t="s">
        <v>4706</v>
      </c>
      <c r="E676" t="s">
        <v>4707</v>
      </c>
      <c r="F676" t="s">
        <v>4708</v>
      </c>
      <c r="G676" t="s">
        <v>4709</v>
      </c>
      <c r="H676" t="s">
        <v>4710</v>
      </c>
      <c r="I676">
        <v>2</v>
      </c>
    </row>
    <row r="677" spans="1:9" x14ac:dyDescent="0.25">
      <c r="A677" t="s">
        <v>979</v>
      </c>
      <c r="B677">
        <f>VLOOKUP(A677,art_category_path_name!A:B,2,FALSE)</f>
        <v>536</v>
      </c>
      <c r="C677" t="s">
        <v>9336</v>
      </c>
      <c r="D677" t="s">
        <v>4706</v>
      </c>
      <c r="E677" t="s">
        <v>4707</v>
      </c>
      <c r="F677" t="s">
        <v>4708</v>
      </c>
      <c r="G677" t="s">
        <v>4712</v>
      </c>
      <c r="H677" t="s">
        <v>4713</v>
      </c>
      <c r="I677">
        <v>1</v>
      </c>
    </row>
    <row r="678" spans="1:9" x14ac:dyDescent="0.25">
      <c r="A678" t="s">
        <v>981</v>
      </c>
      <c r="B678">
        <f>VLOOKUP(A678,art_category_path_name!A:B,2,FALSE)</f>
        <v>538</v>
      </c>
      <c r="C678" t="s">
        <v>9337</v>
      </c>
      <c r="D678" t="s">
        <v>4715</v>
      </c>
      <c r="E678" t="s">
        <v>4716</v>
      </c>
      <c r="F678" t="s">
        <v>4717</v>
      </c>
      <c r="G678" t="s">
        <v>4718</v>
      </c>
      <c r="H678" t="s">
        <v>4719</v>
      </c>
      <c r="I678">
        <v>63</v>
      </c>
    </row>
    <row r="679" spans="1:9" x14ac:dyDescent="0.25">
      <c r="A679" t="s">
        <v>982</v>
      </c>
      <c r="B679">
        <f>VLOOKUP(A679,art_category_path_name!A:B,2,FALSE)</f>
        <v>539</v>
      </c>
      <c r="C679" t="s">
        <v>9338</v>
      </c>
      <c r="D679" t="s">
        <v>4721</v>
      </c>
      <c r="E679" t="s">
        <v>4722</v>
      </c>
      <c r="F679" t="s">
        <v>4723</v>
      </c>
      <c r="G679" t="s">
        <v>4724</v>
      </c>
      <c r="H679" t="s">
        <v>4725</v>
      </c>
      <c r="I679">
        <v>10</v>
      </c>
    </row>
    <row r="680" spans="1:9" x14ac:dyDescent="0.25">
      <c r="A680" t="s">
        <v>983</v>
      </c>
      <c r="B680">
        <f>VLOOKUP(A680,art_category_path_name!A:B,2,FALSE)</f>
        <v>540</v>
      </c>
      <c r="C680" t="s">
        <v>9339</v>
      </c>
      <c r="G680" t="s">
        <v>4727</v>
      </c>
      <c r="H680" t="s">
        <v>4728</v>
      </c>
      <c r="I680">
        <v>6</v>
      </c>
    </row>
    <row r="681" spans="1:9" x14ac:dyDescent="0.25">
      <c r="A681" t="s">
        <v>984</v>
      </c>
      <c r="B681">
        <f>VLOOKUP(A681,art_category_path_name!A:B,2,FALSE)</f>
        <v>541</v>
      </c>
      <c r="C681" t="s">
        <v>9340</v>
      </c>
      <c r="D681" t="s">
        <v>4730</v>
      </c>
      <c r="E681" t="s">
        <v>4731</v>
      </c>
      <c r="F681" t="s">
        <v>4732</v>
      </c>
      <c r="G681" t="s">
        <v>4733</v>
      </c>
      <c r="H681" t="s">
        <v>4734</v>
      </c>
      <c r="I681">
        <v>18</v>
      </c>
    </row>
    <row r="682" spans="1:9" x14ac:dyDescent="0.25">
      <c r="A682" t="s">
        <v>985</v>
      </c>
      <c r="B682">
        <f>VLOOKUP(A682,art_category_path_name!A:B,2,FALSE)</f>
        <v>542</v>
      </c>
      <c r="C682" t="s">
        <v>9341</v>
      </c>
      <c r="D682" t="s">
        <v>4736</v>
      </c>
      <c r="E682" t="s">
        <v>4737</v>
      </c>
      <c r="F682" t="s">
        <v>4738</v>
      </c>
      <c r="G682" t="s">
        <v>4739</v>
      </c>
      <c r="H682" t="s">
        <v>4740</v>
      </c>
      <c r="I682">
        <v>21</v>
      </c>
    </row>
    <row r="683" spans="1:9" x14ac:dyDescent="0.25">
      <c r="A683" t="s">
        <v>986</v>
      </c>
      <c r="B683">
        <f>VLOOKUP(A683,art_category_path_name!A:B,2,FALSE)</f>
        <v>543</v>
      </c>
      <c r="C683" t="s">
        <v>9342</v>
      </c>
      <c r="D683" t="s">
        <v>4742</v>
      </c>
      <c r="E683" t="s">
        <v>4743</v>
      </c>
      <c r="F683" t="s">
        <v>4744</v>
      </c>
      <c r="G683" t="s">
        <v>4745</v>
      </c>
      <c r="H683" t="s">
        <v>4746</v>
      </c>
      <c r="I683">
        <v>17</v>
      </c>
    </row>
    <row r="684" spans="1:9" x14ac:dyDescent="0.25">
      <c r="A684" t="s">
        <v>987</v>
      </c>
      <c r="B684">
        <f>VLOOKUP(A684,art_category_path_name!A:B,2,FALSE)</f>
        <v>544</v>
      </c>
      <c r="C684" t="s">
        <v>9343</v>
      </c>
      <c r="D684" t="s">
        <v>4742</v>
      </c>
      <c r="E684" t="s">
        <v>4743</v>
      </c>
      <c r="F684" t="s">
        <v>4744</v>
      </c>
      <c r="G684" t="s">
        <v>4748</v>
      </c>
      <c r="H684" t="s">
        <v>4749</v>
      </c>
      <c r="I684">
        <v>26</v>
      </c>
    </row>
    <row r="685" spans="1:9" x14ac:dyDescent="0.25">
      <c r="A685" t="s">
        <v>988</v>
      </c>
      <c r="B685">
        <f>VLOOKUP(A685,art_category_path_name!A:B,2,FALSE)</f>
        <v>545</v>
      </c>
      <c r="C685" t="s">
        <v>9344</v>
      </c>
      <c r="D685" t="s">
        <v>4742</v>
      </c>
      <c r="E685" t="s">
        <v>4743</v>
      </c>
      <c r="F685" t="s">
        <v>4744</v>
      </c>
      <c r="G685" t="s">
        <v>4751</v>
      </c>
      <c r="H685" t="s">
        <v>4752</v>
      </c>
      <c r="I685">
        <v>3</v>
      </c>
    </row>
    <row r="686" spans="1:9" x14ac:dyDescent="0.25">
      <c r="A686" t="s">
        <v>989</v>
      </c>
      <c r="B686">
        <f>VLOOKUP(A686,art_category_path_name!A:B,2,FALSE)</f>
        <v>546</v>
      </c>
      <c r="C686" t="s">
        <v>9345</v>
      </c>
      <c r="D686" t="s">
        <v>4730</v>
      </c>
      <c r="E686" t="s">
        <v>4731</v>
      </c>
      <c r="F686" t="s">
        <v>4732</v>
      </c>
      <c r="G686" t="s">
        <v>4754</v>
      </c>
      <c r="H686" t="s">
        <v>4755</v>
      </c>
      <c r="I686">
        <v>6</v>
      </c>
    </row>
    <row r="687" spans="1:9" x14ac:dyDescent="0.25">
      <c r="A687" t="s">
        <v>990</v>
      </c>
      <c r="B687">
        <f>VLOOKUP(A687,art_category_path_name!A:B,2,FALSE)</f>
        <v>547</v>
      </c>
      <c r="C687" t="s">
        <v>9346</v>
      </c>
      <c r="D687" t="s">
        <v>4730</v>
      </c>
      <c r="E687" t="s">
        <v>4731</v>
      </c>
      <c r="F687" t="s">
        <v>4732</v>
      </c>
      <c r="G687" t="s">
        <v>4757</v>
      </c>
      <c r="H687" t="s">
        <v>4758</v>
      </c>
      <c r="I687">
        <v>6</v>
      </c>
    </row>
    <row r="688" spans="1:9" x14ac:dyDescent="0.25">
      <c r="A688" t="s">
        <v>991</v>
      </c>
      <c r="B688">
        <f>VLOOKUP(A688,art_category_path_name!A:B,2,FALSE)</f>
        <v>548</v>
      </c>
      <c r="C688" t="s">
        <v>9347</v>
      </c>
      <c r="D688" t="s">
        <v>4730</v>
      </c>
      <c r="E688" t="s">
        <v>4731</v>
      </c>
      <c r="F688" t="s">
        <v>4732</v>
      </c>
      <c r="G688" t="s">
        <v>4760</v>
      </c>
      <c r="H688" t="s">
        <v>4761</v>
      </c>
      <c r="I688">
        <v>4</v>
      </c>
    </row>
    <row r="689" spans="1:9" x14ac:dyDescent="0.25">
      <c r="A689" t="s">
        <v>992</v>
      </c>
      <c r="B689">
        <f>VLOOKUP(A689,art_category_path_name!A:B,2,FALSE)</f>
        <v>549</v>
      </c>
      <c r="C689" t="s">
        <v>9348</v>
      </c>
      <c r="D689" t="s">
        <v>4730</v>
      </c>
      <c r="E689" t="s">
        <v>4731</v>
      </c>
      <c r="F689" t="s">
        <v>4732</v>
      </c>
      <c r="G689" t="s">
        <v>4763</v>
      </c>
      <c r="H689" t="s">
        <v>4764</v>
      </c>
      <c r="I689">
        <v>3</v>
      </c>
    </row>
    <row r="690" spans="1:9" x14ac:dyDescent="0.25">
      <c r="A690" t="s">
        <v>993</v>
      </c>
      <c r="B690">
        <f>VLOOKUP(A690,art_category_path_name!A:B,2,FALSE)</f>
        <v>550</v>
      </c>
      <c r="C690" t="s">
        <v>9349</v>
      </c>
      <c r="D690" t="s">
        <v>4730</v>
      </c>
      <c r="E690" t="s">
        <v>4731</v>
      </c>
      <c r="F690" t="s">
        <v>4732</v>
      </c>
      <c r="G690" t="s">
        <v>4766</v>
      </c>
      <c r="H690" t="s">
        <v>4767</v>
      </c>
      <c r="I690">
        <v>2</v>
      </c>
    </row>
    <row r="691" spans="1:9" x14ac:dyDescent="0.25">
      <c r="A691" t="s">
        <v>994</v>
      </c>
      <c r="B691">
        <f>VLOOKUP(A691,art_category_path_name!A:B,2,FALSE)</f>
        <v>551</v>
      </c>
      <c r="C691" t="s">
        <v>9350</v>
      </c>
      <c r="D691" t="s">
        <v>4769</v>
      </c>
      <c r="E691" t="s">
        <v>4770</v>
      </c>
      <c r="F691" t="s">
        <v>4771</v>
      </c>
      <c r="G691" t="s">
        <v>4772</v>
      </c>
      <c r="H691" t="s">
        <v>4773</v>
      </c>
      <c r="I691">
        <v>23</v>
      </c>
    </row>
    <row r="692" spans="1:9" x14ac:dyDescent="0.25">
      <c r="A692" t="s">
        <v>995</v>
      </c>
      <c r="B692">
        <f>VLOOKUP(A692,art_category_path_name!A:B,2,FALSE)</f>
        <v>552</v>
      </c>
      <c r="C692" t="s">
        <v>9351</v>
      </c>
      <c r="D692" t="s">
        <v>4775</v>
      </c>
      <c r="E692" t="s">
        <v>4776</v>
      </c>
      <c r="F692" t="s">
        <v>4777</v>
      </c>
      <c r="G692" t="s">
        <v>4778</v>
      </c>
      <c r="H692" t="s">
        <v>4779</v>
      </c>
      <c r="I692">
        <v>24</v>
      </c>
    </row>
    <row r="693" spans="1:9" x14ac:dyDescent="0.25">
      <c r="A693" t="s">
        <v>996</v>
      </c>
      <c r="B693">
        <f>VLOOKUP(A693,art_category_path_name!A:B,2,FALSE)</f>
        <v>553</v>
      </c>
      <c r="C693" t="s">
        <v>9352</v>
      </c>
      <c r="G693" t="s">
        <v>4781</v>
      </c>
      <c r="H693" t="s">
        <v>4782</v>
      </c>
      <c r="I693">
        <v>3</v>
      </c>
    </row>
    <row r="694" spans="1:9" x14ac:dyDescent="0.25">
      <c r="A694" t="s">
        <v>694</v>
      </c>
      <c r="B694">
        <f>VLOOKUP(A694,art_category_path_name!A:B,2,FALSE)</f>
        <v>555</v>
      </c>
      <c r="C694" t="s">
        <v>9353</v>
      </c>
      <c r="D694" t="s">
        <v>4784</v>
      </c>
      <c r="E694" t="s">
        <v>4785</v>
      </c>
      <c r="F694" t="s">
        <v>4786</v>
      </c>
      <c r="G694" t="s">
        <v>4787</v>
      </c>
      <c r="H694" t="s">
        <v>4788</v>
      </c>
      <c r="I694">
        <v>26</v>
      </c>
    </row>
    <row r="695" spans="1:9" x14ac:dyDescent="0.25">
      <c r="A695" t="s">
        <v>695</v>
      </c>
      <c r="B695">
        <f>VLOOKUP(A695,art_category_path_name!A:B,2,FALSE)</f>
        <v>556</v>
      </c>
      <c r="C695" t="s">
        <v>9354</v>
      </c>
      <c r="D695" t="s">
        <v>4790</v>
      </c>
      <c r="E695" t="s">
        <v>4791</v>
      </c>
      <c r="F695" t="s">
        <v>4792</v>
      </c>
      <c r="G695" t="s">
        <v>4793</v>
      </c>
      <c r="H695" t="s">
        <v>4794</v>
      </c>
      <c r="I695">
        <v>15</v>
      </c>
    </row>
    <row r="696" spans="1:9" x14ac:dyDescent="0.25">
      <c r="A696" t="s">
        <v>696</v>
      </c>
      <c r="B696">
        <f>VLOOKUP(A696,art_category_path_name!A:B,2,FALSE)</f>
        <v>557</v>
      </c>
      <c r="C696" t="s">
        <v>9355</v>
      </c>
      <c r="D696" t="s">
        <v>4796</v>
      </c>
      <c r="E696" t="s">
        <v>4797</v>
      </c>
      <c r="F696" t="s">
        <v>4798</v>
      </c>
      <c r="G696" t="s">
        <v>4799</v>
      </c>
      <c r="H696" t="s">
        <v>4800</v>
      </c>
      <c r="I696">
        <v>13</v>
      </c>
    </row>
    <row r="697" spans="1:9" x14ac:dyDescent="0.25">
      <c r="A697" t="s">
        <v>697</v>
      </c>
      <c r="B697">
        <f>VLOOKUP(A697,art_category_path_name!A:B,2,FALSE)</f>
        <v>558</v>
      </c>
      <c r="C697" t="s">
        <v>9356</v>
      </c>
      <c r="D697" t="s">
        <v>3670</v>
      </c>
      <c r="E697" t="s">
        <v>3671</v>
      </c>
      <c r="F697" t="s">
        <v>3672</v>
      </c>
      <c r="G697" t="s">
        <v>4802</v>
      </c>
      <c r="H697" t="s">
        <v>4803</v>
      </c>
      <c r="I697">
        <v>21</v>
      </c>
    </row>
    <row r="698" spans="1:9" x14ac:dyDescent="0.25">
      <c r="A698" t="s">
        <v>698</v>
      </c>
      <c r="B698">
        <f>VLOOKUP(A698,art_category_path_name!A:B,2,FALSE)</f>
        <v>559</v>
      </c>
      <c r="C698" t="s">
        <v>9357</v>
      </c>
      <c r="D698" t="s">
        <v>4805</v>
      </c>
      <c r="E698" t="s">
        <v>4806</v>
      </c>
      <c r="F698" t="s">
        <v>4807</v>
      </c>
      <c r="G698" t="s">
        <v>4808</v>
      </c>
      <c r="H698" t="s">
        <v>4809</v>
      </c>
      <c r="I698">
        <v>21</v>
      </c>
    </row>
    <row r="699" spans="1:9" x14ac:dyDescent="0.25">
      <c r="A699" t="s">
        <v>699</v>
      </c>
      <c r="B699">
        <f>VLOOKUP(A699,art_category_path_name!A:B,2,FALSE)</f>
        <v>560</v>
      </c>
      <c r="C699" t="s">
        <v>9358</v>
      </c>
      <c r="D699" t="s">
        <v>4811</v>
      </c>
      <c r="E699" t="s">
        <v>4812</v>
      </c>
      <c r="F699" t="s">
        <v>4813</v>
      </c>
      <c r="G699" t="s">
        <v>4814</v>
      </c>
      <c r="H699" t="s">
        <v>4815</v>
      </c>
      <c r="I699">
        <v>4</v>
      </c>
    </row>
    <row r="700" spans="1:9" x14ac:dyDescent="0.25">
      <c r="A700" t="s">
        <v>813</v>
      </c>
      <c r="B700">
        <f>VLOOKUP(A700,art_category_path_name!A:B,2,FALSE)</f>
        <v>562</v>
      </c>
      <c r="C700" t="s">
        <v>9359</v>
      </c>
      <c r="D700" t="s">
        <v>4817</v>
      </c>
      <c r="E700" t="s">
        <v>4818</v>
      </c>
      <c r="F700" t="s">
        <v>4819</v>
      </c>
      <c r="G700" t="s">
        <v>4820</v>
      </c>
      <c r="H700" t="s">
        <v>4821</v>
      </c>
      <c r="I700">
        <v>17</v>
      </c>
    </row>
    <row r="701" spans="1:9" x14ac:dyDescent="0.25">
      <c r="A701" t="s">
        <v>326</v>
      </c>
      <c r="B701">
        <f>VLOOKUP(A701,art_category_path_name!A:B,2,FALSE)</f>
        <v>564</v>
      </c>
      <c r="C701" t="s">
        <v>9360</v>
      </c>
      <c r="D701" t="s">
        <v>4823</v>
      </c>
      <c r="E701" t="s">
        <v>2277</v>
      </c>
      <c r="F701" t="s">
        <v>4824</v>
      </c>
      <c r="G701" t="s">
        <v>3983</v>
      </c>
      <c r="H701" t="s">
        <v>4825</v>
      </c>
      <c r="I701">
        <v>4</v>
      </c>
    </row>
    <row r="702" spans="1:9" x14ac:dyDescent="0.25">
      <c r="A702" t="s">
        <v>327</v>
      </c>
      <c r="B702">
        <f>VLOOKUP(A702,art_category_path_name!A:B,2,FALSE)</f>
        <v>565</v>
      </c>
      <c r="C702" t="s">
        <v>9361</v>
      </c>
      <c r="D702" t="s">
        <v>4827</v>
      </c>
      <c r="E702" t="s">
        <v>4828</v>
      </c>
      <c r="F702" t="s">
        <v>4829</v>
      </c>
      <c r="G702" t="s">
        <v>3983</v>
      </c>
      <c r="H702" t="s">
        <v>4830</v>
      </c>
      <c r="I702">
        <v>5</v>
      </c>
    </row>
    <row r="703" spans="1:9" x14ac:dyDescent="0.25">
      <c r="A703" t="s">
        <v>328</v>
      </c>
      <c r="B703">
        <f>VLOOKUP(A703,art_category_path_name!A:B,2,FALSE)</f>
        <v>566</v>
      </c>
      <c r="C703" t="s">
        <v>9362</v>
      </c>
      <c r="D703" t="s">
        <v>4832</v>
      </c>
      <c r="E703" t="s">
        <v>4833</v>
      </c>
      <c r="F703" t="s">
        <v>4834</v>
      </c>
      <c r="G703" t="s">
        <v>3983</v>
      </c>
      <c r="H703" t="s">
        <v>4835</v>
      </c>
      <c r="I703">
        <v>4</v>
      </c>
    </row>
    <row r="704" spans="1:9" x14ac:dyDescent="0.25">
      <c r="A704" t="s">
        <v>1235</v>
      </c>
      <c r="B704">
        <f>VLOOKUP(A704,art_category_path_name!A:B,2,FALSE)</f>
        <v>568</v>
      </c>
      <c r="C704" t="s">
        <v>9363</v>
      </c>
      <c r="D704" t="s">
        <v>4837</v>
      </c>
      <c r="F704" t="s">
        <v>1834</v>
      </c>
      <c r="G704" t="s">
        <v>4838</v>
      </c>
      <c r="H704" t="s">
        <v>4839</v>
      </c>
      <c r="I704">
        <v>4</v>
      </c>
    </row>
    <row r="705" spans="1:9" x14ac:dyDescent="0.25">
      <c r="A705" t="s">
        <v>1236</v>
      </c>
      <c r="B705">
        <f>VLOOKUP(A705,art_category_path_name!A:B,2,FALSE)</f>
        <v>569</v>
      </c>
      <c r="C705" t="s">
        <v>9364</v>
      </c>
      <c r="D705" t="s">
        <v>4841</v>
      </c>
      <c r="F705" t="s">
        <v>1834</v>
      </c>
      <c r="G705" t="s">
        <v>4842</v>
      </c>
      <c r="H705" t="s">
        <v>4843</v>
      </c>
      <c r="I705">
        <v>9</v>
      </c>
    </row>
    <row r="706" spans="1:9" x14ac:dyDescent="0.25">
      <c r="A706" t="s">
        <v>1237</v>
      </c>
      <c r="B706">
        <f>VLOOKUP(A706,art_category_path_name!A:B,2,FALSE)</f>
        <v>570</v>
      </c>
      <c r="C706" t="s">
        <v>9365</v>
      </c>
      <c r="D706" t="s">
        <v>4845</v>
      </c>
      <c r="F706" t="s">
        <v>1834</v>
      </c>
      <c r="G706" t="s">
        <v>4846</v>
      </c>
      <c r="H706" t="s">
        <v>4847</v>
      </c>
      <c r="I706">
        <v>4</v>
      </c>
    </row>
    <row r="707" spans="1:9" x14ac:dyDescent="0.25">
      <c r="A707" t="s">
        <v>1238</v>
      </c>
      <c r="B707">
        <f>VLOOKUP(A707,art_category_path_name!A:B,2,FALSE)</f>
        <v>571</v>
      </c>
      <c r="C707" t="s">
        <v>9366</v>
      </c>
      <c r="D707" t="s">
        <v>4849</v>
      </c>
      <c r="F707" t="s">
        <v>1834</v>
      </c>
      <c r="G707" t="s">
        <v>4850</v>
      </c>
      <c r="H707" t="s">
        <v>4851</v>
      </c>
      <c r="I707">
        <v>7</v>
      </c>
    </row>
    <row r="708" spans="1:9" x14ac:dyDescent="0.25">
      <c r="A708" t="s">
        <v>1239</v>
      </c>
      <c r="B708">
        <f>VLOOKUP(A708,art_category_path_name!A:B,2,FALSE)</f>
        <v>572</v>
      </c>
      <c r="C708" t="s">
        <v>9367</v>
      </c>
      <c r="D708" t="s">
        <v>4853</v>
      </c>
      <c r="E708" t="s">
        <v>4854</v>
      </c>
      <c r="F708" t="s">
        <v>4855</v>
      </c>
      <c r="G708" t="s">
        <v>4856</v>
      </c>
      <c r="H708" t="s">
        <v>4857</v>
      </c>
      <c r="I708">
        <v>5</v>
      </c>
    </row>
    <row r="709" spans="1:9" x14ac:dyDescent="0.25">
      <c r="A709" t="s">
        <v>1240</v>
      </c>
      <c r="B709">
        <f>VLOOKUP(A709,art_category_path_name!A:B,2,FALSE)</f>
        <v>573</v>
      </c>
      <c r="C709" t="s">
        <v>9368</v>
      </c>
      <c r="D709" t="s">
        <v>4859</v>
      </c>
      <c r="F709" t="s">
        <v>1834</v>
      </c>
      <c r="G709" t="s">
        <v>4860</v>
      </c>
      <c r="H709" t="s">
        <v>4861</v>
      </c>
      <c r="I709">
        <v>5</v>
      </c>
    </row>
    <row r="710" spans="1:9" x14ac:dyDescent="0.25">
      <c r="A710" t="s">
        <v>1241</v>
      </c>
      <c r="B710">
        <f>VLOOKUP(A710,art_category_path_name!A:B,2,FALSE)</f>
        <v>574</v>
      </c>
      <c r="C710" t="s">
        <v>9369</v>
      </c>
      <c r="D710" t="s">
        <v>4863</v>
      </c>
      <c r="F710" t="s">
        <v>1834</v>
      </c>
      <c r="G710" t="s">
        <v>4864</v>
      </c>
      <c r="H710" t="s">
        <v>4865</v>
      </c>
      <c r="I710">
        <v>3</v>
      </c>
    </row>
    <row r="711" spans="1:9" x14ac:dyDescent="0.25">
      <c r="A711" t="s">
        <v>1242</v>
      </c>
      <c r="B711">
        <f>VLOOKUP(A711,art_category_path_name!A:B,2,FALSE)</f>
        <v>575</v>
      </c>
      <c r="C711" t="s">
        <v>9370</v>
      </c>
      <c r="D711" t="s">
        <v>4867</v>
      </c>
      <c r="F711" t="s">
        <v>1834</v>
      </c>
      <c r="G711" t="s">
        <v>4868</v>
      </c>
      <c r="H711" t="s">
        <v>4869</v>
      </c>
      <c r="I711">
        <v>15</v>
      </c>
    </row>
    <row r="712" spans="1:9" x14ac:dyDescent="0.25">
      <c r="A712" t="s">
        <v>758</v>
      </c>
      <c r="B712">
        <f>VLOOKUP(A712,art_category_path_name!A:B,2,FALSE)</f>
        <v>577</v>
      </c>
      <c r="C712" t="s">
        <v>9371</v>
      </c>
      <c r="D712" t="s">
        <v>4871</v>
      </c>
      <c r="E712" t="s">
        <v>4872</v>
      </c>
      <c r="F712" t="s">
        <v>4873</v>
      </c>
      <c r="G712" t="s">
        <v>4874</v>
      </c>
      <c r="H712" t="s">
        <v>4875</v>
      </c>
      <c r="I712">
        <v>11</v>
      </c>
    </row>
    <row r="713" spans="1:9" x14ac:dyDescent="0.25">
      <c r="A713" t="s">
        <v>759</v>
      </c>
      <c r="B713">
        <f>VLOOKUP(A713,art_category_path_name!A:B,2,FALSE)</f>
        <v>578</v>
      </c>
      <c r="C713" t="s">
        <v>9372</v>
      </c>
      <c r="D713" t="s">
        <v>4877</v>
      </c>
      <c r="F713" t="s">
        <v>1834</v>
      </c>
      <c r="G713" t="s">
        <v>4878</v>
      </c>
      <c r="H713" t="s">
        <v>4879</v>
      </c>
      <c r="I713">
        <v>2</v>
      </c>
    </row>
    <row r="714" spans="1:9" x14ac:dyDescent="0.25">
      <c r="A714" t="s">
        <v>500</v>
      </c>
      <c r="B714">
        <f>VLOOKUP(A714,art_category_path_name!A:B,2,FALSE)</f>
        <v>581</v>
      </c>
      <c r="C714" t="s">
        <v>8736</v>
      </c>
      <c r="D714" t="s">
        <v>4880</v>
      </c>
      <c r="F714" t="s">
        <v>1834</v>
      </c>
      <c r="G714" t="s">
        <v>4881</v>
      </c>
      <c r="H714" t="s">
        <v>4882</v>
      </c>
      <c r="I714">
        <v>3</v>
      </c>
    </row>
    <row r="715" spans="1:9" x14ac:dyDescent="0.25">
      <c r="A715" t="s">
        <v>501</v>
      </c>
      <c r="B715">
        <f>VLOOKUP(A715,art_category_path_name!A:B,2,FALSE)</f>
        <v>582</v>
      </c>
      <c r="C715" t="s">
        <v>9373</v>
      </c>
      <c r="D715" t="s">
        <v>4884</v>
      </c>
      <c r="F715" t="s">
        <v>1834</v>
      </c>
      <c r="G715" t="s">
        <v>4885</v>
      </c>
      <c r="H715" t="s">
        <v>4886</v>
      </c>
      <c r="I715">
        <v>1</v>
      </c>
    </row>
    <row r="716" spans="1:9" x14ac:dyDescent="0.25">
      <c r="A716" t="s">
        <v>502</v>
      </c>
      <c r="B716">
        <f>VLOOKUP(A716,art_category_path_name!A:B,2,FALSE)</f>
        <v>583</v>
      </c>
      <c r="C716" t="s">
        <v>4888</v>
      </c>
      <c r="D716" t="s">
        <v>4888</v>
      </c>
      <c r="F716" t="s">
        <v>1834</v>
      </c>
      <c r="G716" t="s">
        <v>4889</v>
      </c>
      <c r="H716" t="s">
        <v>4890</v>
      </c>
      <c r="I716">
        <v>4</v>
      </c>
    </row>
    <row r="717" spans="1:9" x14ac:dyDescent="0.25">
      <c r="A717" t="s">
        <v>503</v>
      </c>
      <c r="B717">
        <f>VLOOKUP(A717,art_category_path_name!A:B,2,FALSE)</f>
        <v>584</v>
      </c>
      <c r="C717" t="s">
        <v>9374</v>
      </c>
      <c r="D717" t="s">
        <v>4892</v>
      </c>
      <c r="F717" t="s">
        <v>1834</v>
      </c>
      <c r="G717" t="s">
        <v>4893</v>
      </c>
      <c r="H717" t="s">
        <v>4894</v>
      </c>
      <c r="I717">
        <v>1</v>
      </c>
    </row>
    <row r="718" spans="1:9" x14ac:dyDescent="0.25">
      <c r="A718" t="s">
        <v>504</v>
      </c>
      <c r="B718">
        <f>VLOOKUP(A718,art_category_path_name!A:B,2,FALSE)</f>
        <v>585</v>
      </c>
      <c r="C718" t="s">
        <v>9375</v>
      </c>
      <c r="D718" t="s">
        <v>4896</v>
      </c>
      <c r="F718" t="s">
        <v>1834</v>
      </c>
      <c r="G718" t="s">
        <v>4897</v>
      </c>
      <c r="H718" t="s">
        <v>4898</v>
      </c>
      <c r="I718">
        <v>3</v>
      </c>
    </row>
    <row r="719" spans="1:9" x14ac:dyDescent="0.25">
      <c r="A719" t="s">
        <v>505</v>
      </c>
      <c r="B719">
        <f>VLOOKUP(A719,art_category_path_name!A:B,2,FALSE)</f>
        <v>586</v>
      </c>
      <c r="C719" t="s">
        <v>9376</v>
      </c>
      <c r="D719" t="s">
        <v>4900</v>
      </c>
      <c r="F719" t="s">
        <v>1834</v>
      </c>
      <c r="G719" t="s">
        <v>4901</v>
      </c>
      <c r="H719" t="s">
        <v>4902</v>
      </c>
      <c r="I719">
        <v>2</v>
      </c>
    </row>
    <row r="720" spans="1:9" x14ac:dyDescent="0.25">
      <c r="A720" t="s">
        <v>506</v>
      </c>
      <c r="B720">
        <f>VLOOKUP(A720,art_category_path_name!A:B,2,FALSE)</f>
        <v>587</v>
      </c>
      <c r="C720" t="s">
        <v>9377</v>
      </c>
      <c r="D720" t="s">
        <v>4904</v>
      </c>
      <c r="F720" t="s">
        <v>1834</v>
      </c>
      <c r="G720" t="s">
        <v>4905</v>
      </c>
      <c r="H720" t="s">
        <v>4906</v>
      </c>
      <c r="I720">
        <v>1</v>
      </c>
    </row>
    <row r="721" spans="1:9" x14ac:dyDescent="0.25">
      <c r="A721" t="s">
        <v>507</v>
      </c>
      <c r="B721">
        <f>VLOOKUP(A721,art_category_path_name!A:B,2,FALSE)</f>
        <v>588</v>
      </c>
      <c r="C721" t="s">
        <v>9378</v>
      </c>
      <c r="D721" t="s">
        <v>4908</v>
      </c>
      <c r="F721" t="s">
        <v>1834</v>
      </c>
      <c r="G721" t="s">
        <v>4909</v>
      </c>
      <c r="H721" t="s">
        <v>4910</v>
      </c>
      <c r="I721">
        <v>2</v>
      </c>
    </row>
    <row r="722" spans="1:9" x14ac:dyDescent="0.25">
      <c r="A722" t="s">
        <v>509</v>
      </c>
      <c r="B722">
        <f>VLOOKUP(A722,art_category_path_name!A:B,2,FALSE)</f>
        <v>590</v>
      </c>
      <c r="C722" t="s">
        <v>9379</v>
      </c>
      <c r="D722" t="s">
        <v>4912</v>
      </c>
      <c r="F722" t="s">
        <v>1834</v>
      </c>
      <c r="G722" t="s">
        <v>4913</v>
      </c>
      <c r="H722" t="s">
        <v>4914</v>
      </c>
      <c r="I722">
        <v>3</v>
      </c>
    </row>
    <row r="723" spans="1:9" x14ac:dyDescent="0.25">
      <c r="A723" t="s">
        <v>510</v>
      </c>
      <c r="B723">
        <f>VLOOKUP(A723,art_category_path_name!A:B,2,FALSE)</f>
        <v>591</v>
      </c>
      <c r="C723" t="s">
        <v>9380</v>
      </c>
      <c r="D723" t="s">
        <v>4916</v>
      </c>
      <c r="F723" t="s">
        <v>1834</v>
      </c>
      <c r="G723" t="s">
        <v>4917</v>
      </c>
      <c r="H723" t="s">
        <v>4918</v>
      </c>
      <c r="I723">
        <v>6</v>
      </c>
    </row>
    <row r="724" spans="1:9" x14ac:dyDescent="0.25">
      <c r="A724" t="s">
        <v>511</v>
      </c>
      <c r="B724">
        <f>VLOOKUP(A724,art_category_path_name!A:B,2,FALSE)</f>
        <v>592</v>
      </c>
      <c r="C724" t="s">
        <v>9381</v>
      </c>
      <c r="D724" t="s">
        <v>4920</v>
      </c>
      <c r="F724" t="s">
        <v>1834</v>
      </c>
      <c r="G724" t="s">
        <v>4921</v>
      </c>
      <c r="H724" t="s">
        <v>4922</v>
      </c>
      <c r="I724">
        <v>1</v>
      </c>
    </row>
    <row r="725" spans="1:9" x14ac:dyDescent="0.25">
      <c r="A725" t="s">
        <v>815</v>
      </c>
      <c r="B725">
        <f>VLOOKUP(A725,art_category_path_name!A:B,2,FALSE)</f>
        <v>594</v>
      </c>
      <c r="C725" t="s">
        <v>9382</v>
      </c>
      <c r="D725" t="s">
        <v>4924</v>
      </c>
      <c r="E725" t="s">
        <v>4925</v>
      </c>
      <c r="F725" t="s">
        <v>4926</v>
      </c>
      <c r="G725" t="s">
        <v>4927</v>
      </c>
      <c r="H725" t="s">
        <v>4928</v>
      </c>
      <c r="I725">
        <v>5</v>
      </c>
    </row>
    <row r="726" spans="1:9" x14ac:dyDescent="0.25">
      <c r="A726" t="s">
        <v>816</v>
      </c>
      <c r="B726">
        <f>VLOOKUP(A726,art_category_path_name!A:B,2,FALSE)</f>
        <v>595</v>
      </c>
      <c r="C726" t="s">
        <v>9383</v>
      </c>
      <c r="D726" t="s">
        <v>4930</v>
      </c>
      <c r="E726" t="s">
        <v>4931</v>
      </c>
      <c r="F726" t="s">
        <v>4932</v>
      </c>
      <c r="G726" t="s">
        <v>4933</v>
      </c>
      <c r="H726" t="s">
        <v>4934</v>
      </c>
      <c r="I726">
        <v>52</v>
      </c>
    </row>
    <row r="727" spans="1:9" x14ac:dyDescent="0.25">
      <c r="A727" t="s">
        <v>817</v>
      </c>
      <c r="B727">
        <f>VLOOKUP(A727,art_category_path_name!A:B,2,FALSE)</f>
        <v>596</v>
      </c>
      <c r="C727" t="s">
        <v>9384</v>
      </c>
      <c r="D727" t="s">
        <v>4936</v>
      </c>
      <c r="E727" t="s">
        <v>4937</v>
      </c>
      <c r="F727" t="s">
        <v>4938</v>
      </c>
      <c r="G727" t="s">
        <v>4939</v>
      </c>
      <c r="H727" t="s">
        <v>4940</v>
      </c>
      <c r="I727">
        <v>7</v>
      </c>
    </row>
    <row r="728" spans="1:9" x14ac:dyDescent="0.25">
      <c r="A728" t="s">
        <v>818</v>
      </c>
      <c r="B728">
        <f>VLOOKUP(A728,art_category_path_name!A:B,2,FALSE)</f>
        <v>597</v>
      </c>
      <c r="C728" t="s">
        <v>9385</v>
      </c>
      <c r="D728" t="s">
        <v>4942</v>
      </c>
      <c r="E728" t="s">
        <v>4943</v>
      </c>
      <c r="F728" t="s">
        <v>4944</v>
      </c>
      <c r="G728" t="s">
        <v>4945</v>
      </c>
      <c r="H728" t="s">
        <v>4946</v>
      </c>
      <c r="I728">
        <v>4</v>
      </c>
    </row>
    <row r="729" spans="1:9" x14ac:dyDescent="0.25">
      <c r="A729" t="s">
        <v>819</v>
      </c>
      <c r="B729">
        <f>VLOOKUP(A729,art_category_path_name!A:B,2,FALSE)</f>
        <v>598</v>
      </c>
      <c r="C729" t="s">
        <v>9386</v>
      </c>
      <c r="D729" t="s">
        <v>4948</v>
      </c>
      <c r="E729" t="s">
        <v>4949</v>
      </c>
      <c r="F729" t="s">
        <v>4950</v>
      </c>
      <c r="G729" t="s">
        <v>4951</v>
      </c>
      <c r="H729" t="s">
        <v>4952</v>
      </c>
      <c r="I729">
        <v>1</v>
      </c>
    </row>
    <row r="730" spans="1:9" x14ac:dyDescent="0.25">
      <c r="A730" t="s">
        <v>820</v>
      </c>
      <c r="B730">
        <f>VLOOKUP(A730,art_category_path_name!A:B,2,FALSE)</f>
        <v>599</v>
      </c>
      <c r="C730" t="s">
        <v>9387</v>
      </c>
      <c r="D730" t="s">
        <v>4954</v>
      </c>
      <c r="E730" t="s">
        <v>4955</v>
      </c>
      <c r="F730" t="s">
        <v>4956</v>
      </c>
      <c r="G730" t="s">
        <v>4957</v>
      </c>
      <c r="H730" t="s">
        <v>4958</v>
      </c>
      <c r="I730">
        <v>39</v>
      </c>
    </row>
    <row r="731" spans="1:9" x14ac:dyDescent="0.25">
      <c r="A731" t="s">
        <v>821</v>
      </c>
      <c r="B731">
        <f>VLOOKUP(A731,art_category_path_name!A:B,2,FALSE)</f>
        <v>600</v>
      </c>
      <c r="C731" t="s">
        <v>9388</v>
      </c>
      <c r="D731" t="s">
        <v>4960</v>
      </c>
      <c r="E731" t="s">
        <v>4961</v>
      </c>
      <c r="F731" t="s">
        <v>4962</v>
      </c>
      <c r="G731" t="s">
        <v>4963</v>
      </c>
      <c r="H731" t="s">
        <v>4964</v>
      </c>
      <c r="I731">
        <v>32</v>
      </c>
    </row>
    <row r="732" spans="1:9" x14ac:dyDescent="0.25">
      <c r="A732" t="s">
        <v>823</v>
      </c>
      <c r="B732">
        <f>VLOOKUP(A732,art_category_path_name!A:B,2,FALSE)</f>
        <v>602</v>
      </c>
      <c r="C732" t="s">
        <v>9389</v>
      </c>
      <c r="D732" t="s">
        <v>4966</v>
      </c>
      <c r="E732" t="s">
        <v>4967</v>
      </c>
      <c r="F732" t="s">
        <v>4968</v>
      </c>
      <c r="G732" t="s">
        <v>4969</v>
      </c>
      <c r="H732" t="s">
        <v>4970</v>
      </c>
      <c r="I732">
        <v>38</v>
      </c>
    </row>
    <row r="733" spans="1:9" x14ac:dyDescent="0.25">
      <c r="A733" t="s">
        <v>84</v>
      </c>
      <c r="B733">
        <f>VLOOKUP(A733,art_category_path_name!A:B,2,FALSE)</f>
        <v>604</v>
      </c>
      <c r="C733" t="s">
        <v>9390</v>
      </c>
      <c r="D733" t="s">
        <v>4972</v>
      </c>
      <c r="E733" t="s">
        <v>4973</v>
      </c>
      <c r="F733" t="s">
        <v>4974</v>
      </c>
      <c r="G733" t="s">
        <v>4975</v>
      </c>
      <c r="H733" t="s">
        <v>4976</v>
      </c>
      <c r="I733">
        <v>1</v>
      </c>
    </row>
    <row r="734" spans="1:9" x14ac:dyDescent="0.25">
      <c r="A734" t="s">
        <v>85</v>
      </c>
      <c r="B734">
        <f>VLOOKUP(A734,art_category_path_name!A:B,2,FALSE)</f>
        <v>605</v>
      </c>
      <c r="C734" t="s">
        <v>9391</v>
      </c>
      <c r="D734" t="s">
        <v>4978</v>
      </c>
      <c r="E734" t="s">
        <v>4979</v>
      </c>
      <c r="F734" t="s">
        <v>4980</v>
      </c>
      <c r="G734" t="s">
        <v>4981</v>
      </c>
      <c r="H734" t="s">
        <v>4982</v>
      </c>
      <c r="I734">
        <v>5</v>
      </c>
    </row>
    <row r="735" spans="1:9" x14ac:dyDescent="0.25">
      <c r="A735" t="s">
        <v>86</v>
      </c>
      <c r="B735">
        <f>VLOOKUP(A735,art_category_path_name!A:B,2,FALSE)</f>
        <v>606</v>
      </c>
      <c r="C735" t="s">
        <v>9392</v>
      </c>
      <c r="D735" t="s">
        <v>4984</v>
      </c>
      <c r="F735" t="s">
        <v>1834</v>
      </c>
      <c r="G735" t="s">
        <v>4985</v>
      </c>
      <c r="H735" t="s">
        <v>4986</v>
      </c>
      <c r="I735">
        <v>1</v>
      </c>
    </row>
    <row r="736" spans="1:9" x14ac:dyDescent="0.25">
      <c r="A736" t="s">
        <v>963</v>
      </c>
      <c r="B736">
        <f>VLOOKUP(A736,art_category_path_name!A:B,2,FALSE)</f>
        <v>608</v>
      </c>
      <c r="C736" t="s">
        <v>9393</v>
      </c>
      <c r="D736" t="s">
        <v>4988</v>
      </c>
      <c r="E736" t="s">
        <v>4989</v>
      </c>
      <c r="F736" t="s">
        <v>4990</v>
      </c>
      <c r="G736" t="s">
        <v>4991</v>
      </c>
      <c r="H736" t="s">
        <v>4992</v>
      </c>
      <c r="I736">
        <v>28</v>
      </c>
    </row>
    <row r="737" spans="1:9" x14ac:dyDescent="0.25">
      <c r="A737" t="s">
        <v>964</v>
      </c>
      <c r="B737">
        <f>VLOOKUP(A737,art_category_path_name!A:B,2,FALSE)</f>
        <v>609</v>
      </c>
      <c r="C737" t="s">
        <v>9394</v>
      </c>
      <c r="D737" t="s">
        <v>4994</v>
      </c>
      <c r="E737" t="s">
        <v>4995</v>
      </c>
      <c r="F737" t="s">
        <v>4996</v>
      </c>
      <c r="G737" t="s">
        <v>4997</v>
      </c>
      <c r="H737" t="s">
        <v>4998</v>
      </c>
      <c r="I737">
        <v>1</v>
      </c>
    </row>
    <row r="738" spans="1:9" x14ac:dyDescent="0.25">
      <c r="A738" t="s">
        <v>965</v>
      </c>
      <c r="B738">
        <f>VLOOKUP(A738,art_category_path_name!A:B,2,FALSE)</f>
        <v>610</v>
      </c>
      <c r="C738" t="s">
        <v>9395</v>
      </c>
      <c r="D738" t="s">
        <v>5000</v>
      </c>
      <c r="E738" t="s">
        <v>5001</v>
      </c>
      <c r="F738" t="s">
        <v>5002</v>
      </c>
      <c r="G738" t="s">
        <v>5003</v>
      </c>
      <c r="H738" t="s">
        <v>5004</v>
      </c>
      <c r="I738">
        <v>18</v>
      </c>
    </row>
    <row r="739" spans="1:9" x14ac:dyDescent="0.25">
      <c r="A739" t="s">
        <v>650</v>
      </c>
      <c r="B739">
        <f>VLOOKUP(A739,art_category_path_name!A:B,2,FALSE)</f>
        <v>612</v>
      </c>
      <c r="C739" t="s">
        <v>9396</v>
      </c>
      <c r="D739" t="s">
        <v>5006</v>
      </c>
      <c r="E739" t="s">
        <v>5007</v>
      </c>
      <c r="F739" t="s">
        <v>5008</v>
      </c>
      <c r="G739" t="s">
        <v>5009</v>
      </c>
      <c r="H739" t="s">
        <v>5010</v>
      </c>
      <c r="I739">
        <v>12</v>
      </c>
    </row>
    <row r="740" spans="1:9" x14ac:dyDescent="0.25">
      <c r="A740" t="s">
        <v>182</v>
      </c>
      <c r="B740">
        <f>VLOOKUP(A740,art_category_path_name!A:B,2,FALSE)</f>
        <v>614</v>
      </c>
      <c r="C740" t="s">
        <v>9397</v>
      </c>
      <c r="D740" t="s">
        <v>5012</v>
      </c>
      <c r="E740" t="s">
        <v>5013</v>
      </c>
      <c r="F740" t="s">
        <v>5014</v>
      </c>
      <c r="G740" t="s">
        <v>5015</v>
      </c>
      <c r="H740" t="s">
        <v>5016</v>
      </c>
      <c r="I740">
        <v>5</v>
      </c>
    </row>
    <row r="741" spans="1:9" x14ac:dyDescent="0.25">
      <c r="A741" t="s">
        <v>183</v>
      </c>
      <c r="B741">
        <f>VLOOKUP(A741,art_category_path_name!A:B,2,FALSE)</f>
        <v>615</v>
      </c>
      <c r="C741" t="s">
        <v>9398</v>
      </c>
      <c r="D741" t="s">
        <v>5018</v>
      </c>
      <c r="E741" t="s">
        <v>5019</v>
      </c>
      <c r="F741" t="s">
        <v>5020</v>
      </c>
      <c r="G741" t="s">
        <v>5021</v>
      </c>
      <c r="H741" t="s">
        <v>5022</v>
      </c>
      <c r="I741">
        <v>2</v>
      </c>
    </row>
    <row r="742" spans="1:9" x14ac:dyDescent="0.25">
      <c r="A742" t="s">
        <v>184</v>
      </c>
      <c r="B742">
        <f>VLOOKUP(A742,art_category_path_name!A:B,2,FALSE)</f>
        <v>616</v>
      </c>
      <c r="C742" t="s">
        <v>9399</v>
      </c>
      <c r="D742" t="s">
        <v>5024</v>
      </c>
      <c r="E742" t="s">
        <v>5025</v>
      </c>
      <c r="F742" t="s">
        <v>5026</v>
      </c>
      <c r="G742" t="s">
        <v>5027</v>
      </c>
      <c r="H742" t="s">
        <v>5028</v>
      </c>
      <c r="I742">
        <v>5</v>
      </c>
    </row>
    <row r="743" spans="1:9" x14ac:dyDescent="0.25">
      <c r="A743" t="s">
        <v>185</v>
      </c>
      <c r="B743">
        <f>VLOOKUP(A743,art_category_path_name!A:B,2,FALSE)</f>
        <v>617</v>
      </c>
      <c r="C743" t="s">
        <v>9400</v>
      </c>
      <c r="D743" t="s">
        <v>5030</v>
      </c>
      <c r="F743" t="s">
        <v>1834</v>
      </c>
      <c r="G743" t="s">
        <v>5031</v>
      </c>
      <c r="H743" t="s">
        <v>5032</v>
      </c>
      <c r="I743">
        <v>2</v>
      </c>
    </row>
    <row r="744" spans="1:9" x14ac:dyDescent="0.25">
      <c r="A744" t="s">
        <v>186</v>
      </c>
      <c r="B744">
        <f>VLOOKUP(A744,art_category_path_name!A:B,2,FALSE)</f>
        <v>618</v>
      </c>
      <c r="C744" t="s">
        <v>9401</v>
      </c>
      <c r="D744" t="s">
        <v>5034</v>
      </c>
      <c r="E744" t="s">
        <v>5035</v>
      </c>
      <c r="F744" t="s">
        <v>5036</v>
      </c>
      <c r="G744" t="s">
        <v>5037</v>
      </c>
      <c r="H744" t="s">
        <v>5038</v>
      </c>
      <c r="I744">
        <v>1</v>
      </c>
    </row>
    <row r="745" spans="1:9" x14ac:dyDescent="0.25">
      <c r="A745" t="s">
        <v>187</v>
      </c>
      <c r="B745">
        <f>VLOOKUP(A745,art_category_path_name!A:B,2,FALSE)</f>
        <v>619</v>
      </c>
      <c r="C745" t="s">
        <v>9402</v>
      </c>
      <c r="D745" t="s">
        <v>5040</v>
      </c>
      <c r="E745" t="s">
        <v>5041</v>
      </c>
      <c r="F745" t="s">
        <v>5042</v>
      </c>
      <c r="G745" t="s">
        <v>5043</v>
      </c>
      <c r="H745" t="s">
        <v>5044</v>
      </c>
      <c r="I745">
        <v>2</v>
      </c>
    </row>
    <row r="746" spans="1:9" x14ac:dyDescent="0.25">
      <c r="A746" t="s">
        <v>1259</v>
      </c>
      <c r="B746">
        <f>VLOOKUP(A746,art_category_path_name!A:B,2,FALSE)</f>
        <v>622</v>
      </c>
      <c r="C746" t="s">
        <v>9403</v>
      </c>
      <c r="D746" t="s">
        <v>5046</v>
      </c>
      <c r="F746" t="s">
        <v>1834</v>
      </c>
      <c r="G746" t="s">
        <v>5047</v>
      </c>
      <c r="H746" t="s">
        <v>5048</v>
      </c>
      <c r="I746">
        <v>3</v>
      </c>
    </row>
    <row r="747" spans="1:9" x14ac:dyDescent="0.25">
      <c r="A747" t="s">
        <v>1260</v>
      </c>
      <c r="B747">
        <f>VLOOKUP(A747,art_category_path_name!A:B,2,FALSE)</f>
        <v>623</v>
      </c>
      <c r="C747" t="s">
        <v>9404</v>
      </c>
      <c r="D747" t="s">
        <v>5050</v>
      </c>
      <c r="F747" t="s">
        <v>1834</v>
      </c>
      <c r="G747" t="s">
        <v>5051</v>
      </c>
      <c r="H747" t="s">
        <v>5052</v>
      </c>
      <c r="I747">
        <v>3</v>
      </c>
    </row>
    <row r="748" spans="1:9" x14ac:dyDescent="0.25">
      <c r="A748" t="s">
        <v>1261</v>
      </c>
      <c r="B748">
        <f>VLOOKUP(A748,art_category_path_name!A:B,2,FALSE)</f>
        <v>624</v>
      </c>
      <c r="C748" t="s">
        <v>9404</v>
      </c>
      <c r="D748" t="s">
        <v>5053</v>
      </c>
      <c r="F748" t="s">
        <v>1834</v>
      </c>
      <c r="G748" t="s">
        <v>5054</v>
      </c>
      <c r="H748" t="s">
        <v>5055</v>
      </c>
      <c r="I748">
        <v>3</v>
      </c>
    </row>
    <row r="749" spans="1:9" x14ac:dyDescent="0.25">
      <c r="A749" t="s">
        <v>1262</v>
      </c>
      <c r="B749">
        <f>VLOOKUP(A749,art_category_path_name!A:B,2,FALSE)</f>
        <v>625</v>
      </c>
      <c r="C749" t="s">
        <v>9404</v>
      </c>
      <c r="D749" t="s">
        <v>5056</v>
      </c>
      <c r="F749" t="s">
        <v>1834</v>
      </c>
      <c r="G749" t="s">
        <v>5057</v>
      </c>
      <c r="H749" t="s">
        <v>5058</v>
      </c>
      <c r="I749">
        <v>2</v>
      </c>
    </row>
    <row r="750" spans="1:9" x14ac:dyDescent="0.25">
      <c r="A750" t="s">
        <v>1263</v>
      </c>
      <c r="B750">
        <f>VLOOKUP(A750,art_category_path_name!A:B,2,FALSE)</f>
        <v>626</v>
      </c>
      <c r="C750" t="s">
        <v>9404</v>
      </c>
      <c r="D750" t="s">
        <v>5059</v>
      </c>
      <c r="F750" t="s">
        <v>1834</v>
      </c>
      <c r="G750" t="s">
        <v>5060</v>
      </c>
      <c r="H750" t="s">
        <v>5061</v>
      </c>
      <c r="I750">
        <v>2</v>
      </c>
    </row>
    <row r="751" spans="1:9" x14ac:dyDescent="0.25">
      <c r="A751" t="s">
        <v>1264</v>
      </c>
      <c r="B751">
        <f>VLOOKUP(A751,art_category_path_name!A:B,2,FALSE)</f>
        <v>627</v>
      </c>
      <c r="C751" t="s">
        <v>9405</v>
      </c>
      <c r="D751" t="s">
        <v>5063</v>
      </c>
      <c r="F751" t="s">
        <v>1834</v>
      </c>
      <c r="G751" t="s">
        <v>5064</v>
      </c>
      <c r="H751" t="s">
        <v>5065</v>
      </c>
      <c r="I751">
        <v>1</v>
      </c>
    </row>
    <row r="752" spans="1:9" x14ac:dyDescent="0.25">
      <c r="A752" t="s">
        <v>1265</v>
      </c>
      <c r="B752">
        <f>VLOOKUP(A752,art_category_path_name!A:B,2,FALSE)</f>
        <v>628</v>
      </c>
      <c r="C752" t="s">
        <v>1585</v>
      </c>
      <c r="D752" t="s">
        <v>5066</v>
      </c>
      <c r="F752" t="s">
        <v>1834</v>
      </c>
      <c r="G752" t="s">
        <v>5067</v>
      </c>
      <c r="H752" t="s">
        <v>5068</v>
      </c>
      <c r="I752">
        <v>1</v>
      </c>
    </row>
    <row r="753" spans="1:9" x14ac:dyDescent="0.25">
      <c r="A753" t="s">
        <v>1266</v>
      </c>
      <c r="B753">
        <f>VLOOKUP(A753,art_category_path_name!A:B,2,FALSE)</f>
        <v>629</v>
      </c>
      <c r="C753" t="s">
        <v>9404</v>
      </c>
      <c r="D753" t="s">
        <v>5069</v>
      </c>
      <c r="F753" t="s">
        <v>1834</v>
      </c>
      <c r="G753" t="s">
        <v>5070</v>
      </c>
      <c r="H753" t="s">
        <v>5071</v>
      </c>
      <c r="I753">
        <v>1</v>
      </c>
    </row>
    <row r="754" spans="1:9" x14ac:dyDescent="0.25">
      <c r="A754" t="s">
        <v>222</v>
      </c>
      <c r="B754">
        <f>VLOOKUP(A754,art_category_path_name!A:B,2,FALSE)</f>
        <v>631</v>
      </c>
      <c r="C754" t="s">
        <v>9406</v>
      </c>
      <c r="D754" t="s">
        <v>5073</v>
      </c>
      <c r="E754" t="s">
        <v>5074</v>
      </c>
      <c r="F754" t="s">
        <v>5075</v>
      </c>
      <c r="G754" t="s">
        <v>5076</v>
      </c>
      <c r="H754" t="s">
        <v>5077</v>
      </c>
      <c r="I754">
        <v>12</v>
      </c>
    </row>
    <row r="755" spans="1:9" x14ac:dyDescent="0.25">
      <c r="A755" t="s">
        <v>223</v>
      </c>
      <c r="B755">
        <f>VLOOKUP(A755,art_category_path_name!A:B,2,FALSE)</f>
        <v>632</v>
      </c>
      <c r="C755" t="s">
        <v>9407</v>
      </c>
      <c r="D755" t="s">
        <v>5079</v>
      </c>
      <c r="E755" t="s">
        <v>5080</v>
      </c>
      <c r="F755" t="s">
        <v>5081</v>
      </c>
      <c r="G755" t="s">
        <v>5082</v>
      </c>
      <c r="H755" t="s">
        <v>5083</v>
      </c>
      <c r="I755">
        <v>18</v>
      </c>
    </row>
    <row r="756" spans="1:9" x14ac:dyDescent="0.25">
      <c r="A756" t="s">
        <v>225</v>
      </c>
      <c r="B756">
        <f>VLOOKUP(A756,art_category_path_name!A:B,2,FALSE)</f>
        <v>634</v>
      </c>
      <c r="C756" t="s">
        <v>9408</v>
      </c>
      <c r="D756" t="s">
        <v>5085</v>
      </c>
      <c r="E756" t="s">
        <v>5086</v>
      </c>
      <c r="F756" t="s">
        <v>5087</v>
      </c>
      <c r="G756" t="s">
        <v>5088</v>
      </c>
      <c r="H756" t="s">
        <v>5089</v>
      </c>
      <c r="I756">
        <v>3</v>
      </c>
    </row>
    <row r="757" spans="1:9" x14ac:dyDescent="0.25">
      <c r="A757" t="s">
        <v>226</v>
      </c>
      <c r="B757">
        <f>VLOOKUP(A757,art_category_path_name!A:B,2,FALSE)</f>
        <v>635</v>
      </c>
      <c r="C757" t="s">
        <v>9409</v>
      </c>
      <c r="D757" t="s">
        <v>5091</v>
      </c>
      <c r="E757" t="s">
        <v>5092</v>
      </c>
      <c r="F757" t="s">
        <v>5093</v>
      </c>
      <c r="G757" t="s">
        <v>5094</v>
      </c>
      <c r="H757" t="s">
        <v>5095</v>
      </c>
      <c r="I757">
        <v>3</v>
      </c>
    </row>
    <row r="758" spans="1:9" x14ac:dyDescent="0.25">
      <c r="A758" t="s">
        <v>227</v>
      </c>
      <c r="B758">
        <f>VLOOKUP(A758,art_category_path_name!A:B,2,FALSE)</f>
        <v>636</v>
      </c>
      <c r="C758" t="s">
        <v>9410</v>
      </c>
      <c r="D758" t="s">
        <v>5097</v>
      </c>
      <c r="E758" t="s">
        <v>5098</v>
      </c>
      <c r="F758" t="s">
        <v>5099</v>
      </c>
      <c r="G758" t="s">
        <v>5100</v>
      </c>
      <c r="H758" t="s">
        <v>5101</v>
      </c>
      <c r="I758">
        <v>1</v>
      </c>
    </row>
    <row r="759" spans="1:9" x14ac:dyDescent="0.25">
      <c r="A759" t="s">
        <v>228</v>
      </c>
      <c r="B759">
        <f>VLOOKUP(A759,art_category_path_name!A:B,2,FALSE)</f>
        <v>637</v>
      </c>
      <c r="C759" t="s">
        <v>9411</v>
      </c>
      <c r="D759" t="s">
        <v>5103</v>
      </c>
      <c r="E759" t="s">
        <v>5104</v>
      </c>
      <c r="F759" t="s">
        <v>5105</v>
      </c>
      <c r="G759" t="s">
        <v>5106</v>
      </c>
      <c r="H759" t="s">
        <v>5107</v>
      </c>
      <c r="I759">
        <v>1</v>
      </c>
    </row>
    <row r="760" spans="1:9" x14ac:dyDescent="0.25">
      <c r="A760" t="s">
        <v>229</v>
      </c>
      <c r="B760">
        <f>VLOOKUP(A760,art_category_path_name!A:B,2,FALSE)</f>
        <v>638</v>
      </c>
      <c r="C760" t="s">
        <v>9412</v>
      </c>
      <c r="D760" t="s">
        <v>5109</v>
      </c>
      <c r="E760" t="s">
        <v>5110</v>
      </c>
      <c r="F760" t="s">
        <v>5111</v>
      </c>
      <c r="G760" t="s">
        <v>5112</v>
      </c>
      <c r="H760" t="s">
        <v>5113</v>
      </c>
      <c r="I760">
        <v>2</v>
      </c>
    </row>
    <row r="761" spans="1:9" x14ac:dyDescent="0.25">
      <c r="A761" t="s">
        <v>231</v>
      </c>
      <c r="B761">
        <f>VLOOKUP(A761,art_category_path_name!A:B,2,FALSE)</f>
        <v>640</v>
      </c>
      <c r="C761" t="s">
        <v>9413</v>
      </c>
      <c r="D761" t="s">
        <v>5115</v>
      </c>
      <c r="E761" t="s">
        <v>5116</v>
      </c>
      <c r="F761" t="s">
        <v>5117</v>
      </c>
      <c r="G761" t="s">
        <v>5118</v>
      </c>
      <c r="H761" t="s">
        <v>5119</v>
      </c>
      <c r="I761">
        <v>3</v>
      </c>
    </row>
    <row r="762" spans="1:9" x14ac:dyDescent="0.25">
      <c r="A762" t="s">
        <v>232</v>
      </c>
      <c r="B762">
        <f>VLOOKUP(A762,art_category_path_name!A:B,2,FALSE)</f>
        <v>641</v>
      </c>
      <c r="C762" t="s">
        <v>9414</v>
      </c>
      <c r="D762" t="s">
        <v>5121</v>
      </c>
      <c r="E762" t="s">
        <v>5122</v>
      </c>
      <c r="F762" t="s">
        <v>5123</v>
      </c>
      <c r="G762" t="s">
        <v>5124</v>
      </c>
      <c r="H762" t="s">
        <v>5125</v>
      </c>
      <c r="I762">
        <v>3</v>
      </c>
    </row>
    <row r="763" spans="1:9" x14ac:dyDescent="0.25">
      <c r="A763" t="s">
        <v>233</v>
      </c>
      <c r="B763">
        <f>VLOOKUP(A763,art_category_path_name!A:B,2,FALSE)</f>
        <v>642</v>
      </c>
      <c r="C763" t="s">
        <v>9415</v>
      </c>
      <c r="D763" t="s">
        <v>5127</v>
      </c>
      <c r="E763" t="s">
        <v>5128</v>
      </c>
      <c r="F763" t="s">
        <v>5129</v>
      </c>
      <c r="G763" t="s">
        <v>5130</v>
      </c>
      <c r="H763" t="s">
        <v>5131</v>
      </c>
      <c r="I763">
        <v>3</v>
      </c>
    </row>
    <row r="764" spans="1:9" x14ac:dyDescent="0.25">
      <c r="A764" t="s">
        <v>234</v>
      </c>
      <c r="B764">
        <f>VLOOKUP(A764,art_category_path_name!A:B,2,FALSE)</f>
        <v>643</v>
      </c>
      <c r="C764" t="s">
        <v>9416</v>
      </c>
      <c r="D764" t="s">
        <v>5133</v>
      </c>
      <c r="E764" t="s">
        <v>5134</v>
      </c>
      <c r="F764" t="s">
        <v>5135</v>
      </c>
      <c r="G764" t="s">
        <v>5136</v>
      </c>
      <c r="H764" t="s">
        <v>5137</v>
      </c>
      <c r="I764">
        <v>3</v>
      </c>
    </row>
    <row r="765" spans="1:9" x14ac:dyDescent="0.25">
      <c r="A765" t="s">
        <v>236</v>
      </c>
      <c r="B765">
        <f>VLOOKUP(A765,art_category_path_name!A:B,2,FALSE)</f>
        <v>645</v>
      </c>
      <c r="C765" t="s">
        <v>9417</v>
      </c>
      <c r="D765" t="s">
        <v>5139</v>
      </c>
      <c r="F765" t="s">
        <v>1834</v>
      </c>
      <c r="G765" t="s">
        <v>5140</v>
      </c>
      <c r="H765" t="s">
        <v>5141</v>
      </c>
      <c r="I765">
        <v>3</v>
      </c>
    </row>
    <row r="766" spans="1:9" x14ac:dyDescent="0.25">
      <c r="A766" t="s">
        <v>237</v>
      </c>
      <c r="B766">
        <f>VLOOKUP(A766,art_category_path_name!A:B,2,FALSE)</f>
        <v>646</v>
      </c>
      <c r="C766" t="s">
        <v>9418</v>
      </c>
      <c r="D766" t="s">
        <v>5143</v>
      </c>
      <c r="E766" t="s">
        <v>5144</v>
      </c>
      <c r="F766" t="s">
        <v>5145</v>
      </c>
      <c r="G766" t="s">
        <v>5146</v>
      </c>
      <c r="H766" t="s">
        <v>5147</v>
      </c>
      <c r="I766">
        <v>2</v>
      </c>
    </row>
    <row r="767" spans="1:9" x14ac:dyDescent="0.25">
      <c r="A767" t="s">
        <v>238</v>
      </c>
      <c r="B767">
        <f>VLOOKUP(A767,art_category_path_name!A:B,2,FALSE)</f>
        <v>647</v>
      </c>
      <c r="C767" t="s">
        <v>9419</v>
      </c>
      <c r="D767" t="s">
        <v>5149</v>
      </c>
      <c r="F767" t="s">
        <v>1834</v>
      </c>
      <c r="G767" t="s">
        <v>5150</v>
      </c>
      <c r="H767" t="s">
        <v>5151</v>
      </c>
      <c r="I767">
        <v>14</v>
      </c>
    </row>
    <row r="768" spans="1:9" x14ac:dyDescent="0.25">
      <c r="A768" t="s">
        <v>239</v>
      </c>
      <c r="B768">
        <f>VLOOKUP(A768,art_category_path_name!A:B,2,FALSE)</f>
        <v>648</v>
      </c>
      <c r="C768" t="s">
        <v>9420</v>
      </c>
      <c r="D768" t="s">
        <v>5153</v>
      </c>
      <c r="F768" t="s">
        <v>1834</v>
      </c>
      <c r="G768" t="s">
        <v>5154</v>
      </c>
      <c r="H768" t="s">
        <v>5155</v>
      </c>
      <c r="I768">
        <v>18</v>
      </c>
    </row>
    <row r="769" spans="1:9" x14ac:dyDescent="0.25">
      <c r="A769" t="s">
        <v>240</v>
      </c>
      <c r="B769">
        <f>VLOOKUP(A769,art_category_path_name!A:B,2,FALSE)</f>
        <v>649</v>
      </c>
      <c r="C769" t="s">
        <v>9421</v>
      </c>
      <c r="D769" t="s">
        <v>5157</v>
      </c>
      <c r="F769" t="s">
        <v>1834</v>
      </c>
      <c r="G769" t="s">
        <v>5158</v>
      </c>
      <c r="H769" t="s">
        <v>5159</v>
      </c>
      <c r="I769">
        <v>18</v>
      </c>
    </row>
    <row r="770" spans="1:9" x14ac:dyDescent="0.25">
      <c r="A770" t="s">
        <v>241</v>
      </c>
      <c r="B770">
        <f>VLOOKUP(A770,art_category_path_name!A:B,2,FALSE)</f>
        <v>650</v>
      </c>
      <c r="C770" t="s">
        <v>9422</v>
      </c>
      <c r="D770" t="s">
        <v>5161</v>
      </c>
      <c r="F770" t="s">
        <v>1834</v>
      </c>
      <c r="G770" t="s">
        <v>5162</v>
      </c>
      <c r="H770" t="s">
        <v>5163</v>
      </c>
      <c r="I770">
        <v>3</v>
      </c>
    </row>
    <row r="771" spans="1:9" x14ac:dyDescent="0.25">
      <c r="A771" t="s">
        <v>242</v>
      </c>
      <c r="B771">
        <f>VLOOKUP(A771,art_category_path_name!A:B,2,FALSE)</f>
        <v>651</v>
      </c>
      <c r="C771" t="s">
        <v>9423</v>
      </c>
      <c r="D771" t="s">
        <v>5165</v>
      </c>
      <c r="E771" t="s">
        <v>5166</v>
      </c>
      <c r="F771" t="s">
        <v>5167</v>
      </c>
      <c r="G771" t="s">
        <v>5168</v>
      </c>
      <c r="H771" t="s">
        <v>5169</v>
      </c>
      <c r="I771">
        <v>3</v>
      </c>
    </row>
    <row r="772" spans="1:9" x14ac:dyDescent="0.25">
      <c r="A772" t="s">
        <v>243</v>
      </c>
      <c r="B772">
        <f>VLOOKUP(A772,art_category_path_name!A:B,2,FALSE)</f>
        <v>652</v>
      </c>
      <c r="C772" t="s">
        <v>9424</v>
      </c>
      <c r="D772" t="s">
        <v>5171</v>
      </c>
      <c r="E772" t="s">
        <v>5172</v>
      </c>
      <c r="F772" t="s">
        <v>5173</v>
      </c>
      <c r="G772" t="s">
        <v>5174</v>
      </c>
      <c r="H772" t="s">
        <v>5175</v>
      </c>
      <c r="I772">
        <v>3</v>
      </c>
    </row>
    <row r="773" spans="1:9" x14ac:dyDescent="0.25">
      <c r="A773" t="s">
        <v>244</v>
      </c>
      <c r="B773">
        <f>VLOOKUP(A773,art_category_path_name!A:B,2,FALSE)</f>
        <v>653</v>
      </c>
      <c r="C773" t="s">
        <v>9425</v>
      </c>
      <c r="D773" t="s">
        <v>5177</v>
      </c>
      <c r="F773" t="s">
        <v>1834</v>
      </c>
      <c r="G773" t="s">
        <v>5178</v>
      </c>
      <c r="H773" t="s">
        <v>5179</v>
      </c>
      <c r="I773">
        <v>1</v>
      </c>
    </row>
    <row r="774" spans="1:9" x14ac:dyDescent="0.25">
      <c r="A774" t="s">
        <v>245</v>
      </c>
      <c r="B774">
        <f>VLOOKUP(A774,art_category_path_name!A:B,2,FALSE)</f>
        <v>654</v>
      </c>
      <c r="C774" t="s">
        <v>9426</v>
      </c>
      <c r="D774" t="s">
        <v>5181</v>
      </c>
      <c r="E774" t="s">
        <v>5182</v>
      </c>
      <c r="F774" t="s">
        <v>5183</v>
      </c>
      <c r="G774" t="s">
        <v>5184</v>
      </c>
      <c r="H774" t="s">
        <v>5185</v>
      </c>
      <c r="I774">
        <v>1</v>
      </c>
    </row>
    <row r="775" spans="1:9" x14ac:dyDescent="0.25">
      <c r="A775" t="s">
        <v>246</v>
      </c>
      <c r="B775">
        <f>VLOOKUP(A775,art_category_path_name!A:B,2,FALSE)</f>
        <v>655</v>
      </c>
      <c r="C775" t="s">
        <v>9427</v>
      </c>
      <c r="D775" t="s">
        <v>5187</v>
      </c>
      <c r="E775" t="s">
        <v>5188</v>
      </c>
      <c r="F775" t="s">
        <v>5189</v>
      </c>
      <c r="G775" t="s">
        <v>5190</v>
      </c>
      <c r="H775" t="s">
        <v>5191</v>
      </c>
      <c r="I775">
        <v>1</v>
      </c>
    </row>
    <row r="776" spans="1:9" x14ac:dyDescent="0.25">
      <c r="A776" t="s">
        <v>247</v>
      </c>
      <c r="B776">
        <f>VLOOKUP(A776,art_category_path_name!A:B,2,FALSE)</f>
        <v>656</v>
      </c>
      <c r="C776" t="s">
        <v>9428</v>
      </c>
      <c r="D776" t="s">
        <v>5193</v>
      </c>
      <c r="E776" t="s">
        <v>5194</v>
      </c>
      <c r="F776" t="s">
        <v>5195</v>
      </c>
      <c r="G776" t="s">
        <v>5196</v>
      </c>
      <c r="H776" t="s">
        <v>5197</v>
      </c>
      <c r="I776">
        <v>3</v>
      </c>
    </row>
    <row r="777" spans="1:9" x14ac:dyDescent="0.25">
      <c r="A777" t="s">
        <v>248</v>
      </c>
      <c r="B777">
        <f>VLOOKUP(A777,art_category_path_name!A:B,2,FALSE)</f>
        <v>657</v>
      </c>
      <c r="C777" t="s">
        <v>9429</v>
      </c>
      <c r="D777" t="s">
        <v>5199</v>
      </c>
      <c r="F777" t="s">
        <v>1834</v>
      </c>
      <c r="G777" t="s">
        <v>5200</v>
      </c>
      <c r="H777" t="s">
        <v>5201</v>
      </c>
      <c r="I777">
        <v>3</v>
      </c>
    </row>
    <row r="778" spans="1:9" x14ac:dyDescent="0.25">
      <c r="A778" t="s">
        <v>249</v>
      </c>
      <c r="B778">
        <f>VLOOKUP(A778,art_category_path_name!A:B,2,FALSE)</f>
        <v>658</v>
      </c>
      <c r="C778" t="s">
        <v>9430</v>
      </c>
      <c r="D778" t="s">
        <v>5203</v>
      </c>
      <c r="E778" t="s">
        <v>5204</v>
      </c>
      <c r="F778" t="s">
        <v>5205</v>
      </c>
      <c r="G778" t="s">
        <v>5206</v>
      </c>
      <c r="H778" t="s">
        <v>5207</v>
      </c>
      <c r="I778">
        <v>6</v>
      </c>
    </row>
    <row r="779" spans="1:9" x14ac:dyDescent="0.25">
      <c r="A779" t="s">
        <v>250</v>
      </c>
      <c r="B779">
        <f>VLOOKUP(A779,art_category_path_name!A:B,2,FALSE)</f>
        <v>659</v>
      </c>
      <c r="C779" t="s">
        <v>9431</v>
      </c>
      <c r="D779" t="s">
        <v>5209</v>
      </c>
      <c r="E779" t="s">
        <v>5210</v>
      </c>
      <c r="F779" t="s">
        <v>5211</v>
      </c>
      <c r="G779" t="s">
        <v>5212</v>
      </c>
      <c r="H779" t="s">
        <v>5213</v>
      </c>
      <c r="I779">
        <v>3</v>
      </c>
    </row>
    <row r="780" spans="1:9" x14ac:dyDescent="0.25">
      <c r="A780" t="s">
        <v>251</v>
      </c>
      <c r="B780">
        <f>VLOOKUP(A780,art_category_path_name!A:B,2,FALSE)</f>
        <v>660</v>
      </c>
      <c r="C780" t="s">
        <v>9432</v>
      </c>
      <c r="D780" t="s">
        <v>5215</v>
      </c>
      <c r="F780" t="s">
        <v>1834</v>
      </c>
      <c r="G780" t="s">
        <v>5216</v>
      </c>
      <c r="H780" t="s">
        <v>5217</v>
      </c>
      <c r="I780">
        <v>3</v>
      </c>
    </row>
    <row r="781" spans="1:9" x14ac:dyDescent="0.25">
      <c r="A781" t="s">
        <v>252</v>
      </c>
      <c r="B781">
        <f>VLOOKUP(A781,art_category_path_name!A:B,2,FALSE)</f>
        <v>661</v>
      </c>
      <c r="C781" t="s">
        <v>9433</v>
      </c>
      <c r="D781" t="s">
        <v>5219</v>
      </c>
      <c r="E781" t="s">
        <v>5220</v>
      </c>
      <c r="F781" t="s">
        <v>5221</v>
      </c>
      <c r="G781" t="s">
        <v>5222</v>
      </c>
      <c r="H781" t="s">
        <v>5223</v>
      </c>
      <c r="I781">
        <v>2</v>
      </c>
    </row>
    <row r="782" spans="1:9" x14ac:dyDescent="0.25">
      <c r="A782" t="s">
        <v>253</v>
      </c>
      <c r="B782">
        <f>VLOOKUP(A782,art_category_path_name!A:B,2,FALSE)</f>
        <v>662</v>
      </c>
      <c r="C782" t="s">
        <v>9434</v>
      </c>
      <c r="D782" t="s">
        <v>5225</v>
      </c>
      <c r="F782" t="s">
        <v>1834</v>
      </c>
      <c r="G782" t="s">
        <v>5226</v>
      </c>
      <c r="H782" t="s">
        <v>5227</v>
      </c>
      <c r="I782">
        <v>18</v>
      </c>
    </row>
    <row r="783" spans="1:9" x14ac:dyDescent="0.25">
      <c r="A783" t="s">
        <v>254</v>
      </c>
      <c r="B783">
        <f>VLOOKUP(A783,art_category_path_name!A:B,2,FALSE)</f>
        <v>663</v>
      </c>
      <c r="C783" t="s">
        <v>9435</v>
      </c>
      <c r="D783" t="s">
        <v>5229</v>
      </c>
      <c r="E783" t="s">
        <v>5230</v>
      </c>
      <c r="F783" t="s">
        <v>5231</v>
      </c>
      <c r="G783" t="s">
        <v>5232</v>
      </c>
      <c r="H783" t="s">
        <v>5233</v>
      </c>
      <c r="I783">
        <v>1</v>
      </c>
    </row>
    <row r="784" spans="1:9" x14ac:dyDescent="0.25">
      <c r="A784" t="s">
        <v>255</v>
      </c>
      <c r="B784">
        <f>VLOOKUP(A784,art_category_path_name!A:B,2,FALSE)</f>
        <v>664</v>
      </c>
      <c r="C784" t="s">
        <v>9436</v>
      </c>
      <c r="D784" t="s">
        <v>5235</v>
      </c>
      <c r="E784" t="s">
        <v>5236</v>
      </c>
      <c r="F784" t="s">
        <v>5237</v>
      </c>
      <c r="G784" t="s">
        <v>5238</v>
      </c>
      <c r="H784" t="s">
        <v>5239</v>
      </c>
      <c r="I784">
        <v>1</v>
      </c>
    </row>
    <row r="785" spans="1:9" x14ac:dyDescent="0.25">
      <c r="A785" t="s">
        <v>256</v>
      </c>
      <c r="B785">
        <f>VLOOKUP(A785,art_category_path_name!A:B,2,FALSE)</f>
        <v>665</v>
      </c>
      <c r="C785" t="s">
        <v>9437</v>
      </c>
      <c r="D785" t="s">
        <v>5241</v>
      </c>
      <c r="E785" t="s">
        <v>5242</v>
      </c>
      <c r="F785" t="s">
        <v>5243</v>
      </c>
      <c r="G785" t="s">
        <v>5244</v>
      </c>
      <c r="H785" t="s">
        <v>5245</v>
      </c>
      <c r="I785">
        <v>4</v>
      </c>
    </row>
    <row r="786" spans="1:9" x14ac:dyDescent="0.25">
      <c r="A786" t="s">
        <v>1271</v>
      </c>
      <c r="B786">
        <f>VLOOKUP(A786,art_category_path_name!A:B,2,FALSE)</f>
        <v>667</v>
      </c>
      <c r="C786" t="s">
        <v>9438</v>
      </c>
      <c r="D786" t="s">
        <v>5247</v>
      </c>
      <c r="E786" t="s">
        <v>5248</v>
      </c>
      <c r="F786" t="s">
        <v>5249</v>
      </c>
      <c r="G786" t="s">
        <v>5250</v>
      </c>
      <c r="H786" t="s">
        <v>5251</v>
      </c>
      <c r="I786">
        <v>7</v>
      </c>
    </row>
    <row r="787" spans="1:9" x14ac:dyDescent="0.25">
      <c r="A787" t="s">
        <v>1272</v>
      </c>
      <c r="B787">
        <f>VLOOKUP(A787,art_category_path_name!A:B,2,FALSE)</f>
        <v>668</v>
      </c>
      <c r="C787" t="s">
        <v>9439</v>
      </c>
      <c r="D787" t="s">
        <v>5253</v>
      </c>
      <c r="E787" t="s">
        <v>5254</v>
      </c>
      <c r="F787" t="s">
        <v>5255</v>
      </c>
      <c r="G787" t="s">
        <v>5256</v>
      </c>
      <c r="H787" t="s">
        <v>5257</v>
      </c>
      <c r="I787">
        <v>6</v>
      </c>
    </row>
    <row r="788" spans="1:9" x14ac:dyDescent="0.25">
      <c r="A788" t="s">
        <v>1273</v>
      </c>
      <c r="B788">
        <f>VLOOKUP(A788,art_category_path_name!A:B,2,FALSE)</f>
        <v>669</v>
      </c>
      <c r="C788" t="s">
        <v>9440</v>
      </c>
      <c r="D788" t="s">
        <v>5259</v>
      </c>
      <c r="E788" t="s">
        <v>5260</v>
      </c>
      <c r="F788" t="s">
        <v>5261</v>
      </c>
      <c r="G788" t="s">
        <v>5262</v>
      </c>
      <c r="H788" t="s">
        <v>5263</v>
      </c>
      <c r="I788">
        <v>7</v>
      </c>
    </row>
    <row r="789" spans="1:9" x14ac:dyDescent="0.25">
      <c r="A789" t="s">
        <v>1274</v>
      </c>
      <c r="B789">
        <f>VLOOKUP(A789,art_category_path_name!A:B,2,FALSE)</f>
        <v>670</v>
      </c>
      <c r="C789" t="s">
        <v>9441</v>
      </c>
      <c r="D789" t="s">
        <v>5265</v>
      </c>
      <c r="E789" t="s">
        <v>5266</v>
      </c>
      <c r="F789" t="s">
        <v>5267</v>
      </c>
      <c r="G789" t="s">
        <v>5268</v>
      </c>
      <c r="H789" t="s">
        <v>5269</v>
      </c>
      <c r="I789">
        <v>7</v>
      </c>
    </row>
    <row r="790" spans="1:9" x14ac:dyDescent="0.25">
      <c r="A790" t="s">
        <v>1275</v>
      </c>
      <c r="B790">
        <f>VLOOKUP(A790,art_category_path_name!A:B,2,FALSE)</f>
        <v>671</v>
      </c>
      <c r="C790" t="s">
        <v>9442</v>
      </c>
      <c r="D790" t="s">
        <v>5271</v>
      </c>
      <c r="E790" t="s">
        <v>5272</v>
      </c>
      <c r="F790" t="s">
        <v>5273</v>
      </c>
      <c r="G790" t="s">
        <v>5274</v>
      </c>
      <c r="H790" t="s">
        <v>5275</v>
      </c>
      <c r="I790">
        <v>4</v>
      </c>
    </row>
    <row r="791" spans="1:9" x14ac:dyDescent="0.25">
      <c r="A791" t="s">
        <v>1276</v>
      </c>
      <c r="B791">
        <f>VLOOKUP(A791,art_category_path_name!A:B,2,FALSE)</f>
        <v>672</v>
      </c>
      <c r="C791" t="s">
        <v>9443</v>
      </c>
      <c r="D791" t="s">
        <v>5277</v>
      </c>
      <c r="E791" t="s">
        <v>5278</v>
      </c>
      <c r="F791" t="s">
        <v>5279</v>
      </c>
      <c r="G791" t="s">
        <v>5280</v>
      </c>
      <c r="H791" t="s">
        <v>5281</v>
      </c>
      <c r="I791">
        <v>12</v>
      </c>
    </row>
    <row r="792" spans="1:9" x14ac:dyDescent="0.25">
      <c r="A792" t="s">
        <v>1277</v>
      </c>
      <c r="B792">
        <f>VLOOKUP(A792,art_category_path_name!A:B,2,FALSE)</f>
        <v>673</v>
      </c>
      <c r="C792" t="s">
        <v>9444</v>
      </c>
      <c r="D792" t="s">
        <v>5283</v>
      </c>
      <c r="E792" t="s">
        <v>5284</v>
      </c>
      <c r="F792" t="s">
        <v>5285</v>
      </c>
      <c r="G792" t="s">
        <v>5286</v>
      </c>
      <c r="H792" t="s">
        <v>5287</v>
      </c>
      <c r="I792">
        <v>8</v>
      </c>
    </row>
    <row r="793" spans="1:9" x14ac:dyDescent="0.25">
      <c r="A793" t="s">
        <v>1278</v>
      </c>
      <c r="B793">
        <f>VLOOKUP(A793,art_category_path_name!A:B,2,FALSE)</f>
        <v>674</v>
      </c>
      <c r="C793" t="s">
        <v>9445</v>
      </c>
      <c r="D793" t="s">
        <v>5289</v>
      </c>
      <c r="E793" t="s">
        <v>5290</v>
      </c>
      <c r="F793" t="s">
        <v>5291</v>
      </c>
      <c r="G793" t="s">
        <v>5292</v>
      </c>
      <c r="H793" t="s">
        <v>5293</v>
      </c>
      <c r="I793">
        <v>4</v>
      </c>
    </row>
    <row r="794" spans="1:9" x14ac:dyDescent="0.25">
      <c r="A794" t="s">
        <v>1279</v>
      </c>
      <c r="B794">
        <f>VLOOKUP(A794,art_category_path_name!A:B,2,FALSE)</f>
        <v>675</v>
      </c>
      <c r="C794" t="s">
        <v>9446</v>
      </c>
      <c r="D794" t="s">
        <v>5295</v>
      </c>
      <c r="E794" t="s">
        <v>5296</v>
      </c>
      <c r="F794" t="s">
        <v>5297</v>
      </c>
      <c r="G794" t="s">
        <v>5298</v>
      </c>
      <c r="H794" t="s">
        <v>5299</v>
      </c>
      <c r="I794">
        <v>2</v>
      </c>
    </row>
    <row r="795" spans="1:9" x14ac:dyDescent="0.25">
      <c r="A795" t="s">
        <v>1280</v>
      </c>
      <c r="B795">
        <f>VLOOKUP(A795,art_category_path_name!A:B,2,FALSE)</f>
        <v>676</v>
      </c>
      <c r="C795" t="s">
        <v>9447</v>
      </c>
      <c r="D795" t="s">
        <v>5301</v>
      </c>
      <c r="E795" t="s">
        <v>5302</v>
      </c>
      <c r="F795" t="s">
        <v>5303</v>
      </c>
      <c r="G795" t="s">
        <v>5304</v>
      </c>
      <c r="H795" t="s">
        <v>5305</v>
      </c>
      <c r="I795">
        <v>4</v>
      </c>
    </row>
    <row r="796" spans="1:9" x14ac:dyDescent="0.25">
      <c r="A796" t="s">
        <v>432</v>
      </c>
      <c r="B796">
        <f>VLOOKUP(A796,art_category_path_name!A:B,2,FALSE)</f>
        <v>678</v>
      </c>
      <c r="C796" t="s">
        <v>9448</v>
      </c>
      <c r="D796" t="s">
        <v>5307</v>
      </c>
      <c r="F796" t="s">
        <v>1834</v>
      </c>
      <c r="G796" t="s">
        <v>4017</v>
      </c>
      <c r="H796" t="s">
        <v>5308</v>
      </c>
      <c r="I796">
        <v>15</v>
      </c>
    </row>
    <row r="797" spans="1:9" x14ac:dyDescent="0.25">
      <c r="A797" t="s">
        <v>433</v>
      </c>
      <c r="B797">
        <f>VLOOKUP(A797,art_category_path_name!A:B,2,FALSE)</f>
        <v>679</v>
      </c>
      <c r="C797" t="s">
        <v>9449</v>
      </c>
      <c r="D797" t="s">
        <v>5310</v>
      </c>
      <c r="F797" t="s">
        <v>1834</v>
      </c>
      <c r="G797" t="s">
        <v>5311</v>
      </c>
      <c r="H797" t="s">
        <v>5312</v>
      </c>
      <c r="I797">
        <v>14</v>
      </c>
    </row>
    <row r="798" spans="1:9" x14ac:dyDescent="0.25">
      <c r="A798" t="s">
        <v>1291</v>
      </c>
      <c r="B798">
        <f>VLOOKUP(A798,art_category_path_name!A:B,2,FALSE)</f>
        <v>682</v>
      </c>
      <c r="C798" t="s">
        <v>9450</v>
      </c>
      <c r="D798" t="s">
        <v>5314</v>
      </c>
      <c r="E798" t="s">
        <v>5315</v>
      </c>
      <c r="F798" t="s">
        <v>5314</v>
      </c>
      <c r="G798" t="s">
        <v>5316</v>
      </c>
      <c r="H798" t="s">
        <v>5317</v>
      </c>
      <c r="I798">
        <v>4</v>
      </c>
    </row>
    <row r="799" spans="1:9" x14ac:dyDescent="0.25">
      <c r="A799" t="s">
        <v>1292</v>
      </c>
      <c r="B799">
        <f>VLOOKUP(A799,art_category_path_name!A:B,2,FALSE)</f>
        <v>683</v>
      </c>
      <c r="C799" t="s">
        <v>9451</v>
      </c>
      <c r="D799" t="s">
        <v>5319</v>
      </c>
      <c r="E799" t="s">
        <v>5320</v>
      </c>
      <c r="F799" t="s">
        <v>5321</v>
      </c>
      <c r="G799" t="s">
        <v>5322</v>
      </c>
      <c r="H799" t="s">
        <v>5323</v>
      </c>
      <c r="I799">
        <v>8</v>
      </c>
    </row>
    <row r="800" spans="1:9" x14ac:dyDescent="0.25">
      <c r="A800" t="s">
        <v>1293</v>
      </c>
      <c r="B800">
        <f>VLOOKUP(A800,art_category_path_name!A:B,2,FALSE)</f>
        <v>684</v>
      </c>
      <c r="C800" t="s">
        <v>9452</v>
      </c>
      <c r="D800" t="s">
        <v>5325</v>
      </c>
      <c r="E800" t="s">
        <v>5326</v>
      </c>
      <c r="F800" t="s">
        <v>5327</v>
      </c>
      <c r="G800" t="s">
        <v>5328</v>
      </c>
      <c r="H800" t="s">
        <v>5329</v>
      </c>
      <c r="I800">
        <v>5</v>
      </c>
    </row>
    <row r="801" spans="1:9" x14ac:dyDescent="0.25">
      <c r="A801" t="s">
        <v>1294</v>
      </c>
      <c r="B801">
        <f>VLOOKUP(A801,art_category_path_name!A:B,2,FALSE)</f>
        <v>685</v>
      </c>
      <c r="C801" t="s">
        <v>9453</v>
      </c>
      <c r="D801" t="s">
        <v>5331</v>
      </c>
      <c r="E801" t="s">
        <v>5332</v>
      </c>
      <c r="F801" t="s">
        <v>5333</v>
      </c>
      <c r="G801" t="s">
        <v>5334</v>
      </c>
      <c r="H801" t="s">
        <v>5335</v>
      </c>
      <c r="I801">
        <v>1</v>
      </c>
    </row>
    <row r="802" spans="1:9" x14ac:dyDescent="0.25">
      <c r="A802" t="s">
        <v>1295</v>
      </c>
      <c r="B802">
        <f>VLOOKUP(A802,art_category_path_name!A:B,2,FALSE)</f>
        <v>686</v>
      </c>
      <c r="C802" t="s">
        <v>9454</v>
      </c>
      <c r="D802" t="s">
        <v>5337</v>
      </c>
      <c r="E802" t="s">
        <v>5338</v>
      </c>
      <c r="F802" t="s">
        <v>5339</v>
      </c>
      <c r="G802" t="s">
        <v>5340</v>
      </c>
      <c r="H802" t="s">
        <v>5341</v>
      </c>
      <c r="I802">
        <v>6</v>
      </c>
    </row>
    <row r="803" spans="1:9" x14ac:dyDescent="0.25">
      <c r="A803" t="s">
        <v>1296</v>
      </c>
      <c r="B803">
        <f>VLOOKUP(A803,art_category_path_name!A:B,2,FALSE)</f>
        <v>687</v>
      </c>
      <c r="C803" t="s">
        <v>9455</v>
      </c>
      <c r="D803" t="s">
        <v>5343</v>
      </c>
      <c r="E803" t="s">
        <v>5344</v>
      </c>
      <c r="F803" t="s">
        <v>5345</v>
      </c>
      <c r="G803" t="s">
        <v>5346</v>
      </c>
      <c r="H803" t="s">
        <v>5347</v>
      </c>
      <c r="I803">
        <v>6</v>
      </c>
    </row>
    <row r="804" spans="1:9" x14ac:dyDescent="0.25">
      <c r="A804" t="s">
        <v>1297</v>
      </c>
      <c r="B804">
        <f>VLOOKUP(A804,art_category_path_name!A:B,2,FALSE)</f>
        <v>688</v>
      </c>
      <c r="C804" t="s">
        <v>9456</v>
      </c>
      <c r="D804" t="s">
        <v>5349</v>
      </c>
      <c r="E804" t="s">
        <v>5350</v>
      </c>
      <c r="F804" t="s">
        <v>5351</v>
      </c>
      <c r="G804" t="s">
        <v>5352</v>
      </c>
      <c r="H804" t="s">
        <v>5353</v>
      </c>
      <c r="I804">
        <v>9</v>
      </c>
    </row>
    <row r="805" spans="1:9" x14ac:dyDescent="0.25">
      <c r="A805" t="s">
        <v>1298</v>
      </c>
      <c r="B805">
        <f>VLOOKUP(A805,art_category_path_name!A:B,2,FALSE)</f>
        <v>689</v>
      </c>
      <c r="C805" t="s">
        <v>9457</v>
      </c>
      <c r="D805" t="s">
        <v>5355</v>
      </c>
      <c r="E805" t="s">
        <v>5356</v>
      </c>
      <c r="F805" t="s">
        <v>5357</v>
      </c>
      <c r="G805" t="s">
        <v>5358</v>
      </c>
      <c r="H805" t="s">
        <v>5359</v>
      </c>
      <c r="I805">
        <v>5</v>
      </c>
    </row>
    <row r="806" spans="1:9" x14ac:dyDescent="0.25">
      <c r="A806" t="s">
        <v>1299</v>
      </c>
      <c r="B806">
        <f>VLOOKUP(A806,art_category_path_name!A:B,2,FALSE)</f>
        <v>690</v>
      </c>
      <c r="C806" t="s">
        <v>9458</v>
      </c>
      <c r="D806" t="s">
        <v>5361</v>
      </c>
      <c r="E806" t="s">
        <v>5362</v>
      </c>
      <c r="F806" t="s">
        <v>5363</v>
      </c>
      <c r="G806" t="s">
        <v>5364</v>
      </c>
      <c r="H806" t="s">
        <v>5365</v>
      </c>
      <c r="I806">
        <v>4</v>
      </c>
    </row>
    <row r="807" spans="1:9" x14ac:dyDescent="0.25">
      <c r="A807" t="s">
        <v>1300</v>
      </c>
      <c r="B807">
        <f>VLOOKUP(A807,art_category_path_name!A:B,2,FALSE)</f>
        <v>691</v>
      </c>
      <c r="C807" t="s">
        <v>9459</v>
      </c>
      <c r="D807" t="s">
        <v>5367</v>
      </c>
      <c r="E807" t="s">
        <v>5368</v>
      </c>
      <c r="F807" t="s">
        <v>5369</v>
      </c>
      <c r="G807" t="s">
        <v>5370</v>
      </c>
      <c r="H807" t="s">
        <v>5371</v>
      </c>
      <c r="I807">
        <v>14</v>
      </c>
    </row>
    <row r="808" spans="1:9" x14ac:dyDescent="0.25">
      <c r="A808" t="s">
        <v>1301</v>
      </c>
      <c r="B808">
        <f>VLOOKUP(A808,art_category_path_name!A:B,2,FALSE)</f>
        <v>692</v>
      </c>
      <c r="C808" t="s">
        <v>9460</v>
      </c>
      <c r="D808" t="s">
        <v>5373</v>
      </c>
      <c r="E808" t="s">
        <v>5374</v>
      </c>
      <c r="F808" t="s">
        <v>5375</v>
      </c>
      <c r="G808" t="s">
        <v>5376</v>
      </c>
      <c r="H808" t="s">
        <v>5377</v>
      </c>
      <c r="I808">
        <v>3</v>
      </c>
    </row>
    <row r="809" spans="1:9" x14ac:dyDescent="0.25">
      <c r="A809" t="s">
        <v>1302</v>
      </c>
      <c r="B809">
        <f>VLOOKUP(A809,art_category_path_name!A:B,2,FALSE)</f>
        <v>693</v>
      </c>
      <c r="C809" t="s">
        <v>9461</v>
      </c>
      <c r="D809" t="s">
        <v>5379</v>
      </c>
      <c r="E809" t="s">
        <v>5380</v>
      </c>
      <c r="F809" t="s">
        <v>5381</v>
      </c>
      <c r="G809" t="s">
        <v>5382</v>
      </c>
      <c r="H809" t="s">
        <v>5383</v>
      </c>
      <c r="I809">
        <v>13</v>
      </c>
    </row>
    <row r="810" spans="1:9" x14ac:dyDescent="0.25">
      <c r="A810" t="s">
        <v>1303</v>
      </c>
      <c r="B810">
        <f>VLOOKUP(A810,art_category_path_name!A:B,2,FALSE)</f>
        <v>694</v>
      </c>
      <c r="C810" t="s">
        <v>9462</v>
      </c>
      <c r="D810" t="s">
        <v>5385</v>
      </c>
      <c r="E810" t="s">
        <v>5386</v>
      </c>
      <c r="F810" t="s">
        <v>5387</v>
      </c>
      <c r="G810" t="s">
        <v>5388</v>
      </c>
      <c r="H810" t="s">
        <v>5389</v>
      </c>
      <c r="I810">
        <v>8</v>
      </c>
    </row>
    <row r="811" spans="1:9" x14ac:dyDescent="0.25">
      <c r="A811" t="s">
        <v>1304</v>
      </c>
      <c r="B811">
        <f>VLOOKUP(A811,art_category_path_name!A:B,2,FALSE)</f>
        <v>695</v>
      </c>
      <c r="C811" t="s">
        <v>9463</v>
      </c>
      <c r="D811" t="s">
        <v>5391</v>
      </c>
      <c r="E811" t="s">
        <v>5392</v>
      </c>
      <c r="F811" t="s">
        <v>5393</v>
      </c>
      <c r="G811" t="s">
        <v>5394</v>
      </c>
      <c r="H811" t="s">
        <v>5395</v>
      </c>
      <c r="I811">
        <v>5</v>
      </c>
    </row>
    <row r="812" spans="1:9" x14ac:dyDescent="0.25">
      <c r="A812" t="s">
        <v>1305</v>
      </c>
      <c r="B812">
        <f>VLOOKUP(A812,art_category_path_name!A:B,2,FALSE)</f>
        <v>696</v>
      </c>
      <c r="C812" t="s">
        <v>9464</v>
      </c>
      <c r="D812" t="s">
        <v>5397</v>
      </c>
      <c r="E812" t="s">
        <v>5398</v>
      </c>
      <c r="F812" t="s">
        <v>5399</v>
      </c>
      <c r="G812" t="s">
        <v>5400</v>
      </c>
      <c r="H812" t="s">
        <v>5401</v>
      </c>
      <c r="I812">
        <v>1</v>
      </c>
    </row>
    <row r="813" spans="1:9" x14ac:dyDescent="0.25">
      <c r="A813" t="s">
        <v>1306</v>
      </c>
      <c r="B813">
        <f>VLOOKUP(A813,art_category_path_name!A:B,2,FALSE)</f>
        <v>697</v>
      </c>
      <c r="C813" t="s">
        <v>9465</v>
      </c>
      <c r="D813" t="s">
        <v>5403</v>
      </c>
      <c r="E813" t="s">
        <v>5404</v>
      </c>
      <c r="F813" t="s">
        <v>5405</v>
      </c>
      <c r="G813" t="s">
        <v>5406</v>
      </c>
      <c r="H813" t="s">
        <v>5407</v>
      </c>
      <c r="I813">
        <v>3</v>
      </c>
    </row>
    <row r="814" spans="1:9" x14ac:dyDescent="0.25">
      <c r="A814" t="s">
        <v>1307</v>
      </c>
      <c r="B814">
        <f>VLOOKUP(A814,art_category_path_name!A:B,2,FALSE)</f>
        <v>698</v>
      </c>
      <c r="C814" t="s">
        <v>9466</v>
      </c>
      <c r="D814" t="s">
        <v>5409</v>
      </c>
      <c r="E814" t="s">
        <v>5410</v>
      </c>
      <c r="F814" t="s">
        <v>5411</v>
      </c>
      <c r="G814" t="s">
        <v>5412</v>
      </c>
      <c r="H814" t="s">
        <v>5413</v>
      </c>
      <c r="I814">
        <v>3</v>
      </c>
    </row>
    <row r="815" spans="1:9" x14ac:dyDescent="0.25">
      <c r="A815" t="s">
        <v>1308</v>
      </c>
      <c r="B815">
        <f>VLOOKUP(A815,art_category_path_name!A:B,2,FALSE)</f>
        <v>699</v>
      </c>
      <c r="C815" t="s">
        <v>9467</v>
      </c>
      <c r="D815" t="s">
        <v>5415</v>
      </c>
      <c r="E815" t="s">
        <v>5416</v>
      </c>
      <c r="F815" t="s">
        <v>5417</v>
      </c>
      <c r="G815" t="s">
        <v>5418</v>
      </c>
      <c r="H815" t="s">
        <v>5419</v>
      </c>
      <c r="I815">
        <v>3</v>
      </c>
    </row>
    <row r="816" spans="1:9" x14ac:dyDescent="0.25">
      <c r="A816" t="s">
        <v>1309</v>
      </c>
      <c r="B816">
        <f>VLOOKUP(A816,art_category_path_name!A:B,2,FALSE)</f>
        <v>700</v>
      </c>
      <c r="C816" t="s">
        <v>9468</v>
      </c>
      <c r="D816" t="s">
        <v>5421</v>
      </c>
      <c r="E816" t="s">
        <v>5422</v>
      </c>
      <c r="F816" t="s">
        <v>5423</v>
      </c>
      <c r="G816" t="s">
        <v>5424</v>
      </c>
      <c r="H816" t="s">
        <v>5425</v>
      </c>
      <c r="I816">
        <v>7</v>
      </c>
    </row>
    <row r="817" spans="1:9" x14ac:dyDescent="0.25">
      <c r="A817" t="s">
        <v>1310</v>
      </c>
      <c r="B817">
        <f>VLOOKUP(A817,art_category_path_name!A:B,2,FALSE)</f>
        <v>701</v>
      </c>
      <c r="C817" t="s">
        <v>9469</v>
      </c>
      <c r="D817" t="s">
        <v>5427</v>
      </c>
      <c r="E817" t="s">
        <v>5428</v>
      </c>
      <c r="F817" t="s">
        <v>5429</v>
      </c>
      <c r="G817" t="s">
        <v>5430</v>
      </c>
      <c r="H817" t="s">
        <v>5431</v>
      </c>
      <c r="I817">
        <v>3</v>
      </c>
    </row>
    <row r="818" spans="1:9" x14ac:dyDescent="0.25">
      <c r="A818" t="s">
        <v>1058</v>
      </c>
      <c r="B818">
        <f>VLOOKUP(A818,art_category_path_name!A:B,2,FALSE)</f>
        <v>703</v>
      </c>
      <c r="C818" t="s">
        <v>9470</v>
      </c>
      <c r="D818" t="s">
        <v>5433</v>
      </c>
      <c r="F818" t="s">
        <v>1834</v>
      </c>
      <c r="G818" t="s">
        <v>5434</v>
      </c>
      <c r="H818" t="s">
        <v>5435</v>
      </c>
      <c r="I818">
        <v>2</v>
      </c>
    </row>
    <row r="819" spans="1:9" x14ac:dyDescent="0.25">
      <c r="A819" t="s">
        <v>1059</v>
      </c>
      <c r="B819">
        <f>VLOOKUP(A819,art_category_path_name!A:B,2,FALSE)</f>
        <v>704</v>
      </c>
      <c r="C819" t="s">
        <v>5437</v>
      </c>
      <c r="D819" t="s">
        <v>5437</v>
      </c>
      <c r="F819" t="s">
        <v>1834</v>
      </c>
      <c r="G819" t="s">
        <v>5438</v>
      </c>
      <c r="H819" t="s">
        <v>5439</v>
      </c>
      <c r="I819">
        <v>3</v>
      </c>
    </row>
    <row r="820" spans="1:9" x14ac:dyDescent="0.25">
      <c r="A820" t="s">
        <v>825</v>
      </c>
      <c r="B820">
        <f>VLOOKUP(A820,art_category_path_name!A:B,2,FALSE)</f>
        <v>706</v>
      </c>
      <c r="C820" t="s">
        <v>9471</v>
      </c>
      <c r="D820" t="s">
        <v>5441</v>
      </c>
      <c r="E820" t="s">
        <v>5442</v>
      </c>
      <c r="F820" t="s">
        <v>5443</v>
      </c>
      <c r="G820" t="s">
        <v>5444</v>
      </c>
      <c r="H820" t="s">
        <v>5445</v>
      </c>
      <c r="I820">
        <v>50</v>
      </c>
    </row>
    <row r="821" spans="1:9" x14ac:dyDescent="0.25">
      <c r="A821" t="s">
        <v>826</v>
      </c>
      <c r="B821">
        <f>VLOOKUP(A821,art_category_path_name!A:B,2,FALSE)</f>
        <v>707</v>
      </c>
      <c r="C821" t="s">
        <v>9472</v>
      </c>
      <c r="D821" t="s">
        <v>5441</v>
      </c>
      <c r="E821" t="s">
        <v>5442</v>
      </c>
      <c r="F821" t="s">
        <v>5443</v>
      </c>
      <c r="G821" t="s">
        <v>5447</v>
      </c>
      <c r="H821" t="s">
        <v>5448</v>
      </c>
      <c r="I821">
        <v>20</v>
      </c>
    </row>
    <row r="822" spans="1:9" x14ac:dyDescent="0.25">
      <c r="A822" t="s">
        <v>827</v>
      </c>
      <c r="B822">
        <f>VLOOKUP(A822,art_category_path_name!A:B,2,FALSE)</f>
        <v>708</v>
      </c>
      <c r="C822" t="s">
        <v>9473</v>
      </c>
      <c r="D822" t="s">
        <v>5441</v>
      </c>
      <c r="E822" t="s">
        <v>5442</v>
      </c>
      <c r="F822" t="s">
        <v>5443</v>
      </c>
      <c r="G822" t="s">
        <v>5450</v>
      </c>
      <c r="H822" t="s">
        <v>5451</v>
      </c>
      <c r="I822">
        <v>20</v>
      </c>
    </row>
    <row r="823" spans="1:9" x14ac:dyDescent="0.25">
      <c r="A823" t="s">
        <v>828</v>
      </c>
      <c r="B823">
        <f>VLOOKUP(A823,art_category_path_name!A:B,2,FALSE)</f>
        <v>709</v>
      </c>
      <c r="C823" t="s">
        <v>9474</v>
      </c>
      <c r="D823" t="s">
        <v>5441</v>
      </c>
      <c r="E823" t="s">
        <v>5442</v>
      </c>
      <c r="F823" t="s">
        <v>5443</v>
      </c>
      <c r="G823" t="s">
        <v>5453</v>
      </c>
      <c r="H823" t="s">
        <v>5454</v>
      </c>
      <c r="I823">
        <v>20</v>
      </c>
    </row>
    <row r="824" spans="1:9" x14ac:dyDescent="0.25">
      <c r="A824" t="s">
        <v>701</v>
      </c>
      <c r="B824">
        <f>VLOOKUP(A824,art_category_path_name!A:B,2,FALSE)</f>
        <v>711</v>
      </c>
      <c r="C824" t="s">
        <v>9475</v>
      </c>
      <c r="D824" t="s">
        <v>5456</v>
      </c>
      <c r="E824" t="s">
        <v>5457</v>
      </c>
      <c r="F824" t="s">
        <v>5458</v>
      </c>
      <c r="G824" t="s">
        <v>5459</v>
      </c>
      <c r="H824" t="s">
        <v>5460</v>
      </c>
      <c r="I824">
        <v>39</v>
      </c>
    </row>
    <row r="825" spans="1:9" x14ac:dyDescent="0.25">
      <c r="A825" t="s">
        <v>702</v>
      </c>
      <c r="B825">
        <f>VLOOKUP(A825,art_category_path_name!A:B,2,FALSE)</f>
        <v>712</v>
      </c>
      <c r="C825" t="s">
        <v>9476</v>
      </c>
      <c r="D825" t="s">
        <v>5462</v>
      </c>
      <c r="E825" t="s">
        <v>5463</v>
      </c>
      <c r="F825" t="s">
        <v>5464</v>
      </c>
      <c r="G825" t="s">
        <v>5465</v>
      </c>
      <c r="H825" t="s">
        <v>5466</v>
      </c>
      <c r="I825">
        <v>3</v>
      </c>
    </row>
    <row r="826" spans="1:9" x14ac:dyDescent="0.25">
      <c r="A826" t="s">
        <v>703</v>
      </c>
      <c r="B826">
        <f>VLOOKUP(A826,art_category_path_name!A:B,2,FALSE)</f>
        <v>713</v>
      </c>
      <c r="C826" t="s">
        <v>9477</v>
      </c>
      <c r="D826" t="s">
        <v>5468</v>
      </c>
      <c r="E826" t="s">
        <v>5469</v>
      </c>
      <c r="F826" t="s">
        <v>5470</v>
      </c>
      <c r="G826" t="s">
        <v>5471</v>
      </c>
      <c r="H826" t="s">
        <v>5472</v>
      </c>
      <c r="I826">
        <v>10</v>
      </c>
    </row>
    <row r="827" spans="1:9" x14ac:dyDescent="0.25">
      <c r="A827" t="s">
        <v>704</v>
      </c>
      <c r="B827">
        <f>VLOOKUP(A827,art_category_path_name!A:B,2,FALSE)</f>
        <v>714</v>
      </c>
      <c r="C827" t="s">
        <v>9478</v>
      </c>
      <c r="D827" t="s">
        <v>5474</v>
      </c>
      <c r="E827" t="s">
        <v>5475</v>
      </c>
      <c r="F827" t="s">
        <v>5476</v>
      </c>
      <c r="G827" t="s">
        <v>5477</v>
      </c>
      <c r="H827" t="s">
        <v>5478</v>
      </c>
      <c r="I827">
        <v>15</v>
      </c>
    </row>
    <row r="828" spans="1:9" x14ac:dyDescent="0.25">
      <c r="A828" t="s">
        <v>1312</v>
      </c>
      <c r="B828">
        <f>VLOOKUP(A828,art_category_path_name!A:B,2,FALSE)</f>
        <v>716</v>
      </c>
      <c r="C828" t="s">
        <v>9479</v>
      </c>
      <c r="D828" t="s">
        <v>5480</v>
      </c>
      <c r="E828" t="s">
        <v>5481</v>
      </c>
      <c r="F828" t="s">
        <v>5482</v>
      </c>
      <c r="G828" t="s">
        <v>5483</v>
      </c>
      <c r="H828" t="s">
        <v>5484</v>
      </c>
      <c r="I828">
        <v>40</v>
      </c>
    </row>
    <row r="829" spans="1:9" x14ac:dyDescent="0.25">
      <c r="A829" t="s">
        <v>1313</v>
      </c>
      <c r="B829">
        <f>VLOOKUP(A829,art_category_path_name!A:B,2,FALSE)</f>
        <v>717</v>
      </c>
      <c r="C829" t="s">
        <v>9480</v>
      </c>
      <c r="D829" t="s">
        <v>5486</v>
      </c>
      <c r="E829" t="s">
        <v>5487</v>
      </c>
      <c r="F829" t="s">
        <v>5486</v>
      </c>
      <c r="G829" t="s">
        <v>5488</v>
      </c>
      <c r="H829" t="s">
        <v>5489</v>
      </c>
      <c r="I829">
        <v>10</v>
      </c>
    </row>
    <row r="830" spans="1:9" x14ac:dyDescent="0.25">
      <c r="A830" t="s">
        <v>1314</v>
      </c>
      <c r="B830">
        <f>VLOOKUP(A830,art_category_path_name!A:B,2,FALSE)</f>
        <v>718</v>
      </c>
      <c r="C830" t="s">
        <v>9481</v>
      </c>
      <c r="D830" t="s">
        <v>5491</v>
      </c>
      <c r="E830" t="s">
        <v>5492</v>
      </c>
      <c r="F830" t="s">
        <v>5493</v>
      </c>
      <c r="G830" t="s">
        <v>5494</v>
      </c>
      <c r="H830" t="s">
        <v>5495</v>
      </c>
      <c r="I830">
        <v>10</v>
      </c>
    </row>
    <row r="831" spans="1:9" x14ac:dyDescent="0.25">
      <c r="A831" t="s">
        <v>1315</v>
      </c>
      <c r="B831">
        <f>VLOOKUP(A831,art_category_path_name!A:B,2,FALSE)</f>
        <v>719</v>
      </c>
      <c r="C831" t="s">
        <v>9482</v>
      </c>
      <c r="D831" t="s">
        <v>5497</v>
      </c>
      <c r="E831" t="s">
        <v>5498</v>
      </c>
      <c r="F831" t="s">
        <v>5499</v>
      </c>
      <c r="G831" t="s">
        <v>5500</v>
      </c>
      <c r="H831" t="s">
        <v>5501</v>
      </c>
      <c r="I831">
        <v>80</v>
      </c>
    </row>
    <row r="832" spans="1:9" x14ac:dyDescent="0.25">
      <c r="A832" t="s">
        <v>1316</v>
      </c>
      <c r="B832">
        <f>VLOOKUP(A832,art_category_path_name!A:B,2,FALSE)</f>
        <v>720</v>
      </c>
      <c r="C832" t="s">
        <v>9483</v>
      </c>
      <c r="D832" t="s">
        <v>5503</v>
      </c>
      <c r="E832" t="s">
        <v>5504</v>
      </c>
      <c r="F832" t="s">
        <v>5503</v>
      </c>
      <c r="G832" t="s">
        <v>5505</v>
      </c>
      <c r="H832" t="s">
        <v>5506</v>
      </c>
      <c r="I832">
        <v>40</v>
      </c>
    </row>
    <row r="833" spans="1:9" x14ac:dyDescent="0.25">
      <c r="A833" t="s">
        <v>1317</v>
      </c>
      <c r="B833">
        <f>VLOOKUP(A833,art_category_path_name!A:B,2,FALSE)</f>
        <v>721</v>
      </c>
      <c r="C833" t="s">
        <v>9484</v>
      </c>
      <c r="D833" t="s">
        <v>5508</v>
      </c>
      <c r="E833" t="s">
        <v>5509</v>
      </c>
      <c r="F833" t="s">
        <v>5508</v>
      </c>
      <c r="G833" t="s">
        <v>5510</v>
      </c>
      <c r="H833" t="s">
        <v>5511</v>
      </c>
      <c r="I833">
        <v>40</v>
      </c>
    </row>
    <row r="834" spans="1:9" x14ac:dyDescent="0.25">
      <c r="A834" t="s">
        <v>1318</v>
      </c>
      <c r="B834">
        <f>VLOOKUP(A834,art_category_path_name!A:B,2,FALSE)</f>
        <v>722</v>
      </c>
      <c r="C834" t="s">
        <v>9485</v>
      </c>
      <c r="D834" t="s">
        <v>5513</v>
      </c>
      <c r="E834" t="s">
        <v>5514</v>
      </c>
      <c r="F834" t="s">
        <v>5515</v>
      </c>
      <c r="G834" t="s">
        <v>5516</v>
      </c>
      <c r="H834" t="s">
        <v>5517</v>
      </c>
      <c r="I834">
        <v>80</v>
      </c>
    </row>
    <row r="835" spans="1:9" x14ac:dyDescent="0.25">
      <c r="A835" t="s">
        <v>1319</v>
      </c>
      <c r="B835">
        <f>VLOOKUP(A835,art_category_path_name!A:B,2,FALSE)</f>
        <v>723</v>
      </c>
      <c r="C835" t="s">
        <v>9486</v>
      </c>
      <c r="D835" t="s">
        <v>5519</v>
      </c>
      <c r="E835" t="s">
        <v>5520</v>
      </c>
      <c r="F835" t="s">
        <v>5521</v>
      </c>
      <c r="G835" t="s">
        <v>5522</v>
      </c>
      <c r="H835" t="s">
        <v>5523</v>
      </c>
      <c r="I835">
        <v>20</v>
      </c>
    </row>
    <row r="836" spans="1:9" x14ac:dyDescent="0.25">
      <c r="A836" t="s">
        <v>1320</v>
      </c>
      <c r="B836">
        <f>VLOOKUP(A836,art_category_path_name!A:B,2,FALSE)</f>
        <v>724</v>
      </c>
      <c r="C836" t="s">
        <v>9487</v>
      </c>
      <c r="D836" t="s">
        <v>5525</v>
      </c>
      <c r="E836" t="s">
        <v>5526</v>
      </c>
      <c r="F836" t="s">
        <v>5525</v>
      </c>
      <c r="G836" t="s">
        <v>5527</v>
      </c>
      <c r="H836" t="s">
        <v>5528</v>
      </c>
      <c r="I836">
        <v>20</v>
      </c>
    </row>
    <row r="837" spans="1:9" x14ac:dyDescent="0.25">
      <c r="A837" t="s">
        <v>1321</v>
      </c>
      <c r="B837">
        <f>VLOOKUP(A837,art_category_path_name!A:B,2,FALSE)</f>
        <v>725</v>
      </c>
      <c r="C837" t="s">
        <v>9488</v>
      </c>
      <c r="D837" t="s">
        <v>5530</v>
      </c>
      <c r="E837" t="s">
        <v>5531</v>
      </c>
      <c r="F837" t="s">
        <v>5530</v>
      </c>
      <c r="G837" t="s">
        <v>5532</v>
      </c>
      <c r="H837" t="s">
        <v>5533</v>
      </c>
      <c r="I837">
        <v>20</v>
      </c>
    </row>
    <row r="838" spans="1:9" x14ac:dyDescent="0.25">
      <c r="A838" t="s">
        <v>1322</v>
      </c>
      <c r="B838">
        <f>VLOOKUP(A838,art_category_path_name!A:B,2,FALSE)</f>
        <v>726</v>
      </c>
      <c r="C838" t="s">
        <v>9489</v>
      </c>
      <c r="D838" t="s">
        <v>5535</v>
      </c>
      <c r="E838" t="s">
        <v>5536</v>
      </c>
      <c r="F838" t="s">
        <v>5535</v>
      </c>
      <c r="G838" t="s">
        <v>5537</v>
      </c>
      <c r="H838" t="s">
        <v>5538</v>
      </c>
      <c r="I838">
        <v>20</v>
      </c>
    </row>
    <row r="839" spans="1:9" x14ac:dyDescent="0.25">
      <c r="A839" t="s">
        <v>1323</v>
      </c>
      <c r="B839">
        <f>VLOOKUP(A839,art_category_path_name!A:B,2,FALSE)</f>
        <v>727</v>
      </c>
      <c r="C839" t="s">
        <v>9490</v>
      </c>
      <c r="D839" t="s">
        <v>5540</v>
      </c>
      <c r="E839" t="s">
        <v>5541</v>
      </c>
      <c r="F839" t="s">
        <v>5542</v>
      </c>
      <c r="G839" t="s">
        <v>5543</v>
      </c>
      <c r="H839" t="s">
        <v>5544</v>
      </c>
      <c r="I839">
        <v>20</v>
      </c>
    </row>
    <row r="840" spans="1:9" x14ac:dyDescent="0.25">
      <c r="A840" t="s">
        <v>1324</v>
      </c>
      <c r="B840">
        <f>VLOOKUP(A840,art_category_path_name!A:B,2,FALSE)</f>
        <v>728</v>
      </c>
      <c r="C840" t="s">
        <v>9491</v>
      </c>
      <c r="D840" t="s">
        <v>5546</v>
      </c>
      <c r="E840" t="s">
        <v>5547</v>
      </c>
      <c r="F840" t="s">
        <v>5546</v>
      </c>
      <c r="G840" t="s">
        <v>5548</v>
      </c>
      <c r="H840" t="s">
        <v>5549</v>
      </c>
      <c r="I840">
        <v>20</v>
      </c>
    </row>
    <row r="841" spans="1:9" x14ac:dyDescent="0.25">
      <c r="A841" t="s">
        <v>1325</v>
      </c>
      <c r="B841">
        <f>VLOOKUP(A841,art_category_path_name!A:B,2,FALSE)</f>
        <v>729</v>
      </c>
      <c r="C841" t="s">
        <v>9492</v>
      </c>
      <c r="D841" t="s">
        <v>5551</v>
      </c>
      <c r="E841" t="s">
        <v>5552</v>
      </c>
      <c r="F841" t="s">
        <v>5551</v>
      </c>
      <c r="G841" t="s">
        <v>5553</v>
      </c>
      <c r="H841" t="s">
        <v>5554</v>
      </c>
      <c r="I841">
        <v>20</v>
      </c>
    </row>
    <row r="842" spans="1:9" x14ac:dyDescent="0.25">
      <c r="A842" t="s">
        <v>1326</v>
      </c>
      <c r="B842">
        <f>VLOOKUP(A842,art_category_path_name!A:B,2,FALSE)</f>
        <v>730</v>
      </c>
      <c r="C842" t="s">
        <v>9493</v>
      </c>
      <c r="D842" t="s">
        <v>5556</v>
      </c>
      <c r="E842" t="s">
        <v>5557</v>
      </c>
      <c r="F842" t="s">
        <v>5558</v>
      </c>
      <c r="G842" t="s">
        <v>5559</v>
      </c>
      <c r="H842" t="s">
        <v>5560</v>
      </c>
      <c r="I842">
        <v>20</v>
      </c>
    </row>
    <row r="843" spans="1:9" x14ac:dyDescent="0.25">
      <c r="A843" t="s">
        <v>1327</v>
      </c>
      <c r="B843">
        <f>VLOOKUP(A843,art_category_path_name!A:B,2,FALSE)</f>
        <v>731</v>
      </c>
      <c r="C843" t="s">
        <v>9494</v>
      </c>
      <c r="D843" t="s">
        <v>5508</v>
      </c>
      <c r="E843" t="s">
        <v>5562</v>
      </c>
      <c r="F843" t="s">
        <v>5508</v>
      </c>
      <c r="G843" t="s">
        <v>5563</v>
      </c>
      <c r="H843" t="s">
        <v>5564</v>
      </c>
      <c r="I843">
        <v>21</v>
      </c>
    </row>
    <row r="844" spans="1:9" x14ac:dyDescent="0.25">
      <c r="A844" t="s">
        <v>1328</v>
      </c>
      <c r="B844">
        <f>VLOOKUP(A844,art_category_path_name!A:B,2,FALSE)</f>
        <v>732</v>
      </c>
      <c r="C844" t="s">
        <v>9495</v>
      </c>
      <c r="D844" t="s">
        <v>5508</v>
      </c>
      <c r="E844" t="s">
        <v>5566</v>
      </c>
      <c r="F844" t="s">
        <v>5508</v>
      </c>
      <c r="G844" t="s">
        <v>5567</v>
      </c>
      <c r="H844" t="s">
        <v>5568</v>
      </c>
      <c r="I844">
        <v>20</v>
      </c>
    </row>
    <row r="845" spans="1:9" x14ac:dyDescent="0.25">
      <c r="A845" t="s">
        <v>1329</v>
      </c>
      <c r="B845">
        <f>VLOOKUP(A845,art_category_path_name!A:B,2,FALSE)</f>
        <v>733</v>
      </c>
      <c r="C845" t="s">
        <v>9496</v>
      </c>
      <c r="D845" t="s">
        <v>5570</v>
      </c>
      <c r="E845" t="s">
        <v>5571</v>
      </c>
      <c r="F845" t="s">
        <v>5570</v>
      </c>
      <c r="G845" t="s">
        <v>5572</v>
      </c>
      <c r="H845" t="s">
        <v>5573</v>
      </c>
      <c r="I845">
        <v>20</v>
      </c>
    </row>
    <row r="846" spans="1:9" x14ac:dyDescent="0.25">
      <c r="A846" t="s">
        <v>1330</v>
      </c>
      <c r="B846">
        <f>VLOOKUP(A846,art_category_path_name!A:B,2,FALSE)</f>
        <v>734</v>
      </c>
      <c r="C846" t="s">
        <v>9497</v>
      </c>
      <c r="D846" t="s">
        <v>5519</v>
      </c>
      <c r="E846" t="s">
        <v>5575</v>
      </c>
      <c r="F846" t="s">
        <v>5576</v>
      </c>
      <c r="G846" t="s">
        <v>5577</v>
      </c>
      <c r="H846" t="s">
        <v>5578</v>
      </c>
      <c r="I846">
        <v>10</v>
      </c>
    </row>
    <row r="847" spans="1:9" x14ac:dyDescent="0.25">
      <c r="A847" t="s">
        <v>669</v>
      </c>
      <c r="B847">
        <f>VLOOKUP(A847,art_category_path_name!A:B,2,FALSE)</f>
        <v>736</v>
      </c>
      <c r="C847" t="s">
        <v>9498</v>
      </c>
      <c r="D847" t="s">
        <v>5580</v>
      </c>
      <c r="E847" t="s">
        <v>5581</v>
      </c>
      <c r="F847" t="s">
        <v>5582</v>
      </c>
      <c r="G847" t="s">
        <v>5583</v>
      </c>
      <c r="H847" t="s">
        <v>5584</v>
      </c>
      <c r="I847">
        <v>5</v>
      </c>
    </row>
    <row r="848" spans="1:9" x14ac:dyDescent="0.25">
      <c r="A848" t="s">
        <v>670</v>
      </c>
      <c r="B848">
        <f>VLOOKUP(A848,art_category_path_name!A:B,2,FALSE)</f>
        <v>737</v>
      </c>
      <c r="C848" t="s">
        <v>9499</v>
      </c>
      <c r="D848" t="s">
        <v>5586</v>
      </c>
      <c r="E848" t="s">
        <v>5587</v>
      </c>
      <c r="F848" t="s">
        <v>5588</v>
      </c>
      <c r="G848" t="s">
        <v>5589</v>
      </c>
      <c r="H848" t="s">
        <v>5590</v>
      </c>
      <c r="I848">
        <v>5</v>
      </c>
    </row>
    <row r="849" spans="1:9" x14ac:dyDescent="0.25">
      <c r="A849" t="s">
        <v>885</v>
      </c>
      <c r="B849">
        <f>VLOOKUP(A849,art_category_path_name!A:B,2,FALSE)</f>
        <v>739</v>
      </c>
      <c r="C849" t="s">
        <v>9500</v>
      </c>
      <c r="D849" t="s">
        <v>5592</v>
      </c>
      <c r="E849" t="s">
        <v>5593</v>
      </c>
      <c r="F849" t="s">
        <v>5594</v>
      </c>
      <c r="G849" t="s">
        <v>5595</v>
      </c>
      <c r="H849" t="s">
        <v>5596</v>
      </c>
      <c r="I849">
        <v>196</v>
      </c>
    </row>
    <row r="850" spans="1:9" x14ac:dyDescent="0.25">
      <c r="A850" t="s">
        <v>886</v>
      </c>
      <c r="B850">
        <f>VLOOKUP(A850,art_category_path_name!A:B,2,FALSE)</f>
        <v>740</v>
      </c>
      <c r="C850" t="s">
        <v>9501</v>
      </c>
      <c r="D850" t="s">
        <v>5598</v>
      </c>
      <c r="E850" t="s">
        <v>5599</v>
      </c>
      <c r="F850" t="s">
        <v>5600</v>
      </c>
      <c r="G850" t="s">
        <v>5601</v>
      </c>
      <c r="H850" t="s">
        <v>5602</v>
      </c>
      <c r="I850">
        <v>256</v>
      </c>
    </row>
    <row r="851" spans="1:9" x14ac:dyDescent="0.25">
      <c r="A851" t="s">
        <v>672</v>
      </c>
      <c r="B851">
        <f>VLOOKUP(A851,art_category_path_name!A:B,2,FALSE)</f>
        <v>742</v>
      </c>
      <c r="C851" t="s">
        <v>9502</v>
      </c>
      <c r="D851" t="s">
        <v>5604</v>
      </c>
      <c r="E851" t="s">
        <v>5605</v>
      </c>
      <c r="F851" t="s">
        <v>5606</v>
      </c>
      <c r="G851" t="s">
        <v>5607</v>
      </c>
      <c r="H851" t="s">
        <v>5608</v>
      </c>
      <c r="I851">
        <v>6</v>
      </c>
    </row>
    <row r="852" spans="1:9" x14ac:dyDescent="0.25">
      <c r="A852" t="s">
        <v>673</v>
      </c>
      <c r="B852">
        <f>VLOOKUP(A852,art_category_path_name!A:B,2,FALSE)</f>
        <v>743</v>
      </c>
      <c r="C852" t="s">
        <v>9503</v>
      </c>
      <c r="D852" t="s">
        <v>5610</v>
      </c>
      <c r="E852" t="s">
        <v>5611</v>
      </c>
      <c r="F852" t="s">
        <v>5612</v>
      </c>
      <c r="G852" t="s">
        <v>5607</v>
      </c>
      <c r="H852" t="s">
        <v>5613</v>
      </c>
      <c r="I852">
        <v>15</v>
      </c>
    </row>
    <row r="853" spans="1:9" x14ac:dyDescent="0.25">
      <c r="A853" t="s">
        <v>675</v>
      </c>
      <c r="B853">
        <f>VLOOKUP(A853,art_category_path_name!A:B,2,FALSE)</f>
        <v>745</v>
      </c>
      <c r="C853" t="s">
        <v>9504</v>
      </c>
      <c r="D853" t="s">
        <v>5474</v>
      </c>
      <c r="E853" t="s">
        <v>5475</v>
      </c>
      <c r="F853" t="s">
        <v>5476</v>
      </c>
      <c r="G853" t="s">
        <v>5615</v>
      </c>
      <c r="H853" t="s">
        <v>5616</v>
      </c>
      <c r="I853">
        <v>12</v>
      </c>
    </row>
    <row r="854" spans="1:9" x14ac:dyDescent="0.25">
      <c r="A854" t="s">
        <v>676</v>
      </c>
      <c r="B854">
        <f>VLOOKUP(A854,art_category_path_name!A:B,2,FALSE)</f>
        <v>746</v>
      </c>
      <c r="C854" t="s">
        <v>9505</v>
      </c>
      <c r="D854" t="s">
        <v>5618</v>
      </c>
      <c r="E854" t="s">
        <v>5619</v>
      </c>
      <c r="F854" t="s">
        <v>5620</v>
      </c>
      <c r="G854" t="s">
        <v>5621</v>
      </c>
      <c r="H854" t="s">
        <v>5622</v>
      </c>
      <c r="I854">
        <v>12</v>
      </c>
    </row>
    <row r="855" spans="1:9" x14ac:dyDescent="0.25">
      <c r="A855" t="s">
        <v>677</v>
      </c>
      <c r="B855">
        <f>VLOOKUP(A855,art_category_path_name!A:B,2,FALSE)</f>
        <v>747</v>
      </c>
      <c r="C855" t="s">
        <v>9506</v>
      </c>
      <c r="D855" t="s">
        <v>5624</v>
      </c>
      <c r="F855" t="s">
        <v>1834</v>
      </c>
      <c r="G855" t="s">
        <v>5625</v>
      </c>
      <c r="H855" t="s">
        <v>5626</v>
      </c>
      <c r="I855">
        <v>12</v>
      </c>
    </row>
    <row r="856" spans="1:9" x14ac:dyDescent="0.25">
      <c r="A856" t="s">
        <v>1061</v>
      </c>
      <c r="B856">
        <f>VLOOKUP(A856,art_category_path_name!A:B,2,FALSE)</f>
        <v>749</v>
      </c>
      <c r="C856" t="s">
        <v>9507</v>
      </c>
      <c r="D856" t="s">
        <v>5628</v>
      </c>
      <c r="F856" t="s">
        <v>1834</v>
      </c>
      <c r="G856" t="s">
        <v>5629</v>
      </c>
      <c r="H856" t="s">
        <v>5630</v>
      </c>
      <c r="I856">
        <v>1</v>
      </c>
    </row>
    <row r="857" spans="1:9" x14ac:dyDescent="0.25">
      <c r="A857" t="s">
        <v>1062</v>
      </c>
      <c r="B857">
        <f>VLOOKUP(A857,art_category_path_name!A:B,2,FALSE)</f>
        <v>750</v>
      </c>
      <c r="C857" t="s">
        <v>9508</v>
      </c>
      <c r="D857" t="s">
        <v>5632</v>
      </c>
      <c r="F857" t="s">
        <v>1834</v>
      </c>
      <c r="G857" t="s">
        <v>5633</v>
      </c>
      <c r="H857" t="s">
        <v>5634</v>
      </c>
      <c r="I857">
        <v>1</v>
      </c>
    </row>
    <row r="858" spans="1:9" x14ac:dyDescent="0.25">
      <c r="A858" t="s">
        <v>189</v>
      </c>
      <c r="B858">
        <f>VLOOKUP(A858,art_category_path_name!A:B,2,FALSE)</f>
        <v>752</v>
      </c>
      <c r="C858" t="s">
        <v>9509</v>
      </c>
      <c r="D858" t="s">
        <v>5636</v>
      </c>
      <c r="E858" t="s">
        <v>5637</v>
      </c>
      <c r="F858" t="s">
        <v>5638</v>
      </c>
      <c r="G858" t="s">
        <v>5639</v>
      </c>
      <c r="H858" t="s">
        <v>5640</v>
      </c>
      <c r="I858">
        <v>4</v>
      </c>
    </row>
    <row r="859" spans="1:9" x14ac:dyDescent="0.25">
      <c r="A859" t="s">
        <v>100</v>
      </c>
      <c r="B859">
        <f>VLOOKUP(A859,art_category_path_name!A:B,2,FALSE)</f>
        <v>753</v>
      </c>
      <c r="C859" t="s">
        <v>9510</v>
      </c>
      <c r="D859" t="s">
        <v>5642</v>
      </c>
      <c r="E859" t="s">
        <v>5643</v>
      </c>
      <c r="F859" t="s">
        <v>5644</v>
      </c>
      <c r="G859" t="s">
        <v>5645</v>
      </c>
      <c r="H859" t="s">
        <v>5646</v>
      </c>
      <c r="I859">
        <v>4</v>
      </c>
    </row>
    <row r="860" spans="1:9" x14ac:dyDescent="0.25">
      <c r="A860" t="s">
        <v>190</v>
      </c>
      <c r="B860">
        <f>VLOOKUP(A860,art_category_path_name!A:B,2,FALSE)</f>
        <v>754</v>
      </c>
      <c r="C860" t="s">
        <v>9511</v>
      </c>
      <c r="D860" t="s">
        <v>5648</v>
      </c>
      <c r="E860" t="s">
        <v>5649</v>
      </c>
      <c r="F860" t="s">
        <v>5650</v>
      </c>
      <c r="G860" t="s">
        <v>5651</v>
      </c>
      <c r="H860" t="s">
        <v>5652</v>
      </c>
      <c r="I860">
        <v>2</v>
      </c>
    </row>
    <row r="861" spans="1:9" x14ac:dyDescent="0.25">
      <c r="A861" t="s">
        <v>191</v>
      </c>
      <c r="B861">
        <f>VLOOKUP(A861,art_category_path_name!A:B,2,FALSE)</f>
        <v>755</v>
      </c>
      <c r="C861" t="s">
        <v>9512</v>
      </c>
      <c r="D861" t="s">
        <v>5654</v>
      </c>
      <c r="E861" t="s">
        <v>5655</v>
      </c>
      <c r="F861" t="s">
        <v>5656</v>
      </c>
      <c r="G861" t="s">
        <v>5657</v>
      </c>
      <c r="H861" t="s">
        <v>5658</v>
      </c>
      <c r="I861">
        <v>2</v>
      </c>
    </row>
    <row r="862" spans="1:9" x14ac:dyDescent="0.25">
      <c r="A862" t="s">
        <v>192</v>
      </c>
      <c r="B862">
        <f>VLOOKUP(A862,art_category_path_name!A:B,2,FALSE)</f>
        <v>756</v>
      </c>
      <c r="C862" t="s">
        <v>9513</v>
      </c>
      <c r="D862" t="s">
        <v>5660</v>
      </c>
      <c r="F862" t="s">
        <v>1834</v>
      </c>
      <c r="G862" t="s">
        <v>5657</v>
      </c>
      <c r="H862" t="s">
        <v>5661</v>
      </c>
      <c r="I862">
        <v>1</v>
      </c>
    </row>
    <row r="863" spans="1:9" x14ac:dyDescent="0.25">
      <c r="A863" t="s">
        <v>193</v>
      </c>
      <c r="B863">
        <f>VLOOKUP(A863,art_category_path_name!A:B,2,FALSE)</f>
        <v>757</v>
      </c>
      <c r="C863" t="s">
        <v>9514</v>
      </c>
      <c r="D863" t="s">
        <v>5663</v>
      </c>
      <c r="E863" t="s">
        <v>5664</v>
      </c>
      <c r="F863" t="s">
        <v>5665</v>
      </c>
      <c r="G863" t="s">
        <v>5666</v>
      </c>
      <c r="H863" t="s">
        <v>5667</v>
      </c>
      <c r="I863">
        <v>1</v>
      </c>
    </row>
    <row r="864" spans="1:9" x14ac:dyDescent="0.25">
      <c r="A864" t="s">
        <v>194</v>
      </c>
      <c r="B864">
        <f>VLOOKUP(A864,art_category_path_name!A:B,2,FALSE)</f>
        <v>758</v>
      </c>
      <c r="C864" t="s">
        <v>9515</v>
      </c>
      <c r="D864" t="s">
        <v>5669</v>
      </c>
      <c r="F864" t="s">
        <v>1834</v>
      </c>
      <c r="G864" t="s">
        <v>5657</v>
      </c>
      <c r="H864" t="s">
        <v>5670</v>
      </c>
      <c r="I864">
        <v>1</v>
      </c>
    </row>
    <row r="865" spans="1:9" x14ac:dyDescent="0.25">
      <c r="A865" t="s">
        <v>830</v>
      </c>
      <c r="B865">
        <f>VLOOKUP(A865,art_category_path_name!A:B,2,FALSE)</f>
        <v>760</v>
      </c>
      <c r="C865" t="s">
        <v>9516</v>
      </c>
      <c r="D865" t="s">
        <v>5672</v>
      </c>
      <c r="E865" t="s">
        <v>5673</v>
      </c>
      <c r="F865" t="s">
        <v>5674</v>
      </c>
      <c r="G865" t="s">
        <v>5675</v>
      </c>
      <c r="H865" t="s">
        <v>5676</v>
      </c>
      <c r="I865">
        <v>11</v>
      </c>
    </row>
    <row r="866" spans="1:9" x14ac:dyDescent="0.25">
      <c r="A866" t="s">
        <v>831</v>
      </c>
      <c r="B866">
        <f>VLOOKUP(A866,art_category_path_name!A:B,2,FALSE)</f>
        <v>761</v>
      </c>
      <c r="C866" t="s">
        <v>9517</v>
      </c>
      <c r="D866" t="s">
        <v>5678</v>
      </c>
      <c r="E866" t="s">
        <v>5679</v>
      </c>
      <c r="F866" t="s">
        <v>5680</v>
      </c>
      <c r="G866" t="s">
        <v>5681</v>
      </c>
      <c r="H866" t="s">
        <v>5682</v>
      </c>
      <c r="I866">
        <v>4</v>
      </c>
    </row>
    <row r="867" spans="1:9" x14ac:dyDescent="0.25">
      <c r="A867" t="s">
        <v>832</v>
      </c>
      <c r="B867">
        <f>VLOOKUP(A867,art_category_path_name!A:B,2,FALSE)</f>
        <v>762</v>
      </c>
      <c r="C867" t="s">
        <v>9518</v>
      </c>
      <c r="D867" t="s">
        <v>5684</v>
      </c>
      <c r="E867" t="s">
        <v>5685</v>
      </c>
      <c r="F867" t="s">
        <v>5686</v>
      </c>
      <c r="G867" t="s">
        <v>5687</v>
      </c>
      <c r="H867" t="s">
        <v>5688</v>
      </c>
      <c r="I867">
        <v>6</v>
      </c>
    </row>
    <row r="868" spans="1:9" x14ac:dyDescent="0.25">
      <c r="A868" t="s">
        <v>1398</v>
      </c>
      <c r="B868">
        <f>VLOOKUP(A868,art_category_path_name!A:B,2,FALSE)</f>
        <v>764</v>
      </c>
      <c r="C868" t="s">
        <v>1585</v>
      </c>
      <c r="D868" t="s">
        <v>5689</v>
      </c>
      <c r="E868" t="s">
        <v>5690</v>
      </c>
      <c r="F868">
        <v>14</v>
      </c>
      <c r="G868" t="s">
        <v>5691</v>
      </c>
      <c r="H868" t="s">
        <v>5692</v>
      </c>
      <c r="I868">
        <v>1</v>
      </c>
    </row>
    <row r="869" spans="1:9" x14ac:dyDescent="0.25">
      <c r="A869" t="s">
        <v>1399</v>
      </c>
      <c r="B869">
        <f>VLOOKUP(A869,art_category_path_name!A:B,2,FALSE)</f>
        <v>765</v>
      </c>
      <c r="C869" t="s">
        <v>9519</v>
      </c>
      <c r="D869" t="s">
        <v>5694</v>
      </c>
      <c r="E869" t="s">
        <v>5695</v>
      </c>
      <c r="F869" t="s">
        <v>5696</v>
      </c>
      <c r="G869" t="s">
        <v>5697</v>
      </c>
      <c r="H869" t="s">
        <v>5698</v>
      </c>
      <c r="I869">
        <v>3</v>
      </c>
    </row>
    <row r="870" spans="1:9" x14ac:dyDescent="0.25">
      <c r="A870" t="s">
        <v>1400</v>
      </c>
      <c r="B870">
        <f>VLOOKUP(A870,art_category_path_name!A:B,2,FALSE)</f>
        <v>766</v>
      </c>
      <c r="C870" t="s">
        <v>1585</v>
      </c>
      <c r="D870" t="s">
        <v>5699</v>
      </c>
      <c r="E870" t="s">
        <v>5700</v>
      </c>
      <c r="F870" t="s">
        <v>5701</v>
      </c>
      <c r="G870" t="s">
        <v>5702</v>
      </c>
      <c r="H870" t="s">
        <v>5703</v>
      </c>
      <c r="I870">
        <v>1</v>
      </c>
    </row>
    <row r="871" spans="1:9" x14ac:dyDescent="0.25">
      <c r="A871" t="s">
        <v>1401</v>
      </c>
      <c r="B871">
        <f>VLOOKUP(A871,art_category_path_name!A:B,2,FALSE)</f>
        <v>767</v>
      </c>
      <c r="C871" t="s">
        <v>9520</v>
      </c>
      <c r="D871" t="s">
        <v>5705</v>
      </c>
      <c r="E871" t="s">
        <v>5706</v>
      </c>
      <c r="F871" t="s">
        <v>5707</v>
      </c>
      <c r="G871" t="s">
        <v>5708</v>
      </c>
      <c r="H871" t="s">
        <v>5709</v>
      </c>
      <c r="I871">
        <v>1</v>
      </c>
    </row>
    <row r="872" spans="1:9" x14ac:dyDescent="0.25">
      <c r="A872" t="s">
        <v>1402</v>
      </c>
      <c r="B872">
        <f>VLOOKUP(A872,art_category_path_name!A:B,2,FALSE)</f>
        <v>768</v>
      </c>
      <c r="C872" t="s">
        <v>9521</v>
      </c>
      <c r="D872" t="s">
        <v>5711</v>
      </c>
      <c r="E872" t="s">
        <v>5712</v>
      </c>
      <c r="F872" t="s">
        <v>5713</v>
      </c>
      <c r="G872" t="s">
        <v>5714</v>
      </c>
      <c r="H872" t="s">
        <v>5715</v>
      </c>
      <c r="I872">
        <v>3</v>
      </c>
    </row>
    <row r="873" spans="1:9" x14ac:dyDescent="0.25">
      <c r="A873" t="s">
        <v>1403</v>
      </c>
      <c r="B873">
        <f>VLOOKUP(A873,art_category_path_name!A:B,2,FALSE)</f>
        <v>769</v>
      </c>
      <c r="C873" t="s">
        <v>9522</v>
      </c>
      <c r="D873" t="s">
        <v>5717</v>
      </c>
      <c r="E873" t="s">
        <v>5718</v>
      </c>
      <c r="F873" t="s">
        <v>5719</v>
      </c>
      <c r="G873" t="s">
        <v>5720</v>
      </c>
      <c r="H873" t="s">
        <v>5721</v>
      </c>
      <c r="I873">
        <v>3</v>
      </c>
    </row>
    <row r="874" spans="1:9" x14ac:dyDescent="0.25">
      <c r="A874" t="s">
        <v>1404</v>
      </c>
      <c r="B874">
        <f>VLOOKUP(A874,art_category_path_name!A:B,2,FALSE)</f>
        <v>770</v>
      </c>
      <c r="C874" t="s">
        <v>1585</v>
      </c>
      <c r="D874" t="s">
        <v>5722</v>
      </c>
      <c r="E874" t="s">
        <v>5723</v>
      </c>
      <c r="F874" t="s">
        <v>5724</v>
      </c>
      <c r="G874" t="s">
        <v>5725</v>
      </c>
      <c r="H874" t="s">
        <v>5726</v>
      </c>
      <c r="I874">
        <v>1</v>
      </c>
    </row>
    <row r="875" spans="1:9" x14ac:dyDescent="0.25">
      <c r="A875" t="s">
        <v>1405</v>
      </c>
      <c r="B875">
        <f>VLOOKUP(A875,art_category_path_name!A:B,2,FALSE)</f>
        <v>771</v>
      </c>
      <c r="C875" t="s">
        <v>9523</v>
      </c>
      <c r="D875" t="s">
        <v>5728</v>
      </c>
      <c r="E875" t="s">
        <v>5729</v>
      </c>
      <c r="F875" t="s">
        <v>5730</v>
      </c>
      <c r="G875" t="s">
        <v>5731</v>
      </c>
      <c r="H875" t="s">
        <v>5732</v>
      </c>
      <c r="I875">
        <v>3</v>
      </c>
    </row>
    <row r="876" spans="1:9" x14ac:dyDescent="0.25">
      <c r="A876" t="s">
        <v>1406</v>
      </c>
      <c r="B876">
        <f>VLOOKUP(A876,art_category_path_name!A:B,2,FALSE)</f>
        <v>772</v>
      </c>
      <c r="C876" t="s">
        <v>9524</v>
      </c>
      <c r="D876" t="s">
        <v>5734</v>
      </c>
      <c r="E876" t="s">
        <v>5735</v>
      </c>
      <c r="F876" t="s">
        <v>5736</v>
      </c>
      <c r="G876" t="s">
        <v>5737</v>
      </c>
      <c r="H876" t="s">
        <v>5738</v>
      </c>
      <c r="I876">
        <v>1</v>
      </c>
    </row>
    <row r="877" spans="1:9" x14ac:dyDescent="0.25">
      <c r="A877" t="s">
        <v>1407</v>
      </c>
      <c r="B877">
        <f>VLOOKUP(A877,art_category_path_name!A:B,2,FALSE)</f>
        <v>773</v>
      </c>
      <c r="C877" t="s">
        <v>9525</v>
      </c>
      <c r="D877" t="s">
        <v>5740</v>
      </c>
      <c r="E877" t="s">
        <v>5741</v>
      </c>
      <c r="F877" t="s">
        <v>5742</v>
      </c>
      <c r="G877" t="s">
        <v>5743</v>
      </c>
      <c r="H877" t="s">
        <v>5744</v>
      </c>
      <c r="I877">
        <v>2</v>
      </c>
    </row>
    <row r="878" spans="1:9" x14ac:dyDescent="0.25">
      <c r="A878" t="s">
        <v>1408</v>
      </c>
      <c r="B878">
        <f>VLOOKUP(A878,art_category_path_name!A:B,2,FALSE)</f>
        <v>774</v>
      </c>
      <c r="C878" t="s">
        <v>1585</v>
      </c>
      <c r="D878" t="s">
        <v>5745</v>
      </c>
      <c r="E878" t="s">
        <v>5746</v>
      </c>
      <c r="F878" t="s">
        <v>5747</v>
      </c>
      <c r="G878" t="s">
        <v>5748</v>
      </c>
      <c r="H878" t="s">
        <v>5749</v>
      </c>
      <c r="I878">
        <v>3</v>
      </c>
    </row>
    <row r="879" spans="1:9" x14ac:dyDescent="0.25">
      <c r="A879" t="s">
        <v>1409</v>
      </c>
      <c r="B879">
        <f>VLOOKUP(A879,art_category_path_name!A:B,2,FALSE)</f>
        <v>775</v>
      </c>
      <c r="C879" t="s">
        <v>9526</v>
      </c>
      <c r="D879" t="s">
        <v>5751</v>
      </c>
      <c r="E879" t="s">
        <v>5752</v>
      </c>
      <c r="F879" t="s">
        <v>5753</v>
      </c>
      <c r="G879" t="s">
        <v>5754</v>
      </c>
      <c r="H879" t="s">
        <v>5755</v>
      </c>
      <c r="I879">
        <v>4</v>
      </c>
    </row>
    <row r="880" spans="1:9" x14ac:dyDescent="0.25">
      <c r="A880" t="s">
        <v>1410</v>
      </c>
      <c r="B880">
        <f>VLOOKUP(A880,art_category_path_name!A:B,2,FALSE)</f>
        <v>776</v>
      </c>
      <c r="C880" t="s">
        <v>9527</v>
      </c>
      <c r="D880" t="s">
        <v>5757</v>
      </c>
      <c r="E880" t="s">
        <v>5758</v>
      </c>
      <c r="F880" t="s">
        <v>5759</v>
      </c>
      <c r="G880" t="s">
        <v>5760</v>
      </c>
      <c r="H880" t="s">
        <v>5761</v>
      </c>
      <c r="I880">
        <v>1</v>
      </c>
    </row>
    <row r="881" spans="1:9" x14ac:dyDescent="0.25">
      <c r="A881" t="s">
        <v>1411</v>
      </c>
      <c r="B881">
        <f>VLOOKUP(A881,art_category_path_name!A:B,2,FALSE)</f>
        <v>777</v>
      </c>
      <c r="C881" t="s">
        <v>9528</v>
      </c>
      <c r="D881" t="s">
        <v>5763</v>
      </c>
      <c r="E881" t="s">
        <v>5764</v>
      </c>
      <c r="F881" t="s">
        <v>5765</v>
      </c>
      <c r="G881" t="s">
        <v>5766</v>
      </c>
      <c r="H881" t="s">
        <v>5767</v>
      </c>
      <c r="I881">
        <v>2</v>
      </c>
    </row>
    <row r="882" spans="1:9" x14ac:dyDescent="0.25">
      <c r="A882" t="s">
        <v>1412</v>
      </c>
      <c r="B882">
        <f>VLOOKUP(A882,art_category_path_name!A:B,2,FALSE)</f>
        <v>778</v>
      </c>
      <c r="C882" t="s">
        <v>9529</v>
      </c>
      <c r="D882" t="s">
        <v>5769</v>
      </c>
      <c r="F882" t="s">
        <v>1834</v>
      </c>
      <c r="G882" t="s">
        <v>5770</v>
      </c>
      <c r="H882" t="s">
        <v>5771</v>
      </c>
      <c r="I882">
        <v>1</v>
      </c>
    </row>
    <row r="883" spans="1:9" x14ac:dyDescent="0.25">
      <c r="A883" t="s">
        <v>1413</v>
      </c>
      <c r="B883">
        <f>VLOOKUP(A883,art_category_path_name!A:B,2,FALSE)</f>
        <v>779</v>
      </c>
      <c r="C883" t="s">
        <v>9530</v>
      </c>
      <c r="D883" t="s">
        <v>5773</v>
      </c>
      <c r="E883" t="s">
        <v>5774</v>
      </c>
      <c r="F883" t="s">
        <v>5775</v>
      </c>
      <c r="G883" t="s">
        <v>5776</v>
      </c>
      <c r="H883" t="s">
        <v>5777</v>
      </c>
      <c r="I883">
        <v>8</v>
      </c>
    </row>
    <row r="884" spans="1:9" x14ac:dyDescent="0.25">
      <c r="A884" t="s">
        <v>1414</v>
      </c>
      <c r="B884">
        <f>VLOOKUP(A884,art_category_path_name!A:B,2,FALSE)</f>
        <v>780</v>
      </c>
      <c r="C884" t="s">
        <v>9531</v>
      </c>
      <c r="D884" t="s">
        <v>5779</v>
      </c>
      <c r="E884" t="s">
        <v>5780</v>
      </c>
      <c r="F884" t="s">
        <v>5781</v>
      </c>
      <c r="G884" t="s">
        <v>5782</v>
      </c>
      <c r="H884" t="s">
        <v>5783</v>
      </c>
      <c r="I884">
        <v>8</v>
      </c>
    </row>
    <row r="885" spans="1:9" x14ac:dyDescent="0.25">
      <c r="A885" t="s">
        <v>834</v>
      </c>
      <c r="B885">
        <f>VLOOKUP(A885,art_category_path_name!A:B,2,FALSE)</f>
        <v>782</v>
      </c>
      <c r="C885" t="s">
        <v>9532</v>
      </c>
      <c r="D885" t="s">
        <v>5785</v>
      </c>
      <c r="E885" t="s">
        <v>5786</v>
      </c>
      <c r="F885" t="s">
        <v>5787</v>
      </c>
      <c r="G885" t="s">
        <v>5788</v>
      </c>
      <c r="H885" t="s">
        <v>5789</v>
      </c>
      <c r="I885">
        <v>12</v>
      </c>
    </row>
    <row r="886" spans="1:9" x14ac:dyDescent="0.25">
      <c r="A886" t="s">
        <v>835</v>
      </c>
      <c r="B886">
        <f>VLOOKUP(A886,art_category_path_name!A:B,2,FALSE)</f>
        <v>783</v>
      </c>
      <c r="C886" t="s">
        <v>9533</v>
      </c>
      <c r="D886" t="s">
        <v>5791</v>
      </c>
      <c r="E886" t="s">
        <v>5792</v>
      </c>
      <c r="F886" t="s">
        <v>5793</v>
      </c>
      <c r="G886" t="s">
        <v>5794</v>
      </c>
      <c r="H886" t="s">
        <v>5795</v>
      </c>
      <c r="I886">
        <v>9</v>
      </c>
    </row>
    <row r="887" spans="1:9" x14ac:dyDescent="0.25">
      <c r="A887" t="s">
        <v>836</v>
      </c>
      <c r="B887">
        <f>VLOOKUP(A887,art_category_path_name!A:B,2,FALSE)</f>
        <v>784</v>
      </c>
      <c r="C887" t="s">
        <v>9534</v>
      </c>
      <c r="D887" t="s">
        <v>5797</v>
      </c>
      <c r="E887" t="s">
        <v>5798</v>
      </c>
      <c r="F887" t="s">
        <v>5799</v>
      </c>
      <c r="G887" t="s">
        <v>5800</v>
      </c>
      <c r="H887" t="s">
        <v>5801</v>
      </c>
      <c r="I887">
        <v>18</v>
      </c>
    </row>
    <row r="888" spans="1:9" x14ac:dyDescent="0.25">
      <c r="A888" t="s">
        <v>837</v>
      </c>
      <c r="B888">
        <f>VLOOKUP(A888,art_category_path_name!A:B,2,FALSE)</f>
        <v>785</v>
      </c>
      <c r="C888" t="s">
        <v>9535</v>
      </c>
      <c r="D888" t="s">
        <v>5803</v>
      </c>
      <c r="E888" t="s">
        <v>5804</v>
      </c>
      <c r="F888" t="s">
        <v>5805</v>
      </c>
      <c r="G888" t="s">
        <v>5806</v>
      </c>
      <c r="H888" t="s">
        <v>5807</v>
      </c>
      <c r="I888">
        <v>7</v>
      </c>
    </row>
    <row r="889" spans="1:9" x14ac:dyDescent="0.25">
      <c r="A889" t="s">
        <v>838</v>
      </c>
      <c r="B889">
        <f>VLOOKUP(A889,art_category_path_name!A:B,2,FALSE)</f>
        <v>786</v>
      </c>
      <c r="C889" t="s">
        <v>9536</v>
      </c>
      <c r="D889" t="s">
        <v>5809</v>
      </c>
      <c r="E889" t="s">
        <v>5810</v>
      </c>
      <c r="F889" t="s">
        <v>5811</v>
      </c>
      <c r="G889" t="s">
        <v>5812</v>
      </c>
      <c r="H889" t="s">
        <v>5813</v>
      </c>
      <c r="I889">
        <v>73</v>
      </c>
    </row>
    <row r="890" spans="1:9" x14ac:dyDescent="0.25">
      <c r="A890" t="s">
        <v>839</v>
      </c>
      <c r="B890">
        <f>VLOOKUP(A890,art_category_path_name!A:B,2,FALSE)</f>
        <v>787</v>
      </c>
      <c r="C890" t="s">
        <v>9537</v>
      </c>
      <c r="D890" t="s">
        <v>5815</v>
      </c>
      <c r="E890" t="s">
        <v>5816</v>
      </c>
      <c r="F890" t="s">
        <v>5817</v>
      </c>
      <c r="G890" t="s">
        <v>5818</v>
      </c>
      <c r="H890" t="s">
        <v>5819</v>
      </c>
      <c r="I890">
        <v>10</v>
      </c>
    </row>
    <row r="891" spans="1:9" x14ac:dyDescent="0.25">
      <c r="A891" t="s">
        <v>840</v>
      </c>
      <c r="B891">
        <f>VLOOKUP(A891,art_category_path_name!A:B,2,FALSE)</f>
        <v>788</v>
      </c>
      <c r="C891" t="s">
        <v>9538</v>
      </c>
      <c r="D891" t="s">
        <v>5821</v>
      </c>
      <c r="E891" t="s">
        <v>5822</v>
      </c>
      <c r="F891" t="s">
        <v>5823</v>
      </c>
      <c r="G891" t="s">
        <v>5824</v>
      </c>
      <c r="H891" t="s">
        <v>5825</v>
      </c>
      <c r="I891">
        <v>10</v>
      </c>
    </row>
    <row r="892" spans="1:9" x14ac:dyDescent="0.25">
      <c r="A892" t="s">
        <v>841</v>
      </c>
      <c r="B892">
        <f>VLOOKUP(A892,art_category_path_name!A:B,2,FALSE)</f>
        <v>789</v>
      </c>
      <c r="C892" t="s">
        <v>9539</v>
      </c>
      <c r="D892" t="s">
        <v>5827</v>
      </c>
      <c r="E892" t="s">
        <v>5828</v>
      </c>
      <c r="F892" t="s">
        <v>5829</v>
      </c>
      <c r="G892" t="s">
        <v>5812</v>
      </c>
      <c r="H892" t="s">
        <v>5830</v>
      </c>
      <c r="I892">
        <v>12</v>
      </c>
    </row>
    <row r="893" spans="1:9" x14ac:dyDescent="0.25">
      <c r="A893" t="s">
        <v>842</v>
      </c>
      <c r="B893">
        <f>VLOOKUP(A893,art_category_path_name!A:B,2,FALSE)</f>
        <v>790</v>
      </c>
      <c r="C893" t="s">
        <v>9540</v>
      </c>
      <c r="D893" t="s">
        <v>5832</v>
      </c>
      <c r="F893" t="s">
        <v>1834</v>
      </c>
      <c r="G893" t="s">
        <v>5833</v>
      </c>
      <c r="H893" t="s">
        <v>5834</v>
      </c>
      <c r="I893">
        <v>10</v>
      </c>
    </row>
    <row r="894" spans="1:9" x14ac:dyDescent="0.25">
      <c r="A894" t="s">
        <v>843</v>
      </c>
      <c r="B894">
        <f>VLOOKUP(A894,art_category_path_name!A:B,2,FALSE)</f>
        <v>791</v>
      </c>
      <c r="C894" t="s">
        <v>9541</v>
      </c>
      <c r="D894" t="s">
        <v>5836</v>
      </c>
      <c r="F894" t="s">
        <v>1834</v>
      </c>
      <c r="G894" t="s">
        <v>5837</v>
      </c>
      <c r="H894" t="s">
        <v>5838</v>
      </c>
      <c r="I894">
        <v>7</v>
      </c>
    </row>
    <row r="895" spans="1:9" x14ac:dyDescent="0.25">
      <c r="A895" t="s">
        <v>844</v>
      </c>
      <c r="B895">
        <f>VLOOKUP(A895,art_category_path_name!A:B,2,FALSE)</f>
        <v>792</v>
      </c>
      <c r="C895" t="s">
        <v>9542</v>
      </c>
      <c r="D895" t="s">
        <v>5840</v>
      </c>
      <c r="E895" t="s">
        <v>5841</v>
      </c>
      <c r="F895" t="s">
        <v>5842</v>
      </c>
      <c r="G895" t="s">
        <v>5794</v>
      </c>
      <c r="H895" t="s">
        <v>5843</v>
      </c>
      <c r="I895">
        <v>4</v>
      </c>
    </row>
    <row r="896" spans="1:9" x14ac:dyDescent="0.25">
      <c r="A896" t="s">
        <v>846</v>
      </c>
      <c r="B896">
        <f>VLOOKUP(A896,art_category_path_name!A:B,2,FALSE)</f>
        <v>794</v>
      </c>
      <c r="C896" t="s">
        <v>9543</v>
      </c>
      <c r="D896" t="s">
        <v>5845</v>
      </c>
      <c r="F896" t="s">
        <v>1834</v>
      </c>
      <c r="G896" t="s">
        <v>5846</v>
      </c>
      <c r="H896" t="s">
        <v>5847</v>
      </c>
      <c r="I896">
        <v>7</v>
      </c>
    </row>
    <row r="897" spans="1:9" x14ac:dyDescent="0.25">
      <c r="A897" t="s">
        <v>847</v>
      </c>
      <c r="B897">
        <f>VLOOKUP(A897,art_category_path_name!A:B,2,FALSE)</f>
        <v>795</v>
      </c>
      <c r="C897" t="s">
        <v>9544</v>
      </c>
      <c r="D897" t="s">
        <v>5849</v>
      </c>
      <c r="F897" t="s">
        <v>1834</v>
      </c>
      <c r="G897" t="s">
        <v>5850</v>
      </c>
      <c r="H897" t="s">
        <v>5851</v>
      </c>
      <c r="I897">
        <v>7</v>
      </c>
    </row>
    <row r="898" spans="1:9" x14ac:dyDescent="0.25">
      <c r="A898" t="s">
        <v>848</v>
      </c>
      <c r="B898">
        <f>VLOOKUP(A898,art_category_path_name!A:B,2,FALSE)</f>
        <v>796</v>
      </c>
      <c r="C898" t="s">
        <v>9545</v>
      </c>
      <c r="D898" t="s">
        <v>5853</v>
      </c>
      <c r="F898" t="s">
        <v>1834</v>
      </c>
      <c r="G898" t="s">
        <v>5854</v>
      </c>
      <c r="H898" t="s">
        <v>5855</v>
      </c>
      <c r="I898">
        <v>5</v>
      </c>
    </row>
    <row r="899" spans="1:9" x14ac:dyDescent="0.25">
      <c r="A899" t="s">
        <v>1098</v>
      </c>
      <c r="B899">
        <f>VLOOKUP(A899,art_category_path_name!A:B,2,FALSE)</f>
        <v>798</v>
      </c>
      <c r="C899" t="s">
        <v>9546</v>
      </c>
      <c r="D899" t="s">
        <v>5857</v>
      </c>
      <c r="E899" t="s">
        <v>5858</v>
      </c>
      <c r="F899" t="s">
        <v>5859</v>
      </c>
      <c r="G899" t="s">
        <v>5860</v>
      </c>
      <c r="H899" t="s">
        <v>5861</v>
      </c>
      <c r="I899">
        <v>4</v>
      </c>
    </row>
    <row r="900" spans="1:9" x14ac:dyDescent="0.25">
      <c r="A900" t="s">
        <v>1099</v>
      </c>
      <c r="B900">
        <f>VLOOKUP(A900,art_category_path_name!A:B,2,FALSE)</f>
        <v>799</v>
      </c>
      <c r="C900" t="s">
        <v>9547</v>
      </c>
      <c r="D900" t="s">
        <v>5863</v>
      </c>
      <c r="E900" t="s">
        <v>5864</v>
      </c>
      <c r="F900" t="s">
        <v>5865</v>
      </c>
      <c r="G900" t="s">
        <v>5866</v>
      </c>
      <c r="H900" t="s">
        <v>5867</v>
      </c>
      <c r="I900">
        <v>2</v>
      </c>
    </row>
    <row r="901" spans="1:9" x14ac:dyDescent="0.25">
      <c r="A901" t="s">
        <v>1101</v>
      </c>
      <c r="B901">
        <f>VLOOKUP(A901,art_category_path_name!A:B,2,FALSE)</f>
        <v>801</v>
      </c>
      <c r="C901" t="s">
        <v>9548</v>
      </c>
      <c r="D901" t="s">
        <v>5869</v>
      </c>
      <c r="F901" t="s">
        <v>1834</v>
      </c>
      <c r="G901" t="s">
        <v>5870</v>
      </c>
      <c r="H901" t="s">
        <v>5871</v>
      </c>
      <c r="I901">
        <v>3</v>
      </c>
    </row>
    <row r="902" spans="1:9" x14ac:dyDescent="0.25">
      <c r="A902" t="s">
        <v>1103</v>
      </c>
      <c r="B902">
        <f>VLOOKUP(A902,art_category_path_name!A:B,2,FALSE)</f>
        <v>803</v>
      </c>
      <c r="C902" t="s">
        <v>9549</v>
      </c>
      <c r="D902" t="s">
        <v>5873</v>
      </c>
      <c r="F902" t="s">
        <v>1834</v>
      </c>
      <c r="G902" t="s">
        <v>5874</v>
      </c>
      <c r="H902" t="s">
        <v>5875</v>
      </c>
      <c r="I902">
        <v>2</v>
      </c>
    </row>
    <row r="903" spans="1:9" x14ac:dyDescent="0.25">
      <c r="A903" t="s">
        <v>1104</v>
      </c>
      <c r="B903">
        <f>VLOOKUP(A903,art_category_path_name!A:B,2,FALSE)</f>
        <v>804</v>
      </c>
      <c r="C903" t="s">
        <v>9550</v>
      </c>
      <c r="D903" t="s">
        <v>5877</v>
      </c>
      <c r="E903" t="s">
        <v>5878</v>
      </c>
      <c r="F903" t="s">
        <v>5879</v>
      </c>
      <c r="G903" t="s">
        <v>5880</v>
      </c>
      <c r="H903" t="s">
        <v>5881</v>
      </c>
      <c r="I903">
        <v>2</v>
      </c>
    </row>
    <row r="904" spans="1:9" x14ac:dyDescent="0.25">
      <c r="A904" t="s">
        <v>1105</v>
      </c>
      <c r="B904">
        <f>VLOOKUP(A904,art_category_path_name!A:B,2,FALSE)</f>
        <v>805</v>
      </c>
      <c r="C904" t="s">
        <v>9551</v>
      </c>
      <c r="D904" t="s">
        <v>5883</v>
      </c>
      <c r="F904" t="s">
        <v>1834</v>
      </c>
      <c r="G904" t="s">
        <v>5884</v>
      </c>
      <c r="H904" t="s">
        <v>5885</v>
      </c>
      <c r="I904">
        <v>3</v>
      </c>
    </row>
    <row r="905" spans="1:9" x14ac:dyDescent="0.25">
      <c r="A905" t="s">
        <v>1106</v>
      </c>
      <c r="B905">
        <f>VLOOKUP(A905,art_category_path_name!A:B,2,FALSE)</f>
        <v>806</v>
      </c>
      <c r="C905" t="s">
        <v>9552</v>
      </c>
      <c r="D905" t="s">
        <v>5887</v>
      </c>
      <c r="F905" t="s">
        <v>1834</v>
      </c>
      <c r="G905" t="s">
        <v>5888</v>
      </c>
      <c r="H905" t="s">
        <v>5889</v>
      </c>
      <c r="I905">
        <v>4</v>
      </c>
    </row>
    <row r="906" spans="1:9" x14ac:dyDescent="0.25">
      <c r="A906" t="s">
        <v>1107</v>
      </c>
      <c r="B906">
        <f>VLOOKUP(A906,art_category_path_name!A:B,2,FALSE)</f>
        <v>807</v>
      </c>
      <c r="C906" t="s">
        <v>9553</v>
      </c>
      <c r="D906" t="s">
        <v>5891</v>
      </c>
      <c r="E906" t="s">
        <v>5892</v>
      </c>
      <c r="F906" t="s">
        <v>5891</v>
      </c>
      <c r="G906" t="s">
        <v>5893</v>
      </c>
      <c r="H906" t="s">
        <v>5894</v>
      </c>
      <c r="I906">
        <v>5</v>
      </c>
    </row>
    <row r="907" spans="1:9" x14ac:dyDescent="0.25">
      <c r="A907" t="s">
        <v>1108</v>
      </c>
      <c r="B907">
        <f>VLOOKUP(A907,art_category_path_name!A:B,2,FALSE)</f>
        <v>808</v>
      </c>
      <c r="C907" t="s">
        <v>9554</v>
      </c>
      <c r="D907" t="s">
        <v>5896</v>
      </c>
      <c r="F907" t="s">
        <v>1834</v>
      </c>
      <c r="G907" t="s">
        <v>5897</v>
      </c>
      <c r="H907" t="s">
        <v>5898</v>
      </c>
      <c r="I907">
        <v>2</v>
      </c>
    </row>
    <row r="908" spans="1:9" x14ac:dyDescent="0.25">
      <c r="A908" t="s">
        <v>1109</v>
      </c>
      <c r="B908">
        <f>VLOOKUP(A908,art_category_path_name!A:B,2,FALSE)</f>
        <v>809</v>
      </c>
      <c r="C908" t="s">
        <v>9555</v>
      </c>
      <c r="D908" t="s">
        <v>5900</v>
      </c>
      <c r="F908" t="s">
        <v>1834</v>
      </c>
      <c r="G908" t="s">
        <v>5901</v>
      </c>
      <c r="H908" t="s">
        <v>5902</v>
      </c>
      <c r="I908">
        <v>7</v>
      </c>
    </row>
    <row r="909" spans="1:9" x14ac:dyDescent="0.25">
      <c r="A909" t="s">
        <v>1110</v>
      </c>
      <c r="B909">
        <f>VLOOKUP(A909,art_category_path_name!A:B,2,FALSE)</f>
        <v>810</v>
      </c>
      <c r="C909" t="s">
        <v>9556</v>
      </c>
      <c r="D909" t="s">
        <v>5904</v>
      </c>
      <c r="F909" t="s">
        <v>1834</v>
      </c>
      <c r="G909" t="s">
        <v>5905</v>
      </c>
      <c r="H909" t="s">
        <v>5906</v>
      </c>
      <c r="I909">
        <v>1</v>
      </c>
    </row>
    <row r="910" spans="1:9" x14ac:dyDescent="0.25">
      <c r="A910" t="s">
        <v>1111</v>
      </c>
      <c r="B910">
        <f>VLOOKUP(A910,art_category_path_name!A:B,2,FALSE)</f>
        <v>811</v>
      </c>
      <c r="C910" t="s">
        <v>9557</v>
      </c>
      <c r="D910" t="s">
        <v>5908</v>
      </c>
      <c r="F910" t="s">
        <v>1834</v>
      </c>
      <c r="G910" t="s">
        <v>5909</v>
      </c>
      <c r="H910" t="s">
        <v>5910</v>
      </c>
      <c r="I910">
        <v>2</v>
      </c>
    </row>
    <row r="911" spans="1:9" x14ac:dyDescent="0.25">
      <c r="A911" t="s">
        <v>1112</v>
      </c>
      <c r="B911">
        <f>VLOOKUP(A911,art_category_path_name!A:B,2,FALSE)</f>
        <v>812</v>
      </c>
      <c r="C911" t="s">
        <v>9558</v>
      </c>
      <c r="G911" t="s">
        <v>5912</v>
      </c>
      <c r="H911" t="s">
        <v>5913</v>
      </c>
      <c r="I911">
        <v>8</v>
      </c>
    </row>
    <row r="912" spans="1:9" x14ac:dyDescent="0.25">
      <c r="A912" t="s">
        <v>1114</v>
      </c>
      <c r="B912">
        <f>VLOOKUP(A912,art_category_path_name!A:B,2,FALSE)</f>
        <v>814</v>
      </c>
      <c r="C912" t="s">
        <v>9559</v>
      </c>
      <c r="D912" t="s">
        <v>5915</v>
      </c>
      <c r="E912" t="s">
        <v>5916</v>
      </c>
      <c r="F912" t="s">
        <v>5915</v>
      </c>
      <c r="G912" t="s">
        <v>5917</v>
      </c>
      <c r="H912" t="s">
        <v>5918</v>
      </c>
      <c r="I912">
        <v>10</v>
      </c>
    </row>
    <row r="913" spans="1:9" x14ac:dyDescent="0.25">
      <c r="A913" t="s">
        <v>1115</v>
      </c>
      <c r="B913">
        <f>VLOOKUP(A913,art_category_path_name!A:B,2,FALSE)</f>
        <v>815</v>
      </c>
      <c r="C913" t="s">
        <v>9560</v>
      </c>
      <c r="D913" t="s">
        <v>5920</v>
      </c>
      <c r="E913" t="s">
        <v>5921</v>
      </c>
      <c r="F913" t="s">
        <v>5920</v>
      </c>
      <c r="G913" t="s">
        <v>5922</v>
      </c>
      <c r="H913" t="s">
        <v>5923</v>
      </c>
      <c r="I913">
        <v>4</v>
      </c>
    </row>
    <row r="914" spans="1:9" x14ac:dyDescent="0.25">
      <c r="A914" t="s">
        <v>1116</v>
      </c>
      <c r="B914">
        <f>VLOOKUP(A914,art_category_path_name!A:B,2,FALSE)</f>
        <v>816</v>
      </c>
      <c r="C914" t="s">
        <v>9561</v>
      </c>
      <c r="D914" t="s">
        <v>5925</v>
      </c>
      <c r="E914" t="s">
        <v>5926</v>
      </c>
      <c r="F914" t="s">
        <v>5925</v>
      </c>
      <c r="G914" t="s">
        <v>5927</v>
      </c>
      <c r="H914" t="s">
        <v>5928</v>
      </c>
      <c r="I914">
        <v>6</v>
      </c>
    </row>
    <row r="915" spans="1:9" x14ac:dyDescent="0.25">
      <c r="A915" t="s">
        <v>1117</v>
      </c>
      <c r="B915">
        <f>VLOOKUP(A915,art_category_path_name!A:B,2,FALSE)</f>
        <v>817</v>
      </c>
      <c r="C915" t="s">
        <v>9562</v>
      </c>
      <c r="D915" t="s">
        <v>5930</v>
      </c>
      <c r="E915" t="s">
        <v>5931</v>
      </c>
      <c r="F915" t="s">
        <v>5930</v>
      </c>
      <c r="G915" t="s">
        <v>3928</v>
      </c>
      <c r="H915" t="s">
        <v>5932</v>
      </c>
      <c r="I915">
        <v>8</v>
      </c>
    </row>
    <row r="916" spans="1:9" x14ac:dyDescent="0.25">
      <c r="A916" t="s">
        <v>1118</v>
      </c>
      <c r="B916">
        <f>VLOOKUP(A916,art_category_path_name!A:B,2,FALSE)</f>
        <v>818</v>
      </c>
      <c r="C916" t="s">
        <v>9563</v>
      </c>
      <c r="D916" t="s">
        <v>5934</v>
      </c>
      <c r="E916" t="s">
        <v>5935</v>
      </c>
      <c r="F916" t="s">
        <v>5934</v>
      </c>
      <c r="G916" t="s">
        <v>5936</v>
      </c>
      <c r="H916" t="s">
        <v>5937</v>
      </c>
      <c r="I916">
        <v>2</v>
      </c>
    </row>
    <row r="917" spans="1:9" x14ac:dyDescent="0.25">
      <c r="A917" t="s">
        <v>888</v>
      </c>
      <c r="B917">
        <f>VLOOKUP(A917,art_category_path_name!A:B,2,FALSE)</f>
        <v>820</v>
      </c>
      <c r="C917" t="s">
        <v>9564</v>
      </c>
      <c r="D917" t="s">
        <v>5939</v>
      </c>
      <c r="E917" t="s">
        <v>5940</v>
      </c>
      <c r="F917" t="s">
        <v>5941</v>
      </c>
      <c r="G917" t="s">
        <v>5942</v>
      </c>
      <c r="H917" t="s">
        <v>5943</v>
      </c>
      <c r="I917">
        <v>33</v>
      </c>
    </row>
    <row r="918" spans="1:9" x14ac:dyDescent="0.25">
      <c r="A918" t="s">
        <v>889</v>
      </c>
      <c r="B918">
        <f>VLOOKUP(A918,art_category_path_name!A:B,2,FALSE)</f>
        <v>821</v>
      </c>
      <c r="C918" t="s">
        <v>9565</v>
      </c>
      <c r="D918" t="s">
        <v>5945</v>
      </c>
      <c r="E918" t="s">
        <v>5946</v>
      </c>
      <c r="F918" t="s">
        <v>5947</v>
      </c>
      <c r="G918" t="s">
        <v>5948</v>
      </c>
      <c r="H918" t="s">
        <v>5949</v>
      </c>
      <c r="I918">
        <v>56</v>
      </c>
    </row>
    <row r="919" spans="1:9" x14ac:dyDescent="0.25">
      <c r="A919" t="s">
        <v>890</v>
      </c>
      <c r="B919">
        <f>VLOOKUP(A919,art_category_path_name!A:B,2,FALSE)</f>
        <v>822</v>
      </c>
      <c r="C919" t="s">
        <v>9566</v>
      </c>
      <c r="D919" t="s">
        <v>5951</v>
      </c>
      <c r="E919" t="s">
        <v>5952</v>
      </c>
      <c r="F919" t="s">
        <v>5953</v>
      </c>
      <c r="G919" t="s">
        <v>5954</v>
      </c>
      <c r="H919" t="s">
        <v>5955</v>
      </c>
      <c r="I919">
        <v>42</v>
      </c>
    </row>
    <row r="920" spans="1:9" x14ac:dyDescent="0.25">
      <c r="A920" t="s">
        <v>891</v>
      </c>
      <c r="B920">
        <f>VLOOKUP(A920,art_category_path_name!A:B,2,FALSE)</f>
        <v>823</v>
      </c>
      <c r="C920" t="s">
        <v>9567</v>
      </c>
      <c r="D920" t="s">
        <v>5957</v>
      </c>
      <c r="E920" t="s">
        <v>5958</v>
      </c>
      <c r="F920" t="s">
        <v>5959</v>
      </c>
      <c r="G920" t="s">
        <v>5960</v>
      </c>
      <c r="H920" t="s">
        <v>5961</v>
      </c>
      <c r="I920">
        <v>24</v>
      </c>
    </row>
    <row r="921" spans="1:9" x14ac:dyDescent="0.25">
      <c r="A921" t="s">
        <v>892</v>
      </c>
      <c r="B921">
        <f>VLOOKUP(A921,art_category_path_name!A:B,2,FALSE)</f>
        <v>824</v>
      </c>
      <c r="C921" t="s">
        <v>9568</v>
      </c>
      <c r="D921" t="s">
        <v>5963</v>
      </c>
      <c r="E921" t="s">
        <v>5964</v>
      </c>
      <c r="F921" t="s">
        <v>5965</v>
      </c>
      <c r="G921" t="s">
        <v>5966</v>
      </c>
      <c r="H921" t="s">
        <v>5967</v>
      </c>
      <c r="I921">
        <v>17</v>
      </c>
    </row>
    <row r="922" spans="1:9" x14ac:dyDescent="0.25">
      <c r="A922" t="s">
        <v>893</v>
      </c>
      <c r="B922">
        <f>VLOOKUP(A922,art_category_path_name!A:B,2,FALSE)</f>
        <v>825</v>
      </c>
      <c r="C922" t="s">
        <v>9569</v>
      </c>
      <c r="D922" t="s">
        <v>5969</v>
      </c>
      <c r="E922" t="s">
        <v>5970</v>
      </c>
      <c r="F922" t="s">
        <v>5971</v>
      </c>
      <c r="G922" t="s">
        <v>5972</v>
      </c>
      <c r="H922" t="s">
        <v>5973</v>
      </c>
      <c r="I922">
        <v>22</v>
      </c>
    </row>
    <row r="923" spans="1:9" x14ac:dyDescent="0.25">
      <c r="A923" t="s">
        <v>894</v>
      </c>
      <c r="B923">
        <f>VLOOKUP(A923,art_category_path_name!A:B,2,FALSE)</f>
        <v>826</v>
      </c>
      <c r="C923" t="s">
        <v>9570</v>
      </c>
      <c r="D923" t="s">
        <v>5975</v>
      </c>
      <c r="E923" t="s">
        <v>5976</v>
      </c>
      <c r="F923" t="s">
        <v>5977</v>
      </c>
      <c r="G923" t="s">
        <v>5978</v>
      </c>
      <c r="H923" t="s">
        <v>5979</v>
      </c>
      <c r="I923">
        <v>48</v>
      </c>
    </row>
    <row r="924" spans="1:9" x14ac:dyDescent="0.25">
      <c r="A924" t="s">
        <v>895</v>
      </c>
      <c r="B924">
        <f>VLOOKUP(A924,art_category_path_name!A:B,2,FALSE)</f>
        <v>827</v>
      </c>
      <c r="C924" t="s">
        <v>9571</v>
      </c>
      <c r="D924" t="s">
        <v>5981</v>
      </c>
      <c r="F924" t="s">
        <v>1834</v>
      </c>
      <c r="G924" t="s">
        <v>5982</v>
      </c>
      <c r="H924" t="s">
        <v>5983</v>
      </c>
      <c r="I924">
        <v>39</v>
      </c>
    </row>
    <row r="925" spans="1:9" x14ac:dyDescent="0.25">
      <c r="A925" t="s">
        <v>896</v>
      </c>
      <c r="B925">
        <f>VLOOKUP(A925,art_category_path_name!A:B,2,FALSE)</f>
        <v>828</v>
      </c>
      <c r="C925" t="s">
        <v>9572</v>
      </c>
      <c r="D925" t="s">
        <v>5985</v>
      </c>
      <c r="F925" t="s">
        <v>1834</v>
      </c>
      <c r="G925" t="s">
        <v>5986</v>
      </c>
      <c r="H925" t="s">
        <v>5987</v>
      </c>
      <c r="I925">
        <v>32</v>
      </c>
    </row>
    <row r="926" spans="1:9" x14ac:dyDescent="0.25">
      <c r="A926" t="s">
        <v>897</v>
      </c>
      <c r="B926">
        <f>VLOOKUP(A926,art_category_path_name!A:B,2,FALSE)</f>
        <v>829</v>
      </c>
      <c r="C926" t="s">
        <v>9573</v>
      </c>
      <c r="D926" t="s">
        <v>5989</v>
      </c>
      <c r="F926" t="s">
        <v>1834</v>
      </c>
      <c r="G926" t="s">
        <v>5990</v>
      </c>
      <c r="H926" t="s">
        <v>5991</v>
      </c>
      <c r="I926">
        <v>9</v>
      </c>
    </row>
    <row r="927" spans="1:9" x14ac:dyDescent="0.25">
      <c r="A927" t="s">
        <v>1064</v>
      </c>
      <c r="B927">
        <f>VLOOKUP(A927,art_category_path_name!A:B,2,FALSE)</f>
        <v>831</v>
      </c>
      <c r="C927" t="s">
        <v>9574</v>
      </c>
      <c r="D927" t="s">
        <v>5993</v>
      </c>
      <c r="F927" t="s">
        <v>1834</v>
      </c>
      <c r="G927" t="s">
        <v>5994</v>
      </c>
      <c r="H927" t="s">
        <v>5995</v>
      </c>
      <c r="I927">
        <v>1</v>
      </c>
    </row>
    <row r="928" spans="1:9" x14ac:dyDescent="0.25">
      <c r="A928" t="s">
        <v>1065</v>
      </c>
      <c r="B928">
        <f>VLOOKUP(A928,art_category_path_name!A:B,2,FALSE)</f>
        <v>832</v>
      </c>
      <c r="C928" t="s">
        <v>9575</v>
      </c>
      <c r="D928" t="s">
        <v>5997</v>
      </c>
      <c r="F928" t="s">
        <v>1834</v>
      </c>
      <c r="G928" t="s">
        <v>5998</v>
      </c>
      <c r="H928" t="s">
        <v>5999</v>
      </c>
      <c r="I928">
        <v>1</v>
      </c>
    </row>
    <row r="929" spans="1:9" x14ac:dyDescent="0.25">
      <c r="A929" t="s">
        <v>1066</v>
      </c>
      <c r="B929">
        <f>VLOOKUP(A929,art_category_path_name!A:B,2,FALSE)</f>
        <v>833</v>
      </c>
      <c r="C929" t="s">
        <v>9576</v>
      </c>
      <c r="D929" t="s">
        <v>6001</v>
      </c>
      <c r="F929" t="s">
        <v>1834</v>
      </c>
      <c r="G929" t="s">
        <v>6002</v>
      </c>
      <c r="H929" t="s">
        <v>6003</v>
      </c>
      <c r="I929">
        <v>1</v>
      </c>
    </row>
    <row r="930" spans="1:9" x14ac:dyDescent="0.25">
      <c r="A930" t="s">
        <v>1067</v>
      </c>
      <c r="B930">
        <f>VLOOKUP(A930,art_category_path_name!A:B,2,FALSE)</f>
        <v>834</v>
      </c>
      <c r="C930" t="s">
        <v>9577</v>
      </c>
      <c r="D930" t="s">
        <v>6005</v>
      </c>
      <c r="F930" t="s">
        <v>1834</v>
      </c>
      <c r="G930" t="s">
        <v>6006</v>
      </c>
      <c r="H930" t="s">
        <v>6007</v>
      </c>
      <c r="I930">
        <v>1</v>
      </c>
    </row>
    <row r="931" spans="1:9" x14ac:dyDescent="0.25">
      <c r="A931" t="s">
        <v>1068</v>
      </c>
      <c r="B931">
        <f>VLOOKUP(A931,art_category_path_name!A:B,2,FALSE)</f>
        <v>835</v>
      </c>
      <c r="C931" t="s">
        <v>9578</v>
      </c>
      <c r="D931" t="s">
        <v>6009</v>
      </c>
      <c r="F931" t="s">
        <v>1834</v>
      </c>
      <c r="G931" t="s">
        <v>6010</v>
      </c>
      <c r="H931" t="s">
        <v>6011</v>
      </c>
      <c r="I931">
        <v>1</v>
      </c>
    </row>
    <row r="932" spans="1:9" x14ac:dyDescent="0.25">
      <c r="A932" t="s">
        <v>1069</v>
      </c>
      <c r="B932">
        <f>VLOOKUP(A932,art_category_path_name!A:B,2,FALSE)</f>
        <v>836</v>
      </c>
      <c r="C932" t="s">
        <v>9579</v>
      </c>
      <c r="D932" t="s">
        <v>6013</v>
      </c>
      <c r="F932" t="s">
        <v>1834</v>
      </c>
      <c r="G932" t="s">
        <v>6014</v>
      </c>
      <c r="H932" t="s">
        <v>6015</v>
      </c>
      <c r="I932">
        <v>1</v>
      </c>
    </row>
    <row r="933" spans="1:9" x14ac:dyDescent="0.25">
      <c r="A933" t="s">
        <v>899</v>
      </c>
      <c r="B933">
        <f>VLOOKUP(A933,art_category_path_name!A:B,2,FALSE)</f>
        <v>838</v>
      </c>
      <c r="C933" t="s">
        <v>9580</v>
      </c>
      <c r="D933" t="s">
        <v>6017</v>
      </c>
      <c r="F933" t="s">
        <v>1834</v>
      </c>
      <c r="G933" t="s">
        <v>6018</v>
      </c>
      <c r="H933" t="s">
        <v>6019</v>
      </c>
      <c r="I933">
        <v>27</v>
      </c>
    </row>
    <row r="934" spans="1:9" x14ac:dyDescent="0.25">
      <c r="A934" t="s">
        <v>1000</v>
      </c>
      <c r="B934">
        <f>VLOOKUP(A934,art_category_path_name!A:B,2,FALSE)</f>
        <v>840</v>
      </c>
      <c r="C934" t="s">
        <v>9581</v>
      </c>
      <c r="D934" t="s">
        <v>6021</v>
      </c>
      <c r="F934" t="s">
        <v>1834</v>
      </c>
      <c r="G934" t="s">
        <v>6022</v>
      </c>
      <c r="H934" t="s">
        <v>6023</v>
      </c>
      <c r="I934">
        <v>30</v>
      </c>
    </row>
    <row r="935" spans="1:9" x14ac:dyDescent="0.25">
      <c r="A935" t="s">
        <v>1332</v>
      </c>
      <c r="B935">
        <f>VLOOKUP(A935,art_category_path_name!A:B,2,FALSE)</f>
        <v>842</v>
      </c>
      <c r="C935" t="s">
        <v>9582</v>
      </c>
      <c r="D935" t="s">
        <v>6025</v>
      </c>
      <c r="E935" t="s">
        <v>6026</v>
      </c>
      <c r="F935" t="s">
        <v>6027</v>
      </c>
      <c r="G935" t="s">
        <v>6028</v>
      </c>
      <c r="H935" t="s">
        <v>6029</v>
      </c>
      <c r="I935">
        <v>12</v>
      </c>
    </row>
    <row r="936" spans="1:9" x14ac:dyDescent="0.25">
      <c r="A936" t="s">
        <v>1333</v>
      </c>
      <c r="B936">
        <f>VLOOKUP(A936,art_category_path_name!A:B,2,FALSE)</f>
        <v>843</v>
      </c>
      <c r="C936" t="s">
        <v>9583</v>
      </c>
      <c r="D936" t="s">
        <v>6031</v>
      </c>
      <c r="E936" t="s">
        <v>6032</v>
      </c>
      <c r="F936" t="s">
        <v>6033</v>
      </c>
      <c r="G936" t="s">
        <v>6034</v>
      </c>
      <c r="H936" t="s">
        <v>6035</v>
      </c>
      <c r="I936">
        <v>8</v>
      </c>
    </row>
    <row r="937" spans="1:9" x14ac:dyDescent="0.25">
      <c r="A937" t="s">
        <v>1334</v>
      </c>
      <c r="B937">
        <f>VLOOKUP(A937,art_category_path_name!A:B,2,FALSE)</f>
        <v>844</v>
      </c>
      <c r="C937" t="s">
        <v>9584</v>
      </c>
      <c r="D937" t="s">
        <v>6037</v>
      </c>
      <c r="E937" t="s">
        <v>6038</v>
      </c>
      <c r="F937" t="s">
        <v>6037</v>
      </c>
      <c r="G937" t="s">
        <v>6039</v>
      </c>
      <c r="H937" t="s">
        <v>6040</v>
      </c>
      <c r="I937">
        <v>12</v>
      </c>
    </row>
    <row r="938" spans="1:9" x14ac:dyDescent="0.25">
      <c r="A938" t="s">
        <v>1335</v>
      </c>
      <c r="B938">
        <f>VLOOKUP(A938,art_category_path_name!A:B,2,FALSE)</f>
        <v>845</v>
      </c>
      <c r="C938" t="s">
        <v>9585</v>
      </c>
      <c r="D938" t="s">
        <v>6042</v>
      </c>
      <c r="E938" t="s">
        <v>6043</v>
      </c>
      <c r="F938" t="s">
        <v>6042</v>
      </c>
      <c r="G938" t="s">
        <v>6044</v>
      </c>
      <c r="H938" t="s">
        <v>6045</v>
      </c>
      <c r="I938">
        <v>3</v>
      </c>
    </row>
    <row r="939" spans="1:9" x14ac:dyDescent="0.25">
      <c r="A939" t="s">
        <v>1336</v>
      </c>
      <c r="B939">
        <f>VLOOKUP(A939,art_category_path_name!A:B,2,FALSE)</f>
        <v>846</v>
      </c>
      <c r="C939" t="s">
        <v>9586</v>
      </c>
      <c r="D939" t="s">
        <v>6047</v>
      </c>
      <c r="E939" t="s">
        <v>6048</v>
      </c>
      <c r="F939" t="s">
        <v>6049</v>
      </c>
      <c r="G939" t="s">
        <v>6050</v>
      </c>
      <c r="H939" t="s">
        <v>6051</v>
      </c>
      <c r="I939">
        <v>1</v>
      </c>
    </row>
    <row r="940" spans="1:9" x14ac:dyDescent="0.25">
      <c r="A940" t="s">
        <v>1337</v>
      </c>
      <c r="B940">
        <f>VLOOKUP(A940,art_category_path_name!A:B,2,FALSE)</f>
        <v>847</v>
      </c>
      <c r="C940" t="s">
        <v>9587</v>
      </c>
      <c r="D940" t="s">
        <v>6053</v>
      </c>
      <c r="E940" t="s">
        <v>6054</v>
      </c>
      <c r="F940" t="s">
        <v>6053</v>
      </c>
      <c r="G940" t="s">
        <v>6055</v>
      </c>
      <c r="H940" t="s">
        <v>6056</v>
      </c>
      <c r="I940">
        <v>1</v>
      </c>
    </row>
    <row r="941" spans="1:9" x14ac:dyDescent="0.25">
      <c r="A941" t="s">
        <v>1338</v>
      </c>
      <c r="B941">
        <f>VLOOKUP(A941,art_category_path_name!A:B,2,FALSE)</f>
        <v>848</v>
      </c>
      <c r="C941" t="s">
        <v>9588</v>
      </c>
      <c r="D941" t="s">
        <v>6058</v>
      </c>
      <c r="E941" t="s">
        <v>6059</v>
      </c>
      <c r="F941" t="s">
        <v>6060</v>
      </c>
      <c r="G941" t="s">
        <v>6061</v>
      </c>
      <c r="H941" t="s">
        <v>6062</v>
      </c>
      <c r="I941">
        <v>2</v>
      </c>
    </row>
    <row r="942" spans="1:9" x14ac:dyDescent="0.25">
      <c r="A942" t="s">
        <v>1339</v>
      </c>
      <c r="B942">
        <f>VLOOKUP(A942,art_category_path_name!A:B,2,FALSE)</f>
        <v>849</v>
      </c>
      <c r="C942" t="s">
        <v>9589</v>
      </c>
      <c r="D942" t="s">
        <v>6064</v>
      </c>
      <c r="E942" t="s">
        <v>6065</v>
      </c>
      <c r="F942" t="s">
        <v>6066</v>
      </c>
      <c r="G942" t="s">
        <v>6067</v>
      </c>
      <c r="H942" t="s">
        <v>6068</v>
      </c>
      <c r="I942">
        <v>16</v>
      </c>
    </row>
    <row r="943" spans="1:9" x14ac:dyDescent="0.25">
      <c r="A943" t="s">
        <v>1340</v>
      </c>
      <c r="B943">
        <f>VLOOKUP(A943,art_category_path_name!A:B,2,FALSE)</f>
        <v>850</v>
      </c>
      <c r="C943" t="s">
        <v>9590</v>
      </c>
      <c r="D943" t="s">
        <v>6070</v>
      </c>
      <c r="E943" t="s">
        <v>6071</v>
      </c>
      <c r="F943" t="s">
        <v>6070</v>
      </c>
      <c r="G943" t="s">
        <v>6072</v>
      </c>
      <c r="H943" t="s">
        <v>6073</v>
      </c>
      <c r="I943">
        <v>12</v>
      </c>
    </row>
    <row r="944" spans="1:9" x14ac:dyDescent="0.25">
      <c r="A944" t="s">
        <v>1341</v>
      </c>
      <c r="B944">
        <f>VLOOKUP(A944,art_category_path_name!A:B,2,FALSE)</f>
        <v>851</v>
      </c>
      <c r="C944" t="s">
        <v>9591</v>
      </c>
      <c r="D944" t="s">
        <v>6075</v>
      </c>
      <c r="E944" t="s">
        <v>6076</v>
      </c>
      <c r="F944" t="s">
        <v>6077</v>
      </c>
      <c r="G944" t="s">
        <v>6078</v>
      </c>
      <c r="H944" t="s">
        <v>6079</v>
      </c>
      <c r="I944">
        <v>12</v>
      </c>
    </row>
    <row r="945" spans="1:9" x14ac:dyDescent="0.25">
      <c r="A945" t="s">
        <v>1342</v>
      </c>
      <c r="B945">
        <f>VLOOKUP(A945,art_category_path_name!A:B,2,FALSE)</f>
        <v>852</v>
      </c>
      <c r="C945" t="s">
        <v>9592</v>
      </c>
      <c r="D945" t="s">
        <v>6081</v>
      </c>
      <c r="E945" t="s">
        <v>6082</v>
      </c>
      <c r="F945" t="s">
        <v>6083</v>
      </c>
      <c r="G945" t="s">
        <v>6084</v>
      </c>
      <c r="H945" t="s">
        <v>6085</v>
      </c>
      <c r="I945">
        <v>12</v>
      </c>
    </row>
    <row r="946" spans="1:9" x14ac:dyDescent="0.25">
      <c r="A946" t="s">
        <v>1343</v>
      </c>
      <c r="B946">
        <f>VLOOKUP(A946,art_category_path_name!A:B,2,FALSE)</f>
        <v>853</v>
      </c>
      <c r="C946" t="s">
        <v>9593</v>
      </c>
      <c r="D946" t="s">
        <v>6087</v>
      </c>
      <c r="E946" t="s">
        <v>6088</v>
      </c>
      <c r="F946">
        <v>80</v>
      </c>
      <c r="G946" t="s">
        <v>6089</v>
      </c>
      <c r="H946" t="s">
        <v>6090</v>
      </c>
      <c r="I946">
        <v>4</v>
      </c>
    </row>
    <row r="947" spans="1:9" x14ac:dyDescent="0.25">
      <c r="A947" t="s">
        <v>1344</v>
      </c>
      <c r="B947">
        <f>VLOOKUP(A947,art_category_path_name!A:B,2,FALSE)</f>
        <v>854</v>
      </c>
      <c r="C947" t="s">
        <v>9594</v>
      </c>
      <c r="D947" t="s">
        <v>6092</v>
      </c>
      <c r="E947" t="s">
        <v>6093</v>
      </c>
      <c r="F947" t="s">
        <v>6094</v>
      </c>
      <c r="G947" t="s">
        <v>6095</v>
      </c>
      <c r="H947" t="s">
        <v>6096</v>
      </c>
      <c r="I947">
        <v>2</v>
      </c>
    </row>
    <row r="948" spans="1:9" x14ac:dyDescent="0.25">
      <c r="A948" t="s">
        <v>1345</v>
      </c>
      <c r="B948">
        <f>VLOOKUP(A948,art_category_path_name!A:B,2,FALSE)</f>
        <v>855</v>
      </c>
      <c r="C948" t="s">
        <v>9595</v>
      </c>
      <c r="D948" t="s">
        <v>6098</v>
      </c>
      <c r="E948" t="s">
        <v>6099</v>
      </c>
      <c r="F948" t="s">
        <v>6098</v>
      </c>
      <c r="G948" t="s">
        <v>6100</v>
      </c>
      <c r="H948" t="s">
        <v>6101</v>
      </c>
      <c r="I948">
        <v>2</v>
      </c>
    </row>
    <row r="949" spans="1:9" x14ac:dyDescent="0.25">
      <c r="A949" t="s">
        <v>1346</v>
      </c>
      <c r="B949">
        <f>VLOOKUP(A949,art_category_path_name!A:B,2,FALSE)</f>
        <v>856</v>
      </c>
      <c r="C949" t="s">
        <v>9596</v>
      </c>
      <c r="D949" t="s">
        <v>6103</v>
      </c>
      <c r="E949" t="s">
        <v>6104</v>
      </c>
      <c r="F949" t="s">
        <v>6105</v>
      </c>
      <c r="G949" t="s">
        <v>6106</v>
      </c>
      <c r="H949" t="s">
        <v>6107</v>
      </c>
      <c r="I949">
        <v>2</v>
      </c>
    </row>
    <row r="950" spans="1:9" x14ac:dyDescent="0.25">
      <c r="A950" t="s">
        <v>196</v>
      </c>
      <c r="B950">
        <f>VLOOKUP(A950,art_category_path_name!A:B,2,FALSE)</f>
        <v>858</v>
      </c>
      <c r="C950" t="s">
        <v>9597</v>
      </c>
      <c r="D950" t="s">
        <v>6109</v>
      </c>
      <c r="E950" t="s">
        <v>6110</v>
      </c>
      <c r="F950" t="s">
        <v>6111</v>
      </c>
      <c r="G950" t="s">
        <v>6112</v>
      </c>
      <c r="H950" t="s">
        <v>6113</v>
      </c>
      <c r="I950">
        <v>3</v>
      </c>
    </row>
    <row r="951" spans="1:9" x14ac:dyDescent="0.25">
      <c r="A951" t="s">
        <v>197</v>
      </c>
      <c r="B951">
        <f>VLOOKUP(A951,art_category_path_name!A:B,2,FALSE)</f>
        <v>859</v>
      </c>
      <c r="C951" t="s">
        <v>9598</v>
      </c>
      <c r="D951" t="s">
        <v>6115</v>
      </c>
      <c r="F951" t="s">
        <v>1834</v>
      </c>
      <c r="G951" t="s">
        <v>6116</v>
      </c>
      <c r="H951" t="s">
        <v>6117</v>
      </c>
      <c r="I951">
        <v>1</v>
      </c>
    </row>
    <row r="952" spans="1:9" x14ac:dyDescent="0.25">
      <c r="A952" t="s">
        <v>1120</v>
      </c>
      <c r="B952">
        <f>VLOOKUP(A952,art_category_path_name!A:B,2,FALSE)</f>
        <v>861</v>
      </c>
      <c r="C952" t="s">
        <v>9599</v>
      </c>
      <c r="G952" t="s">
        <v>6119</v>
      </c>
      <c r="H952" t="s">
        <v>6120</v>
      </c>
      <c r="I952">
        <v>9</v>
      </c>
    </row>
    <row r="953" spans="1:9" x14ac:dyDescent="0.25">
      <c r="A953" t="s">
        <v>1121</v>
      </c>
      <c r="B953">
        <f>VLOOKUP(A953,art_category_path_name!A:B,2,FALSE)</f>
        <v>862</v>
      </c>
      <c r="C953" t="s">
        <v>9600</v>
      </c>
      <c r="G953" t="s">
        <v>6122</v>
      </c>
      <c r="H953" t="s">
        <v>6123</v>
      </c>
      <c r="I953">
        <v>5</v>
      </c>
    </row>
    <row r="954" spans="1:9" x14ac:dyDescent="0.25">
      <c r="A954" t="s">
        <v>1122</v>
      </c>
      <c r="B954">
        <f>VLOOKUP(A954,art_category_path_name!A:B,2,FALSE)</f>
        <v>863</v>
      </c>
      <c r="C954" t="s">
        <v>9601</v>
      </c>
      <c r="G954" t="s">
        <v>6125</v>
      </c>
      <c r="H954" t="s">
        <v>6126</v>
      </c>
      <c r="I954">
        <v>2</v>
      </c>
    </row>
    <row r="955" spans="1:9" x14ac:dyDescent="0.25">
      <c r="A955" t="s">
        <v>1221</v>
      </c>
      <c r="B955">
        <f>VLOOKUP(A955,art_category_path_name!A:B,2,FALSE)</f>
        <v>865</v>
      </c>
      <c r="C955" t="s">
        <v>9602</v>
      </c>
      <c r="D955" t="s">
        <v>6128</v>
      </c>
      <c r="F955" t="s">
        <v>1834</v>
      </c>
      <c r="G955" t="s">
        <v>6129</v>
      </c>
      <c r="H955" t="s">
        <v>6130</v>
      </c>
      <c r="I955">
        <v>1</v>
      </c>
    </row>
    <row r="956" spans="1:9" x14ac:dyDescent="0.25">
      <c r="A956" t="s">
        <v>1222</v>
      </c>
      <c r="B956">
        <f>VLOOKUP(A956,art_category_path_name!A:B,2,FALSE)</f>
        <v>866</v>
      </c>
      <c r="C956" t="s">
        <v>9603</v>
      </c>
      <c r="D956" t="s">
        <v>6132</v>
      </c>
      <c r="F956" t="s">
        <v>1834</v>
      </c>
      <c r="G956" t="s">
        <v>6133</v>
      </c>
      <c r="H956" t="s">
        <v>6134</v>
      </c>
      <c r="I956">
        <v>2</v>
      </c>
    </row>
    <row r="957" spans="1:9" x14ac:dyDescent="0.25">
      <c r="A957" t="s">
        <v>1223</v>
      </c>
      <c r="B957">
        <f>VLOOKUP(A957,art_category_path_name!A:B,2,FALSE)</f>
        <v>867</v>
      </c>
      <c r="C957" t="s">
        <v>9604</v>
      </c>
      <c r="D957" t="s">
        <v>6136</v>
      </c>
      <c r="F957" t="s">
        <v>1834</v>
      </c>
      <c r="G957" t="s">
        <v>6137</v>
      </c>
      <c r="H957" t="s">
        <v>6138</v>
      </c>
      <c r="I957">
        <v>1</v>
      </c>
    </row>
    <row r="958" spans="1:9" x14ac:dyDescent="0.25">
      <c r="A958" t="s">
        <v>1224</v>
      </c>
      <c r="B958">
        <f>VLOOKUP(A958,art_category_path_name!A:B,2,FALSE)</f>
        <v>868</v>
      </c>
      <c r="C958" t="s">
        <v>9605</v>
      </c>
      <c r="D958" t="s">
        <v>6140</v>
      </c>
      <c r="F958" t="s">
        <v>1834</v>
      </c>
      <c r="G958" t="s">
        <v>6141</v>
      </c>
      <c r="H958" t="s">
        <v>6142</v>
      </c>
      <c r="I958">
        <v>3</v>
      </c>
    </row>
    <row r="959" spans="1:9" x14ac:dyDescent="0.25">
      <c r="A959" t="s">
        <v>1225</v>
      </c>
      <c r="B959">
        <f>VLOOKUP(A959,art_category_path_name!A:B,2,FALSE)</f>
        <v>869</v>
      </c>
      <c r="C959" t="s">
        <v>9606</v>
      </c>
      <c r="D959" t="s">
        <v>6144</v>
      </c>
      <c r="F959" t="s">
        <v>1834</v>
      </c>
      <c r="G959" t="s">
        <v>6145</v>
      </c>
      <c r="H959" t="s">
        <v>6146</v>
      </c>
      <c r="I959">
        <v>1</v>
      </c>
    </row>
    <row r="960" spans="1:9" x14ac:dyDescent="0.25">
      <c r="A960" t="s">
        <v>1226</v>
      </c>
      <c r="B960">
        <f>VLOOKUP(A960,art_category_path_name!A:B,2,FALSE)</f>
        <v>870</v>
      </c>
      <c r="C960" t="s">
        <v>9607</v>
      </c>
      <c r="D960" t="s">
        <v>6148</v>
      </c>
      <c r="F960" t="s">
        <v>1834</v>
      </c>
      <c r="G960" t="s">
        <v>6149</v>
      </c>
      <c r="H960" t="s">
        <v>6150</v>
      </c>
      <c r="I960">
        <v>1</v>
      </c>
    </row>
    <row r="961" spans="1:9" x14ac:dyDescent="0.25">
      <c r="A961" t="s">
        <v>1227</v>
      </c>
      <c r="B961">
        <f>VLOOKUP(A961,art_category_path_name!A:B,2,FALSE)</f>
        <v>871</v>
      </c>
      <c r="C961" t="s">
        <v>9608</v>
      </c>
      <c r="D961" t="s">
        <v>6152</v>
      </c>
      <c r="F961" t="s">
        <v>1834</v>
      </c>
      <c r="G961" t="s">
        <v>6153</v>
      </c>
      <c r="H961" t="s">
        <v>6154</v>
      </c>
      <c r="I961">
        <v>1</v>
      </c>
    </row>
    <row r="962" spans="1:9" x14ac:dyDescent="0.25">
      <c r="A962" t="s">
        <v>1228</v>
      </c>
      <c r="B962">
        <f>VLOOKUP(A962,art_category_path_name!A:B,2,FALSE)</f>
        <v>872</v>
      </c>
      <c r="C962" t="s">
        <v>9609</v>
      </c>
      <c r="D962" t="s">
        <v>6156</v>
      </c>
      <c r="F962" t="s">
        <v>1834</v>
      </c>
      <c r="G962" t="s">
        <v>6157</v>
      </c>
      <c r="H962" t="s">
        <v>6158</v>
      </c>
      <c r="I962">
        <v>2</v>
      </c>
    </row>
    <row r="963" spans="1:9" x14ac:dyDescent="0.25">
      <c r="A963" t="s">
        <v>1229</v>
      </c>
      <c r="B963">
        <f>VLOOKUP(A963,art_category_path_name!A:B,2,FALSE)</f>
        <v>873</v>
      </c>
      <c r="C963" t="s">
        <v>9610</v>
      </c>
      <c r="D963" t="s">
        <v>6160</v>
      </c>
      <c r="F963" t="s">
        <v>1834</v>
      </c>
      <c r="G963" t="s">
        <v>6161</v>
      </c>
      <c r="H963" t="s">
        <v>6162</v>
      </c>
      <c r="I963">
        <v>1</v>
      </c>
    </row>
    <row r="964" spans="1:9" x14ac:dyDescent="0.25">
      <c r="A964" t="s">
        <v>706</v>
      </c>
      <c r="B964">
        <f>VLOOKUP(A964,art_category_path_name!A:B,2,FALSE)</f>
        <v>875</v>
      </c>
      <c r="C964" t="s">
        <v>9611</v>
      </c>
      <c r="D964" t="s">
        <v>5618</v>
      </c>
      <c r="E964" t="s">
        <v>5619</v>
      </c>
      <c r="F964" t="s">
        <v>5620</v>
      </c>
      <c r="G964" t="s">
        <v>6164</v>
      </c>
      <c r="H964" t="s">
        <v>6165</v>
      </c>
      <c r="I964">
        <v>56</v>
      </c>
    </row>
    <row r="965" spans="1:9" x14ac:dyDescent="0.25">
      <c r="A965" t="s">
        <v>707</v>
      </c>
      <c r="B965">
        <f>VLOOKUP(A965,art_category_path_name!A:B,2,FALSE)</f>
        <v>876</v>
      </c>
      <c r="C965" t="s">
        <v>9612</v>
      </c>
      <c r="D965" t="s">
        <v>5468</v>
      </c>
      <c r="E965" t="s">
        <v>5469</v>
      </c>
      <c r="F965" t="s">
        <v>5470</v>
      </c>
      <c r="G965" t="s">
        <v>6167</v>
      </c>
      <c r="H965" t="s">
        <v>6168</v>
      </c>
      <c r="I965">
        <v>1</v>
      </c>
    </row>
    <row r="966" spans="1:9" x14ac:dyDescent="0.25">
      <c r="A966" t="s">
        <v>1444</v>
      </c>
      <c r="B966">
        <f>VLOOKUP(A966,art_category_path_name!A:B,2,FALSE)</f>
        <v>879</v>
      </c>
      <c r="C966" t="s">
        <v>9613</v>
      </c>
      <c r="D966" t="s">
        <v>6170</v>
      </c>
      <c r="F966" t="s">
        <v>1834</v>
      </c>
      <c r="G966" t="s">
        <v>6171</v>
      </c>
      <c r="H966" t="s">
        <v>6172</v>
      </c>
      <c r="I966">
        <v>11</v>
      </c>
    </row>
    <row r="967" spans="1:9" x14ac:dyDescent="0.25">
      <c r="A967" t="s">
        <v>1445</v>
      </c>
      <c r="B967">
        <f>VLOOKUP(A967,art_category_path_name!A:B,2,FALSE)</f>
        <v>880</v>
      </c>
      <c r="C967" t="s">
        <v>9614</v>
      </c>
      <c r="D967" t="s">
        <v>6174</v>
      </c>
      <c r="E967" t="s">
        <v>6175</v>
      </c>
      <c r="F967" t="s">
        <v>6174</v>
      </c>
      <c r="G967" t="s">
        <v>6176</v>
      </c>
      <c r="H967" t="s">
        <v>6177</v>
      </c>
      <c r="I967">
        <v>14</v>
      </c>
    </row>
    <row r="968" spans="1:9" x14ac:dyDescent="0.25">
      <c r="A968" t="s">
        <v>1446</v>
      </c>
      <c r="B968">
        <f>VLOOKUP(A968,art_category_path_name!A:B,2,FALSE)</f>
        <v>881</v>
      </c>
      <c r="C968" t="s">
        <v>9615</v>
      </c>
      <c r="D968" t="s">
        <v>6179</v>
      </c>
      <c r="E968" t="s">
        <v>6180</v>
      </c>
      <c r="F968" t="s">
        <v>6179</v>
      </c>
      <c r="G968" t="s">
        <v>6181</v>
      </c>
      <c r="H968" t="s">
        <v>6182</v>
      </c>
      <c r="I968">
        <v>12</v>
      </c>
    </row>
    <row r="969" spans="1:9" x14ac:dyDescent="0.25">
      <c r="A969" t="s">
        <v>1268</v>
      </c>
      <c r="B969">
        <f>VLOOKUP(A969,art_category_path_name!A:B,2,FALSE)</f>
        <v>883</v>
      </c>
      <c r="C969" t="s">
        <v>9616</v>
      </c>
      <c r="D969" t="s">
        <v>6184</v>
      </c>
      <c r="F969" t="s">
        <v>1834</v>
      </c>
      <c r="G969" t="s">
        <v>6185</v>
      </c>
      <c r="H969" t="s">
        <v>6186</v>
      </c>
      <c r="I969">
        <v>2</v>
      </c>
    </row>
    <row r="970" spans="1:9" x14ac:dyDescent="0.25">
      <c r="A970" t="s">
        <v>199</v>
      </c>
      <c r="B970">
        <f>VLOOKUP(A970,art_category_path_name!A:B,2,FALSE)</f>
        <v>885</v>
      </c>
      <c r="C970" t="s">
        <v>9617</v>
      </c>
      <c r="D970" t="s">
        <v>6188</v>
      </c>
      <c r="E970" t="s">
        <v>6189</v>
      </c>
      <c r="F970" t="s">
        <v>6190</v>
      </c>
      <c r="G970" t="s">
        <v>6191</v>
      </c>
      <c r="H970" t="s">
        <v>6192</v>
      </c>
      <c r="I970">
        <v>4</v>
      </c>
    </row>
    <row r="971" spans="1:9" x14ac:dyDescent="0.25">
      <c r="A971" t="s">
        <v>200</v>
      </c>
      <c r="B971">
        <f>VLOOKUP(A971,art_category_path_name!A:B,2,FALSE)</f>
        <v>886</v>
      </c>
      <c r="C971" t="s">
        <v>9618</v>
      </c>
      <c r="D971" t="s">
        <v>6194</v>
      </c>
      <c r="E971" t="s">
        <v>6195</v>
      </c>
      <c r="F971" t="s">
        <v>6196</v>
      </c>
      <c r="G971" t="s">
        <v>6197</v>
      </c>
      <c r="H971" t="s">
        <v>6198</v>
      </c>
      <c r="I971">
        <v>4</v>
      </c>
    </row>
    <row r="972" spans="1:9" x14ac:dyDescent="0.25">
      <c r="A972" t="s">
        <v>201</v>
      </c>
      <c r="B972">
        <f>VLOOKUP(A972,art_category_path_name!A:B,2,FALSE)</f>
        <v>887</v>
      </c>
      <c r="C972" t="s">
        <v>9619</v>
      </c>
      <c r="D972" t="s">
        <v>6200</v>
      </c>
      <c r="E972" t="s">
        <v>6201</v>
      </c>
      <c r="F972" t="s">
        <v>6202</v>
      </c>
      <c r="G972" t="s">
        <v>6203</v>
      </c>
      <c r="H972" t="s">
        <v>6204</v>
      </c>
      <c r="I972">
        <v>4</v>
      </c>
    </row>
    <row r="973" spans="1:9" x14ac:dyDescent="0.25">
      <c r="A973" t="s">
        <v>202</v>
      </c>
      <c r="B973">
        <f>VLOOKUP(A973,art_category_path_name!A:B,2,FALSE)</f>
        <v>888</v>
      </c>
      <c r="C973" t="s">
        <v>9620</v>
      </c>
      <c r="D973" t="s">
        <v>6206</v>
      </c>
      <c r="F973" t="s">
        <v>1834</v>
      </c>
      <c r="G973" t="s">
        <v>6207</v>
      </c>
      <c r="H973" t="s">
        <v>6208</v>
      </c>
      <c r="I973">
        <v>2</v>
      </c>
    </row>
    <row r="974" spans="1:9" x14ac:dyDescent="0.25">
      <c r="A974" t="s">
        <v>203</v>
      </c>
      <c r="B974">
        <f>VLOOKUP(A974,art_category_path_name!A:B,2,FALSE)</f>
        <v>889</v>
      </c>
      <c r="C974" t="s">
        <v>9621</v>
      </c>
      <c r="D974" t="s">
        <v>6210</v>
      </c>
      <c r="F974" t="s">
        <v>1834</v>
      </c>
      <c r="G974" t="s">
        <v>6211</v>
      </c>
      <c r="H974" t="s">
        <v>6212</v>
      </c>
      <c r="I974">
        <v>1</v>
      </c>
    </row>
    <row r="975" spans="1:9" x14ac:dyDescent="0.25">
      <c r="A975" t="s">
        <v>204</v>
      </c>
      <c r="B975">
        <f>VLOOKUP(A975,art_category_path_name!A:B,2,FALSE)</f>
        <v>890</v>
      </c>
      <c r="C975" t="s">
        <v>9622</v>
      </c>
      <c r="D975" t="s">
        <v>6214</v>
      </c>
      <c r="F975" t="s">
        <v>1834</v>
      </c>
      <c r="G975" t="s">
        <v>6215</v>
      </c>
      <c r="H975" t="s">
        <v>6216</v>
      </c>
      <c r="I975">
        <v>1</v>
      </c>
    </row>
    <row r="976" spans="1:9" x14ac:dyDescent="0.25">
      <c r="A976" t="s">
        <v>205</v>
      </c>
      <c r="B976">
        <f>VLOOKUP(A976,art_category_path_name!A:B,2,FALSE)</f>
        <v>891</v>
      </c>
      <c r="C976" t="s">
        <v>9623</v>
      </c>
      <c r="D976" t="s">
        <v>6218</v>
      </c>
      <c r="E976" t="s">
        <v>6219</v>
      </c>
      <c r="F976" t="s">
        <v>6220</v>
      </c>
      <c r="G976" t="s">
        <v>6221</v>
      </c>
      <c r="H976" t="s">
        <v>6222</v>
      </c>
      <c r="I976">
        <v>11</v>
      </c>
    </row>
    <row r="977" spans="1:9" x14ac:dyDescent="0.25">
      <c r="A977" t="s">
        <v>206</v>
      </c>
      <c r="B977">
        <f>VLOOKUP(A977,art_category_path_name!A:B,2,FALSE)</f>
        <v>892</v>
      </c>
      <c r="C977" t="s">
        <v>9624</v>
      </c>
      <c r="D977" t="s">
        <v>6224</v>
      </c>
      <c r="F977" t="s">
        <v>1834</v>
      </c>
      <c r="G977" t="s">
        <v>6225</v>
      </c>
      <c r="H977" t="s">
        <v>6226</v>
      </c>
      <c r="I977">
        <v>3</v>
      </c>
    </row>
    <row r="978" spans="1:9" x14ac:dyDescent="0.25">
      <c r="A978" t="s">
        <v>101</v>
      </c>
      <c r="B978">
        <f>VLOOKUP(A978,art_category_path_name!A:B,2,FALSE)</f>
        <v>893</v>
      </c>
      <c r="C978" t="s">
        <v>9625</v>
      </c>
      <c r="D978" t="s">
        <v>6228</v>
      </c>
      <c r="E978" t="s">
        <v>6229</v>
      </c>
      <c r="F978" t="s">
        <v>6230</v>
      </c>
      <c r="G978" t="s">
        <v>6231</v>
      </c>
      <c r="H978" t="s">
        <v>6232</v>
      </c>
      <c r="I978">
        <v>13</v>
      </c>
    </row>
    <row r="979" spans="1:9" x14ac:dyDescent="0.25">
      <c r="A979" t="s">
        <v>207</v>
      </c>
      <c r="B979">
        <f>VLOOKUP(A979,art_category_path_name!A:B,2,FALSE)</f>
        <v>894</v>
      </c>
      <c r="C979" t="s">
        <v>9626</v>
      </c>
      <c r="D979" t="s">
        <v>6234</v>
      </c>
      <c r="E979" t="s">
        <v>6235</v>
      </c>
      <c r="F979" t="s">
        <v>6236</v>
      </c>
      <c r="G979" t="s">
        <v>6237</v>
      </c>
      <c r="H979" t="s">
        <v>6238</v>
      </c>
      <c r="I979">
        <v>1</v>
      </c>
    </row>
    <row r="980" spans="1:9" x14ac:dyDescent="0.25">
      <c r="A980" t="s">
        <v>209</v>
      </c>
      <c r="B980">
        <f>VLOOKUP(A980,art_category_path_name!A:B,2,FALSE)</f>
        <v>896</v>
      </c>
      <c r="C980" t="s">
        <v>9627</v>
      </c>
      <c r="D980" t="s">
        <v>6244</v>
      </c>
      <c r="F980" t="s">
        <v>1834</v>
      </c>
      <c r="G980" t="s">
        <v>6245</v>
      </c>
      <c r="H980" t="s">
        <v>6246</v>
      </c>
      <c r="I980">
        <v>1</v>
      </c>
    </row>
    <row r="981" spans="1:9" x14ac:dyDescent="0.25">
      <c r="A981" t="s">
        <v>435</v>
      </c>
      <c r="B981">
        <f>VLOOKUP(A981,art_category_path_name!A:B,2,FALSE)</f>
        <v>898</v>
      </c>
      <c r="C981" t="s">
        <v>9628</v>
      </c>
      <c r="D981" t="s">
        <v>6248</v>
      </c>
      <c r="E981" t="s">
        <v>6249</v>
      </c>
      <c r="F981" t="s">
        <v>6250</v>
      </c>
      <c r="G981" t="s">
        <v>6251</v>
      </c>
      <c r="H981" t="s">
        <v>6252</v>
      </c>
      <c r="I981">
        <v>6</v>
      </c>
    </row>
    <row r="982" spans="1:9" x14ac:dyDescent="0.25">
      <c r="A982" t="s">
        <v>436</v>
      </c>
      <c r="B982">
        <f>VLOOKUP(A982,art_category_path_name!A:B,2,FALSE)</f>
        <v>899</v>
      </c>
      <c r="C982" t="s">
        <v>9629</v>
      </c>
      <c r="D982" t="s">
        <v>6254</v>
      </c>
      <c r="F982" t="s">
        <v>1834</v>
      </c>
      <c r="G982" t="s">
        <v>6255</v>
      </c>
      <c r="H982" t="s">
        <v>6256</v>
      </c>
      <c r="I982">
        <v>16</v>
      </c>
    </row>
    <row r="983" spans="1:9" x14ac:dyDescent="0.25">
      <c r="A983" t="s">
        <v>931</v>
      </c>
      <c r="B983">
        <f>VLOOKUP(A983,art_category_path_name!A:B,2,FALSE)</f>
        <v>901</v>
      </c>
      <c r="C983" t="s">
        <v>9630</v>
      </c>
      <c r="D983" t="s">
        <v>6258</v>
      </c>
      <c r="E983" t="s">
        <v>6259</v>
      </c>
      <c r="F983" t="s">
        <v>6260</v>
      </c>
      <c r="G983" t="s">
        <v>6261</v>
      </c>
      <c r="H983" t="s">
        <v>6262</v>
      </c>
      <c r="I983">
        <v>6</v>
      </c>
    </row>
    <row r="984" spans="1:9" x14ac:dyDescent="0.25">
      <c r="A984" t="s">
        <v>932</v>
      </c>
      <c r="B984">
        <f>VLOOKUP(A984,art_category_path_name!A:B,2,FALSE)</f>
        <v>902</v>
      </c>
      <c r="C984" t="s">
        <v>9631</v>
      </c>
      <c r="D984" t="s">
        <v>6264</v>
      </c>
      <c r="E984" t="s">
        <v>6265</v>
      </c>
      <c r="F984" t="s">
        <v>6266</v>
      </c>
      <c r="G984" t="s">
        <v>6267</v>
      </c>
      <c r="H984" t="s">
        <v>6268</v>
      </c>
      <c r="I984">
        <v>11</v>
      </c>
    </row>
    <row r="985" spans="1:9" x14ac:dyDescent="0.25">
      <c r="A985" t="s">
        <v>933</v>
      </c>
      <c r="B985">
        <f>VLOOKUP(A985,art_category_path_name!A:B,2,FALSE)</f>
        <v>903</v>
      </c>
      <c r="C985" t="s">
        <v>9632</v>
      </c>
      <c r="D985" t="s">
        <v>6270</v>
      </c>
      <c r="E985" t="s">
        <v>6271</v>
      </c>
      <c r="F985" t="s">
        <v>6272</v>
      </c>
      <c r="G985" t="s">
        <v>6273</v>
      </c>
      <c r="H985" t="s">
        <v>6274</v>
      </c>
      <c r="I985">
        <v>13</v>
      </c>
    </row>
    <row r="986" spans="1:9" x14ac:dyDescent="0.25">
      <c r="A986" t="s">
        <v>934</v>
      </c>
      <c r="B986">
        <f>VLOOKUP(A986,art_category_path_name!A:B,2,FALSE)</f>
        <v>904</v>
      </c>
      <c r="C986" t="s">
        <v>9633</v>
      </c>
      <c r="D986" t="s">
        <v>6276</v>
      </c>
      <c r="E986" t="s">
        <v>6277</v>
      </c>
      <c r="F986" t="s">
        <v>6278</v>
      </c>
      <c r="G986" t="s">
        <v>6279</v>
      </c>
      <c r="H986" t="s">
        <v>6280</v>
      </c>
      <c r="I986">
        <v>11</v>
      </c>
    </row>
    <row r="987" spans="1:9" x14ac:dyDescent="0.25">
      <c r="A987" t="s">
        <v>521</v>
      </c>
      <c r="B987">
        <f>VLOOKUP(A987,art_category_path_name!A:B,2,FALSE)</f>
        <v>907</v>
      </c>
      <c r="C987" t="s">
        <v>9634</v>
      </c>
      <c r="D987" t="s">
        <v>6282</v>
      </c>
      <c r="F987" t="s">
        <v>1834</v>
      </c>
      <c r="G987" t="s">
        <v>6283</v>
      </c>
      <c r="H987" t="s">
        <v>6284</v>
      </c>
      <c r="I987">
        <v>1</v>
      </c>
    </row>
    <row r="988" spans="1:9" x14ac:dyDescent="0.25">
      <c r="A988" t="s">
        <v>522</v>
      </c>
      <c r="B988">
        <f>VLOOKUP(A988,art_category_path_name!A:B,2,FALSE)</f>
        <v>908</v>
      </c>
      <c r="C988" t="s">
        <v>9635</v>
      </c>
      <c r="D988" t="s">
        <v>6286</v>
      </c>
      <c r="F988" t="s">
        <v>1834</v>
      </c>
      <c r="G988" t="s">
        <v>6287</v>
      </c>
      <c r="H988" t="s">
        <v>6288</v>
      </c>
      <c r="I988">
        <v>4</v>
      </c>
    </row>
    <row r="989" spans="1:9" x14ac:dyDescent="0.25">
      <c r="A989" t="s">
        <v>523</v>
      </c>
      <c r="B989">
        <f>VLOOKUP(A989,art_category_path_name!A:B,2,FALSE)</f>
        <v>909</v>
      </c>
      <c r="C989" t="s">
        <v>9636</v>
      </c>
      <c r="D989" t="s">
        <v>6290</v>
      </c>
      <c r="E989" t="s">
        <v>6291</v>
      </c>
      <c r="F989" t="s">
        <v>6292</v>
      </c>
      <c r="G989" t="s">
        <v>6293</v>
      </c>
      <c r="H989" t="s">
        <v>6294</v>
      </c>
      <c r="I989">
        <v>1</v>
      </c>
    </row>
    <row r="990" spans="1:9" x14ac:dyDescent="0.25">
      <c r="A990" t="s">
        <v>524</v>
      </c>
      <c r="B990">
        <f>VLOOKUP(A990,art_category_path_name!A:B,2,FALSE)</f>
        <v>910</v>
      </c>
      <c r="C990" t="s">
        <v>9637</v>
      </c>
      <c r="D990" t="s">
        <v>6296</v>
      </c>
      <c r="F990" t="s">
        <v>1834</v>
      </c>
      <c r="G990" t="s">
        <v>6297</v>
      </c>
      <c r="H990" t="s">
        <v>6298</v>
      </c>
      <c r="I990">
        <v>1</v>
      </c>
    </row>
    <row r="991" spans="1:9" x14ac:dyDescent="0.25">
      <c r="A991" t="s">
        <v>525</v>
      </c>
      <c r="B991">
        <f>VLOOKUP(A991,art_category_path_name!A:B,2,FALSE)</f>
        <v>911</v>
      </c>
      <c r="C991" t="s">
        <v>9638</v>
      </c>
      <c r="D991" t="s">
        <v>6300</v>
      </c>
      <c r="F991" t="s">
        <v>1834</v>
      </c>
      <c r="G991" t="s">
        <v>6301</v>
      </c>
      <c r="H991" t="s">
        <v>6302</v>
      </c>
      <c r="I991">
        <v>5</v>
      </c>
    </row>
    <row r="992" spans="1:9" x14ac:dyDescent="0.25">
      <c r="A992" t="s">
        <v>526</v>
      </c>
      <c r="B992">
        <f>VLOOKUP(A992,art_category_path_name!A:B,2,FALSE)</f>
        <v>912</v>
      </c>
      <c r="C992" t="s">
        <v>9639</v>
      </c>
      <c r="D992" t="s">
        <v>6304</v>
      </c>
      <c r="F992" t="s">
        <v>1834</v>
      </c>
      <c r="G992" t="s">
        <v>6305</v>
      </c>
      <c r="H992" t="s">
        <v>6306</v>
      </c>
      <c r="I992">
        <v>3</v>
      </c>
    </row>
    <row r="993" spans="1:9" x14ac:dyDescent="0.25">
      <c r="A993" t="s">
        <v>527</v>
      </c>
      <c r="B993">
        <f>VLOOKUP(A993,art_category_path_name!A:B,2,FALSE)</f>
        <v>913</v>
      </c>
      <c r="C993" t="s">
        <v>9640</v>
      </c>
      <c r="D993" t="s">
        <v>6308</v>
      </c>
      <c r="F993" t="s">
        <v>1834</v>
      </c>
      <c r="G993" t="s">
        <v>6309</v>
      </c>
      <c r="H993" t="s">
        <v>6310</v>
      </c>
      <c r="I993">
        <v>3</v>
      </c>
    </row>
    <row r="994" spans="1:9" x14ac:dyDescent="0.25">
      <c r="A994" t="s">
        <v>528</v>
      </c>
      <c r="B994">
        <f>VLOOKUP(A994,art_category_path_name!A:B,2,FALSE)</f>
        <v>914</v>
      </c>
      <c r="C994" t="s">
        <v>9641</v>
      </c>
      <c r="D994" t="s">
        <v>6312</v>
      </c>
      <c r="F994" t="s">
        <v>1834</v>
      </c>
      <c r="G994" t="s">
        <v>6283</v>
      </c>
      <c r="H994" t="s">
        <v>6313</v>
      </c>
      <c r="I994">
        <v>1</v>
      </c>
    </row>
    <row r="995" spans="1:9" x14ac:dyDescent="0.25">
      <c r="A995" t="s">
        <v>529</v>
      </c>
      <c r="B995">
        <f>VLOOKUP(A995,art_category_path_name!A:B,2,FALSE)</f>
        <v>915</v>
      </c>
      <c r="C995" t="s">
        <v>9642</v>
      </c>
      <c r="D995" t="s">
        <v>6315</v>
      </c>
      <c r="F995" t="s">
        <v>1834</v>
      </c>
      <c r="G995" t="s">
        <v>6316</v>
      </c>
      <c r="H995" t="s">
        <v>6317</v>
      </c>
      <c r="I995">
        <v>3</v>
      </c>
    </row>
    <row r="996" spans="1:9" x14ac:dyDescent="0.25">
      <c r="A996" t="s">
        <v>530</v>
      </c>
      <c r="B996">
        <f>VLOOKUP(A996,art_category_path_name!A:B,2,FALSE)</f>
        <v>916</v>
      </c>
      <c r="C996" t="s">
        <v>9643</v>
      </c>
      <c r="D996" t="s">
        <v>6319</v>
      </c>
      <c r="F996" t="s">
        <v>1834</v>
      </c>
      <c r="G996" t="s">
        <v>6316</v>
      </c>
      <c r="H996" t="s">
        <v>6320</v>
      </c>
      <c r="I996">
        <v>1</v>
      </c>
    </row>
    <row r="997" spans="1:9" x14ac:dyDescent="0.25">
      <c r="A997" t="s">
        <v>1448</v>
      </c>
      <c r="B997">
        <f>VLOOKUP(A997,art_category_path_name!A:B,2,FALSE)</f>
        <v>918</v>
      </c>
      <c r="C997" t="s">
        <v>9644</v>
      </c>
      <c r="D997" t="s">
        <v>6322</v>
      </c>
      <c r="F997" t="s">
        <v>1834</v>
      </c>
      <c r="G997" t="s">
        <v>6323</v>
      </c>
      <c r="H997" t="s">
        <v>6324</v>
      </c>
      <c r="I997">
        <v>3</v>
      </c>
    </row>
    <row r="998" spans="1:9" x14ac:dyDescent="0.25">
      <c r="A998" t="s">
        <v>1449</v>
      </c>
      <c r="B998">
        <f>VLOOKUP(A998,art_category_path_name!A:B,2,FALSE)</f>
        <v>919</v>
      </c>
      <c r="C998" t="s">
        <v>9645</v>
      </c>
      <c r="D998" t="s">
        <v>6326</v>
      </c>
      <c r="F998" t="s">
        <v>1834</v>
      </c>
      <c r="G998" t="s">
        <v>6323</v>
      </c>
      <c r="H998" t="s">
        <v>6327</v>
      </c>
      <c r="I998">
        <v>2</v>
      </c>
    </row>
    <row r="999" spans="1:9" x14ac:dyDescent="0.25">
      <c r="A999" t="s">
        <v>1450</v>
      </c>
      <c r="B999">
        <f>VLOOKUP(A999,art_category_path_name!A:B,2,FALSE)</f>
        <v>920</v>
      </c>
      <c r="C999" t="s">
        <v>9646</v>
      </c>
      <c r="D999" t="s">
        <v>6329</v>
      </c>
      <c r="F999" t="s">
        <v>1834</v>
      </c>
      <c r="G999" t="s">
        <v>6330</v>
      </c>
      <c r="H999" t="s">
        <v>6331</v>
      </c>
      <c r="I999">
        <v>2</v>
      </c>
    </row>
    <row r="1000" spans="1:9" x14ac:dyDescent="0.25">
      <c r="A1000" t="s">
        <v>1451</v>
      </c>
      <c r="B1000">
        <f>VLOOKUP(A1000,art_category_path_name!A:B,2,FALSE)</f>
        <v>921</v>
      </c>
      <c r="C1000" t="s">
        <v>9647</v>
      </c>
      <c r="D1000" t="s">
        <v>6333</v>
      </c>
      <c r="F1000" t="s">
        <v>1834</v>
      </c>
      <c r="G1000" t="s">
        <v>4023</v>
      </c>
      <c r="H1000" t="s">
        <v>6334</v>
      </c>
      <c r="I1000">
        <v>2</v>
      </c>
    </row>
    <row r="1001" spans="1:9" x14ac:dyDescent="0.25">
      <c r="A1001" t="s">
        <v>1435</v>
      </c>
      <c r="B1001">
        <f>VLOOKUP(A1001,art_category_path_name!A:B,2,FALSE)</f>
        <v>923</v>
      </c>
      <c r="C1001" t="s">
        <v>9648</v>
      </c>
      <c r="D1001" t="s">
        <v>6336</v>
      </c>
      <c r="E1001" t="s">
        <v>6337</v>
      </c>
      <c r="F1001" t="s">
        <v>6338</v>
      </c>
      <c r="G1001" t="s">
        <v>6339</v>
      </c>
      <c r="H1001" t="s">
        <v>6340</v>
      </c>
      <c r="I1001">
        <v>2</v>
      </c>
    </row>
    <row r="1002" spans="1:9" x14ac:dyDescent="0.25">
      <c r="A1002" t="s">
        <v>1436</v>
      </c>
      <c r="B1002">
        <f>VLOOKUP(A1002,art_category_path_name!A:B,2,FALSE)</f>
        <v>924</v>
      </c>
      <c r="C1002" t="s">
        <v>1585</v>
      </c>
      <c r="D1002" t="s">
        <v>6341</v>
      </c>
      <c r="E1002" t="s">
        <v>6342</v>
      </c>
      <c r="F1002">
        <v>4</v>
      </c>
      <c r="G1002" t="s">
        <v>6343</v>
      </c>
      <c r="H1002" t="s">
        <v>6344</v>
      </c>
      <c r="I1002">
        <v>1</v>
      </c>
    </row>
    <row r="1003" spans="1:9" x14ac:dyDescent="0.25">
      <c r="A1003" t="s">
        <v>1437</v>
      </c>
      <c r="B1003">
        <f>VLOOKUP(A1003,art_category_path_name!A:B,2,FALSE)</f>
        <v>925</v>
      </c>
      <c r="C1003" t="s">
        <v>1585</v>
      </c>
      <c r="D1003" t="s">
        <v>6345</v>
      </c>
      <c r="E1003" t="s">
        <v>6346</v>
      </c>
      <c r="F1003">
        <v>4</v>
      </c>
      <c r="G1003" t="s">
        <v>6347</v>
      </c>
      <c r="H1003" t="s">
        <v>6348</v>
      </c>
      <c r="I1003">
        <v>1</v>
      </c>
    </row>
    <row r="1004" spans="1:9" x14ac:dyDescent="0.25">
      <c r="A1004" t="s">
        <v>1438</v>
      </c>
      <c r="B1004">
        <f>VLOOKUP(A1004,art_category_path_name!A:B,2,FALSE)</f>
        <v>926</v>
      </c>
      <c r="C1004" t="s">
        <v>1585</v>
      </c>
      <c r="D1004" t="s">
        <v>6349</v>
      </c>
      <c r="E1004" t="s">
        <v>6350</v>
      </c>
      <c r="F1004" t="s">
        <v>6351</v>
      </c>
      <c r="G1004" t="s">
        <v>6352</v>
      </c>
      <c r="H1004" t="s">
        <v>6353</v>
      </c>
      <c r="I1004">
        <v>2</v>
      </c>
    </row>
    <row r="1005" spans="1:9" x14ac:dyDescent="0.25">
      <c r="A1005" t="s">
        <v>619</v>
      </c>
      <c r="B1005">
        <f>VLOOKUP(A1005,art_category_path_name!A:B,2,FALSE)</f>
        <v>928</v>
      </c>
      <c r="C1005" t="s">
        <v>9649</v>
      </c>
      <c r="D1005" t="s">
        <v>6355</v>
      </c>
      <c r="F1005" t="s">
        <v>1834</v>
      </c>
      <c r="G1005" t="s">
        <v>6356</v>
      </c>
      <c r="H1005" t="s">
        <v>6357</v>
      </c>
      <c r="I1005">
        <v>1</v>
      </c>
    </row>
    <row r="1006" spans="1:9" x14ac:dyDescent="0.25">
      <c r="A1006" t="s">
        <v>620</v>
      </c>
      <c r="B1006">
        <f>VLOOKUP(A1006,art_category_path_name!A:B,2,FALSE)</f>
        <v>929</v>
      </c>
      <c r="C1006" t="s">
        <v>9650</v>
      </c>
      <c r="D1006" t="s">
        <v>6359</v>
      </c>
      <c r="F1006" t="s">
        <v>1834</v>
      </c>
      <c r="H1006" t="s">
        <v>6360</v>
      </c>
      <c r="I1006">
        <v>1</v>
      </c>
    </row>
    <row r="1007" spans="1:9" x14ac:dyDescent="0.25">
      <c r="A1007" t="s">
        <v>621</v>
      </c>
      <c r="B1007">
        <f>VLOOKUP(A1007,art_category_path_name!A:B,2,FALSE)</f>
        <v>930</v>
      </c>
      <c r="C1007" t="s">
        <v>9650</v>
      </c>
      <c r="D1007" t="s">
        <v>6361</v>
      </c>
      <c r="F1007" t="s">
        <v>1834</v>
      </c>
      <c r="H1007" t="s">
        <v>6362</v>
      </c>
      <c r="I1007">
        <v>1</v>
      </c>
    </row>
    <row r="1008" spans="1:9" x14ac:dyDescent="0.25">
      <c r="A1008" t="s">
        <v>622</v>
      </c>
      <c r="B1008">
        <f>VLOOKUP(A1008,art_category_path_name!A:B,2,FALSE)</f>
        <v>931</v>
      </c>
      <c r="C1008" t="s">
        <v>9651</v>
      </c>
      <c r="D1008" t="s">
        <v>6364</v>
      </c>
      <c r="F1008" t="s">
        <v>1834</v>
      </c>
      <c r="G1008" t="s">
        <v>6365</v>
      </c>
      <c r="H1008" t="s">
        <v>6366</v>
      </c>
      <c r="I1008">
        <v>2</v>
      </c>
    </row>
    <row r="1009" spans="1:9" x14ac:dyDescent="0.25">
      <c r="A1009" t="s">
        <v>623</v>
      </c>
      <c r="B1009">
        <f>VLOOKUP(A1009,art_category_path_name!A:B,2,FALSE)</f>
        <v>932</v>
      </c>
      <c r="C1009" t="s">
        <v>9652</v>
      </c>
      <c r="D1009" t="s">
        <v>6368</v>
      </c>
      <c r="F1009" t="s">
        <v>1834</v>
      </c>
      <c r="G1009" t="s">
        <v>6369</v>
      </c>
      <c r="H1009" t="s">
        <v>6370</v>
      </c>
      <c r="I1009">
        <v>1</v>
      </c>
    </row>
    <row r="1010" spans="1:9" x14ac:dyDescent="0.25">
      <c r="A1010" t="s">
        <v>624</v>
      </c>
      <c r="B1010">
        <f>VLOOKUP(A1010,art_category_path_name!A:B,2,FALSE)</f>
        <v>933</v>
      </c>
      <c r="C1010" t="s">
        <v>9653</v>
      </c>
      <c r="D1010" t="s">
        <v>6372</v>
      </c>
      <c r="F1010" t="s">
        <v>1834</v>
      </c>
      <c r="G1010" t="s">
        <v>6373</v>
      </c>
      <c r="H1010" t="s">
        <v>6374</v>
      </c>
      <c r="I1010">
        <v>2</v>
      </c>
    </row>
    <row r="1011" spans="1:9" x14ac:dyDescent="0.25">
      <c r="A1011" t="s">
        <v>625</v>
      </c>
      <c r="B1011">
        <f>VLOOKUP(A1011,art_category_path_name!A:B,2,FALSE)</f>
        <v>934</v>
      </c>
      <c r="C1011" t="s">
        <v>9654</v>
      </c>
      <c r="D1011" t="s">
        <v>6376</v>
      </c>
      <c r="F1011" t="s">
        <v>1834</v>
      </c>
      <c r="G1011" t="s">
        <v>3888</v>
      </c>
      <c r="H1011" t="s">
        <v>6377</v>
      </c>
      <c r="I1011">
        <v>1</v>
      </c>
    </row>
    <row r="1012" spans="1:9" x14ac:dyDescent="0.25">
      <c r="A1012" t="s">
        <v>626</v>
      </c>
      <c r="B1012">
        <f>VLOOKUP(A1012,art_category_path_name!A:B,2,FALSE)</f>
        <v>935</v>
      </c>
      <c r="C1012" t="s">
        <v>9182</v>
      </c>
      <c r="D1012" t="s">
        <v>6378</v>
      </c>
      <c r="F1012" t="s">
        <v>1834</v>
      </c>
      <c r="G1012" t="s">
        <v>6379</v>
      </c>
      <c r="H1012" t="s">
        <v>6380</v>
      </c>
      <c r="I1012">
        <v>1</v>
      </c>
    </row>
    <row r="1013" spans="1:9" x14ac:dyDescent="0.25">
      <c r="A1013" t="s">
        <v>627</v>
      </c>
      <c r="B1013">
        <f>VLOOKUP(A1013,art_category_path_name!A:B,2,FALSE)</f>
        <v>936</v>
      </c>
      <c r="C1013" t="s">
        <v>9182</v>
      </c>
      <c r="D1013" t="s">
        <v>6381</v>
      </c>
      <c r="F1013" t="s">
        <v>1834</v>
      </c>
      <c r="G1013" t="s">
        <v>6382</v>
      </c>
      <c r="H1013" t="s">
        <v>6383</v>
      </c>
      <c r="I1013">
        <v>1</v>
      </c>
    </row>
    <row r="1014" spans="1:9" x14ac:dyDescent="0.25">
      <c r="A1014" t="s">
        <v>628</v>
      </c>
      <c r="B1014">
        <f>VLOOKUP(A1014,art_category_path_name!A:B,2,FALSE)</f>
        <v>937</v>
      </c>
      <c r="C1014" t="s">
        <v>9655</v>
      </c>
      <c r="D1014" t="s">
        <v>6385</v>
      </c>
      <c r="F1014" t="s">
        <v>1834</v>
      </c>
      <c r="H1014" t="s">
        <v>6386</v>
      </c>
      <c r="I1014">
        <v>1</v>
      </c>
    </row>
    <row r="1015" spans="1:9" x14ac:dyDescent="0.25">
      <c r="A1015" t="s">
        <v>629</v>
      </c>
      <c r="B1015">
        <f>VLOOKUP(A1015,art_category_path_name!A:B,2,FALSE)</f>
        <v>938</v>
      </c>
      <c r="C1015" t="s">
        <v>9656</v>
      </c>
      <c r="D1015" t="s">
        <v>6388</v>
      </c>
      <c r="F1015" t="s">
        <v>1834</v>
      </c>
      <c r="G1015" t="s">
        <v>6389</v>
      </c>
      <c r="H1015" t="s">
        <v>6390</v>
      </c>
      <c r="I1015">
        <v>6</v>
      </c>
    </row>
    <row r="1016" spans="1:9" x14ac:dyDescent="0.25">
      <c r="A1016" t="s">
        <v>630</v>
      </c>
      <c r="B1016">
        <f>VLOOKUP(A1016,art_category_path_name!A:B,2,FALSE)</f>
        <v>939</v>
      </c>
      <c r="C1016" t="s">
        <v>9657</v>
      </c>
      <c r="D1016" t="s">
        <v>6392</v>
      </c>
      <c r="F1016" t="s">
        <v>1834</v>
      </c>
      <c r="G1016" t="s">
        <v>4284</v>
      </c>
      <c r="H1016" t="s">
        <v>6393</v>
      </c>
      <c r="I1016">
        <v>1</v>
      </c>
    </row>
    <row r="1017" spans="1:9" x14ac:dyDescent="0.25">
      <c r="A1017" t="s">
        <v>631</v>
      </c>
      <c r="B1017">
        <f>VLOOKUP(A1017,art_category_path_name!A:B,2,FALSE)</f>
        <v>940</v>
      </c>
      <c r="C1017" t="s">
        <v>9658</v>
      </c>
      <c r="D1017" t="s">
        <v>6395</v>
      </c>
      <c r="F1017" t="s">
        <v>1834</v>
      </c>
      <c r="G1017" t="s">
        <v>6396</v>
      </c>
      <c r="H1017" t="s">
        <v>6397</v>
      </c>
      <c r="I1017">
        <v>1</v>
      </c>
    </row>
    <row r="1018" spans="1:9" x14ac:dyDescent="0.25">
      <c r="A1018" t="s">
        <v>632</v>
      </c>
      <c r="B1018">
        <f>VLOOKUP(A1018,art_category_path_name!A:B,2,FALSE)</f>
        <v>941</v>
      </c>
      <c r="C1018" t="s">
        <v>9659</v>
      </c>
      <c r="D1018" t="s">
        <v>6399</v>
      </c>
      <c r="F1018" t="s">
        <v>1834</v>
      </c>
      <c r="G1018" t="s">
        <v>6400</v>
      </c>
      <c r="H1018" t="s">
        <v>6401</v>
      </c>
      <c r="I1018">
        <v>1</v>
      </c>
    </row>
    <row r="1019" spans="1:9" x14ac:dyDescent="0.25">
      <c r="A1019" t="s">
        <v>633</v>
      </c>
      <c r="B1019">
        <f>VLOOKUP(A1019,art_category_path_name!A:B,2,FALSE)</f>
        <v>942</v>
      </c>
      <c r="C1019" t="s">
        <v>9660</v>
      </c>
      <c r="D1019" t="s">
        <v>6403</v>
      </c>
      <c r="F1019" t="s">
        <v>1834</v>
      </c>
      <c r="G1019" t="s">
        <v>6404</v>
      </c>
      <c r="H1019" t="s">
        <v>6405</v>
      </c>
      <c r="I1019">
        <v>1</v>
      </c>
    </row>
    <row r="1020" spans="1:9" x14ac:dyDescent="0.25">
      <c r="A1020" t="s">
        <v>634</v>
      </c>
      <c r="B1020">
        <f>VLOOKUP(A1020,art_category_path_name!A:B,2,FALSE)</f>
        <v>943</v>
      </c>
      <c r="C1020" t="s">
        <v>9225</v>
      </c>
      <c r="D1020" t="s">
        <v>6406</v>
      </c>
      <c r="F1020" t="s">
        <v>1834</v>
      </c>
      <c r="G1020" t="s">
        <v>3798</v>
      </c>
      <c r="H1020" t="s">
        <v>6407</v>
      </c>
      <c r="I1020">
        <v>1</v>
      </c>
    </row>
    <row r="1021" spans="1:9" x14ac:dyDescent="0.25">
      <c r="A1021" t="s">
        <v>635</v>
      </c>
      <c r="B1021">
        <f>VLOOKUP(A1021,art_category_path_name!A:B,2,FALSE)</f>
        <v>944</v>
      </c>
      <c r="C1021" t="s">
        <v>9661</v>
      </c>
      <c r="D1021" t="s">
        <v>6409</v>
      </c>
      <c r="F1021" t="s">
        <v>1834</v>
      </c>
      <c r="H1021" t="s">
        <v>6410</v>
      </c>
      <c r="I1021">
        <v>1</v>
      </c>
    </row>
    <row r="1022" spans="1:9" x14ac:dyDescent="0.25">
      <c r="A1022" t="s">
        <v>636</v>
      </c>
      <c r="B1022">
        <f>VLOOKUP(A1022,art_category_path_name!A:B,2,FALSE)</f>
        <v>945</v>
      </c>
      <c r="C1022" t="s">
        <v>9662</v>
      </c>
      <c r="D1022" t="s">
        <v>6412</v>
      </c>
      <c r="F1022" t="s">
        <v>1834</v>
      </c>
      <c r="G1022" t="s">
        <v>6413</v>
      </c>
      <c r="H1022" t="s">
        <v>6414</v>
      </c>
      <c r="I1022">
        <v>15</v>
      </c>
    </row>
    <row r="1023" spans="1:9" x14ac:dyDescent="0.25">
      <c r="A1023" t="s">
        <v>67</v>
      </c>
      <c r="B1023">
        <f>VLOOKUP(A1023,art_category_path_name!A:B,2,FALSE)</f>
        <v>947</v>
      </c>
      <c r="C1023" t="s">
        <v>9663</v>
      </c>
      <c r="D1023" t="s">
        <v>6416</v>
      </c>
      <c r="E1023" t="s">
        <v>6417</v>
      </c>
      <c r="F1023" t="s">
        <v>6418</v>
      </c>
      <c r="G1023" t="s">
        <v>6419</v>
      </c>
      <c r="H1023" t="s">
        <v>6420</v>
      </c>
      <c r="I1023">
        <v>1</v>
      </c>
    </row>
    <row r="1024" spans="1:9" x14ac:dyDescent="0.25">
      <c r="A1024" t="s">
        <v>68</v>
      </c>
      <c r="B1024">
        <f>VLOOKUP(A1024,art_category_path_name!A:B,2,FALSE)</f>
        <v>948</v>
      </c>
      <c r="C1024" t="s">
        <v>9664</v>
      </c>
      <c r="D1024" t="s">
        <v>6422</v>
      </c>
      <c r="F1024" t="s">
        <v>1834</v>
      </c>
      <c r="G1024" t="s">
        <v>6423</v>
      </c>
      <c r="H1024" t="s">
        <v>6424</v>
      </c>
      <c r="I1024">
        <v>1</v>
      </c>
    </row>
    <row r="1025" spans="1:9" x14ac:dyDescent="0.25">
      <c r="A1025" t="s">
        <v>1231</v>
      </c>
      <c r="B1025">
        <f>VLOOKUP(A1025,art_category_path_name!A:B,2,FALSE)</f>
        <v>950</v>
      </c>
      <c r="C1025" t="s">
        <v>9665</v>
      </c>
      <c r="D1025" t="s">
        <v>6426</v>
      </c>
      <c r="E1025" t="s">
        <v>6427</v>
      </c>
      <c r="F1025" t="s">
        <v>6428</v>
      </c>
      <c r="G1025" t="s">
        <v>6429</v>
      </c>
      <c r="H1025" t="s">
        <v>6430</v>
      </c>
      <c r="I1025">
        <v>12</v>
      </c>
    </row>
    <row r="1026" spans="1:9" x14ac:dyDescent="0.25">
      <c r="A1026" t="s">
        <v>1232</v>
      </c>
      <c r="B1026">
        <f>VLOOKUP(A1026,art_category_path_name!A:B,2,FALSE)</f>
        <v>951</v>
      </c>
      <c r="C1026" t="s">
        <v>9666</v>
      </c>
      <c r="D1026" t="s">
        <v>6432</v>
      </c>
      <c r="E1026" t="s">
        <v>6433</v>
      </c>
      <c r="F1026" t="s">
        <v>6434</v>
      </c>
      <c r="G1026" t="s">
        <v>6435</v>
      </c>
      <c r="H1026" t="s">
        <v>6436</v>
      </c>
      <c r="I1026">
        <v>3</v>
      </c>
    </row>
    <row r="1027" spans="1:9" x14ac:dyDescent="0.25">
      <c r="A1027" t="s">
        <v>1233</v>
      </c>
      <c r="B1027">
        <f>VLOOKUP(A1027,art_category_path_name!A:B,2,FALSE)</f>
        <v>952</v>
      </c>
      <c r="C1027" t="s">
        <v>9667</v>
      </c>
      <c r="D1027" t="s">
        <v>6438</v>
      </c>
      <c r="E1027" t="s">
        <v>6439</v>
      </c>
      <c r="F1027" t="s">
        <v>6440</v>
      </c>
      <c r="G1027" t="s">
        <v>6441</v>
      </c>
      <c r="H1027" t="s">
        <v>6442</v>
      </c>
      <c r="I1027">
        <v>3</v>
      </c>
    </row>
    <row r="1028" spans="1:9" x14ac:dyDescent="0.25">
      <c r="A1028" t="s">
        <v>1453</v>
      </c>
      <c r="B1028">
        <f>VLOOKUP(A1028,art_category_path_name!A:B,2,FALSE)</f>
        <v>954</v>
      </c>
      <c r="C1028" t="s">
        <v>9668</v>
      </c>
      <c r="D1028" t="s">
        <v>6444</v>
      </c>
      <c r="F1028" t="s">
        <v>1834</v>
      </c>
      <c r="G1028" t="s">
        <v>6445</v>
      </c>
      <c r="H1028" t="s">
        <v>6446</v>
      </c>
      <c r="I1028">
        <v>2</v>
      </c>
    </row>
    <row r="1029" spans="1:9" x14ac:dyDescent="0.25">
      <c r="A1029" t="s">
        <v>1454</v>
      </c>
      <c r="B1029">
        <f>VLOOKUP(A1029,art_category_path_name!A:B,2,FALSE)</f>
        <v>955</v>
      </c>
      <c r="C1029" t="s">
        <v>9669</v>
      </c>
      <c r="D1029" t="s">
        <v>6448</v>
      </c>
      <c r="F1029" t="s">
        <v>1834</v>
      </c>
      <c r="G1029" t="s">
        <v>6449</v>
      </c>
      <c r="H1029" t="s">
        <v>6450</v>
      </c>
      <c r="I1029">
        <v>12</v>
      </c>
    </row>
    <row r="1030" spans="1:9" x14ac:dyDescent="0.25">
      <c r="A1030" t="s">
        <v>1455</v>
      </c>
      <c r="B1030">
        <f>VLOOKUP(A1030,art_category_path_name!A:B,2,FALSE)</f>
        <v>956</v>
      </c>
      <c r="C1030" t="s">
        <v>9670</v>
      </c>
      <c r="D1030" t="s">
        <v>6452</v>
      </c>
      <c r="F1030" t="s">
        <v>1834</v>
      </c>
      <c r="G1030" t="s">
        <v>6453</v>
      </c>
      <c r="H1030" t="s">
        <v>6454</v>
      </c>
      <c r="I1030">
        <v>14</v>
      </c>
    </row>
    <row r="1031" spans="1:9" x14ac:dyDescent="0.25">
      <c r="A1031" t="s">
        <v>1456</v>
      </c>
      <c r="B1031">
        <f>VLOOKUP(A1031,art_category_path_name!A:B,2,FALSE)</f>
        <v>957</v>
      </c>
      <c r="C1031" t="s">
        <v>9671</v>
      </c>
      <c r="D1031" t="s">
        <v>6456</v>
      </c>
      <c r="F1031" t="s">
        <v>1834</v>
      </c>
      <c r="G1031" t="s">
        <v>6457</v>
      </c>
      <c r="H1031" t="s">
        <v>6458</v>
      </c>
      <c r="I1031">
        <v>3</v>
      </c>
    </row>
    <row r="1032" spans="1:9" x14ac:dyDescent="0.25">
      <c r="A1032" t="s">
        <v>1457</v>
      </c>
      <c r="B1032">
        <f>VLOOKUP(A1032,art_category_path_name!A:B,2,FALSE)</f>
        <v>958</v>
      </c>
      <c r="C1032" t="s">
        <v>9672</v>
      </c>
      <c r="D1032" t="s">
        <v>6460</v>
      </c>
      <c r="F1032" t="s">
        <v>1834</v>
      </c>
      <c r="G1032" t="s">
        <v>6461</v>
      </c>
      <c r="H1032" t="s">
        <v>6462</v>
      </c>
      <c r="I1032">
        <v>4</v>
      </c>
    </row>
    <row r="1033" spans="1:9" x14ac:dyDescent="0.25">
      <c r="A1033" t="s">
        <v>1071</v>
      </c>
      <c r="B1033">
        <f>VLOOKUP(A1033,art_category_path_name!A:B,2,FALSE)</f>
        <v>960</v>
      </c>
      <c r="C1033" t="s">
        <v>9673</v>
      </c>
      <c r="D1033" t="s">
        <v>6464</v>
      </c>
      <c r="E1033" t="s">
        <v>6465</v>
      </c>
      <c r="F1033" t="s">
        <v>6466</v>
      </c>
      <c r="G1033" t="s">
        <v>6467</v>
      </c>
      <c r="H1033" t="s">
        <v>6468</v>
      </c>
      <c r="I1033">
        <v>2</v>
      </c>
    </row>
    <row r="1034" spans="1:9" x14ac:dyDescent="0.25">
      <c r="A1034" t="s">
        <v>1072</v>
      </c>
      <c r="B1034">
        <f>VLOOKUP(A1034,art_category_path_name!A:B,2,FALSE)</f>
        <v>961</v>
      </c>
      <c r="C1034" t="s">
        <v>9674</v>
      </c>
      <c r="D1034" t="s">
        <v>6470</v>
      </c>
      <c r="F1034" t="s">
        <v>1834</v>
      </c>
      <c r="G1034" t="s">
        <v>6471</v>
      </c>
      <c r="H1034" t="s">
        <v>6472</v>
      </c>
      <c r="I1034">
        <v>3</v>
      </c>
    </row>
    <row r="1035" spans="1:9" x14ac:dyDescent="0.25">
      <c r="A1035" t="s">
        <v>1073</v>
      </c>
      <c r="B1035">
        <f>VLOOKUP(A1035,art_category_path_name!A:B,2,FALSE)</f>
        <v>962</v>
      </c>
      <c r="C1035" t="s">
        <v>9675</v>
      </c>
      <c r="D1035" t="s">
        <v>6474</v>
      </c>
      <c r="F1035" t="s">
        <v>1834</v>
      </c>
      <c r="G1035" t="s">
        <v>6475</v>
      </c>
      <c r="H1035" t="s">
        <v>6476</v>
      </c>
      <c r="I1035">
        <v>2</v>
      </c>
    </row>
    <row r="1036" spans="1:9" x14ac:dyDescent="0.25">
      <c r="A1036" t="s">
        <v>1074</v>
      </c>
      <c r="B1036">
        <f>VLOOKUP(A1036,art_category_path_name!A:B,2,FALSE)</f>
        <v>963</v>
      </c>
      <c r="C1036" t="s">
        <v>9676</v>
      </c>
      <c r="D1036" t="s">
        <v>6478</v>
      </c>
      <c r="F1036" t="s">
        <v>1834</v>
      </c>
      <c r="G1036" t="s">
        <v>6479</v>
      </c>
      <c r="H1036" t="s">
        <v>6480</v>
      </c>
      <c r="I1036">
        <v>2</v>
      </c>
    </row>
    <row r="1037" spans="1:9" x14ac:dyDescent="0.25">
      <c r="A1037" t="s">
        <v>1075</v>
      </c>
      <c r="B1037">
        <f>VLOOKUP(A1037,art_category_path_name!A:B,2,FALSE)</f>
        <v>964</v>
      </c>
      <c r="C1037" t="s">
        <v>9677</v>
      </c>
      <c r="D1037" t="s">
        <v>6482</v>
      </c>
      <c r="F1037" t="s">
        <v>1834</v>
      </c>
      <c r="G1037" t="s">
        <v>6483</v>
      </c>
      <c r="H1037" t="s">
        <v>6484</v>
      </c>
      <c r="I1037">
        <v>1</v>
      </c>
    </row>
    <row r="1038" spans="1:9" x14ac:dyDescent="0.25">
      <c r="A1038" t="s">
        <v>1076</v>
      </c>
      <c r="B1038">
        <f>VLOOKUP(A1038,art_category_path_name!A:B,2,FALSE)</f>
        <v>965</v>
      </c>
      <c r="C1038" t="s">
        <v>9678</v>
      </c>
      <c r="D1038" t="s">
        <v>6486</v>
      </c>
      <c r="F1038" t="s">
        <v>1834</v>
      </c>
      <c r="G1038" t="s">
        <v>6487</v>
      </c>
      <c r="H1038" t="s">
        <v>6488</v>
      </c>
      <c r="I1038">
        <v>1</v>
      </c>
    </row>
    <row r="1039" spans="1:9" x14ac:dyDescent="0.25">
      <c r="A1039" t="s">
        <v>1077</v>
      </c>
      <c r="B1039">
        <f>VLOOKUP(A1039,art_category_path_name!A:B,2,FALSE)</f>
        <v>966</v>
      </c>
      <c r="C1039" t="s">
        <v>9679</v>
      </c>
      <c r="D1039" t="s">
        <v>6490</v>
      </c>
      <c r="F1039" t="s">
        <v>1834</v>
      </c>
      <c r="G1039" t="s">
        <v>6491</v>
      </c>
      <c r="H1039" t="s">
        <v>6492</v>
      </c>
      <c r="I1039">
        <v>1</v>
      </c>
    </row>
    <row r="1040" spans="1:9" x14ac:dyDescent="0.25">
      <c r="A1040" t="s">
        <v>1078</v>
      </c>
      <c r="B1040">
        <f>VLOOKUP(A1040,art_category_path_name!A:B,2,FALSE)</f>
        <v>967</v>
      </c>
      <c r="C1040" t="s">
        <v>9680</v>
      </c>
      <c r="D1040" t="s">
        <v>6494</v>
      </c>
      <c r="F1040" t="s">
        <v>1834</v>
      </c>
      <c r="G1040" t="s">
        <v>6495</v>
      </c>
      <c r="H1040" t="s">
        <v>6496</v>
      </c>
      <c r="I1040">
        <v>2</v>
      </c>
    </row>
    <row r="1041" spans="1:9" x14ac:dyDescent="0.25">
      <c r="A1041" t="s">
        <v>1079</v>
      </c>
      <c r="B1041">
        <f>VLOOKUP(A1041,art_category_path_name!A:B,2,FALSE)</f>
        <v>968</v>
      </c>
      <c r="C1041" t="s">
        <v>9681</v>
      </c>
      <c r="D1041" t="s">
        <v>6498</v>
      </c>
      <c r="F1041" t="s">
        <v>1834</v>
      </c>
      <c r="G1041" t="s">
        <v>6499</v>
      </c>
      <c r="H1041" t="s">
        <v>6500</v>
      </c>
      <c r="I1041">
        <v>2</v>
      </c>
    </row>
    <row r="1042" spans="1:9" x14ac:dyDescent="0.25">
      <c r="A1042" t="s">
        <v>1080</v>
      </c>
      <c r="B1042">
        <f>VLOOKUP(A1042,art_category_path_name!A:B,2,FALSE)</f>
        <v>969</v>
      </c>
      <c r="C1042" t="s">
        <v>9682</v>
      </c>
      <c r="D1042" t="s">
        <v>6502</v>
      </c>
      <c r="F1042" t="s">
        <v>1834</v>
      </c>
      <c r="G1042" t="s">
        <v>6503</v>
      </c>
      <c r="H1042" t="s">
        <v>6504</v>
      </c>
      <c r="I1042">
        <v>2</v>
      </c>
    </row>
    <row r="1043" spans="1:9" x14ac:dyDescent="0.25">
      <c r="A1043" t="s">
        <v>1081</v>
      </c>
      <c r="B1043">
        <f>VLOOKUP(A1043,art_category_path_name!A:B,2,FALSE)</f>
        <v>970</v>
      </c>
      <c r="C1043" t="s">
        <v>9683</v>
      </c>
      <c r="D1043" t="s">
        <v>6506</v>
      </c>
      <c r="F1043" t="s">
        <v>1834</v>
      </c>
      <c r="G1043" t="s">
        <v>6507</v>
      </c>
      <c r="H1043" t="s">
        <v>6508</v>
      </c>
      <c r="I1043">
        <v>2</v>
      </c>
    </row>
    <row r="1044" spans="1:9" x14ac:dyDescent="0.25">
      <c r="A1044" t="s">
        <v>1082</v>
      </c>
      <c r="B1044">
        <f>VLOOKUP(A1044,art_category_path_name!A:B,2,FALSE)</f>
        <v>971</v>
      </c>
      <c r="C1044" t="s">
        <v>9684</v>
      </c>
      <c r="D1044" t="s">
        <v>6510</v>
      </c>
      <c r="F1044" t="s">
        <v>1834</v>
      </c>
      <c r="G1044" t="s">
        <v>6511</v>
      </c>
      <c r="H1044" t="s">
        <v>6512</v>
      </c>
      <c r="I1044">
        <v>2</v>
      </c>
    </row>
    <row r="1045" spans="1:9" x14ac:dyDescent="0.25">
      <c r="A1045" t="s">
        <v>1083</v>
      </c>
      <c r="B1045">
        <f>VLOOKUP(A1045,art_category_path_name!A:B,2,FALSE)</f>
        <v>972</v>
      </c>
      <c r="C1045" t="s">
        <v>9685</v>
      </c>
      <c r="D1045" t="s">
        <v>6514</v>
      </c>
      <c r="F1045" t="s">
        <v>1834</v>
      </c>
      <c r="G1045" t="s">
        <v>6515</v>
      </c>
      <c r="H1045" t="s">
        <v>6516</v>
      </c>
      <c r="I1045">
        <v>2</v>
      </c>
    </row>
    <row r="1046" spans="1:9" x14ac:dyDescent="0.25">
      <c r="A1046" t="s">
        <v>936</v>
      </c>
      <c r="B1046">
        <f>VLOOKUP(A1046,art_category_path_name!A:B,2,FALSE)</f>
        <v>974</v>
      </c>
      <c r="C1046" t="s">
        <v>9686</v>
      </c>
      <c r="D1046" t="s">
        <v>6518</v>
      </c>
      <c r="E1046" t="s">
        <v>6519</v>
      </c>
      <c r="F1046" t="s">
        <v>6520</v>
      </c>
      <c r="G1046" t="s">
        <v>6521</v>
      </c>
      <c r="H1046" t="s">
        <v>6522</v>
      </c>
      <c r="I1046">
        <v>2</v>
      </c>
    </row>
    <row r="1047" spans="1:9" x14ac:dyDescent="0.25">
      <c r="A1047" t="s">
        <v>937</v>
      </c>
      <c r="B1047">
        <f>VLOOKUP(A1047,art_category_path_name!A:B,2,FALSE)</f>
        <v>975</v>
      </c>
      <c r="C1047" t="s">
        <v>9687</v>
      </c>
      <c r="D1047" t="s">
        <v>6524</v>
      </c>
      <c r="E1047" t="s">
        <v>6525</v>
      </c>
      <c r="F1047" t="s">
        <v>6526</v>
      </c>
      <c r="G1047" t="s">
        <v>6527</v>
      </c>
      <c r="H1047" t="s">
        <v>6528</v>
      </c>
      <c r="I1047">
        <v>65</v>
      </c>
    </row>
    <row r="1048" spans="1:9" x14ac:dyDescent="0.25">
      <c r="A1048" t="s">
        <v>938</v>
      </c>
      <c r="B1048">
        <f>VLOOKUP(A1048,art_category_path_name!A:B,2,FALSE)</f>
        <v>976</v>
      </c>
      <c r="C1048" t="s">
        <v>9688</v>
      </c>
      <c r="D1048" t="s">
        <v>6530</v>
      </c>
      <c r="E1048" t="s">
        <v>6531</v>
      </c>
      <c r="F1048" t="s">
        <v>6532</v>
      </c>
      <c r="G1048" t="s">
        <v>6533</v>
      </c>
      <c r="H1048" t="s">
        <v>6534</v>
      </c>
      <c r="I1048">
        <v>5</v>
      </c>
    </row>
    <row r="1049" spans="1:9" x14ac:dyDescent="0.25">
      <c r="A1049" t="s">
        <v>939</v>
      </c>
      <c r="B1049">
        <f>VLOOKUP(A1049,art_category_path_name!A:B,2,FALSE)</f>
        <v>977</v>
      </c>
      <c r="C1049" t="s">
        <v>9689</v>
      </c>
      <c r="D1049" t="s">
        <v>6536</v>
      </c>
      <c r="E1049" t="s">
        <v>6537</v>
      </c>
      <c r="F1049" t="s">
        <v>6538</v>
      </c>
      <c r="G1049" t="s">
        <v>6539</v>
      </c>
      <c r="H1049" t="s">
        <v>6540</v>
      </c>
      <c r="I1049">
        <v>12</v>
      </c>
    </row>
    <row r="1050" spans="1:9" x14ac:dyDescent="0.25">
      <c r="A1050" t="s">
        <v>940</v>
      </c>
      <c r="B1050">
        <f>VLOOKUP(A1050,art_category_path_name!A:B,2,FALSE)</f>
        <v>978</v>
      </c>
      <c r="C1050" t="s">
        <v>9690</v>
      </c>
      <c r="D1050" t="s">
        <v>1665</v>
      </c>
      <c r="E1050" t="s">
        <v>6542</v>
      </c>
      <c r="F1050" t="s">
        <v>6543</v>
      </c>
      <c r="G1050" t="s">
        <v>6544</v>
      </c>
      <c r="H1050" t="s">
        <v>6545</v>
      </c>
      <c r="I1050">
        <v>3</v>
      </c>
    </row>
    <row r="1051" spans="1:9" x14ac:dyDescent="0.25">
      <c r="A1051" t="s">
        <v>941</v>
      </c>
      <c r="B1051">
        <f>VLOOKUP(A1051,art_category_path_name!A:B,2,FALSE)</f>
        <v>979</v>
      </c>
      <c r="C1051" t="s">
        <v>9691</v>
      </c>
      <c r="D1051" t="s">
        <v>6547</v>
      </c>
      <c r="E1051" t="s">
        <v>6548</v>
      </c>
      <c r="F1051" t="s">
        <v>6549</v>
      </c>
      <c r="G1051" t="s">
        <v>6550</v>
      </c>
      <c r="H1051" t="s">
        <v>6551</v>
      </c>
      <c r="I1051">
        <v>14</v>
      </c>
    </row>
    <row r="1052" spans="1:9" x14ac:dyDescent="0.25">
      <c r="A1052" t="s">
        <v>942</v>
      </c>
      <c r="B1052">
        <f>VLOOKUP(A1052,art_category_path_name!A:B,2,FALSE)</f>
        <v>980</v>
      </c>
      <c r="C1052" t="s">
        <v>9692</v>
      </c>
      <c r="D1052" t="s">
        <v>1665</v>
      </c>
      <c r="E1052" t="s">
        <v>6542</v>
      </c>
      <c r="F1052" t="s">
        <v>6543</v>
      </c>
      <c r="G1052" t="s">
        <v>6553</v>
      </c>
      <c r="H1052" t="s">
        <v>6554</v>
      </c>
      <c r="I1052">
        <v>3</v>
      </c>
    </row>
    <row r="1053" spans="1:9" x14ac:dyDescent="0.25">
      <c r="A1053" t="s">
        <v>1125</v>
      </c>
      <c r="B1053">
        <f>VLOOKUP(A1053,art_category_path_name!A:B,2,FALSE)</f>
        <v>982</v>
      </c>
      <c r="C1053" t="s">
        <v>9693</v>
      </c>
      <c r="D1053" t="s">
        <v>6556</v>
      </c>
      <c r="F1053" t="s">
        <v>1834</v>
      </c>
      <c r="G1053" t="s">
        <v>6557</v>
      </c>
      <c r="H1053" t="s">
        <v>6558</v>
      </c>
      <c r="I1053">
        <v>2</v>
      </c>
    </row>
    <row r="1054" spans="1:9" x14ac:dyDescent="0.25">
      <c r="A1054" t="s">
        <v>1126</v>
      </c>
      <c r="B1054">
        <f>VLOOKUP(A1054,art_category_path_name!A:B,2,FALSE)</f>
        <v>983</v>
      </c>
      <c r="C1054" t="s">
        <v>9694</v>
      </c>
      <c r="D1054" t="s">
        <v>6560</v>
      </c>
      <c r="F1054" t="s">
        <v>1834</v>
      </c>
      <c r="G1054" t="s">
        <v>6561</v>
      </c>
      <c r="H1054" t="s">
        <v>6562</v>
      </c>
      <c r="I1054">
        <v>2</v>
      </c>
    </row>
    <row r="1055" spans="1:9" x14ac:dyDescent="0.25">
      <c r="A1055" t="s">
        <v>1127</v>
      </c>
      <c r="B1055">
        <f>VLOOKUP(A1055,art_category_path_name!A:B,2,FALSE)</f>
        <v>984</v>
      </c>
      <c r="C1055" t="s">
        <v>9695</v>
      </c>
      <c r="D1055" t="s">
        <v>6564</v>
      </c>
      <c r="F1055" t="s">
        <v>1834</v>
      </c>
      <c r="G1055" t="s">
        <v>6565</v>
      </c>
      <c r="H1055" t="s">
        <v>6566</v>
      </c>
      <c r="I1055">
        <v>2</v>
      </c>
    </row>
    <row r="1056" spans="1:9" x14ac:dyDescent="0.25">
      <c r="A1056" t="s">
        <v>1128</v>
      </c>
      <c r="B1056">
        <f>VLOOKUP(A1056,art_category_path_name!A:B,2,FALSE)</f>
        <v>985</v>
      </c>
      <c r="C1056" t="s">
        <v>9696</v>
      </c>
      <c r="D1056" t="s">
        <v>6568</v>
      </c>
      <c r="F1056" t="s">
        <v>1834</v>
      </c>
      <c r="G1056" t="s">
        <v>6569</v>
      </c>
      <c r="H1056" t="s">
        <v>6570</v>
      </c>
      <c r="I1056">
        <v>2</v>
      </c>
    </row>
    <row r="1057" spans="1:9" x14ac:dyDescent="0.25">
      <c r="A1057" t="s">
        <v>1129</v>
      </c>
      <c r="B1057">
        <f>VLOOKUP(A1057,art_category_path_name!A:B,2,FALSE)</f>
        <v>986</v>
      </c>
      <c r="C1057" t="s">
        <v>9697</v>
      </c>
      <c r="D1057" t="s">
        <v>6572</v>
      </c>
      <c r="F1057" t="s">
        <v>1834</v>
      </c>
      <c r="G1057" t="s">
        <v>6573</v>
      </c>
      <c r="H1057" t="s">
        <v>6574</v>
      </c>
      <c r="I1057">
        <v>4</v>
      </c>
    </row>
    <row r="1058" spans="1:9" x14ac:dyDescent="0.25">
      <c r="A1058" t="s">
        <v>1130</v>
      </c>
      <c r="B1058">
        <f>VLOOKUP(A1058,art_category_path_name!A:B,2,FALSE)</f>
        <v>987</v>
      </c>
      <c r="C1058" t="s">
        <v>9698</v>
      </c>
      <c r="D1058" t="s">
        <v>6576</v>
      </c>
      <c r="F1058" t="s">
        <v>1834</v>
      </c>
      <c r="G1058" t="s">
        <v>6577</v>
      </c>
      <c r="H1058" t="s">
        <v>6578</v>
      </c>
      <c r="I1058">
        <v>2</v>
      </c>
    </row>
    <row r="1059" spans="1:9" x14ac:dyDescent="0.25">
      <c r="A1059" t="s">
        <v>1131</v>
      </c>
      <c r="B1059">
        <f>VLOOKUP(A1059,art_category_path_name!A:B,2,FALSE)</f>
        <v>988</v>
      </c>
      <c r="C1059" t="s">
        <v>9699</v>
      </c>
      <c r="D1059" t="s">
        <v>6580</v>
      </c>
      <c r="F1059" t="s">
        <v>1834</v>
      </c>
      <c r="G1059" t="s">
        <v>6581</v>
      </c>
      <c r="H1059" t="s">
        <v>6582</v>
      </c>
      <c r="I1059">
        <v>2</v>
      </c>
    </row>
    <row r="1060" spans="1:9" x14ac:dyDescent="0.25">
      <c r="A1060" t="s">
        <v>1132</v>
      </c>
      <c r="B1060">
        <f>VLOOKUP(A1060,art_category_path_name!A:B,2,FALSE)</f>
        <v>989</v>
      </c>
      <c r="C1060" t="s">
        <v>9700</v>
      </c>
      <c r="D1060" t="s">
        <v>6584</v>
      </c>
      <c r="F1060" t="s">
        <v>1834</v>
      </c>
      <c r="G1060" t="s">
        <v>6585</v>
      </c>
      <c r="H1060" t="s">
        <v>6586</v>
      </c>
      <c r="I1060">
        <v>1</v>
      </c>
    </row>
    <row r="1061" spans="1:9" x14ac:dyDescent="0.25">
      <c r="A1061" t="s">
        <v>1133</v>
      </c>
      <c r="B1061">
        <f>VLOOKUP(A1061,art_category_path_name!A:B,2,FALSE)</f>
        <v>990</v>
      </c>
      <c r="C1061" t="s">
        <v>9701</v>
      </c>
      <c r="D1061" t="s">
        <v>6588</v>
      </c>
      <c r="F1061" t="s">
        <v>1834</v>
      </c>
      <c r="G1061" t="s">
        <v>6589</v>
      </c>
      <c r="H1061" t="s">
        <v>6590</v>
      </c>
      <c r="I1061">
        <v>2</v>
      </c>
    </row>
    <row r="1062" spans="1:9" x14ac:dyDescent="0.25">
      <c r="A1062" t="s">
        <v>1134</v>
      </c>
      <c r="B1062">
        <f>VLOOKUP(A1062,art_category_path_name!A:B,2,FALSE)</f>
        <v>991</v>
      </c>
      <c r="C1062" t="s">
        <v>9702</v>
      </c>
      <c r="D1062" t="s">
        <v>6592</v>
      </c>
      <c r="E1062" t="s">
        <v>6593</v>
      </c>
      <c r="F1062" t="s">
        <v>6594</v>
      </c>
      <c r="G1062" t="s">
        <v>6595</v>
      </c>
      <c r="H1062" t="s">
        <v>6596</v>
      </c>
      <c r="I1062">
        <v>2</v>
      </c>
    </row>
    <row r="1063" spans="1:9" x14ac:dyDescent="0.25">
      <c r="A1063" t="s">
        <v>1135</v>
      </c>
      <c r="B1063">
        <f>VLOOKUP(A1063,art_category_path_name!A:B,2,FALSE)</f>
        <v>992</v>
      </c>
      <c r="C1063" t="s">
        <v>9703</v>
      </c>
      <c r="D1063" t="s">
        <v>6598</v>
      </c>
      <c r="F1063" t="s">
        <v>1834</v>
      </c>
      <c r="G1063" t="s">
        <v>6599</v>
      </c>
      <c r="H1063" t="s">
        <v>6600</v>
      </c>
      <c r="I1063">
        <v>3</v>
      </c>
    </row>
    <row r="1064" spans="1:9" x14ac:dyDescent="0.25">
      <c r="A1064" t="s">
        <v>1136</v>
      </c>
      <c r="B1064">
        <f>VLOOKUP(A1064,art_category_path_name!A:B,2,FALSE)</f>
        <v>993</v>
      </c>
      <c r="C1064" t="s">
        <v>9704</v>
      </c>
      <c r="D1064" t="s">
        <v>6602</v>
      </c>
      <c r="E1064" t="s">
        <v>6603</v>
      </c>
      <c r="F1064" t="s">
        <v>6604</v>
      </c>
      <c r="G1064" t="s">
        <v>6605</v>
      </c>
      <c r="H1064" t="s">
        <v>6606</v>
      </c>
      <c r="I1064">
        <v>1</v>
      </c>
    </row>
    <row r="1065" spans="1:9" x14ac:dyDescent="0.25">
      <c r="A1065" t="s">
        <v>1137</v>
      </c>
      <c r="B1065">
        <f>VLOOKUP(A1065,art_category_path_name!A:B,2,FALSE)</f>
        <v>994</v>
      </c>
      <c r="C1065" t="s">
        <v>9705</v>
      </c>
      <c r="D1065" t="s">
        <v>6608</v>
      </c>
      <c r="F1065" t="s">
        <v>1834</v>
      </c>
      <c r="G1065" t="s">
        <v>6609</v>
      </c>
      <c r="H1065" t="s">
        <v>6610</v>
      </c>
      <c r="I1065">
        <v>2</v>
      </c>
    </row>
    <row r="1066" spans="1:9" x14ac:dyDescent="0.25">
      <c r="A1066" t="s">
        <v>1138</v>
      </c>
      <c r="B1066">
        <f>VLOOKUP(A1066,art_category_path_name!A:B,2,FALSE)</f>
        <v>995</v>
      </c>
      <c r="C1066" t="s">
        <v>9706</v>
      </c>
      <c r="D1066" t="s">
        <v>6612</v>
      </c>
      <c r="F1066" t="s">
        <v>1834</v>
      </c>
      <c r="G1066" t="s">
        <v>6613</v>
      </c>
      <c r="H1066" t="s">
        <v>6614</v>
      </c>
      <c r="I1066">
        <v>2</v>
      </c>
    </row>
    <row r="1067" spans="1:9" x14ac:dyDescent="0.25">
      <c r="A1067" t="s">
        <v>1139</v>
      </c>
      <c r="B1067">
        <f>VLOOKUP(A1067,art_category_path_name!A:B,2,FALSE)</f>
        <v>996</v>
      </c>
      <c r="C1067" t="s">
        <v>9707</v>
      </c>
      <c r="D1067" t="s">
        <v>6616</v>
      </c>
      <c r="F1067" t="s">
        <v>1834</v>
      </c>
      <c r="G1067" t="s">
        <v>6617</v>
      </c>
      <c r="H1067" t="s">
        <v>6618</v>
      </c>
      <c r="I1067">
        <v>6</v>
      </c>
    </row>
    <row r="1068" spans="1:9" x14ac:dyDescent="0.25">
      <c r="A1068" t="s">
        <v>1140</v>
      </c>
      <c r="B1068">
        <f>VLOOKUP(A1068,art_category_path_name!A:B,2,FALSE)</f>
        <v>997</v>
      </c>
      <c r="C1068" t="s">
        <v>9708</v>
      </c>
      <c r="D1068" t="s">
        <v>6620</v>
      </c>
      <c r="F1068" t="s">
        <v>1834</v>
      </c>
      <c r="G1068" t="s">
        <v>6621</v>
      </c>
      <c r="H1068" t="s">
        <v>6622</v>
      </c>
      <c r="I1068">
        <v>2</v>
      </c>
    </row>
    <row r="1069" spans="1:9" x14ac:dyDescent="0.25">
      <c r="A1069" t="s">
        <v>1141</v>
      </c>
      <c r="B1069">
        <f>VLOOKUP(A1069,art_category_path_name!A:B,2,FALSE)</f>
        <v>998</v>
      </c>
      <c r="C1069" t="s">
        <v>9709</v>
      </c>
      <c r="D1069" t="s">
        <v>3754</v>
      </c>
      <c r="E1069" t="s">
        <v>3755</v>
      </c>
      <c r="F1069" t="s">
        <v>3756</v>
      </c>
      <c r="G1069" t="s">
        <v>6624</v>
      </c>
      <c r="H1069" t="s">
        <v>6625</v>
      </c>
      <c r="I1069">
        <v>1</v>
      </c>
    </row>
    <row r="1070" spans="1:9" x14ac:dyDescent="0.25">
      <c r="A1070" t="s">
        <v>1142</v>
      </c>
      <c r="B1070">
        <f>VLOOKUP(A1070,art_category_path_name!A:B,2,FALSE)</f>
        <v>999</v>
      </c>
      <c r="C1070" t="s">
        <v>9710</v>
      </c>
      <c r="D1070" t="s">
        <v>6627</v>
      </c>
      <c r="F1070" t="s">
        <v>1834</v>
      </c>
      <c r="G1070" t="s">
        <v>6628</v>
      </c>
      <c r="H1070" t="s">
        <v>6629</v>
      </c>
      <c r="I1070">
        <v>2</v>
      </c>
    </row>
    <row r="1071" spans="1:9" x14ac:dyDescent="0.25">
      <c r="A1071" t="s">
        <v>2</v>
      </c>
      <c r="B1071">
        <f>VLOOKUP(A1071,art_category_path_name!A:B,2,FALSE)</f>
        <v>1001</v>
      </c>
      <c r="C1071" t="s">
        <v>9711</v>
      </c>
      <c r="D1071" t="s">
        <v>6631</v>
      </c>
      <c r="E1071" t="s">
        <v>6632</v>
      </c>
      <c r="F1071" t="s">
        <v>6633</v>
      </c>
      <c r="G1071" t="s">
        <v>6634</v>
      </c>
      <c r="H1071" t="s">
        <v>6635</v>
      </c>
      <c r="I1071">
        <v>2</v>
      </c>
    </row>
    <row r="1072" spans="1:9" x14ac:dyDescent="0.25">
      <c r="A1072" t="s">
        <v>3</v>
      </c>
      <c r="B1072">
        <f>VLOOKUP(A1072,art_category_path_name!A:B,2,FALSE)</f>
        <v>1002</v>
      </c>
      <c r="C1072" t="s">
        <v>9712</v>
      </c>
      <c r="D1072" t="s">
        <v>6637</v>
      </c>
      <c r="E1072" t="s">
        <v>6638</v>
      </c>
      <c r="F1072" t="s">
        <v>6639</v>
      </c>
      <c r="G1072" t="s">
        <v>6640</v>
      </c>
      <c r="H1072" t="s">
        <v>6641</v>
      </c>
      <c r="I1072">
        <v>5</v>
      </c>
    </row>
    <row r="1073" spans="1:9" x14ac:dyDescent="0.25">
      <c r="A1073" t="s">
        <v>4</v>
      </c>
      <c r="B1073">
        <f>VLOOKUP(A1073,art_category_path_name!A:B,2,FALSE)</f>
        <v>1003</v>
      </c>
      <c r="C1073" t="s">
        <v>9713</v>
      </c>
      <c r="D1073" t="s">
        <v>6643</v>
      </c>
      <c r="E1073" t="s">
        <v>6644</v>
      </c>
      <c r="F1073" t="s">
        <v>6645</v>
      </c>
      <c r="G1073" t="s">
        <v>6646</v>
      </c>
      <c r="H1073" t="s">
        <v>6647</v>
      </c>
      <c r="I1073">
        <v>1</v>
      </c>
    </row>
    <row r="1074" spans="1:9" x14ac:dyDescent="0.25">
      <c r="A1074" t="s">
        <v>5</v>
      </c>
      <c r="B1074">
        <f>VLOOKUP(A1074,art_category_path_name!A:B,2,FALSE)</f>
        <v>1004</v>
      </c>
      <c r="C1074" t="s">
        <v>9714</v>
      </c>
      <c r="D1074" t="s">
        <v>6649</v>
      </c>
      <c r="E1074" t="s">
        <v>6650</v>
      </c>
      <c r="F1074" t="s">
        <v>6651</v>
      </c>
      <c r="G1074" t="s">
        <v>6652</v>
      </c>
      <c r="H1074" t="s">
        <v>6653</v>
      </c>
      <c r="I1074">
        <v>3</v>
      </c>
    </row>
    <row r="1075" spans="1:9" x14ac:dyDescent="0.25">
      <c r="A1075" t="s">
        <v>6</v>
      </c>
      <c r="B1075">
        <f>VLOOKUP(A1075,art_category_path_name!A:B,2,FALSE)</f>
        <v>1005</v>
      </c>
      <c r="C1075" t="s">
        <v>9715</v>
      </c>
      <c r="D1075" t="s">
        <v>6655</v>
      </c>
      <c r="E1075" t="s">
        <v>6656</v>
      </c>
      <c r="F1075" t="s">
        <v>6657</v>
      </c>
      <c r="G1075" t="s">
        <v>6658</v>
      </c>
      <c r="H1075" t="s">
        <v>6659</v>
      </c>
      <c r="I1075">
        <v>6</v>
      </c>
    </row>
    <row r="1076" spans="1:9" x14ac:dyDescent="0.25">
      <c r="A1076" t="s">
        <v>7</v>
      </c>
      <c r="B1076">
        <f>VLOOKUP(A1076,art_category_path_name!A:B,2,FALSE)</f>
        <v>1006</v>
      </c>
      <c r="C1076" t="s">
        <v>9716</v>
      </c>
      <c r="D1076" t="s">
        <v>6661</v>
      </c>
      <c r="E1076" t="s">
        <v>6662</v>
      </c>
      <c r="F1076" t="s">
        <v>6663</v>
      </c>
      <c r="G1076" t="s">
        <v>6664</v>
      </c>
      <c r="H1076" t="s">
        <v>6665</v>
      </c>
      <c r="I1076">
        <v>2</v>
      </c>
    </row>
    <row r="1077" spans="1:9" x14ac:dyDescent="0.25">
      <c r="A1077" t="s">
        <v>8</v>
      </c>
      <c r="B1077">
        <f>VLOOKUP(A1077,art_category_path_name!A:B,2,FALSE)</f>
        <v>1007</v>
      </c>
      <c r="C1077" t="s">
        <v>9717</v>
      </c>
      <c r="D1077" t="s">
        <v>6667</v>
      </c>
      <c r="E1077" t="s">
        <v>6668</v>
      </c>
      <c r="F1077" t="s">
        <v>6667</v>
      </c>
      <c r="G1077" t="s">
        <v>6669</v>
      </c>
      <c r="H1077" t="s">
        <v>6670</v>
      </c>
      <c r="I1077">
        <v>48</v>
      </c>
    </row>
    <row r="1078" spans="1:9" x14ac:dyDescent="0.25">
      <c r="A1078" t="s">
        <v>773</v>
      </c>
      <c r="B1078">
        <f>VLOOKUP(A1078,art_category_path_name!A:B,2,FALSE)</f>
        <v>1009</v>
      </c>
      <c r="C1078" t="s">
        <v>9718</v>
      </c>
      <c r="D1078" t="s">
        <v>6672</v>
      </c>
      <c r="E1078" t="s">
        <v>6673</v>
      </c>
      <c r="F1078" t="s">
        <v>6674</v>
      </c>
      <c r="G1078" t="s">
        <v>6675</v>
      </c>
      <c r="H1078" t="s">
        <v>6676</v>
      </c>
      <c r="I1078">
        <v>129</v>
      </c>
    </row>
    <row r="1079" spans="1:9" x14ac:dyDescent="0.25">
      <c r="A1079" t="s">
        <v>775</v>
      </c>
      <c r="B1079">
        <f>VLOOKUP(A1079,art_category_path_name!A:B,2,FALSE)</f>
        <v>1011</v>
      </c>
      <c r="C1079" t="s">
        <v>9719</v>
      </c>
      <c r="D1079" t="s">
        <v>6683</v>
      </c>
      <c r="E1079" t="s">
        <v>6684</v>
      </c>
      <c r="F1079" t="s">
        <v>6685</v>
      </c>
      <c r="G1079" t="s">
        <v>6686</v>
      </c>
      <c r="H1079" t="s">
        <v>6687</v>
      </c>
      <c r="I1079">
        <v>72</v>
      </c>
    </row>
    <row r="1080" spans="1:9" x14ac:dyDescent="0.25">
      <c r="A1080" t="s">
        <v>737</v>
      </c>
      <c r="B1080">
        <f>VLOOKUP(A1080,art_category_path_name!A:B,2,FALSE)</f>
        <v>1013</v>
      </c>
      <c r="C1080" t="s">
        <v>9720</v>
      </c>
      <c r="D1080" t="s">
        <v>6689</v>
      </c>
      <c r="E1080" t="s">
        <v>6690</v>
      </c>
      <c r="F1080" t="s">
        <v>6691</v>
      </c>
      <c r="G1080" t="s">
        <v>6692</v>
      </c>
      <c r="H1080" t="s">
        <v>6693</v>
      </c>
      <c r="I1080">
        <v>18</v>
      </c>
    </row>
    <row r="1081" spans="1:9" x14ac:dyDescent="0.25">
      <c r="A1081" t="s">
        <v>738</v>
      </c>
      <c r="B1081">
        <f>VLOOKUP(A1081,art_category_path_name!A:B,2,FALSE)</f>
        <v>1014</v>
      </c>
      <c r="C1081" t="s">
        <v>9721</v>
      </c>
      <c r="D1081" t="s">
        <v>6695</v>
      </c>
      <c r="E1081" t="s">
        <v>6696</v>
      </c>
      <c r="F1081" t="s">
        <v>6697</v>
      </c>
      <c r="G1081" t="s">
        <v>6698</v>
      </c>
      <c r="H1081" t="s">
        <v>6699</v>
      </c>
      <c r="I1081">
        <v>14</v>
      </c>
    </row>
    <row r="1082" spans="1:9" x14ac:dyDescent="0.25">
      <c r="A1082" t="s">
        <v>739</v>
      </c>
      <c r="B1082">
        <f>VLOOKUP(A1082,art_category_path_name!A:B,2,FALSE)</f>
        <v>1015</v>
      </c>
      <c r="C1082" t="s">
        <v>9722</v>
      </c>
      <c r="D1082" t="s">
        <v>6689</v>
      </c>
      <c r="E1082" t="s">
        <v>6701</v>
      </c>
      <c r="F1082" t="s">
        <v>6691</v>
      </c>
      <c r="G1082" t="s">
        <v>6702</v>
      </c>
      <c r="H1082" t="s">
        <v>6703</v>
      </c>
      <c r="I1082">
        <v>59</v>
      </c>
    </row>
    <row r="1083" spans="1:9" x14ac:dyDescent="0.25">
      <c r="A1083" t="s">
        <v>740</v>
      </c>
      <c r="B1083">
        <f>VLOOKUP(A1083,art_category_path_name!A:B,2,FALSE)</f>
        <v>1016</v>
      </c>
      <c r="C1083" t="s">
        <v>9723</v>
      </c>
      <c r="D1083" t="s">
        <v>6705</v>
      </c>
      <c r="E1083" t="s">
        <v>6706</v>
      </c>
      <c r="F1083" t="s">
        <v>6707</v>
      </c>
      <c r="G1083" t="s">
        <v>6708</v>
      </c>
      <c r="H1083" t="s">
        <v>6709</v>
      </c>
      <c r="I1083">
        <v>2</v>
      </c>
    </row>
    <row r="1084" spans="1:9" x14ac:dyDescent="0.25">
      <c r="A1084" t="s">
        <v>741</v>
      </c>
      <c r="B1084">
        <f>VLOOKUP(A1084,art_category_path_name!A:B,2,FALSE)</f>
        <v>1017</v>
      </c>
      <c r="C1084" t="s">
        <v>9724</v>
      </c>
      <c r="D1084" t="s">
        <v>6711</v>
      </c>
      <c r="E1084" t="s">
        <v>6712</v>
      </c>
      <c r="F1084" t="s">
        <v>6713</v>
      </c>
      <c r="G1084" t="s">
        <v>6714</v>
      </c>
      <c r="H1084" t="s">
        <v>6715</v>
      </c>
      <c r="I1084">
        <v>24</v>
      </c>
    </row>
    <row r="1085" spans="1:9" x14ac:dyDescent="0.25">
      <c r="A1085" t="s">
        <v>743</v>
      </c>
      <c r="B1085">
        <f>VLOOKUP(A1085,art_category_path_name!A:B,2,FALSE)</f>
        <v>1019</v>
      </c>
      <c r="C1085" t="s">
        <v>9725</v>
      </c>
      <c r="D1085" t="s">
        <v>6717</v>
      </c>
      <c r="E1085" t="s">
        <v>6718</v>
      </c>
      <c r="F1085" t="s">
        <v>6719</v>
      </c>
      <c r="G1085" t="s">
        <v>6720</v>
      </c>
      <c r="H1085" t="s">
        <v>6721</v>
      </c>
      <c r="I1085">
        <v>12</v>
      </c>
    </row>
    <row r="1086" spans="1:9" x14ac:dyDescent="0.25">
      <c r="A1086" t="s">
        <v>746</v>
      </c>
      <c r="B1086">
        <f>VLOOKUP(A1086,art_category_path_name!A:B,2,FALSE)</f>
        <v>1022</v>
      </c>
      <c r="C1086" t="s">
        <v>9726</v>
      </c>
      <c r="D1086" t="s">
        <v>6735</v>
      </c>
      <c r="E1086" t="s">
        <v>6736</v>
      </c>
      <c r="F1086" t="s">
        <v>6737</v>
      </c>
      <c r="G1086" t="s">
        <v>6738</v>
      </c>
      <c r="H1086" t="s">
        <v>6739</v>
      </c>
      <c r="I1086">
        <v>9</v>
      </c>
    </row>
    <row r="1087" spans="1:9" x14ac:dyDescent="0.25">
      <c r="A1087" t="s">
        <v>747</v>
      </c>
      <c r="B1087">
        <f>VLOOKUP(A1087,art_category_path_name!A:B,2,FALSE)</f>
        <v>1023</v>
      </c>
      <c r="C1087" t="s">
        <v>9727</v>
      </c>
      <c r="D1087" t="s">
        <v>6741</v>
      </c>
      <c r="E1087" t="s">
        <v>6742</v>
      </c>
      <c r="F1087" t="s">
        <v>6743</v>
      </c>
      <c r="G1087" t="s">
        <v>6744</v>
      </c>
      <c r="H1087" t="s">
        <v>6745</v>
      </c>
      <c r="I1087">
        <v>25</v>
      </c>
    </row>
    <row r="1088" spans="1:9" x14ac:dyDescent="0.25">
      <c r="A1088" t="s">
        <v>88</v>
      </c>
      <c r="B1088">
        <f>VLOOKUP(A1088,art_category_path_name!A:B,2,FALSE)</f>
        <v>1024</v>
      </c>
      <c r="C1088" t="s">
        <v>9728</v>
      </c>
      <c r="D1088" t="s">
        <v>6747</v>
      </c>
      <c r="E1088" t="s">
        <v>6748</v>
      </c>
      <c r="F1088" t="s">
        <v>6749</v>
      </c>
      <c r="G1088" t="s">
        <v>6750</v>
      </c>
      <c r="H1088" t="s">
        <v>6751</v>
      </c>
      <c r="I1088">
        <v>12</v>
      </c>
    </row>
    <row r="1089" spans="1:9" x14ac:dyDescent="0.25">
      <c r="A1089" t="s">
        <v>748</v>
      </c>
      <c r="B1089">
        <f>VLOOKUP(A1089,art_category_path_name!A:B,2,FALSE)</f>
        <v>1025</v>
      </c>
      <c r="C1089" t="s">
        <v>9729</v>
      </c>
      <c r="D1089" t="s">
        <v>6753</v>
      </c>
      <c r="E1089" t="s">
        <v>6754</v>
      </c>
      <c r="F1089" t="s">
        <v>6755</v>
      </c>
      <c r="G1089" t="s">
        <v>6756</v>
      </c>
      <c r="H1089" t="s">
        <v>6757</v>
      </c>
      <c r="I1089">
        <v>10</v>
      </c>
    </row>
    <row r="1090" spans="1:9" x14ac:dyDescent="0.25">
      <c r="A1090" t="s">
        <v>749</v>
      </c>
      <c r="B1090">
        <f>VLOOKUP(A1090,art_category_path_name!A:B,2,FALSE)</f>
        <v>1026</v>
      </c>
      <c r="C1090" t="s">
        <v>9730</v>
      </c>
      <c r="D1090" t="s">
        <v>6759</v>
      </c>
      <c r="E1090" t="s">
        <v>6760</v>
      </c>
      <c r="F1090" t="s">
        <v>6761</v>
      </c>
      <c r="G1090" t="s">
        <v>6762</v>
      </c>
      <c r="H1090" t="s">
        <v>6763</v>
      </c>
      <c r="I1090">
        <v>12</v>
      </c>
    </row>
    <row r="1091" spans="1:9" x14ac:dyDescent="0.25">
      <c r="A1091" t="s">
        <v>1145</v>
      </c>
      <c r="B1091">
        <f>VLOOKUP(A1091,art_category_path_name!A:B,2,FALSE)</f>
        <v>1028</v>
      </c>
      <c r="C1091" t="s">
        <v>9731</v>
      </c>
      <c r="D1091" t="s">
        <v>6765</v>
      </c>
      <c r="E1091" t="s">
        <v>6766</v>
      </c>
      <c r="F1091" t="s">
        <v>6767</v>
      </c>
      <c r="G1091" t="s">
        <v>6768</v>
      </c>
      <c r="H1091" t="s">
        <v>6769</v>
      </c>
      <c r="I1091">
        <v>4</v>
      </c>
    </row>
    <row r="1092" spans="1:9" x14ac:dyDescent="0.25">
      <c r="A1092" t="s">
        <v>1146</v>
      </c>
      <c r="B1092">
        <f>VLOOKUP(A1092,art_category_path_name!A:B,2,FALSE)</f>
        <v>1029</v>
      </c>
      <c r="C1092" t="s">
        <v>9732</v>
      </c>
      <c r="D1092" t="s">
        <v>6771</v>
      </c>
      <c r="E1092" t="s">
        <v>6772</v>
      </c>
      <c r="F1092" t="s">
        <v>6773</v>
      </c>
      <c r="G1092" t="s">
        <v>6774</v>
      </c>
      <c r="H1092" t="s">
        <v>6775</v>
      </c>
      <c r="I1092">
        <v>13</v>
      </c>
    </row>
    <row r="1093" spans="1:9" x14ac:dyDescent="0.25">
      <c r="A1093" t="s">
        <v>1147</v>
      </c>
      <c r="B1093">
        <f>VLOOKUP(A1093,art_category_path_name!A:B,2,FALSE)</f>
        <v>1030</v>
      </c>
      <c r="C1093" t="s">
        <v>9733</v>
      </c>
      <c r="D1093" t="s">
        <v>6777</v>
      </c>
      <c r="E1093" t="s">
        <v>6778</v>
      </c>
      <c r="F1093" t="s">
        <v>6779</v>
      </c>
      <c r="G1093" t="s">
        <v>6780</v>
      </c>
      <c r="H1093" t="s">
        <v>6781</v>
      </c>
      <c r="I1093">
        <v>13</v>
      </c>
    </row>
    <row r="1094" spans="1:9" x14ac:dyDescent="0.25">
      <c r="A1094" t="s">
        <v>27</v>
      </c>
      <c r="B1094">
        <f>VLOOKUP(A1094,art_category_path_name!A:B,2,FALSE)</f>
        <v>1032</v>
      </c>
      <c r="C1094" t="s">
        <v>9734</v>
      </c>
      <c r="D1094" t="s">
        <v>6783</v>
      </c>
      <c r="F1094" t="s">
        <v>1834</v>
      </c>
      <c r="G1094" t="s">
        <v>6784</v>
      </c>
      <c r="H1094" t="s">
        <v>6785</v>
      </c>
      <c r="I1094">
        <v>2</v>
      </c>
    </row>
    <row r="1095" spans="1:9" x14ac:dyDescent="0.25">
      <c r="A1095" t="s">
        <v>28</v>
      </c>
      <c r="B1095">
        <f>VLOOKUP(A1095,art_category_path_name!A:B,2,FALSE)</f>
        <v>1033</v>
      </c>
      <c r="C1095" t="s">
        <v>9735</v>
      </c>
      <c r="D1095" t="s">
        <v>6787</v>
      </c>
      <c r="F1095" t="s">
        <v>1834</v>
      </c>
      <c r="G1095" t="s">
        <v>6788</v>
      </c>
      <c r="H1095" t="s">
        <v>6789</v>
      </c>
      <c r="I1095">
        <v>1</v>
      </c>
    </row>
    <row r="1096" spans="1:9" x14ac:dyDescent="0.25">
      <c r="A1096" t="s">
        <v>29</v>
      </c>
      <c r="B1096">
        <f>VLOOKUP(A1096,art_category_path_name!A:B,2,FALSE)</f>
        <v>1034</v>
      </c>
      <c r="C1096" t="s">
        <v>9736</v>
      </c>
      <c r="D1096" t="s">
        <v>6791</v>
      </c>
      <c r="F1096" t="s">
        <v>1834</v>
      </c>
      <c r="G1096" t="s">
        <v>6792</v>
      </c>
      <c r="H1096" t="s">
        <v>6793</v>
      </c>
      <c r="I1096">
        <v>1</v>
      </c>
    </row>
    <row r="1097" spans="1:9" x14ac:dyDescent="0.25">
      <c r="A1097" t="s">
        <v>30</v>
      </c>
      <c r="B1097">
        <f>VLOOKUP(A1097,art_category_path_name!A:B,2,FALSE)</f>
        <v>1035</v>
      </c>
      <c r="C1097" t="s">
        <v>9737</v>
      </c>
      <c r="D1097" t="s">
        <v>6795</v>
      </c>
      <c r="F1097" t="s">
        <v>1834</v>
      </c>
      <c r="G1097" t="s">
        <v>6796</v>
      </c>
      <c r="H1097" t="s">
        <v>6797</v>
      </c>
      <c r="I1097">
        <v>1</v>
      </c>
    </row>
    <row r="1098" spans="1:9" x14ac:dyDescent="0.25">
      <c r="A1098" t="s">
        <v>902</v>
      </c>
      <c r="B1098">
        <f>VLOOKUP(A1098,art_category_path_name!A:B,2,FALSE)</f>
        <v>1037</v>
      </c>
      <c r="C1098" t="s">
        <v>9738</v>
      </c>
      <c r="D1098" t="s">
        <v>6799</v>
      </c>
      <c r="E1098" t="s">
        <v>6800</v>
      </c>
      <c r="F1098" t="s">
        <v>6801</v>
      </c>
      <c r="G1098" t="s">
        <v>6802</v>
      </c>
      <c r="H1098" t="s">
        <v>6803</v>
      </c>
      <c r="I1098">
        <v>90</v>
      </c>
    </row>
    <row r="1099" spans="1:9" x14ac:dyDescent="0.25">
      <c r="A1099" t="s">
        <v>903</v>
      </c>
      <c r="B1099">
        <f>VLOOKUP(A1099,art_category_path_name!A:B,2,FALSE)</f>
        <v>1038</v>
      </c>
      <c r="C1099" t="s">
        <v>9739</v>
      </c>
      <c r="D1099" t="s">
        <v>6805</v>
      </c>
      <c r="E1099" t="s">
        <v>6806</v>
      </c>
      <c r="F1099" t="s">
        <v>6807</v>
      </c>
      <c r="G1099" t="s">
        <v>6808</v>
      </c>
      <c r="H1099" t="s">
        <v>6809</v>
      </c>
      <c r="I1099">
        <v>8</v>
      </c>
    </row>
    <row r="1100" spans="1:9" x14ac:dyDescent="0.25">
      <c r="A1100" t="s">
        <v>680</v>
      </c>
      <c r="B1100">
        <f>VLOOKUP(A1100,art_category_path_name!A:B,2,FALSE)</f>
        <v>1040</v>
      </c>
      <c r="C1100" t="s">
        <v>9740</v>
      </c>
      <c r="D1100" t="s">
        <v>6811</v>
      </c>
      <c r="E1100" t="s">
        <v>6812</v>
      </c>
      <c r="F1100" t="s">
        <v>6813</v>
      </c>
      <c r="G1100" t="s">
        <v>6814</v>
      </c>
      <c r="H1100" t="s">
        <v>6815</v>
      </c>
      <c r="I1100">
        <v>6</v>
      </c>
    </row>
    <row r="1101" spans="1:9" x14ac:dyDescent="0.25">
      <c r="A1101" t="s">
        <v>681</v>
      </c>
      <c r="B1101">
        <f>VLOOKUP(A1101,art_category_path_name!A:B,2,FALSE)</f>
        <v>1041</v>
      </c>
      <c r="C1101" t="s">
        <v>9741</v>
      </c>
      <c r="D1101" t="s">
        <v>6817</v>
      </c>
      <c r="E1101" t="s">
        <v>6818</v>
      </c>
      <c r="F1101" t="s">
        <v>6819</v>
      </c>
      <c r="G1101" t="s">
        <v>6820</v>
      </c>
      <c r="H1101" t="s">
        <v>6821</v>
      </c>
      <c r="I1101">
        <v>5</v>
      </c>
    </row>
    <row r="1102" spans="1:9" x14ac:dyDescent="0.25">
      <c r="A1102" t="s">
        <v>682</v>
      </c>
      <c r="B1102">
        <f>VLOOKUP(A1102,art_category_path_name!A:B,2,FALSE)</f>
        <v>1042</v>
      </c>
      <c r="C1102" t="s">
        <v>9742</v>
      </c>
      <c r="D1102" t="s">
        <v>6823</v>
      </c>
      <c r="E1102" t="s">
        <v>6824</v>
      </c>
      <c r="F1102" t="s">
        <v>6825</v>
      </c>
      <c r="G1102" t="s">
        <v>6826</v>
      </c>
      <c r="H1102" t="s">
        <v>6827</v>
      </c>
      <c r="I1102">
        <v>4</v>
      </c>
    </row>
    <row r="1103" spans="1:9" x14ac:dyDescent="0.25">
      <c r="A1103" t="s">
        <v>683</v>
      </c>
      <c r="B1103">
        <f>VLOOKUP(A1103,art_category_path_name!A:B,2,FALSE)</f>
        <v>1043</v>
      </c>
      <c r="C1103" t="s">
        <v>9743</v>
      </c>
      <c r="D1103" t="s">
        <v>6829</v>
      </c>
      <c r="E1103" t="s">
        <v>6830</v>
      </c>
      <c r="F1103" t="s">
        <v>6831</v>
      </c>
      <c r="G1103" t="s">
        <v>6832</v>
      </c>
      <c r="H1103" t="s">
        <v>6833</v>
      </c>
      <c r="I1103">
        <v>5</v>
      </c>
    </row>
    <row r="1104" spans="1:9" x14ac:dyDescent="0.25">
      <c r="A1104" t="s">
        <v>684</v>
      </c>
      <c r="B1104">
        <f>VLOOKUP(A1104,art_category_path_name!A:B,2,FALSE)</f>
        <v>1044</v>
      </c>
      <c r="C1104" t="s">
        <v>9744</v>
      </c>
      <c r="D1104" t="s">
        <v>6835</v>
      </c>
      <c r="E1104" t="s">
        <v>6836</v>
      </c>
      <c r="F1104" t="s">
        <v>6837</v>
      </c>
      <c r="G1104" t="s">
        <v>6838</v>
      </c>
      <c r="H1104" t="s">
        <v>6839</v>
      </c>
      <c r="I1104">
        <v>26</v>
      </c>
    </row>
    <row r="1105" spans="1:9" x14ac:dyDescent="0.25">
      <c r="A1105" t="s">
        <v>685</v>
      </c>
      <c r="B1105">
        <f>VLOOKUP(A1105,art_category_path_name!A:B,2,FALSE)</f>
        <v>1045</v>
      </c>
      <c r="C1105" t="s">
        <v>9745</v>
      </c>
      <c r="D1105" t="s">
        <v>6841</v>
      </c>
      <c r="E1105" t="s">
        <v>6842</v>
      </c>
      <c r="F1105" t="s">
        <v>6843</v>
      </c>
      <c r="G1105" t="s">
        <v>6814</v>
      </c>
      <c r="H1105" t="s">
        <v>6844</v>
      </c>
      <c r="I1105">
        <v>3</v>
      </c>
    </row>
    <row r="1106" spans="1:9" x14ac:dyDescent="0.25">
      <c r="A1106" t="s">
        <v>945</v>
      </c>
      <c r="B1106">
        <f>VLOOKUP(A1106,art_category_path_name!A:B,2,FALSE)</f>
        <v>1047</v>
      </c>
      <c r="C1106" t="s">
        <v>9746</v>
      </c>
      <c r="D1106" t="s">
        <v>6846</v>
      </c>
      <c r="E1106" t="s">
        <v>6847</v>
      </c>
      <c r="F1106" t="s">
        <v>6848</v>
      </c>
      <c r="G1106" t="s">
        <v>6849</v>
      </c>
      <c r="H1106" t="s">
        <v>6850</v>
      </c>
      <c r="I1106">
        <v>12</v>
      </c>
    </row>
    <row r="1107" spans="1:9" x14ac:dyDescent="0.25">
      <c r="A1107" t="s">
        <v>89</v>
      </c>
      <c r="B1107">
        <f>VLOOKUP(A1107,art_category_path_name!A:B,2,FALSE)</f>
        <v>1048</v>
      </c>
      <c r="C1107" t="s">
        <v>9747</v>
      </c>
      <c r="D1107" t="s">
        <v>6852</v>
      </c>
      <c r="E1107" t="s">
        <v>6853</v>
      </c>
      <c r="F1107" t="s">
        <v>6854</v>
      </c>
      <c r="G1107" t="s">
        <v>6855</v>
      </c>
      <c r="H1107" t="s">
        <v>6856</v>
      </c>
      <c r="I1107">
        <v>2</v>
      </c>
    </row>
    <row r="1108" spans="1:9" x14ac:dyDescent="0.25">
      <c r="A1108" t="s">
        <v>968</v>
      </c>
      <c r="B1108">
        <f>VLOOKUP(A1108,art_category_path_name!A:B,2,FALSE)</f>
        <v>1050</v>
      </c>
      <c r="C1108" t="s">
        <v>9748</v>
      </c>
      <c r="D1108" t="s">
        <v>6858</v>
      </c>
      <c r="E1108" t="s">
        <v>6859</v>
      </c>
      <c r="F1108" t="s">
        <v>6860</v>
      </c>
      <c r="G1108" t="s">
        <v>6861</v>
      </c>
      <c r="H1108" t="s">
        <v>6862</v>
      </c>
      <c r="I1108">
        <v>11</v>
      </c>
    </row>
    <row r="1109" spans="1:9" x14ac:dyDescent="0.25">
      <c r="A1109" t="s">
        <v>514</v>
      </c>
      <c r="B1109">
        <f>VLOOKUP(A1109,art_category_path_name!A:B,2,FALSE)</f>
        <v>1052</v>
      </c>
      <c r="C1109" t="s">
        <v>9749</v>
      </c>
      <c r="D1109" t="s">
        <v>6864</v>
      </c>
      <c r="F1109" t="s">
        <v>1834</v>
      </c>
      <c r="G1109" t="s">
        <v>6865</v>
      </c>
      <c r="H1109" t="s">
        <v>6866</v>
      </c>
      <c r="I1109">
        <v>2</v>
      </c>
    </row>
    <row r="1110" spans="1:9" x14ac:dyDescent="0.25">
      <c r="A1110" t="s">
        <v>515</v>
      </c>
      <c r="B1110">
        <f>VLOOKUP(A1110,art_category_path_name!A:B,2,FALSE)</f>
        <v>1053</v>
      </c>
      <c r="C1110" t="s">
        <v>9750</v>
      </c>
      <c r="D1110" t="s">
        <v>6868</v>
      </c>
      <c r="F1110" t="s">
        <v>1834</v>
      </c>
      <c r="G1110" t="s">
        <v>6869</v>
      </c>
      <c r="H1110" t="s">
        <v>6870</v>
      </c>
      <c r="I1110">
        <v>11</v>
      </c>
    </row>
    <row r="1111" spans="1:9" x14ac:dyDescent="0.25">
      <c r="A1111" t="s">
        <v>516</v>
      </c>
      <c r="B1111">
        <f>VLOOKUP(A1111,art_category_path_name!A:B,2,FALSE)</f>
        <v>1054</v>
      </c>
      <c r="C1111" t="s">
        <v>9751</v>
      </c>
      <c r="D1111" t="s">
        <v>6872</v>
      </c>
      <c r="F1111" t="s">
        <v>1834</v>
      </c>
      <c r="G1111" t="s">
        <v>6873</v>
      </c>
      <c r="H1111" t="s">
        <v>6874</v>
      </c>
      <c r="I1111">
        <v>1</v>
      </c>
    </row>
    <row r="1112" spans="1:9" x14ac:dyDescent="0.25">
      <c r="A1112" t="s">
        <v>517</v>
      </c>
      <c r="B1112">
        <f>VLOOKUP(A1112,art_category_path_name!A:B,2,FALSE)</f>
        <v>1055</v>
      </c>
      <c r="C1112" t="s">
        <v>9752</v>
      </c>
      <c r="D1112" t="s">
        <v>6876</v>
      </c>
      <c r="F1112" t="s">
        <v>1834</v>
      </c>
      <c r="G1112" t="s">
        <v>6877</v>
      </c>
      <c r="H1112" t="s">
        <v>6878</v>
      </c>
      <c r="I1112">
        <v>4</v>
      </c>
    </row>
    <row r="1113" spans="1:9" x14ac:dyDescent="0.25">
      <c r="A1113" t="s">
        <v>518</v>
      </c>
      <c r="B1113">
        <f>VLOOKUP(A1113,art_category_path_name!A:B,2,FALSE)</f>
        <v>1056</v>
      </c>
      <c r="C1113" t="s">
        <v>9753</v>
      </c>
      <c r="D1113" t="s">
        <v>6880</v>
      </c>
      <c r="F1113" t="s">
        <v>1834</v>
      </c>
      <c r="G1113" t="s">
        <v>6881</v>
      </c>
      <c r="H1113" t="s">
        <v>6882</v>
      </c>
      <c r="I1113">
        <v>1</v>
      </c>
    </row>
    <row r="1114" spans="1:9" x14ac:dyDescent="0.25">
      <c r="A1114" t="s">
        <v>519</v>
      </c>
      <c r="B1114">
        <f>VLOOKUP(A1114,art_category_path_name!A:B,2,FALSE)</f>
        <v>1057</v>
      </c>
      <c r="C1114" t="s">
        <v>9754</v>
      </c>
      <c r="D1114" t="s">
        <v>6884</v>
      </c>
      <c r="F1114" t="s">
        <v>1834</v>
      </c>
      <c r="G1114" t="s">
        <v>6885</v>
      </c>
      <c r="H1114" t="s">
        <v>6886</v>
      </c>
      <c r="I1114">
        <v>1</v>
      </c>
    </row>
    <row r="1115" spans="1:9" x14ac:dyDescent="0.25">
      <c r="A1115" t="s">
        <v>104</v>
      </c>
      <c r="B1115">
        <f>VLOOKUP(A1115,art_category_path_name!A:B,2,FALSE)</f>
        <v>1059</v>
      </c>
      <c r="C1115" t="s">
        <v>9755</v>
      </c>
      <c r="D1115" t="s">
        <v>6888</v>
      </c>
      <c r="F1115" t="s">
        <v>1834</v>
      </c>
      <c r="G1115" t="s">
        <v>6889</v>
      </c>
      <c r="H1115" t="s">
        <v>6890</v>
      </c>
      <c r="I1115">
        <v>6</v>
      </c>
    </row>
    <row r="1116" spans="1:9" x14ac:dyDescent="0.25">
      <c r="A1116" t="s">
        <v>105</v>
      </c>
      <c r="B1116">
        <f>VLOOKUP(A1116,art_category_path_name!A:B,2,FALSE)</f>
        <v>1060</v>
      </c>
      <c r="C1116" t="s">
        <v>9756</v>
      </c>
      <c r="D1116" t="s">
        <v>6892</v>
      </c>
      <c r="F1116" t="s">
        <v>1834</v>
      </c>
      <c r="G1116" t="s">
        <v>6889</v>
      </c>
      <c r="H1116" t="s">
        <v>6893</v>
      </c>
      <c r="I1116">
        <v>12</v>
      </c>
    </row>
    <row r="1117" spans="1:9" x14ac:dyDescent="0.25">
      <c r="A1117" t="s">
        <v>106</v>
      </c>
      <c r="B1117">
        <f>VLOOKUP(A1117,art_category_path_name!A:B,2,FALSE)</f>
        <v>1061</v>
      </c>
      <c r="C1117" t="s">
        <v>9757</v>
      </c>
      <c r="D1117" t="s">
        <v>6895</v>
      </c>
      <c r="F1117" t="s">
        <v>1834</v>
      </c>
      <c r="G1117" t="s">
        <v>6896</v>
      </c>
      <c r="H1117" t="s">
        <v>6897</v>
      </c>
      <c r="I1117">
        <v>12</v>
      </c>
    </row>
    <row r="1118" spans="1:9" x14ac:dyDescent="0.25">
      <c r="A1118" t="s">
        <v>262</v>
      </c>
      <c r="B1118">
        <f>VLOOKUP(A1118,art_category_path_name!A:B,2,FALSE)</f>
        <v>1063</v>
      </c>
      <c r="C1118" t="s">
        <v>9758</v>
      </c>
      <c r="D1118" t="s">
        <v>6899</v>
      </c>
      <c r="F1118" t="s">
        <v>1834</v>
      </c>
      <c r="G1118" t="s">
        <v>6900</v>
      </c>
      <c r="H1118" t="s">
        <v>6901</v>
      </c>
      <c r="I1118">
        <v>5</v>
      </c>
    </row>
    <row r="1119" spans="1:9" x14ac:dyDescent="0.25">
      <c r="A1119" t="s">
        <v>263</v>
      </c>
      <c r="B1119">
        <f>VLOOKUP(A1119,art_category_path_name!A:B,2,FALSE)</f>
        <v>1064</v>
      </c>
      <c r="C1119" t="s">
        <v>9759</v>
      </c>
      <c r="D1119" t="s">
        <v>6903</v>
      </c>
      <c r="F1119" t="s">
        <v>1834</v>
      </c>
      <c r="G1119" t="s">
        <v>6904</v>
      </c>
      <c r="H1119" t="s">
        <v>6905</v>
      </c>
      <c r="I1119">
        <v>2</v>
      </c>
    </row>
    <row r="1120" spans="1:9" x14ac:dyDescent="0.25">
      <c r="A1120" t="s">
        <v>264</v>
      </c>
      <c r="B1120">
        <f>VLOOKUP(A1120,art_category_path_name!A:B,2,FALSE)</f>
        <v>1065</v>
      </c>
      <c r="C1120" t="s">
        <v>9760</v>
      </c>
      <c r="D1120" t="s">
        <v>6907</v>
      </c>
      <c r="F1120" t="s">
        <v>1834</v>
      </c>
      <c r="G1120" t="s">
        <v>6908</v>
      </c>
      <c r="H1120" t="s">
        <v>6909</v>
      </c>
      <c r="I1120">
        <v>7</v>
      </c>
    </row>
    <row r="1121" spans="1:9" x14ac:dyDescent="0.25">
      <c r="A1121" t="s">
        <v>265</v>
      </c>
      <c r="B1121">
        <f>VLOOKUP(A1121,art_category_path_name!A:B,2,FALSE)</f>
        <v>1066</v>
      </c>
      <c r="C1121" t="s">
        <v>9761</v>
      </c>
      <c r="D1121" t="s">
        <v>6911</v>
      </c>
      <c r="F1121" t="s">
        <v>1834</v>
      </c>
      <c r="G1121" t="s">
        <v>3987</v>
      </c>
      <c r="H1121" t="s">
        <v>6912</v>
      </c>
      <c r="I1121">
        <v>1</v>
      </c>
    </row>
    <row r="1122" spans="1:9" x14ac:dyDescent="0.25">
      <c r="A1122" t="s">
        <v>266</v>
      </c>
      <c r="B1122">
        <f>VLOOKUP(A1122,art_category_path_name!A:B,2,FALSE)</f>
        <v>1067</v>
      </c>
      <c r="C1122" t="s">
        <v>9762</v>
      </c>
      <c r="D1122" t="s">
        <v>6914</v>
      </c>
      <c r="F1122" t="s">
        <v>1834</v>
      </c>
      <c r="G1122" t="s">
        <v>4009</v>
      </c>
      <c r="H1122" t="s">
        <v>6915</v>
      </c>
      <c r="I1122">
        <v>7</v>
      </c>
    </row>
    <row r="1123" spans="1:9" x14ac:dyDescent="0.25">
      <c r="A1123" t="s">
        <v>267</v>
      </c>
      <c r="B1123">
        <f>VLOOKUP(A1123,art_category_path_name!A:B,2,FALSE)</f>
        <v>1068</v>
      </c>
      <c r="C1123" t="s">
        <v>9763</v>
      </c>
      <c r="D1123" t="s">
        <v>6917</v>
      </c>
      <c r="F1123" t="s">
        <v>1834</v>
      </c>
      <c r="G1123" t="s">
        <v>6918</v>
      </c>
      <c r="H1123" t="s">
        <v>6919</v>
      </c>
      <c r="I1123">
        <v>2</v>
      </c>
    </row>
    <row r="1124" spans="1:9" x14ac:dyDescent="0.25">
      <c r="A1124" t="s">
        <v>268</v>
      </c>
      <c r="B1124">
        <f>VLOOKUP(A1124,art_category_path_name!A:B,2,FALSE)</f>
        <v>1069</v>
      </c>
      <c r="C1124" t="s">
        <v>9764</v>
      </c>
      <c r="D1124" t="s">
        <v>6921</v>
      </c>
      <c r="F1124" t="s">
        <v>1834</v>
      </c>
      <c r="G1124" t="s">
        <v>6922</v>
      </c>
      <c r="H1124" t="s">
        <v>6923</v>
      </c>
      <c r="I1124">
        <v>2</v>
      </c>
    </row>
    <row r="1125" spans="1:9" x14ac:dyDescent="0.25">
      <c r="A1125" t="s">
        <v>269</v>
      </c>
      <c r="B1125">
        <f>VLOOKUP(A1125,art_category_path_name!A:B,2,FALSE)</f>
        <v>1070</v>
      </c>
      <c r="C1125" t="s">
        <v>9765</v>
      </c>
      <c r="D1125" t="s">
        <v>6925</v>
      </c>
      <c r="F1125" t="s">
        <v>1834</v>
      </c>
      <c r="G1125" t="s">
        <v>6926</v>
      </c>
      <c r="H1125" t="s">
        <v>6927</v>
      </c>
      <c r="I1125">
        <v>3</v>
      </c>
    </row>
    <row r="1126" spans="1:9" x14ac:dyDescent="0.25">
      <c r="A1126" t="s">
        <v>270</v>
      </c>
      <c r="B1126">
        <f>VLOOKUP(A1126,art_category_path_name!A:B,2,FALSE)</f>
        <v>1071</v>
      </c>
      <c r="C1126" t="s">
        <v>9766</v>
      </c>
      <c r="D1126" t="s">
        <v>6929</v>
      </c>
      <c r="F1126" t="s">
        <v>1834</v>
      </c>
      <c r="G1126" t="s">
        <v>6930</v>
      </c>
      <c r="H1126" t="s">
        <v>6931</v>
      </c>
      <c r="I1126">
        <v>7</v>
      </c>
    </row>
    <row r="1127" spans="1:9" x14ac:dyDescent="0.25">
      <c r="A1127" t="s">
        <v>271</v>
      </c>
      <c r="B1127">
        <f>VLOOKUP(A1127,art_category_path_name!A:B,2,FALSE)</f>
        <v>1072</v>
      </c>
      <c r="C1127" t="s">
        <v>9767</v>
      </c>
      <c r="D1127" t="s">
        <v>6933</v>
      </c>
      <c r="F1127" t="s">
        <v>1834</v>
      </c>
      <c r="G1127" t="s">
        <v>6934</v>
      </c>
      <c r="H1127" t="s">
        <v>6935</v>
      </c>
      <c r="I1127">
        <v>2</v>
      </c>
    </row>
    <row r="1128" spans="1:9" x14ac:dyDescent="0.25">
      <c r="A1128" t="s">
        <v>272</v>
      </c>
      <c r="B1128">
        <f>VLOOKUP(A1128,art_category_path_name!A:B,2,FALSE)</f>
        <v>1073</v>
      </c>
      <c r="C1128" t="s">
        <v>9768</v>
      </c>
      <c r="D1128" t="s">
        <v>6937</v>
      </c>
      <c r="F1128" t="s">
        <v>1834</v>
      </c>
      <c r="G1128" t="s">
        <v>6938</v>
      </c>
      <c r="H1128" t="s">
        <v>6939</v>
      </c>
      <c r="I1128">
        <v>1</v>
      </c>
    </row>
    <row r="1129" spans="1:9" x14ac:dyDescent="0.25">
      <c r="A1129" t="s">
        <v>273</v>
      </c>
      <c r="B1129">
        <f>VLOOKUP(A1129,art_category_path_name!A:B,2,FALSE)</f>
        <v>1074</v>
      </c>
      <c r="C1129" t="s">
        <v>9769</v>
      </c>
      <c r="D1129" t="s">
        <v>6941</v>
      </c>
      <c r="F1129" t="s">
        <v>1834</v>
      </c>
      <c r="G1129" t="s">
        <v>4009</v>
      </c>
      <c r="H1129" t="s">
        <v>6942</v>
      </c>
      <c r="I1129">
        <v>6</v>
      </c>
    </row>
    <row r="1130" spans="1:9" x14ac:dyDescent="0.25">
      <c r="A1130" t="s">
        <v>275</v>
      </c>
      <c r="B1130">
        <f>VLOOKUP(A1130,art_category_path_name!A:B,2,FALSE)</f>
        <v>1076</v>
      </c>
      <c r="C1130" t="s">
        <v>9770</v>
      </c>
      <c r="D1130" t="s">
        <v>6944</v>
      </c>
      <c r="F1130" t="s">
        <v>1834</v>
      </c>
      <c r="G1130" t="s">
        <v>6945</v>
      </c>
      <c r="H1130" t="s">
        <v>6946</v>
      </c>
      <c r="I1130">
        <v>6</v>
      </c>
    </row>
    <row r="1131" spans="1:9" x14ac:dyDescent="0.25">
      <c r="A1131" t="s">
        <v>276</v>
      </c>
      <c r="B1131">
        <f>VLOOKUP(A1131,art_category_path_name!A:B,2,FALSE)</f>
        <v>1077</v>
      </c>
      <c r="C1131" t="s">
        <v>9771</v>
      </c>
      <c r="D1131" t="s">
        <v>6948</v>
      </c>
      <c r="F1131" t="s">
        <v>1834</v>
      </c>
      <c r="G1131" t="s">
        <v>6949</v>
      </c>
      <c r="H1131" t="s">
        <v>6950</v>
      </c>
      <c r="I1131">
        <v>4</v>
      </c>
    </row>
    <row r="1132" spans="1:9" x14ac:dyDescent="0.25">
      <c r="A1132" t="s">
        <v>1149</v>
      </c>
      <c r="B1132">
        <f>VLOOKUP(A1132,art_category_path_name!A:B,2,FALSE)</f>
        <v>1079</v>
      </c>
      <c r="C1132" t="s">
        <v>9772</v>
      </c>
      <c r="D1132" t="s">
        <v>6952</v>
      </c>
      <c r="F1132" t="s">
        <v>1834</v>
      </c>
      <c r="G1132" t="s">
        <v>6953</v>
      </c>
      <c r="H1132" t="s">
        <v>6954</v>
      </c>
      <c r="I1132">
        <v>2</v>
      </c>
    </row>
    <row r="1133" spans="1:9" x14ac:dyDescent="0.25">
      <c r="A1133" t="s">
        <v>1150</v>
      </c>
      <c r="B1133">
        <f>VLOOKUP(A1133,art_category_path_name!A:B,2,FALSE)</f>
        <v>1080</v>
      </c>
      <c r="C1133" t="s">
        <v>9773</v>
      </c>
      <c r="D1133" t="s">
        <v>6956</v>
      </c>
      <c r="F1133" t="s">
        <v>1834</v>
      </c>
      <c r="G1133" t="s">
        <v>6957</v>
      </c>
      <c r="H1133" t="s">
        <v>6958</v>
      </c>
      <c r="I1133">
        <v>1</v>
      </c>
    </row>
    <row r="1134" spans="1:9" x14ac:dyDescent="0.25">
      <c r="A1134" t="s">
        <v>1151</v>
      </c>
      <c r="B1134">
        <f>VLOOKUP(A1134,art_category_path_name!A:B,2,FALSE)</f>
        <v>1081</v>
      </c>
      <c r="C1134" t="s">
        <v>9774</v>
      </c>
      <c r="D1134" t="s">
        <v>6960</v>
      </c>
      <c r="F1134" t="s">
        <v>1834</v>
      </c>
      <c r="G1134" t="s">
        <v>6961</v>
      </c>
      <c r="H1134" t="s">
        <v>6962</v>
      </c>
      <c r="I1134">
        <v>2</v>
      </c>
    </row>
    <row r="1135" spans="1:9" x14ac:dyDescent="0.25">
      <c r="A1135" t="s">
        <v>1152</v>
      </c>
      <c r="B1135">
        <f>VLOOKUP(A1135,art_category_path_name!A:B,2,FALSE)</f>
        <v>1082</v>
      </c>
      <c r="C1135" t="s">
        <v>9775</v>
      </c>
      <c r="D1135" t="s">
        <v>6964</v>
      </c>
      <c r="F1135" t="s">
        <v>1834</v>
      </c>
      <c r="G1135" t="s">
        <v>6965</v>
      </c>
      <c r="H1135" t="s">
        <v>6966</v>
      </c>
      <c r="I1135">
        <v>4</v>
      </c>
    </row>
    <row r="1136" spans="1:9" x14ac:dyDescent="0.25">
      <c r="A1136" t="s">
        <v>1153</v>
      </c>
      <c r="B1136">
        <f>VLOOKUP(A1136,art_category_path_name!A:B,2,FALSE)</f>
        <v>1083</v>
      </c>
      <c r="C1136" t="s">
        <v>9776</v>
      </c>
      <c r="D1136" t="s">
        <v>6968</v>
      </c>
      <c r="F1136" t="s">
        <v>1834</v>
      </c>
      <c r="G1136" t="s">
        <v>6969</v>
      </c>
      <c r="H1136" t="s">
        <v>6970</v>
      </c>
      <c r="I1136">
        <v>1</v>
      </c>
    </row>
    <row r="1137" spans="1:9" x14ac:dyDescent="0.25">
      <c r="A1137" t="s">
        <v>1154</v>
      </c>
      <c r="B1137">
        <f>VLOOKUP(A1137,art_category_path_name!A:B,2,FALSE)</f>
        <v>1084</v>
      </c>
      <c r="C1137" t="s">
        <v>9777</v>
      </c>
      <c r="D1137" t="s">
        <v>6972</v>
      </c>
      <c r="F1137" t="s">
        <v>1834</v>
      </c>
      <c r="G1137" t="s">
        <v>6973</v>
      </c>
      <c r="H1137" t="s">
        <v>6974</v>
      </c>
      <c r="I1137">
        <v>2</v>
      </c>
    </row>
    <row r="1138" spans="1:9" x14ac:dyDescent="0.25">
      <c r="A1138" t="s">
        <v>1155</v>
      </c>
      <c r="B1138">
        <f>VLOOKUP(A1138,art_category_path_name!A:B,2,FALSE)</f>
        <v>1085</v>
      </c>
      <c r="C1138" t="s">
        <v>9778</v>
      </c>
      <c r="D1138" t="s">
        <v>6976</v>
      </c>
      <c r="F1138" t="s">
        <v>1834</v>
      </c>
      <c r="G1138" t="s">
        <v>6977</v>
      </c>
      <c r="H1138" t="s">
        <v>6978</v>
      </c>
      <c r="I1138">
        <v>1</v>
      </c>
    </row>
    <row r="1139" spans="1:9" x14ac:dyDescent="0.25">
      <c r="A1139" t="s">
        <v>1156</v>
      </c>
      <c r="B1139">
        <f>VLOOKUP(A1139,art_category_path_name!A:B,2,FALSE)</f>
        <v>1086</v>
      </c>
      <c r="C1139" t="s">
        <v>9779</v>
      </c>
      <c r="D1139" t="s">
        <v>6980</v>
      </c>
      <c r="F1139" t="s">
        <v>1834</v>
      </c>
      <c r="G1139" t="s">
        <v>6981</v>
      </c>
      <c r="H1139" t="s">
        <v>6982</v>
      </c>
      <c r="I1139">
        <v>1</v>
      </c>
    </row>
    <row r="1140" spans="1:9" x14ac:dyDescent="0.25">
      <c r="A1140" t="s">
        <v>1157</v>
      </c>
      <c r="B1140">
        <f>VLOOKUP(A1140,art_category_path_name!A:B,2,FALSE)</f>
        <v>1087</v>
      </c>
      <c r="C1140" t="s">
        <v>9780</v>
      </c>
      <c r="D1140" t="s">
        <v>6984</v>
      </c>
      <c r="E1140" t="s">
        <v>6985</v>
      </c>
      <c r="F1140" t="s">
        <v>6986</v>
      </c>
      <c r="G1140" t="s">
        <v>6987</v>
      </c>
      <c r="H1140" t="s">
        <v>6988</v>
      </c>
      <c r="I1140">
        <v>1</v>
      </c>
    </row>
    <row r="1141" spans="1:9" x14ac:dyDescent="0.25">
      <c r="A1141" t="s">
        <v>1158</v>
      </c>
      <c r="B1141">
        <f>VLOOKUP(A1141,art_category_path_name!A:B,2,FALSE)</f>
        <v>1088</v>
      </c>
      <c r="C1141" t="s">
        <v>9781</v>
      </c>
      <c r="D1141" t="s">
        <v>6990</v>
      </c>
      <c r="E1141" t="s">
        <v>6991</v>
      </c>
      <c r="F1141" t="s">
        <v>6992</v>
      </c>
      <c r="G1141" t="s">
        <v>6993</v>
      </c>
      <c r="H1141" t="s">
        <v>6994</v>
      </c>
      <c r="I1141">
        <v>1</v>
      </c>
    </row>
    <row r="1142" spans="1:9" x14ac:dyDescent="0.25">
      <c r="A1142" t="s">
        <v>1159</v>
      </c>
      <c r="B1142">
        <f>VLOOKUP(A1142,art_category_path_name!A:B,2,FALSE)</f>
        <v>1089</v>
      </c>
      <c r="C1142" t="s">
        <v>9782</v>
      </c>
      <c r="D1142" t="s">
        <v>6996</v>
      </c>
      <c r="F1142" t="s">
        <v>1834</v>
      </c>
      <c r="G1142" t="s">
        <v>6997</v>
      </c>
      <c r="H1142" t="s">
        <v>6998</v>
      </c>
      <c r="I1142">
        <v>2</v>
      </c>
    </row>
    <row r="1143" spans="1:9" x14ac:dyDescent="0.25">
      <c r="A1143" t="s">
        <v>1160</v>
      </c>
      <c r="B1143">
        <f>VLOOKUP(A1143,art_category_path_name!A:B,2,FALSE)</f>
        <v>1090</v>
      </c>
      <c r="C1143" t="s">
        <v>9783</v>
      </c>
      <c r="D1143" t="s">
        <v>7000</v>
      </c>
      <c r="E1143" t="s">
        <v>7001</v>
      </c>
      <c r="F1143" t="s">
        <v>7002</v>
      </c>
      <c r="G1143" t="s">
        <v>7003</v>
      </c>
      <c r="H1143" t="s">
        <v>7004</v>
      </c>
      <c r="I1143">
        <v>2</v>
      </c>
    </row>
    <row r="1144" spans="1:9" x14ac:dyDescent="0.25">
      <c r="A1144" t="s">
        <v>1161</v>
      </c>
      <c r="B1144">
        <f>VLOOKUP(A1144,art_category_path_name!A:B,2,FALSE)</f>
        <v>1091</v>
      </c>
      <c r="C1144" t="s">
        <v>9784</v>
      </c>
      <c r="D1144" t="s">
        <v>7006</v>
      </c>
      <c r="F1144" t="s">
        <v>1834</v>
      </c>
      <c r="G1144" t="s">
        <v>7007</v>
      </c>
      <c r="H1144" t="s">
        <v>7008</v>
      </c>
      <c r="I1144">
        <v>1</v>
      </c>
    </row>
    <row r="1145" spans="1:9" x14ac:dyDescent="0.25">
      <c r="A1145" t="s">
        <v>1162</v>
      </c>
      <c r="B1145">
        <f>VLOOKUP(A1145,art_category_path_name!A:B,2,FALSE)</f>
        <v>1092</v>
      </c>
      <c r="C1145" t="s">
        <v>9785</v>
      </c>
      <c r="D1145" t="s">
        <v>7010</v>
      </c>
      <c r="F1145" t="s">
        <v>1834</v>
      </c>
      <c r="G1145" t="s">
        <v>7011</v>
      </c>
      <c r="H1145" t="s">
        <v>7012</v>
      </c>
      <c r="I1145">
        <v>1</v>
      </c>
    </row>
    <row r="1146" spans="1:9" x14ac:dyDescent="0.25">
      <c r="A1146" t="s">
        <v>1163</v>
      </c>
      <c r="B1146">
        <f>VLOOKUP(A1146,art_category_path_name!A:B,2,FALSE)</f>
        <v>1093</v>
      </c>
      <c r="C1146" t="s">
        <v>9786</v>
      </c>
      <c r="D1146" t="s">
        <v>7014</v>
      </c>
      <c r="E1146" t="s">
        <v>7015</v>
      </c>
      <c r="F1146" t="s">
        <v>7016</v>
      </c>
      <c r="G1146" t="s">
        <v>7017</v>
      </c>
      <c r="H1146" t="s">
        <v>7018</v>
      </c>
      <c r="I1146">
        <v>1</v>
      </c>
    </row>
    <row r="1147" spans="1:9" x14ac:dyDescent="0.25">
      <c r="A1147" t="s">
        <v>1164</v>
      </c>
      <c r="B1147">
        <f>VLOOKUP(A1147,art_category_path_name!A:B,2,FALSE)</f>
        <v>1094</v>
      </c>
      <c r="C1147" t="s">
        <v>9787</v>
      </c>
      <c r="D1147" t="s">
        <v>7020</v>
      </c>
      <c r="F1147" t="s">
        <v>1834</v>
      </c>
      <c r="G1147" t="s">
        <v>7021</v>
      </c>
      <c r="H1147" t="s">
        <v>7022</v>
      </c>
      <c r="I1147">
        <v>2</v>
      </c>
    </row>
    <row r="1148" spans="1:9" x14ac:dyDescent="0.25">
      <c r="A1148" t="s">
        <v>1165</v>
      </c>
      <c r="B1148">
        <f>VLOOKUP(A1148,art_category_path_name!A:B,2,FALSE)</f>
        <v>1095</v>
      </c>
      <c r="C1148" t="s">
        <v>9788</v>
      </c>
      <c r="D1148" t="s">
        <v>7024</v>
      </c>
      <c r="F1148" t="s">
        <v>1834</v>
      </c>
      <c r="G1148" t="s">
        <v>7025</v>
      </c>
      <c r="H1148" t="s">
        <v>7026</v>
      </c>
      <c r="I1148">
        <v>2</v>
      </c>
    </row>
    <row r="1149" spans="1:9" x14ac:dyDescent="0.25">
      <c r="A1149" t="s">
        <v>1166</v>
      </c>
      <c r="B1149">
        <f>VLOOKUP(A1149,art_category_path_name!A:B,2,FALSE)</f>
        <v>1096</v>
      </c>
      <c r="C1149" t="s">
        <v>9789</v>
      </c>
      <c r="D1149" t="s">
        <v>7028</v>
      </c>
      <c r="F1149" t="s">
        <v>1834</v>
      </c>
      <c r="G1149" t="s">
        <v>7029</v>
      </c>
      <c r="H1149" t="s">
        <v>7030</v>
      </c>
      <c r="I1149">
        <v>1</v>
      </c>
    </row>
    <row r="1150" spans="1:9" x14ac:dyDescent="0.25">
      <c r="A1150" t="s">
        <v>32</v>
      </c>
      <c r="B1150">
        <f>VLOOKUP(A1150,art_category_path_name!A:B,2,FALSE)</f>
        <v>1098</v>
      </c>
      <c r="C1150" t="s">
        <v>9790</v>
      </c>
      <c r="D1150" t="s">
        <v>7032</v>
      </c>
      <c r="E1150" t="s">
        <v>7033</v>
      </c>
      <c r="F1150" t="s">
        <v>7034</v>
      </c>
      <c r="G1150" t="s">
        <v>7035</v>
      </c>
      <c r="H1150" t="s">
        <v>7036</v>
      </c>
      <c r="I1150">
        <v>5</v>
      </c>
    </row>
    <row r="1151" spans="1:9" x14ac:dyDescent="0.25">
      <c r="A1151" t="s">
        <v>33</v>
      </c>
      <c r="B1151">
        <f>VLOOKUP(A1151,art_category_path_name!A:B,2,FALSE)</f>
        <v>1099</v>
      </c>
      <c r="C1151" t="s">
        <v>9791</v>
      </c>
      <c r="D1151" t="s">
        <v>7038</v>
      </c>
      <c r="E1151" t="s">
        <v>7039</v>
      </c>
      <c r="F1151" t="s">
        <v>7040</v>
      </c>
      <c r="G1151" t="s">
        <v>7041</v>
      </c>
      <c r="H1151" t="s">
        <v>7042</v>
      </c>
      <c r="I1151">
        <v>4</v>
      </c>
    </row>
    <row r="1152" spans="1:9" x14ac:dyDescent="0.25">
      <c r="A1152" t="s">
        <v>34</v>
      </c>
      <c r="B1152">
        <f>VLOOKUP(A1152,art_category_path_name!A:B,2,FALSE)</f>
        <v>1100</v>
      </c>
      <c r="C1152" t="s">
        <v>9792</v>
      </c>
      <c r="D1152" t="s">
        <v>7044</v>
      </c>
      <c r="E1152" t="s">
        <v>7033</v>
      </c>
      <c r="F1152" t="s">
        <v>7045</v>
      </c>
      <c r="G1152" t="s">
        <v>7046</v>
      </c>
      <c r="H1152" t="s">
        <v>7047</v>
      </c>
      <c r="I1152">
        <v>5</v>
      </c>
    </row>
    <row r="1153" spans="1:9" x14ac:dyDescent="0.25">
      <c r="A1153" t="s">
        <v>35</v>
      </c>
      <c r="B1153">
        <f>VLOOKUP(A1153,art_category_path_name!A:B,2,FALSE)</f>
        <v>1101</v>
      </c>
      <c r="C1153" t="s">
        <v>9793</v>
      </c>
      <c r="D1153" t="s">
        <v>7049</v>
      </c>
      <c r="E1153" t="s">
        <v>7050</v>
      </c>
      <c r="F1153">
        <v>2</v>
      </c>
      <c r="G1153" t="s">
        <v>7051</v>
      </c>
      <c r="H1153" t="s">
        <v>7052</v>
      </c>
      <c r="I1153">
        <v>7</v>
      </c>
    </row>
    <row r="1154" spans="1:9" x14ac:dyDescent="0.25">
      <c r="A1154" t="s">
        <v>1283</v>
      </c>
      <c r="B1154">
        <f>VLOOKUP(A1154,art_category_path_name!A:B,2,FALSE)</f>
        <v>1103</v>
      </c>
      <c r="C1154" t="s">
        <v>9794</v>
      </c>
      <c r="D1154" t="s">
        <v>7054</v>
      </c>
      <c r="E1154" t="s">
        <v>7055</v>
      </c>
      <c r="F1154" t="s">
        <v>7056</v>
      </c>
      <c r="G1154" t="s">
        <v>7057</v>
      </c>
      <c r="H1154" t="s">
        <v>7058</v>
      </c>
      <c r="I1154">
        <v>2</v>
      </c>
    </row>
    <row r="1155" spans="1:9" x14ac:dyDescent="0.25">
      <c r="A1155" t="s">
        <v>1284</v>
      </c>
      <c r="B1155">
        <f>VLOOKUP(A1155,art_category_path_name!A:B,2,FALSE)</f>
        <v>1104</v>
      </c>
      <c r="C1155" t="s">
        <v>9795</v>
      </c>
      <c r="D1155" t="s">
        <v>7060</v>
      </c>
      <c r="E1155" t="s">
        <v>7061</v>
      </c>
      <c r="F1155" t="s">
        <v>7062</v>
      </c>
      <c r="G1155" t="s">
        <v>7063</v>
      </c>
      <c r="H1155" t="s">
        <v>7064</v>
      </c>
      <c r="I1155">
        <v>10</v>
      </c>
    </row>
    <row r="1156" spans="1:9" x14ac:dyDescent="0.25">
      <c r="A1156" t="s">
        <v>1285</v>
      </c>
      <c r="B1156">
        <f>VLOOKUP(A1156,art_category_path_name!A:B,2,FALSE)</f>
        <v>1105</v>
      </c>
      <c r="C1156" t="s">
        <v>9796</v>
      </c>
      <c r="D1156" t="s">
        <v>7066</v>
      </c>
      <c r="E1156" t="s">
        <v>7067</v>
      </c>
      <c r="F1156" t="s">
        <v>7068</v>
      </c>
      <c r="G1156" t="s">
        <v>7069</v>
      </c>
      <c r="H1156" t="s">
        <v>7070</v>
      </c>
      <c r="I1156">
        <v>5</v>
      </c>
    </row>
    <row r="1157" spans="1:9" x14ac:dyDescent="0.25">
      <c r="A1157" t="s">
        <v>1286</v>
      </c>
      <c r="B1157">
        <f>VLOOKUP(A1157,art_category_path_name!A:B,2,FALSE)</f>
        <v>1106</v>
      </c>
      <c r="C1157" t="s">
        <v>9797</v>
      </c>
      <c r="D1157" t="s">
        <v>7072</v>
      </c>
      <c r="E1157" t="s">
        <v>7073</v>
      </c>
      <c r="F1157" t="s">
        <v>7074</v>
      </c>
      <c r="G1157" t="s">
        <v>7075</v>
      </c>
      <c r="H1157" t="s">
        <v>7076</v>
      </c>
      <c r="I1157">
        <v>2</v>
      </c>
    </row>
    <row r="1158" spans="1:9" x14ac:dyDescent="0.25">
      <c r="A1158" t="s">
        <v>1287</v>
      </c>
      <c r="B1158">
        <f>VLOOKUP(A1158,art_category_path_name!A:B,2,FALSE)</f>
        <v>1107</v>
      </c>
      <c r="C1158" t="s">
        <v>9798</v>
      </c>
      <c r="D1158" t="s">
        <v>7078</v>
      </c>
      <c r="E1158" t="s">
        <v>7079</v>
      </c>
      <c r="F1158">
        <v>38</v>
      </c>
      <c r="G1158" t="s">
        <v>7080</v>
      </c>
      <c r="H1158" t="s">
        <v>7081</v>
      </c>
      <c r="I1158">
        <v>4</v>
      </c>
    </row>
    <row r="1159" spans="1:9" x14ac:dyDescent="0.25">
      <c r="A1159" t="s">
        <v>1288</v>
      </c>
      <c r="B1159">
        <f>VLOOKUP(A1159,art_category_path_name!A:B,2,FALSE)</f>
        <v>1108</v>
      </c>
      <c r="C1159" t="s">
        <v>9799</v>
      </c>
      <c r="D1159" t="s">
        <v>7083</v>
      </c>
      <c r="E1159" t="s">
        <v>7084</v>
      </c>
      <c r="F1159" t="s">
        <v>7085</v>
      </c>
      <c r="G1159" t="s">
        <v>7086</v>
      </c>
      <c r="H1159" t="s">
        <v>7087</v>
      </c>
      <c r="I1159">
        <v>6</v>
      </c>
    </row>
    <row r="1160" spans="1:9" x14ac:dyDescent="0.25">
      <c r="A1160" t="s">
        <v>90</v>
      </c>
      <c r="B1160">
        <f>VLOOKUP(A1160,art_category_path_name!A:B,2,FALSE)</f>
        <v>1109</v>
      </c>
      <c r="C1160" t="s">
        <v>9800</v>
      </c>
      <c r="D1160" t="s">
        <v>7089</v>
      </c>
      <c r="F1160" t="s">
        <v>1834</v>
      </c>
      <c r="G1160" t="s">
        <v>7090</v>
      </c>
      <c r="H1160" t="s">
        <v>7091</v>
      </c>
      <c r="I1160">
        <v>1</v>
      </c>
    </row>
    <row r="1161" spans="1:9" x14ac:dyDescent="0.25">
      <c r="A1161" t="s">
        <v>91</v>
      </c>
      <c r="B1161">
        <f>VLOOKUP(A1161,art_category_path_name!A:B,2,FALSE)</f>
        <v>1110</v>
      </c>
      <c r="C1161" t="s">
        <v>9801</v>
      </c>
      <c r="D1161" t="s">
        <v>7093</v>
      </c>
      <c r="F1161" t="s">
        <v>1834</v>
      </c>
      <c r="G1161" t="s">
        <v>7094</v>
      </c>
      <c r="H1161" t="s">
        <v>7095</v>
      </c>
      <c r="I1161">
        <v>1</v>
      </c>
    </row>
    <row r="1162" spans="1:9" x14ac:dyDescent="0.25">
      <c r="A1162" t="s">
        <v>92</v>
      </c>
      <c r="B1162">
        <f>VLOOKUP(A1162,art_category_path_name!A:B,2,FALSE)</f>
        <v>1111</v>
      </c>
      <c r="C1162" t="s">
        <v>9802</v>
      </c>
      <c r="D1162" t="s">
        <v>7097</v>
      </c>
      <c r="E1162" t="s">
        <v>7098</v>
      </c>
      <c r="F1162" t="s">
        <v>7099</v>
      </c>
      <c r="G1162" t="s">
        <v>7100</v>
      </c>
      <c r="H1162" t="s">
        <v>7101</v>
      </c>
      <c r="I1162">
        <v>1</v>
      </c>
    </row>
    <row r="1163" spans="1:9" x14ac:dyDescent="0.25">
      <c r="A1163" t="s">
        <v>93</v>
      </c>
      <c r="B1163">
        <f>VLOOKUP(A1163,art_category_path_name!A:B,2,FALSE)</f>
        <v>1112</v>
      </c>
      <c r="C1163" t="s">
        <v>9803</v>
      </c>
      <c r="D1163" t="s">
        <v>7103</v>
      </c>
      <c r="E1163" t="s">
        <v>7104</v>
      </c>
      <c r="F1163" t="s">
        <v>7105</v>
      </c>
      <c r="G1163" t="s">
        <v>7106</v>
      </c>
      <c r="H1163" t="s">
        <v>7107</v>
      </c>
      <c r="I1163">
        <v>1</v>
      </c>
    </row>
    <row r="1164" spans="1:9" x14ac:dyDescent="0.25">
      <c r="A1164" t="s">
        <v>94</v>
      </c>
      <c r="B1164">
        <f>VLOOKUP(A1164,art_category_path_name!A:B,2,FALSE)</f>
        <v>1113</v>
      </c>
      <c r="C1164" t="s">
        <v>9804</v>
      </c>
      <c r="D1164" t="s">
        <v>7109</v>
      </c>
      <c r="E1164" t="s">
        <v>7110</v>
      </c>
      <c r="F1164" t="s">
        <v>7111</v>
      </c>
      <c r="G1164" t="s">
        <v>7112</v>
      </c>
      <c r="H1164" t="s">
        <v>7113</v>
      </c>
      <c r="I1164">
        <v>1</v>
      </c>
    </row>
    <row r="1165" spans="1:9" x14ac:dyDescent="0.25">
      <c r="A1165" t="s">
        <v>95</v>
      </c>
      <c r="B1165">
        <f>VLOOKUP(A1165,art_category_path_name!A:B,2,FALSE)</f>
        <v>1114</v>
      </c>
      <c r="C1165" t="s">
        <v>9805</v>
      </c>
      <c r="D1165" t="s">
        <v>7115</v>
      </c>
      <c r="F1165" t="s">
        <v>1834</v>
      </c>
      <c r="G1165" t="s">
        <v>7116</v>
      </c>
      <c r="H1165" t="s">
        <v>7117</v>
      </c>
      <c r="I1165">
        <v>1</v>
      </c>
    </row>
    <row r="1166" spans="1:9" x14ac:dyDescent="0.25">
      <c r="A1166" t="s">
        <v>640</v>
      </c>
      <c r="B1166">
        <f>VLOOKUP(A1166,art_category_path_name!A:B,2,FALSE)</f>
        <v>1116</v>
      </c>
      <c r="C1166" t="s">
        <v>9806</v>
      </c>
      <c r="D1166" t="s">
        <v>7119</v>
      </c>
      <c r="E1166" t="s">
        <v>7120</v>
      </c>
      <c r="F1166" t="s">
        <v>7121</v>
      </c>
      <c r="G1166" t="s">
        <v>7122</v>
      </c>
      <c r="H1166" t="s">
        <v>7123</v>
      </c>
      <c r="I1166">
        <v>3</v>
      </c>
    </row>
    <row r="1167" spans="1:9" x14ac:dyDescent="0.25">
      <c r="A1167" t="s">
        <v>1086</v>
      </c>
      <c r="B1167">
        <f>VLOOKUP(A1167,art_category_path_name!A:B,2,FALSE)</f>
        <v>1118</v>
      </c>
      <c r="C1167" t="s">
        <v>9807</v>
      </c>
      <c r="D1167" t="s">
        <v>7125</v>
      </c>
      <c r="F1167" t="s">
        <v>1834</v>
      </c>
      <c r="G1167" t="s">
        <v>7126</v>
      </c>
      <c r="H1167" t="s">
        <v>7127</v>
      </c>
      <c r="I1167">
        <v>2</v>
      </c>
    </row>
    <row r="1168" spans="1:9" x14ac:dyDescent="0.25">
      <c r="A1168" t="s">
        <v>1087</v>
      </c>
      <c r="B1168">
        <f>VLOOKUP(A1168,art_category_path_name!A:B,2,FALSE)</f>
        <v>1119</v>
      </c>
      <c r="C1168" t="s">
        <v>9808</v>
      </c>
      <c r="D1168" t="s">
        <v>7129</v>
      </c>
      <c r="F1168" t="s">
        <v>1834</v>
      </c>
      <c r="G1168" t="s">
        <v>7130</v>
      </c>
      <c r="H1168" t="s">
        <v>7131</v>
      </c>
      <c r="I1168">
        <v>2</v>
      </c>
    </row>
    <row r="1169" spans="1:9" x14ac:dyDescent="0.25">
      <c r="A1169" t="s">
        <v>1088</v>
      </c>
      <c r="B1169">
        <f>VLOOKUP(A1169,art_category_path_name!A:B,2,FALSE)</f>
        <v>1120</v>
      </c>
      <c r="C1169" t="s">
        <v>9809</v>
      </c>
      <c r="D1169" t="s">
        <v>7133</v>
      </c>
      <c r="F1169" t="s">
        <v>1834</v>
      </c>
      <c r="G1169" t="s">
        <v>7134</v>
      </c>
      <c r="H1169" t="s">
        <v>7135</v>
      </c>
      <c r="I1169">
        <v>2</v>
      </c>
    </row>
    <row r="1170" spans="1:9" x14ac:dyDescent="0.25">
      <c r="A1170" t="s">
        <v>1089</v>
      </c>
      <c r="B1170">
        <f>VLOOKUP(A1170,art_category_path_name!A:B,2,FALSE)</f>
        <v>1121</v>
      </c>
      <c r="C1170" t="s">
        <v>9810</v>
      </c>
      <c r="D1170" t="s">
        <v>7137</v>
      </c>
      <c r="F1170" t="s">
        <v>1834</v>
      </c>
      <c r="G1170" t="s">
        <v>7138</v>
      </c>
      <c r="H1170" t="s">
        <v>7139</v>
      </c>
      <c r="I1170">
        <v>2</v>
      </c>
    </row>
    <row r="1171" spans="1:9" x14ac:dyDescent="0.25">
      <c r="A1171" t="s">
        <v>1090</v>
      </c>
      <c r="B1171">
        <f>VLOOKUP(A1171,art_category_path_name!A:B,2,FALSE)</f>
        <v>1122</v>
      </c>
      <c r="C1171" t="s">
        <v>9811</v>
      </c>
      <c r="D1171" t="s">
        <v>7141</v>
      </c>
      <c r="F1171" t="s">
        <v>1834</v>
      </c>
      <c r="G1171" t="s">
        <v>7142</v>
      </c>
      <c r="H1171" t="s">
        <v>7143</v>
      </c>
      <c r="I1171">
        <v>2</v>
      </c>
    </row>
    <row r="1172" spans="1:9" x14ac:dyDescent="0.25">
      <c r="A1172" t="s">
        <v>1091</v>
      </c>
      <c r="B1172">
        <f>VLOOKUP(A1172,art_category_path_name!A:B,2,FALSE)</f>
        <v>1123</v>
      </c>
      <c r="C1172" t="s">
        <v>9812</v>
      </c>
      <c r="D1172" t="s">
        <v>7145</v>
      </c>
      <c r="F1172" t="s">
        <v>1834</v>
      </c>
      <c r="G1172" t="s">
        <v>7146</v>
      </c>
      <c r="H1172" t="s">
        <v>7147</v>
      </c>
      <c r="I1172">
        <v>2</v>
      </c>
    </row>
    <row r="1173" spans="1:9" x14ac:dyDescent="0.25">
      <c r="A1173" t="s">
        <v>1092</v>
      </c>
      <c r="B1173">
        <f>VLOOKUP(A1173,art_category_path_name!A:B,2,FALSE)</f>
        <v>1124</v>
      </c>
      <c r="C1173" t="s">
        <v>9813</v>
      </c>
      <c r="D1173" t="s">
        <v>7149</v>
      </c>
      <c r="E1173" t="s">
        <v>7150</v>
      </c>
      <c r="F1173" t="s">
        <v>7149</v>
      </c>
      <c r="G1173" t="s">
        <v>7151</v>
      </c>
      <c r="H1173" t="s">
        <v>7152</v>
      </c>
      <c r="I1173">
        <v>2</v>
      </c>
    </row>
    <row r="1174" spans="1:9" x14ac:dyDescent="0.25">
      <c r="A1174" t="s">
        <v>1093</v>
      </c>
      <c r="B1174">
        <f>VLOOKUP(A1174,art_category_path_name!A:B,2,FALSE)</f>
        <v>1125</v>
      </c>
      <c r="C1174" t="s">
        <v>9814</v>
      </c>
      <c r="D1174" t="s">
        <v>7154</v>
      </c>
      <c r="E1174" t="s">
        <v>7155</v>
      </c>
      <c r="F1174" t="s">
        <v>7154</v>
      </c>
      <c r="G1174" t="s">
        <v>7156</v>
      </c>
      <c r="H1174" t="s">
        <v>7157</v>
      </c>
      <c r="I1174">
        <v>2</v>
      </c>
    </row>
    <row r="1175" spans="1:9" x14ac:dyDescent="0.25">
      <c r="A1175" t="s">
        <v>1094</v>
      </c>
      <c r="B1175">
        <f>VLOOKUP(A1175,art_category_path_name!A:B,2,FALSE)</f>
        <v>1126</v>
      </c>
      <c r="C1175" t="s">
        <v>9815</v>
      </c>
      <c r="D1175" t="s">
        <v>7159</v>
      </c>
      <c r="F1175" t="s">
        <v>1834</v>
      </c>
      <c r="G1175" t="s">
        <v>7160</v>
      </c>
      <c r="H1175" t="s">
        <v>7161</v>
      </c>
      <c r="I1175">
        <v>2</v>
      </c>
    </row>
    <row r="1176" spans="1:9" x14ac:dyDescent="0.25">
      <c r="A1176" t="s">
        <v>1012</v>
      </c>
      <c r="B1176">
        <f>VLOOKUP(A1176,art_category_path_name!A:B,2,FALSE)</f>
        <v>1128</v>
      </c>
      <c r="C1176" t="s">
        <v>9816</v>
      </c>
      <c r="D1176" t="s">
        <v>7163</v>
      </c>
      <c r="F1176" t="s">
        <v>1834</v>
      </c>
      <c r="G1176" t="s">
        <v>7164</v>
      </c>
      <c r="H1176" t="s">
        <v>7165</v>
      </c>
      <c r="I1176">
        <v>1</v>
      </c>
    </row>
    <row r="1177" spans="1:9" x14ac:dyDescent="0.25">
      <c r="A1177" t="s">
        <v>1013</v>
      </c>
      <c r="B1177">
        <f>VLOOKUP(A1177,art_category_path_name!A:B,2,FALSE)</f>
        <v>1129</v>
      </c>
      <c r="C1177" t="s">
        <v>9817</v>
      </c>
      <c r="D1177" t="s">
        <v>7167</v>
      </c>
      <c r="F1177" t="s">
        <v>1834</v>
      </c>
      <c r="G1177" t="s">
        <v>7168</v>
      </c>
      <c r="H1177" t="s">
        <v>7169</v>
      </c>
      <c r="I1177">
        <v>4</v>
      </c>
    </row>
    <row r="1178" spans="1:9" x14ac:dyDescent="0.25">
      <c r="A1178" t="s">
        <v>316</v>
      </c>
      <c r="B1178">
        <f>VLOOKUP(A1178,art_category_path_name!A:B,2,FALSE)</f>
        <v>1131</v>
      </c>
      <c r="C1178" t="s">
        <v>9818</v>
      </c>
      <c r="D1178" t="s">
        <v>7171</v>
      </c>
      <c r="E1178" t="s">
        <v>7172</v>
      </c>
      <c r="F1178" t="s">
        <v>7173</v>
      </c>
      <c r="G1178" t="s">
        <v>7174</v>
      </c>
      <c r="H1178" t="s">
        <v>7175</v>
      </c>
      <c r="I1178">
        <v>7</v>
      </c>
    </row>
    <row r="1179" spans="1:9" x14ac:dyDescent="0.25">
      <c r="A1179" t="s">
        <v>317</v>
      </c>
      <c r="B1179">
        <f>VLOOKUP(A1179,art_category_path_name!A:B,2,FALSE)</f>
        <v>1132</v>
      </c>
      <c r="C1179" t="s">
        <v>9819</v>
      </c>
      <c r="D1179" t="s">
        <v>7177</v>
      </c>
      <c r="E1179" t="s">
        <v>2282</v>
      </c>
      <c r="F1179" t="s">
        <v>7178</v>
      </c>
      <c r="G1179" t="s">
        <v>7179</v>
      </c>
      <c r="H1179" t="s">
        <v>7180</v>
      </c>
      <c r="I1179">
        <v>4</v>
      </c>
    </row>
    <row r="1180" spans="1:9" x14ac:dyDescent="0.25">
      <c r="A1180" t="s">
        <v>1168</v>
      </c>
      <c r="B1180">
        <f>VLOOKUP(A1180,art_category_path_name!A:B,2,FALSE)</f>
        <v>1134</v>
      </c>
      <c r="C1180" t="s">
        <v>9820</v>
      </c>
      <c r="D1180" t="s">
        <v>7182</v>
      </c>
      <c r="F1180" t="s">
        <v>1834</v>
      </c>
      <c r="G1180" t="s">
        <v>7183</v>
      </c>
      <c r="H1180" t="s">
        <v>7184</v>
      </c>
      <c r="I1180">
        <v>2</v>
      </c>
    </row>
    <row r="1181" spans="1:9" x14ac:dyDescent="0.25">
      <c r="A1181" t="s">
        <v>1169</v>
      </c>
      <c r="B1181">
        <f>VLOOKUP(A1181,art_category_path_name!A:B,2,FALSE)</f>
        <v>1135</v>
      </c>
      <c r="C1181" t="s">
        <v>9821</v>
      </c>
      <c r="D1181" t="s">
        <v>7186</v>
      </c>
      <c r="F1181" t="s">
        <v>1834</v>
      </c>
      <c r="G1181" t="s">
        <v>7187</v>
      </c>
      <c r="H1181" t="s">
        <v>7188</v>
      </c>
      <c r="I1181">
        <v>1</v>
      </c>
    </row>
    <row r="1182" spans="1:9" x14ac:dyDescent="0.25">
      <c r="A1182" t="s">
        <v>1170</v>
      </c>
      <c r="B1182">
        <f>VLOOKUP(A1182,art_category_path_name!A:B,2,FALSE)</f>
        <v>1136</v>
      </c>
      <c r="C1182" t="s">
        <v>9822</v>
      </c>
      <c r="D1182" t="s">
        <v>7190</v>
      </c>
      <c r="F1182" t="s">
        <v>1834</v>
      </c>
      <c r="G1182" t="s">
        <v>7191</v>
      </c>
      <c r="H1182" t="s">
        <v>7192</v>
      </c>
      <c r="I1182">
        <v>1</v>
      </c>
    </row>
    <row r="1183" spans="1:9" x14ac:dyDescent="0.25">
      <c r="A1183" t="s">
        <v>762</v>
      </c>
      <c r="B1183">
        <f>VLOOKUP(A1183,art_category_path_name!A:B,2,FALSE)</f>
        <v>1138</v>
      </c>
      <c r="C1183" t="s">
        <v>9823</v>
      </c>
      <c r="D1183" t="s">
        <v>7194</v>
      </c>
      <c r="E1183" t="s">
        <v>7195</v>
      </c>
      <c r="F1183" t="s">
        <v>7196</v>
      </c>
      <c r="G1183" t="s">
        <v>7197</v>
      </c>
      <c r="H1183" t="s">
        <v>7198</v>
      </c>
      <c r="I1183">
        <v>1</v>
      </c>
    </row>
    <row r="1184" spans="1:9" x14ac:dyDescent="0.25">
      <c r="A1184" t="s">
        <v>763</v>
      </c>
      <c r="B1184">
        <f>VLOOKUP(A1184,art_category_path_name!A:B,2,FALSE)</f>
        <v>1139</v>
      </c>
      <c r="C1184" t="s">
        <v>9824</v>
      </c>
      <c r="D1184" t="s">
        <v>7200</v>
      </c>
      <c r="E1184" t="s">
        <v>7201</v>
      </c>
      <c r="F1184" t="s">
        <v>7202</v>
      </c>
      <c r="G1184" t="s">
        <v>7203</v>
      </c>
      <c r="H1184" t="s">
        <v>7204</v>
      </c>
      <c r="I1184">
        <v>3</v>
      </c>
    </row>
    <row r="1185" spans="1:9" x14ac:dyDescent="0.25">
      <c r="A1185" t="s">
        <v>764</v>
      </c>
      <c r="B1185">
        <f>VLOOKUP(A1185,art_category_path_name!A:B,2,FALSE)</f>
        <v>1140</v>
      </c>
      <c r="C1185" t="s">
        <v>9825</v>
      </c>
      <c r="D1185" t="s">
        <v>7206</v>
      </c>
      <c r="E1185" t="s">
        <v>7207</v>
      </c>
      <c r="F1185" t="s">
        <v>7208</v>
      </c>
      <c r="G1185" t="s">
        <v>7209</v>
      </c>
      <c r="H1185" t="s">
        <v>7210</v>
      </c>
      <c r="I1185">
        <v>3</v>
      </c>
    </row>
    <row r="1186" spans="1:9" x14ac:dyDescent="0.25">
      <c r="A1186" t="s">
        <v>765</v>
      </c>
      <c r="B1186">
        <f>VLOOKUP(A1186,art_category_path_name!A:B,2,FALSE)</f>
        <v>1141</v>
      </c>
      <c r="C1186" t="s">
        <v>9826</v>
      </c>
      <c r="D1186" t="s">
        <v>7212</v>
      </c>
      <c r="E1186" t="s">
        <v>7213</v>
      </c>
      <c r="F1186" t="s">
        <v>7214</v>
      </c>
      <c r="G1186" t="s">
        <v>7215</v>
      </c>
      <c r="H1186" t="s">
        <v>7216</v>
      </c>
      <c r="I1186">
        <v>1</v>
      </c>
    </row>
    <row r="1187" spans="1:9" x14ac:dyDescent="0.25">
      <c r="A1187" t="s">
        <v>766</v>
      </c>
      <c r="B1187">
        <f>VLOOKUP(A1187,art_category_path_name!A:B,2,FALSE)</f>
        <v>1142</v>
      </c>
      <c r="C1187" t="s">
        <v>9827</v>
      </c>
      <c r="D1187" t="s">
        <v>7218</v>
      </c>
      <c r="F1187" t="s">
        <v>1834</v>
      </c>
      <c r="G1187" t="s">
        <v>7219</v>
      </c>
      <c r="H1187" t="s">
        <v>7220</v>
      </c>
      <c r="I1187">
        <v>5</v>
      </c>
    </row>
    <row r="1188" spans="1:9" x14ac:dyDescent="0.25">
      <c r="A1188" t="s">
        <v>767</v>
      </c>
      <c r="B1188">
        <f>VLOOKUP(A1188,art_category_path_name!A:B,2,FALSE)</f>
        <v>1143</v>
      </c>
      <c r="C1188" t="s">
        <v>9828</v>
      </c>
      <c r="D1188" t="s">
        <v>7222</v>
      </c>
      <c r="F1188" t="s">
        <v>1834</v>
      </c>
      <c r="G1188" t="s">
        <v>7223</v>
      </c>
      <c r="H1188" t="s">
        <v>7224</v>
      </c>
      <c r="I1188">
        <v>3</v>
      </c>
    </row>
    <row r="1189" spans="1:9" x14ac:dyDescent="0.25">
      <c r="A1189" t="s">
        <v>439</v>
      </c>
      <c r="B1189">
        <f>VLOOKUP(A1189,art_category_path_name!A:B,2,FALSE)</f>
        <v>1145</v>
      </c>
      <c r="C1189" t="s">
        <v>9829</v>
      </c>
      <c r="D1189" t="s">
        <v>7226</v>
      </c>
      <c r="E1189" t="s">
        <v>7227</v>
      </c>
      <c r="F1189" t="s">
        <v>7228</v>
      </c>
      <c r="G1189" t="s">
        <v>7229</v>
      </c>
      <c r="H1189" t="s">
        <v>7230</v>
      </c>
      <c r="I1189">
        <v>3</v>
      </c>
    </row>
    <row r="1190" spans="1:9" x14ac:dyDescent="0.25">
      <c r="A1190" t="s">
        <v>440</v>
      </c>
      <c r="B1190">
        <f>VLOOKUP(A1190,art_category_path_name!A:B,2,FALSE)</f>
        <v>1146</v>
      </c>
      <c r="C1190" t="s">
        <v>9830</v>
      </c>
      <c r="D1190" t="s">
        <v>7232</v>
      </c>
      <c r="E1190" t="s">
        <v>7233</v>
      </c>
      <c r="F1190" t="s">
        <v>7234</v>
      </c>
      <c r="G1190" t="s">
        <v>7235</v>
      </c>
      <c r="H1190" t="s">
        <v>7236</v>
      </c>
      <c r="I1190">
        <v>3</v>
      </c>
    </row>
    <row r="1191" spans="1:9" x14ac:dyDescent="0.25">
      <c r="A1191" t="s">
        <v>441</v>
      </c>
      <c r="B1191">
        <f>VLOOKUP(A1191,art_category_path_name!A:B,2,FALSE)</f>
        <v>1147</v>
      </c>
      <c r="C1191" t="s">
        <v>9831</v>
      </c>
      <c r="D1191" t="s">
        <v>7238</v>
      </c>
      <c r="E1191" t="s">
        <v>7239</v>
      </c>
      <c r="F1191" t="s">
        <v>7240</v>
      </c>
      <c r="G1191" t="s">
        <v>7241</v>
      </c>
      <c r="H1191" t="s">
        <v>7242</v>
      </c>
      <c r="I1191">
        <v>4</v>
      </c>
    </row>
    <row r="1192" spans="1:9" x14ac:dyDescent="0.25">
      <c r="A1192" t="s">
        <v>442</v>
      </c>
      <c r="B1192">
        <f>VLOOKUP(A1192,art_category_path_name!A:B,2,FALSE)</f>
        <v>1148</v>
      </c>
      <c r="C1192" t="s">
        <v>9832</v>
      </c>
      <c r="D1192" t="s">
        <v>7244</v>
      </c>
      <c r="E1192" t="s">
        <v>7245</v>
      </c>
      <c r="F1192" t="s">
        <v>7246</v>
      </c>
      <c r="G1192" t="s">
        <v>7247</v>
      </c>
      <c r="H1192" t="s">
        <v>7248</v>
      </c>
      <c r="I1192">
        <v>1</v>
      </c>
    </row>
    <row r="1193" spans="1:9" x14ac:dyDescent="0.25">
      <c r="A1193" t="s">
        <v>851</v>
      </c>
      <c r="B1193">
        <f>VLOOKUP(A1193,art_category_path_name!A:B,2,FALSE)</f>
        <v>1150</v>
      </c>
      <c r="C1193" t="s">
        <v>9833</v>
      </c>
      <c r="D1193" t="s">
        <v>7250</v>
      </c>
      <c r="F1193" t="s">
        <v>1834</v>
      </c>
      <c r="G1193" t="s">
        <v>7251</v>
      </c>
      <c r="H1193" t="s">
        <v>7252</v>
      </c>
      <c r="I1193">
        <v>78</v>
      </c>
    </row>
    <row r="1194" spans="1:9" x14ac:dyDescent="0.25">
      <c r="A1194" t="s">
        <v>852</v>
      </c>
      <c r="B1194">
        <f>VLOOKUP(A1194,art_category_path_name!A:B,2,FALSE)</f>
        <v>1151</v>
      </c>
      <c r="C1194" t="s">
        <v>9834</v>
      </c>
      <c r="D1194" t="s">
        <v>7254</v>
      </c>
      <c r="E1194" t="s">
        <v>7255</v>
      </c>
      <c r="F1194" t="s">
        <v>7256</v>
      </c>
      <c r="G1194" t="s">
        <v>7257</v>
      </c>
      <c r="H1194" t="s">
        <v>7258</v>
      </c>
      <c r="I1194">
        <v>172</v>
      </c>
    </row>
    <row r="1195" spans="1:9" x14ac:dyDescent="0.25">
      <c r="A1195" t="s">
        <v>853</v>
      </c>
      <c r="B1195">
        <f>VLOOKUP(A1195,art_category_path_name!A:B,2,FALSE)</f>
        <v>1152</v>
      </c>
      <c r="C1195" t="s">
        <v>9835</v>
      </c>
      <c r="D1195" t="s">
        <v>7260</v>
      </c>
      <c r="E1195" t="s">
        <v>7261</v>
      </c>
      <c r="F1195" t="s">
        <v>7262</v>
      </c>
      <c r="G1195" t="s">
        <v>7263</v>
      </c>
      <c r="H1195" t="s">
        <v>7264</v>
      </c>
      <c r="I1195">
        <v>226</v>
      </c>
    </row>
    <row r="1196" spans="1:9" x14ac:dyDescent="0.25">
      <c r="A1196" t="s">
        <v>854</v>
      </c>
      <c r="B1196">
        <f>VLOOKUP(A1196,art_category_path_name!A:B,2,FALSE)</f>
        <v>1153</v>
      </c>
      <c r="C1196" t="s">
        <v>9836</v>
      </c>
      <c r="D1196" t="s">
        <v>7266</v>
      </c>
      <c r="E1196" t="s">
        <v>7261</v>
      </c>
      <c r="F1196" t="s">
        <v>7267</v>
      </c>
      <c r="G1196" t="s">
        <v>7268</v>
      </c>
      <c r="H1196" t="s">
        <v>7269</v>
      </c>
      <c r="I1196">
        <v>255</v>
      </c>
    </row>
    <row r="1197" spans="1:9" x14ac:dyDescent="0.25">
      <c r="A1197" t="s">
        <v>855</v>
      </c>
      <c r="B1197">
        <f>VLOOKUP(A1197,art_category_path_name!A:B,2,FALSE)</f>
        <v>1154</v>
      </c>
      <c r="C1197" t="s">
        <v>9837</v>
      </c>
      <c r="D1197" t="s">
        <v>7271</v>
      </c>
      <c r="E1197" t="s">
        <v>7272</v>
      </c>
      <c r="F1197" t="s">
        <v>7273</v>
      </c>
      <c r="G1197" t="s">
        <v>7274</v>
      </c>
      <c r="H1197" t="s">
        <v>7275</v>
      </c>
      <c r="I1197">
        <v>260</v>
      </c>
    </row>
    <row r="1198" spans="1:9" x14ac:dyDescent="0.25">
      <c r="A1198" t="s">
        <v>856</v>
      </c>
      <c r="B1198">
        <f>VLOOKUP(A1198,art_category_path_name!A:B,2,FALSE)</f>
        <v>1155</v>
      </c>
      <c r="C1198" t="s">
        <v>9838</v>
      </c>
      <c r="D1198" t="s">
        <v>7277</v>
      </c>
      <c r="E1198" t="s">
        <v>7278</v>
      </c>
      <c r="F1198" t="s">
        <v>7279</v>
      </c>
      <c r="G1198" t="s">
        <v>7280</v>
      </c>
      <c r="H1198" t="s">
        <v>7281</v>
      </c>
      <c r="I1198">
        <v>194</v>
      </c>
    </row>
    <row r="1199" spans="1:9" x14ac:dyDescent="0.25">
      <c r="A1199" t="s">
        <v>857</v>
      </c>
      <c r="B1199">
        <f>VLOOKUP(A1199,art_category_path_name!A:B,2,FALSE)</f>
        <v>1156</v>
      </c>
      <c r="C1199" t="s">
        <v>9839</v>
      </c>
      <c r="D1199" t="s">
        <v>7283</v>
      </c>
      <c r="E1199" t="s">
        <v>7284</v>
      </c>
      <c r="F1199" t="s">
        <v>7285</v>
      </c>
      <c r="G1199" t="s">
        <v>7286</v>
      </c>
      <c r="H1199" t="s">
        <v>7287</v>
      </c>
      <c r="I1199">
        <v>105</v>
      </c>
    </row>
    <row r="1200" spans="1:9" x14ac:dyDescent="0.25">
      <c r="A1200" t="s">
        <v>108</v>
      </c>
      <c r="B1200">
        <f>VLOOKUP(A1200,art_category_path_name!A:B,2,FALSE)</f>
        <v>1158</v>
      </c>
      <c r="C1200" t="s">
        <v>9840</v>
      </c>
      <c r="D1200" t="s">
        <v>7289</v>
      </c>
      <c r="F1200" t="s">
        <v>1834</v>
      </c>
      <c r="G1200" t="s">
        <v>7290</v>
      </c>
      <c r="H1200" t="s">
        <v>7291</v>
      </c>
      <c r="I1200">
        <v>3</v>
      </c>
    </row>
    <row r="1201" spans="1:9" x14ac:dyDescent="0.25">
      <c r="A1201" t="s">
        <v>109</v>
      </c>
      <c r="B1201">
        <f>VLOOKUP(A1201,art_category_path_name!A:B,2,FALSE)</f>
        <v>1159</v>
      </c>
      <c r="C1201" t="s">
        <v>9841</v>
      </c>
      <c r="D1201" t="s">
        <v>7293</v>
      </c>
      <c r="E1201" t="s">
        <v>7294</v>
      </c>
      <c r="F1201" t="s">
        <v>7295</v>
      </c>
      <c r="G1201" t="s">
        <v>7296</v>
      </c>
      <c r="H1201" t="s">
        <v>7297</v>
      </c>
      <c r="I1201">
        <v>25</v>
      </c>
    </row>
    <row r="1202" spans="1:9" x14ac:dyDescent="0.25">
      <c r="A1202" t="s">
        <v>110</v>
      </c>
      <c r="B1202">
        <f>VLOOKUP(A1202,art_category_path_name!A:B,2,FALSE)</f>
        <v>1160</v>
      </c>
      <c r="C1202" t="s">
        <v>9842</v>
      </c>
      <c r="D1202" t="s">
        <v>7299</v>
      </c>
      <c r="E1202" t="s">
        <v>7300</v>
      </c>
      <c r="F1202" t="s">
        <v>7301</v>
      </c>
      <c r="G1202" t="s">
        <v>7302</v>
      </c>
      <c r="H1202" t="s">
        <v>7303</v>
      </c>
      <c r="I1202">
        <v>15</v>
      </c>
    </row>
    <row r="1203" spans="1:9" x14ac:dyDescent="0.25">
      <c r="A1203" t="s">
        <v>112</v>
      </c>
      <c r="B1203">
        <f>VLOOKUP(A1203,art_category_path_name!A:B,2,FALSE)</f>
        <v>1162</v>
      </c>
      <c r="C1203" t="s">
        <v>9843</v>
      </c>
      <c r="D1203" t="s">
        <v>7305</v>
      </c>
      <c r="F1203" t="s">
        <v>1834</v>
      </c>
      <c r="G1203" t="s">
        <v>7306</v>
      </c>
      <c r="H1203" t="s">
        <v>7307</v>
      </c>
      <c r="I1203">
        <v>2</v>
      </c>
    </row>
    <row r="1204" spans="1:9" x14ac:dyDescent="0.25">
      <c r="A1204" t="s">
        <v>113</v>
      </c>
      <c r="B1204">
        <f>VLOOKUP(A1204,art_category_path_name!A:B,2,FALSE)</f>
        <v>1163</v>
      </c>
      <c r="C1204" t="s">
        <v>9844</v>
      </c>
      <c r="D1204" t="s">
        <v>7309</v>
      </c>
      <c r="E1204" t="s">
        <v>7310</v>
      </c>
      <c r="F1204" t="s">
        <v>7311</v>
      </c>
      <c r="G1204" t="s">
        <v>7312</v>
      </c>
      <c r="H1204" t="s">
        <v>7313</v>
      </c>
      <c r="I1204">
        <v>5</v>
      </c>
    </row>
    <row r="1205" spans="1:9" x14ac:dyDescent="0.25">
      <c r="A1205" t="s">
        <v>114</v>
      </c>
      <c r="B1205">
        <f>VLOOKUP(A1205,art_category_path_name!A:B,2,FALSE)</f>
        <v>1164</v>
      </c>
      <c r="C1205" t="s">
        <v>9845</v>
      </c>
      <c r="D1205" t="s">
        <v>7315</v>
      </c>
      <c r="E1205" t="s">
        <v>7316</v>
      </c>
      <c r="F1205" t="s">
        <v>7317</v>
      </c>
      <c r="G1205" t="s">
        <v>7318</v>
      </c>
      <c r="H1205" t="s">
        <v>7319</v>
      </c>
      <c r="I1205">
        <v>8</v>
      </c>
    </row>
    <row r="1206" spans="1:9" x14ac:dyDescent="0.25">
      <c r="A1206" t="s">
        <v>115</v>
      </c>
      <c r="B1206">
        <f>VLOOKUP(A1206,art_category_path_name!A:B,2,FALSE)</f>
        <v>1165</v>
      </c>
      <c r="C1206" t="s">
        <v>9846</v>
      </c>
      <c r="D1206" t="s">
        <v>7321</v>
      </c>
      <c r="E1206" t="s">
        <v>7322</v>
      </c>
      <c r="F1206" t="s">
        <v>7323</v>
      </c>
      <c r="G1206" t="s">
        <v>7324</v>
      </c>
      <c r="H1206" t="s">
        <v>7325</v>
      </c>
      <c r="I1206">
        <v>1</v>
      </c>
    </row>
    <row r="1207" spans="1:9" x14ac:dyDescent="0.25">
      <c r="A1207" t="s">
        <v>116</v>
      </c>
      <c r="B1207">
        <f>VLOOKUP(A1207,art_category_path_name!A:B,2,FALSE)</f>
        <v>1166</v>
      </c>
      <c r="C1207" t="s">
        <v>9847</v>
      </c>
      <c r="D1207" t="s">
        <v>7327</v>
      </c>
      <c r="E1207" t="s">
        <v>7328</v>
      </c>
      <c r="F1207" t="s">
        <v>7329</v>
      </c>
      <c r="G1207" t="s">
        <v>7330</v>
      </c>
      <c r="H1207" t="s">
        <v>7331</v>
      </c>
      <c r="I1207">
        <v>2</v>
      </c>
    </row>
    <row r="1208" spans="1:9" x14ac:dyDescent="0.25">
      <c r="A1208" t="s">
        <v>117</v>
      </c>
      <c r="B1208">
        <f>VLOOKUP(A1208,art_category_path_name!A:B,2,FALSE)</f>
        <v>1167</v>
      </c>
      <c r="C1208" t="s">
        <v>9848</v>
      </c>
      <c r="D1208" t="s">
        <v>7333</v>
      </c>
      <c r="E1208" t="s">
        <v>7334</v>
      </c>
      <c r="F1208" t="s">
        <v>7335</v>
      </c>
      <c r="G1208" t="s">
        <v>7336</v>
      </c>
      <c r="H1208" t="s">
        <v>7337</v>
      </c>
      <c r="I1208">
        <v>5</v>
      </c>
    </row>
    <row r="1209" spans="1:9" x14ac:dyDescent="0.25">
      <c r="A1209" t="s">
        <v>118</v>
      </c>
      <c r="B1209">
        <f>VLOOKUP(A1209,art_category_path_name!A:B,2,FALSE)</f>
        <v>1168</v>
      </c>
      <c r="C1209" t="s">
        <v>9849</v>
      </c>
      <c r="D1209" t="s">
        <v>7339</v>
      </c>
      <c r="E1209" t="s">
        <v>7340</v>
      </c>
      <c r="F1209" t="s">
        <v>7341</v>
      </c>
      <c r="G1209" t="s">
        <v>7342</v>
      </c>
      <c r="H1209" t="s">
        <v>7343</v>
      </c>
      <c r="I1209">
        <v>23</v>
      </c>
    </row>
    <row r="1210" spans="1:9" x14ac:dyDescent="0.25">
      <c r="A1210" t="s">
        <v>119</v>
      </c>
      <c r="B1210">
        <f>VLOOKUP(A1210,art_category_path_name!A:B,2,FALSE)</f>
        <v>1169</v>
      </c>
      <c r="C1210" t="s">
        <v>9850</v>
      </c>
      <c r="D1210" t="s">
        <v>7345</v>
      </c>
      <c r="E1210" t="s">
        <v>7346</v>
      </c>
      <c r="F1210" t="s">
        <v>7347</v>
      </c>
      <c r="G1210" t="s">
        <v>7348</v>
      </c>
      <c r="H1210" t="s">
        <v>7349</v>
      </c>
      <c r="I1210">
        <v>16</v>
      </c>
    </row>
    <row r="1211" spans="1:9" x14ac:dyDescent="0.25">
      <c r="A1211" t="s">
        <v>120</v>
      </c>
      <c r="B1211">
        <f>VLOOKUP(A1211,art_category_path_name!A:B,2,FALSE)</f>
        <v>1170</v>
      </c>
      <c r="C1211" t="s">
        <v>9851</v>
      </c>
      <c r="D1211" t="s">
        <v>7351</v>
      </c>
      <c r="E1211" t="s">
        <v>7352</v>
      </c>
      <c r="F1211" t="s">
        <v>7353</v>
      </c>
      <c r="G1211" t="s">
        <v>7348</v>
      </c>
      <c r="H1211" t="s">
        <v>7354</v>
      </c>
      <c r="I1211">
        <v>4</v>
      </c>
    </row>
    <row r="1212" spans="1:9" x14ac:dyDescent="0.25">
      <c r="A1212" t="s">
        <v>121</v>
      </c>
      <c r="B1212">
        <f>VLOOKUP(A1212,art_category_path_name!A:B,2,FALSE)</f>
        <v>1171</v>
      </c>
      <c r="C1212" t="s">
        <v>9852</v>
      </c>
      <c r="D1212" t="s">
        <v>7339</v>
      </c>
      <c r="E1212" t="s">
        <v>7340</v>
      </c>
      <c r="F1212" t="s">
        <v>7356</v>
      </c>
      <c r="G1212" t="s">
        <v>7357</v>
      </c>
      <c r="H1212" t="s">
        <v>7358</v>
      </c>
      <c r="I1212">
        <v>34</v>
      </c>
    </row>
    <row r="1213" spans="1:9" x14ac:dyDescent="0.25">
      <c r="A1213" t="s">
        <v>122</v>
      </c>
      <c r="B1213">
        <f>VLOOKUP(A1213,art_category_path_name!A:B,2,FALSE)</f>
        <v>1172</v>
      </c>
      <c r="C1213" t="s">
        <v>9853</v>
      </c>
      <c r="D1213" t="s">
        <v>7360</v>
      </c>
      <c r="F1213" t="s">
        <v>1834</v>
      </c>
      <c r="G1213" t="s">
        <v>7361</v>
      </c>
      <c r="H1213" t="s">
        <v>7362</v>
      </c>
      <c r="I1213">
        <v>1</v>
      </c>
    </row>
    <row r="1214" spans="1:9" x14ac:dyDescent="0.25">
      <c r="A1214" t="s">
        <v>124</v>
      </c>
      <c r="B1214">
        <f>VLOOKUP(A1214,art_category_path_name!A:B,2,FALSE)</f>
        <v>1174</v>
      </c>
      <c r="C1214" t="s">
        <v>9854</v>
      </c>
      <c r="D1214" t="s">
        <v>7364</v>
      </c>
      <c r="E1214" t="s">
        <v>7365</v>
      </c>
      <c r="F1214" t="s">
        <v>7366</v>
      </c>
      <c r="G1214" t="s">
        <v>7367</v>
      </c>
      <c r="H1214" t="s">
        <v>7368</v>
      </c>
      <c r="I1214">
        <v>13</v>
      </c>
    </row>
    <row r="1215" spans="1:9" x14ac:dyDescent="0.25">
      <c r="A1215" t="s">
        <v>125</v>
      </c>
      <c r="B1215">
        <f>VLOOKUP(A1215,art_category_path_name!A:B,2,FALSE)</f>
        <v>1175</v>
      </c>
      <c r="C1215" t="s">
        <v>9855</v>
      </c>
      <c r="D1215" t="s">
        <v>7370</v>
      </c>
      <c r="E1215" t="s">
        <v>7371</v>
      </c>
      <c r="F1215" t="s">
        <v>7372</v>
      </c>
      <c r="G1215" t="s">
        <v>7373</v>
      </c>
      <c r="H1215" t="s">
        <v>7374</v>
      </c>
      <c r="I1215">
        <v>2</v>
      </c>
    </row>
    <row r="1216" spans="1:9" x14ac:dyDescent="0.25">
      <c r="A1216" t="s">
        <v>947</v>
      </c>
      <c r="B1216">
        <f>VLOOKUP(A1216,art_category_path_name!A:B,2,FALSE)</f>
        <v>1177</v>
      </c>
      <c r="C1216" t="s">
        <v>9856</v>
      </c>
      <c r="D1216" t="s">
        <v>7376</v>
      </c>
      <c r="E1216" t="s">
        <v>7377</v>
      </c>
      <c r="F1216" t="s">
        <v>7378</v>
      </c>
      <c r="G1216" t="s">
        <v>7379</v>
      </c>
      <c r="H1216" t="s">
        <v>7380</v>
      </c>
      <c r="I1216">
        <v>2</v>
      </c>
    </row>
    <row r="1217" spans="1:9" x14ac:dyDescent="0.25">
      <c r="A1217" t="s">
        <v>948</v>
      </c>
      <c r="B1217">
        <f>VLOOKUP(A1217,art_category_path_name!A:B,2,FALSE)</f>
        <v>1178</v>
      </c>
      <c r="C1217" t="s">
        <v>9857</v>
      </c>
      <c r="D1217" t="s">
        <v>7382</v>
      </c>
      <c r="E1217" t="s">
        <v>7383</v>
      </c>
      <c r="F1217" t="s">
        <v>7384</v>
      </c>
      <c r="G1217" t="s">
        <v>7385</v>
      </c>
      <c r="H1217" t="s">
        <v>7386</v>
      </c>
      <c r="I1217">
        <v>75</v>
      </c>
    </row>
    <row r="1218" spans="1:9" x14ac:dyDescent="0.25">
      <c r="A1218" t="s">
        <v>96</v>
      </c>
      <c r="B1218">
        <f>VLOOKUP(A1218,art_category_path_name!A:B,2,FALSE)</f>
        <v>1179</v>
      </c>
      <c r="C1218" t="s">
        <v>9858</v>
      </c>
      <c r="D1218" t="s">
        <v>7388</v>
      </c>
      <c r="E1218" t="s">
        <v>7389</v>
      </c>
      <c r="F1218" t="s">
        <v>7390</v>
      </c>
      <c r="G1218" t="s">
        <v>7391</v>
      </c>
      <c r="H1218" t="s">
        <v>7392</v>
      </c>
      <c r="I1218">
        <v>47</v>
      </c>
    </row>
    <row r="1219" spans="1:9" x14ac:dyDescent="0.25">
      <c r="A1219" t="s">
        <v>37</v>
      </c>
      <c r="B1219">
        <f>VLOOKUP(A1219,art_category_path_name!A:B,2,FALSE)</f>
        <v>1181</v>
      </c>
      <c r="C1219" t="s">
        <v>9859</v>
      </c>
      <c r="D1219" t="s">
        <v>7394</v>
      </c>
      <c r="E1219" t="s">
        <v>7395</v>
      </c>
      <c r="F1219" t="s">
        <v>7396</v>
      </c>
      <c r="G1219" t="s">
        <v>7397</v>
      </c>
      <c r="H1219" t="s">
        <v>7398</v>
      </c>
      <c r="I1219">
        <v>13</v>
      </c>
    </row>
    <row r="1220" spans="1:9" x14ac:dyDescent="0.25">
      <c r="A1220" t="s">
        <v>38</v>
      </c>
      <c r="B1220">
        <f>VLOOKUP(A1220,art_category_path_name!A:B,2,FALSE)</f>
        <v>1182</v>
      </c>
      <c r="C1220" t="s">
        <v>9860</v>
      </c>
      <c r="D1220" t="s">
        <v>7400</v>
      </c>
      <c r="E1220" t="s">
        <v>7401</v>
      </c>
      <c r="F1220" t="s">
        <v>7402</v>
      </c>
      <c r="G1220" t="s">
        <v>7403</v>
      </c>
      <c r="H1220" t="s">
        <v>7404</v>
      </c>
      <c r="I1220">
        <v>14</v>
      </c>
    </row>
    <row r="1221" spans="1:9" x14ac:dyDescent="0.25">
      <c r="A1221" t="s">
        <v>39</v>
      </c>
      <c r="B1221">
        <f>VLOOKUP(A1221,art_category_path_name!A:B,2,FALSE)</f>
        <v>1183</v>
      </c>
      <c r="C1221" t="s">
        <v>9861</v>
      </c>
      <c r="D1221" t="s">
        <v>7406</v>
      </c>
      <c r="F1221" t="s">
        <v>1834</v>
      </c>
      <c r="G1221" t="s">
        <v>7407</v>
      </c>
      <c r="H1221" t="s">
        <v>7408</v>
      </c>
      <c r="I1221">
        <v>11</v>
      </c>
    </row>
    <row r="1222" spans="1:9" x14ac:dyDescent="0.25">
      <c r="A1222" t="s">
        <v>40</v>
      </c>
      <c r="B1222">
        <f>VLOOKUP(A1222,art_category_path_name!A:B,2,FALSE)</f>
        <v>1184</v>
      </c>
      <c r="C1222" t="s">
        <v>9862</v>
      </c>
      <c r="D1222" t="s">
        <v>7410</v>
      </c>
      <c r="F1222" t="s">
        <v>1834</v>
      </c>
      <c r="G1222" t="s">
        <v>7411</v>
      </c>
      <c r="H1222" t="s">
        <v>7412</v>
      </c>
      <c r="I1222">
        <v>9</v>
      </c>
    </row>
    <row r="1223" spans="1:9" x14ac:dyDescent="0.25">
      <c r="A1223" t="s">
        <v>42</v>
      </c>
      <c r="B1223">
        <f>VLOOKUP(A1223,art_category_path_name!A:B,2,FALSE)</f>
        <v>1186</v>
      </c>
      <c r="C1223" t="s">
        <v>9863</v>
      </c>
      <c r="D1223" t="s">
        <v>7414</v>
      </c>
      <c r="E1223" t="s">
        <v>7415</v>
      </c>
      <c r="F1223" t="s">
        <v>7416</v>
      </c>
      <c r="G1223" t="s">
        <v>7417</v>
      </c>
      <c r="H1223" t="s">
        <v>7418</v>
      </c>
      <c r="I1223">
        <v>1</v>
      </c>
    </row>
    <row r="1224" spans="1:9" x14ac:dyDescent="0.25">
      <c r="A1224" t="s">
        <v>43</v>
      </c>
      <c r="B1224">
        <f>VLOOKUP(A1224,art_category_path_name!A:B,2,FALSE)</f>
        <v>1187</v>
      </c>
      <c r="C1224" t="s">
        <v>9864</v>
      </c>
      <c r="D1224" t="s">
        <v>7420</v>
      </c>
      <c r="E1224" t="s">
        <v>7421</v>
      </c>
      <c r="F1224" t="s">
        <v>7422</v>
      </c>
      <c r="G1224" t="s">
        <v>7423</v>
      </c>
      <c r="H1224" t="s">
        <v>7424</v>
      </c>
      <c r="I1224">
        <v>93</v>
      </c>
    </row>
    <row r="1225" spans="1:9" x14ac:dyDescent="0.25">
      <c r="A1225" t="s">
        <v>44</v>
      </c>
      <c r="B1225">
        <f>VLOOKUP(A1225,art_category_path_name!A:B,2,FALSE)</f>
        <v>1188</v>
      </c>
      <c r="C1225" t="s">
        <v>9865</v>
      </c>
      <c r="D1225" t="s">
        <v>7426</v>
      </c>
      <c r="E1225" t="s">
        <v>7427</v>
      </c>
      <c r="F1225" t="s">
        <v>7428</v>
      </c>
      <c r="G1225" t="s">
        <v>7429</v>
      </c>
      <c r="H1225" t="s">
        <v>7430</v>
      </c>
      <c r="I1225">
        <v>19</v>
      </c>
    </row>
    <row r="1226" spans="1:9" x14ac:dyDescent="0.25">
      <c r="A1226" t="s">
        <v>45</v>
      </c>
      <c r="B1226">
        <f>VLOOKUP(A1226,art_category_path_name!A:B,2,FALSE)</f>
        <v>1189</v>
      </c>
      <c r="C1226" t="s">
        <v>9866</v>
      </c>
      <c r="D1226" t="s">
        <v>7426</v>
      </c>
      <c r="E1226" t="s">
        <v>7427</v>
      </c>
      <c r="F1226" t="s">
        <v>7428</v>
      </c>
      <c r="G1226" t="s">
        <v>7432</v>
      </c>
      <c r="H1226" t="s">
        <v>7433</v>
      </c>
      <c r="I1226">
        <v>24</v>
      </c>
    </row>
    <row r="1227" spans="1:9" x14ac:dyDescent="0.25">
      <c r="A1227" t="s">
        <v>46</v>
      </c>
      <c r="B1227">
        <f>VLOOKUP(A1227,art_category_path_name!A:B,2,FALSE)</f>
        <v>1190</v>
      </c>
      <c r="C1227" t="s">
        <v>9867</v>
      </c>
      <c r="D1227" t="s">
        <v>7435</v>
      </c>
      <c r="E1227" t="s">
        <v>7436</v>
      </c>
      <c r="F1227" t="s">
        <v>7437</v>
      </c>
      <c r="G1227" t="s">
        <v>7438</v>
      </c>
      <c r="H1227" t="s">
        <v>7439</v>
      </c>
      <c r="I1227">
        <v>13</v>
      </c>
    </row>
    <row r="1228" spans="1:9" x14ac:dyDescent="0.25">
      <c r="A1228" t="s">
        <v>47</v>
      </c>
      <c r="B1228">
        <f>VLOOKUP(A1228,art_category_path_name!A:B,2,FALSE)</f>
        <v>1191</v>
      </c>
      <c r="C1228" t="s">
        <v>9868</v>
      </c>
      <c r="D1228" t="s">
        <v>7435</v>
      </c>
      <c r="E1228" t="s">
        <v>7436</v>
      </c>
      <c r="F1228" t="s">
        <v>7437</v>
      </c>
      <c r="G1228" t="s">
        <v>7441</v>
      </c>
      <c r="H1228" t="s">
        <v>7442</v>
      </c>
      <c r="I1228">
        <v>32</v>
      </c>
    </row>
    <row r="1229" spans="1:9" x14ac:dyDescent="0.25">
      <c r="A1229" t="s">
        <v>127</v>
      </c>
      <c r="B1229">
        <f>VLOOKUP(A1229,art_category_path_name!A:B,2,FALSE)</f>
        <v>1193</v>
      </c>
      <c r="C1229" t="s">
        <v>9869</v>
      </c>
      <c r="D1229" t="s">
        <v>7444</v>
      </c>
      <c r="E1229" t="s">
        <v>7445</v>
      </c>
      <c r="F1229" t="s">
        <v>7446</v>
      </c>
      <c r="G1229" t="s">
        <v>7447</v>
      </c>
      <c r="H1229" t="s">
        <v>7448</v>
      </c>
      <c r="I1229">
        <v>44</v>
      </c>
    </row>
    <row r="1230" spans="1:9" x14ac:dyDescent="0.25">
      <c r="A1230" t="s">
        <v>128</v>
      </c>
      <c r="B1230">
        <f>VLOOKUP(A1230,art_category_path_name!A:B,2,FALSE)</f>
        <v>1194</v>
      </c>
      <c r="C1230" t="s">
        <v>9870</v>
      </c>
      <c r="D1230" t="s">
        <v>7450</v>
      </c>
      <c r="E1230" t="s">
        <v>7451</v>
      </c>
      <c r="F1230" t="s">
        <v>7452</v>
      </c>
      <c r="G1230" t="s">
        <v>7453</v>
      </c>
      <c r="H1230" t="s">
        <v>7454</v>
      </c>
      <c r="I1230">
        <v>74</v>
      </c>
    </row>
    <row r="1231" spans="1:9" x14ac:dyDescent="0.25">
      <c r="A1231" t="s">
        <v>129</v>
      </c>
      <c r="B1231">
        <f>VLOOKUP(A1231,art_category_path_name!A:B,2,FALSE)</f>
        <v>1195</v>
      </c>
      <c r="C1231" t="s">
        <v>9871</v>
      </c>
      <c r="D1231" t="s">
        <v>7456</v>
      </c>
      <c r="F1231" t="s">
        <v>1834</v>
      </c>
      <c r="G1231" t="s">
        <v>7457</v>
      </c>
      <c r="H1231" t="s">
        <v>7458</v>
      </c>
      <c r="I1231">
        <v>7</v>
      </c>
    </row>
    <row r="1232" spans="1:9" x14ac:dyDescent="0.25">
      <c r="A1232" t="s">
        <v>130</v>
      </c>
      <c r="B1232">
        <f>VLOOKUP(A1232,art_category_path_name!A:B,2,FALSE)</f>
        <v>1196</v>
      </c>
      <c r="C1232" t="s">
        <v>9872</v>
      </c>
      <c r="D1232" t="s">
        <v>7460</v>
      </c>
      <c r="F1232" t="s">
        <v>1834</v>
      </c>
      <c r="G1232" t="s">
        <v>7461</v>
      </c>
      <c r="H1232" t="s">
        <v>7462</v>
      </c>
      <c r="I1232">
        <v>1</v>
      </c>
    </row>
    <row r="1233" spans="1:9" x14ac:dyDescent="0.25">
      <c r="A1233" t="s">
        <v>131</v>
      </c>
      <c r="B1233">
        <f>VLOOKUP(A1233,art_category_path_name!A:B,2,FALSE)</f>
        <v>1197</v>
      </c>
      <c r="C1233" t="s">
        <v>9873</v>
      </c>
      <c r="D1233" t="s">
        <v>7464</v>
      </c>
      <c r="E1233" t="s">
        <v>7465</v>
      </c>
      <c r="F1233" t="s">
        <v>7466</v>
      </c>
      <c r="G1233" t="s">
        <v>7467</v>
      </c>
      <c r="H1233" t="s">
        <v>7468</v>
      </c>
      <c r="I1233">
        <v>77</v>
      </c>
    </row>
    <row r="1234" spans="1:9" x14ac:dyDescent="0.25">
      <c r="A1234" t="s">
        <v>132</v>
      </c>
      <c r="B1234">
        <f>VLOOKUP(A1234,art_category_path_name!A:B,2,FALSE)</f>
        <v>1198</v>
      </c>
      <c r="C1234" t="s">
        <v>9874</v>
      </c>
      <c r="D1234" t="s">
        <v>7470</v>
      </c>
      <c r="E1234" t="s">
        <v>7471</v>
      </c>
      <c r="F1234" t="s">
        <v>7472</v>
      </c>
      <c r="G1234" t="s">
        <v>7473</v>
      </c>
      <c r="H1234" t="s">
        <v>7474</v>
      </c>
      <c r="I1234">
        <v>49</v>
      </c>
    </row>
    <row r="1235" spans="1:9" x14ac:dyDescent="0.25">
      <c r="A1235" t="s">
        <v>133</v>
      </c>
      <c r="B1235">
        <f>VLOOKUP(A1235,art_category_path_name!A:B,2,FALSE)</f>
        <v>1199</v>
      </c>
      <c r="C1235" t="s">
        <v>9875</v>
      </c>
      <c r="D1235" t="s">
        <v>7476</v>
      </c>
      <c r="F1235" t="s">
        <v>1834</v>
      </c>
      <c r="G1235" t="s">
        <v>7477</v>
      </c>
      <c r="H1235" t="s">
        <v>7478</v>
      </c>
      <c r="I1235">
        <v>7</v>
      </c>
    </row>
    <row r="1236" spans="1:9" x14ac:dyDescent="0.25">
      <c r="A1236" t="s">
        <v>134</v>
      </c>
      <c r="B1236">
        <f>VLOOKUP(A1236,art_category_path_name!A:B,2,FALSE)</f>
        <v>1200</v>
      </c>
      <c r="C1236" t="s">
        <v>9876</v>
      </c>
      <c r="D1236" t="s">
        <v>7480</v>
      </c>
      <c r="F1236" t="s">
        <v>1834</v>
      </c>
      <c r="G1236" t="s">
        <v>7481</v>
      </c>
      <c r="H1236" t="s">
        <v>7482</v>
      </c>
      <c r="I1236">
        <v>1</v>
      </c>
    </row>
    <row r="1237" spans="1:9" x14ac:dyDescent="0.25">
      <c r="A1237" t="s">
        <v>377</v>
      </c>
      <c r="B1237">
        <f>VLOOKUP(A1237,art_category_path_name!A:B,2,FALSE)</f>
        <v>1202</v>
      </c>
      <c r="C1237" t="s">
        <v>9877</v>
      </c>
      <c r="D1237" t="s">
        <v>7484</v>
      </c>
      <c r="F1237" t="s">
        <v>1834</v>
      </c>
      <c r="G1237" t="s">
        <v>7485</v>
      </c>
      <c r="H1237" t="s">
        <v>7486</v>
      </c>
      <c r="I1237">
        <v>8</v>
      </c>
    </row>
    <row r="1238" spans="1:9" x14ac:dyDescent="0.25">
      <c r="A1238" t="s">
        <v>378</v>
      </c>
      <c r="B1238">
        <f>VLOOKUP(A1238,art_category_path_name!A:B,2,FALSE)</f>
        <v>1203</v>
      </c>
      <c r="C1238" t="s">
        <v>9878</v>
      </c>
      <c r="D1238" t="s">
        <v>7488</v>
      </c>
      <c r="F1238" t="s">
        <v>1834</v>
      </c>
      <c r="G1238" t="s">
        <v>7489</v>
      </c>
      <c r="H1238" t="s">
        <v>7490</v>
      </c>
      <c r="I1238">
        <v>8</v>
      </c>
    </row>
    <row r="1239" spans="1:9" x14ac:dyDescent="0.25">
      <c r="A1239" t="s">
        <v>379</v>
      </c>
      <c r="B1239">
        <f>VLOOKUP(A1239,art_category_path_name!A:B,2,FALSE)</f>
        <v>1204</v>
      </c>
      <c r="C1239" t="s">
        <v>9879</v>
      </c>
      <c r="D1239" t="s">
        <v>7492</v>
      </c>
      <c r="F1239" t="s">
        <v>1834</v>
      </c>
      <c r="G1239" t="s">
        <v>7493</v>
      </c>
      <c r="H1239" t="s">
        <v>7494</v>
      </c>
      <c r="I1239">
        <v>8</v>
      </c>
    </row>
    <row r="1240" spans="1:9" x14ac:dyDescent="0.25">
      <c r="A1240" t="s">
        <v>380</v>
      </c>
      <c r="B1240">
        <f>VLOOKUP(A1240,art_category_path_name!A:B,2,FALSE)</f>
        <v>1205</v>
      </c>
      <c r="C1240" t="s">
        <v>9880</v>
      </c>
      <c r="D1240" t="s">
        <v>7496</v>
      </c>
      <c r="F1240" t="s">
        <v>1834</v>
      </c>
      <c r="G1240" t="s">
        <v>7497</v>
      </c>
      <c r="H1240" t="s">
        <v>7498</v>
      </c>
      <c r="I1240">
        <v>8</v>
      </c>
    </row>
    <row r="1241" spans="1:9" x14ac:dyDescent="0.25">
      <c r="A1241" t="s">
        <v>381</v>
      </c>
      <c r="B1241">
        <f>VLOOKUP(A1241,art_category_path_name!A:B,2,FALSE)</f>
        <v>1206</v>
      </c>
      <c r="C1241" t="s">
        <v>9881</v>
      </c>
      <c r="D1241" t="s">
        <v>7500</v>
      </c>
      <c r="F1241" t="s">
        <v>1834</v>
      </c>
      <c r="G1241" t="s">
        <v>7501</v>
      </c>
      <c r="H1241" t="s">
        <v>7502</v>
      </c>
      <c r="I1241">
        <v>8</v>
      </c>
    </row>
    <row r="1242" spans="1:9" x14ac:dyDescent="0.25">
      <c r="A1242" t="s">
        <v>382</v>
      </c>
      <c r="B1242">
        <f>VLOOKUP(A1242,art_category_path_name!A:B,2,FALSE)</f>
        <v>1207</v>
      </c>
      <c r="C1242" t="s">
        <v>9882</v>
      </c>
      <c r="D1242" t="s">
        <v>7504</v>
      </c>
      <c r="F1242" t="s">
        <v>1834</v>
      </c>
      <c r="G1242" t="s">
        <v>7505</v>
      </c>
      <c r="H1242" t="s">
        <v>7506</v>
      </c>
      <c r="I1242">
        <v>8</v>
      </c>
    </row>
    <row r="1243" spans="1:9" x14ac:dyDescent="0.25">
      <c r="A1243" t="s">
        <v>383</v>
      </c>
      <c r="B1243">
        <f>VLOOKUP(A1243,art_category_path_name!A:B,2,FALSE)</f>
        <v>1208</v>
      </c>
      <c r="C1243" t="s">
        <v>9883</v>
      </c>
      <c r="D1243" t="s">
        <v>7508</v>
      </c>
      <c r="F1243" t="s">
        <v>1834</v>
      </c>
      <c r="G1243" t="s">
        <v>7509</v>
      </c>
      <c r="H1243" t="s">
        <v>7510</v>
      </c>
      <c r="I1243">
        <v>8</v>
      </c>
    </row>
    <row r="1244" spans="1:9" x14ac:dyDescent="0.25">
      <c r="A1244" t="s">
        <v>384</v>
      </c>
      <c r="B1244">
        <f>VLOOKUP(A1244,art_category_path_name!A:B,2,FALSE)</f>
        <v>1209</v>
      </c>
      <c r="C1244" t="s">
        <v>9884</v>
      </c>
      <c r="D1244" t="s">
        <v>7512</v>
      </c>
      <c r="F1244" t="s">
        <v>1834</v>
      </c>
      <c r="G1244" t="s">
        <v>7513</v>
      </c>
      <c r="H1244" t="s">
        <v>7514</v>
      </c>
      <c r="I1244">
        <v>3</v>
      </c>
    </row>
    <row r="1245" spans="1:9" x14ac:dyDescent="0.25">
      <c r="A1245" t="s">
        <v>385</v>
      </c>
      <c r="B1245">
        <f>VLOOKUP(A1245,art_category_path_name!A:B,2,FALSE)</f>
        <v>1210</v>
      </c>
      <c r="C1245" t="s">
        <v>9885</v>
      </c>
      <c r="D1245" t="s">
        <v>7516</v>
      </c>
      <c r="F1245" t="s">
        <v>1834</v>
      </c>
      <c r="G1245" t="s">
        <v>7517</v>
      </c>
      <c r="H1245" t="s">
        <v>7518</v>
      </c>
      <c r="I1245">
        <v>2</v>
      </c>
    </row>
    <row r="1246" spans="1:9" x14ac:dyDescent="0.25">
      <c r="A1246" t="s">
        <v>386</v>
      </c>
      <c r="B1246">
        <f>VLOOKUP(A1246,art_category_path_name!A:B,2,FALSE)</f>
        <v>1211</v>
      </c>
      <c r="C1246" t="s">
        <v>9886</v>
      </c>
      <c r="D1246" t="s">
        <v>7520</v>
      </c>
      <c r="F1246" t="s">
        <v>1834</v>
      </c>
      <c r="G1246" t="s">
        <v>7521</v>
      </c>
      <c r="H1246" t="s">
        <v>7522</v>
      </c>
      <c r="I1246">
        <v>12</v>
      </c>
    </row>
    <row r="1247" spans="1:9" x14ac:dyDescent="0.25">
      <c r="A1247" t="s">
        <v>387</v>
      </c>
      <c r="B1247">
        <f>VLOOKUP(A1247,art_category_path_name!A:B,2,FALSE)</f>
        <v>1212</v>
      </c>
      <c r="C1247" t="s">
        <v>9887</v>
      </c>
      <c r="D1247" t="s">
        <v>7524</v>
      </c>
      <c r="F1247" t="s">
        <v>1834</v>
      </c>
      <c r="G1247" t="s">
        <v>7525</v>
      </c>
      <c r="H1247" t="s">
        <v>7526</v>
      </c>
      <c r="I1247">
        <v>12</v>
      </c>
    </row>
    <row r="1248" spans="1:9" x14ac:dyDescent="0.25">
      <c r="A1248" t="s">
        <v>389</v>
      </c>
      <c r="B1248">
        <f>VLOOKUP(A1248,art_category_path_name!A:B,2,FALSE)</f>
        <v>1214</v>
      </c>
      <c r="C1248" t="s">
        <v>9888</v>
      </c>
      <c r="D1248" t="s">
        <v>7528</v>
      </c>
      <c r="F1248" t="s">
        <v>1834</v>
      </c>
      <c r="G1248" t="s">
        <v>7529</v>
      </c>
      <c r="H1248" t="s">
        <v>7530</v>
      </c>
      <c r="I1248">
        <v>2</v>
      </c>
    </row>
    <row r="1249" spans="1:9" x14ac:dyDescent="0.25">
      <c r="A1249" t="s">
        <v>1172</v>
      </c>
      <c r="B1249">
        <f>VLOOKUP(A1249,art_category_path_name!A:B,2,FALSE)</f>
        <v>1216</v>
      </c>
      <c r="C1249" t="s">
        <v>9889</v>
      </c>
      <c r="D1249" t="s">
        <v>7532</v>
      </c>
      <c r="E1249" t="s">
        <v>7533</v>
      </c>
      <c r="F1249" t="s">
        <v>7534</v>
      </c>
      <c r="G1249" t="s">
        <v>7535</v>
      </c>
      <c r="H1249" t="s">
        <v>7536</v>
      </c>
      <c r="I1249">
        <v>2</v>
      </c>
    </row>
    <row r="1250" spans="1:9" x14ac:dyDescent="0.25">
      <c r="A1250" t="s">
        <v>1173</v>
      </c>
      <c r="B1250">
        <f>VLOOKUP(A1250,art_category_path_name!A:B,2,FALSE)</f>
        <v>1217</v>
      </c>
      <c r="C1250" t="s">
        <v>9890</v>
      </c>
      <c r="D1250" t="s">
        <v>7538</v>
      </c>
      <c r="E1250" t="s">
        <v>7539</v>
      </c>
      <c r="F1250" t="s">
        <v>7534</v>
      </c>
      <c r="G1250" t="s">
        <v>7540</v>
      </c>
      <c r="H1250" t="s">
        <v>7541</v>
      </c>
      <c r="I1250">
        <v>2</v>
      </c>
    </row>
    <row r="1251" spans="1:9" x14ac:dyDescent="0.25">
      <c r="A1251" t="s">
        <v>1174</v>
      </c>
      <c r="B1251">
        <f>VLOOKUP(A1251,art_category_path_name!A:B,2,FALSE)</f>
        <v>1218</v>
      </c>
      <c r="C1251" t="s">
        <v>9891</v>
      </c>
      <c r="D1251" t="s">
        <v>7543</v>
      </c>
      <c r="E1251" t="s">
        <v>7544</v>
      </c>
      <c r="F1251" t="s">
        <v>7534</v>
      </c>
      <c r="G1251" t="s">
        <v>7545</v>
      </c>
      <c r="H1251" t="s">
        <v>7546</v>
      </c>
      <c r="I1251">
        <v>2</v>
      </c>
    </row>
    <row r="1252" spans="1:9" x14ac:dyDescent="0.25">
      <c r="A1252" t="s">
        <v>1175</v>
      </c>
      <c r="B1252">
        <f>VLOOKUP(A1252,art_category_path_name!A:B,2,FALSE)</f>
        <v>1219</v>
      </c>
      <c r="C1252" t="s">
        <v>9892</v>
      </c>
      <c r="D1252" t="s">
        <v>7548</v>
      </c>
      <c r="E1252" t="s">
        <v>7549</v>
      </c>
      <c r="F1252" t="s">
        <v>7534</v>
      </c>
      <c r="G1252" t="s">
        <v>7550</v>
      </c>
      <c r="H1252" t="s">
        <v>7551</v>
      </c>
      <c r="I1252">
        <v>2</v>
      </c>
    </row>
    <row r="1253" spans="1:9" x14ac:dyDescent="0.25">
      <c r="A1253" t="s">
        <v>1176</v>
      </c>
      <c r="B1253">
        <f>VLOOKUP(A1253,art_category_path_name!A:B,2,FALSE)</f>
        <v>1220</v>
      </c>
      <c r="C1253" t="s">
        <v>9893</v>
      </c>
      <c r="D1253" t="s">
        <v>7553</v>
      </c>
      <c r="E1253" t="s">
        <v>7554</v>
      </c>
      <c r="F1253" t="s">
        <v>7555</v>
      </c>
      <c r="G1253" t="s">
        <v>7556</v>
      </c>
      <c r="H1253" t="s">
        <v>7557</v>
      </c>
      <c r="I1253">
        <v>3</v>
      </c>
    </row>
    <row r="1254" spans="1:9" x14ac:dyDescent="0.25">
      <c r="A1254" t="s">
        <v>391</v>
      </c>
      <c r="B1254">
        <f>VLOOKUP(A1254,art_category_path_name!A:B,2,FALSE)</f>
        <v>1222</v>
      </c>
      <c r="C1254" t="s">
        <v>9894</v>
      </c>
      <c r="D1254" t="s">
        <v>7559</v>
      </c>
      <c r="E1254" t="s">
        <v>7560</v>
      </c>
      <c r="F1254" t="s">
        <v>7561</v>
      </c>
      <c r="G1254" t="s">
        <v>7562</v>
      </c>
      <c r="H1254" t="s">
        <v>7563</v>
      </c>
      <c r="I1254">
        <v>19</v>
      </c>
    </row>
    <row r="1255" spans="1:9" x14ac:dyDescent="0.25">
      <c r="A1255" t="s">
        <v>905</v>
      </c>
      <c r="B1255">
        <f>VLOOKUP(A1255,art_category_path_name!A:B,2,FALSE)</f>
        <v>1224</v>
      </c>
      <c r="C1255" t="s">
        <v>9895</v>
      </c>
      <c r="D1255" t="s">
        <v>7565</v>
      </c>
      <c r="F1255" t="s">
        <v>1834</v>
      </c>
      <c r="G1255" t="s">
        <v>7566</v>
      </c>
      <c r="H1255" t="s">
        <v>7567</v>
      </c>
      <c r="I1255">
        <v>54</v>
      </c>
    </row>
    <row r="1256" spans="1:9" x14ac:dyDescent="0.25">
      <c r="A1256" t="s">
        <v>906</v>
      </c>
      <c r="B1256">
        <f>VLOOKUP(A1256,art_category_path_name!A:B,2,FALSE)</f>
        <v>1225</v>
      </c>
      <c r="C1256" t="s">
        <v>9896</v>
      </c>
      <c r="D1256" t="s">
        <v>7569</v>
      </c>
      <c r="F1256" t="s">
        <v>1834</v>
      </c>
      <c r="G1256" t="s">
        <v>7570</v>
      </c>
      <c r="H1256" t="s">
        <v>7571</v>
      </c>
      <c r="I1256">
        <v>36</v>
      </c>
    </row>
    <row r="1257" spans="1:9" x14ac:dyDescent="0.25">
      <c r="A1257" t="s">
        <v>907</v>
      </c>
      <c r="B1257">
        <f>VLOOKUP(A1257,art_category_path_name!A:B,2,FALSE)</f>
        <v>1226</v>
      </c>
      <c r="C1257" t="s">
        <v>9897</v>
      </c>
      <c r="D1257" t="s">
        <v>7573</v>
      </c>
      <c r="F1257" t="s">
        <v>1834</v>
      </c>
      <c r="G1257" t="s">
        <v>7574</v>
      </c>
      <c r="H1257" t="s">
        <v>7575</v>
      </c>
      <c r="I1257">
        <v>51</v>
      </c>
    </row>
    <row r="1258" spans="1:9" x14ac:dyDescent="0.25">
      <c r="A1258" t="s">
        <v>136</v>
      </c>
      <c r="B1258">
        <f>VLOOKUP(A1258,art_category_path_name!A:B,2,FALSE)</f>
        <v>1228</v>
      </c>
      <c r="C1258" t="s">
        <v>9898</v>
      </c>
      <c r="D1258" t="s">
        <v>7577</v>
      </c>
      <c r="F1258" t="s">
        <v>1834</v>
      </c>
      <c r="G1258" t="s">
        <v>7578</v>
      </c>
      <c r="H1258" t="s">
        <v>7579</v>
      </c>
      <c r="I1258">
        <v>1</v>
      </c>
    </row>
    <row r="1259" spans="1:9" x14ac:dyDescent="0.25">
      <c r="A1259" t="s">
        <v>137</v>
      </c>
      <c r="B1259">
        <f>VLOOKUP(A1259,art_category_path_name!A:B,2,FALSE)</f>
        <v>1229</v>
      </c>
      <c r="C1259" t="s">
        <v>9899</v>
      </c>
      <c r="D1259" t="s">
        <v>7581</v>
      </c>
      <c r="F1259" t="s">
        <v>1834</v>
      </c>
      <c r="G1259" t="s">
        <v>7582</v>
      </c>
      <c r="H1259" t="s">
        <v>7583</v>
      </c>
      <c r="I1259">
        <v>1</v>
      </c>
    </row>
    <row r="1260" spans="1:9" x14ac:dyDescent="0.25">
      <c r="A1260" t="s">
        <v>138</v>
      </c>
      <c r="B1260">
        <f>VLOOKUP(A1260,art_category_path_name!A:B,2,FALSE)</f>
        <v>1230</v>
      </c>
      <c r="C1260" t="s">
        <v>9900</v>
      </c>
      <c r="D1260" t="s">
        <v>7585</v>
      </c>
      <c r="F1260" t="s">
        <v>1834</v>
      </c>
      <c r="G1260" t="s">
        <v>7586</v>
      </c>
      <c r="H1260" t="s">
        <v>7587</v>
      </c>
      <c r="I1260">
        <v>1</v>
      </c>
    </row>
    <row r="1261" spans="1:9" x14ac:dyDescent="0.25">
      <c r="A1261" t="s">
        <v>139</v>
      </c>
      <c r="B1261">
        <f>VLOOKUP(A1261,art_category_path_name!A:B,2,FALSE)</f>
        <v>1231</v>
      </c>
      <c r="C1261" t="s">
        <v>9901</v>
      </c>
      <c r="D1261" t="s">
        <v>7589</v>
      </c>
      <c r="F1261" t="s">
        <v>1834</v>
      </c>
      <c r="G1261" t="s">
        <v>7590</v>
      </c>
      <c r="H1261" t="s">
        <v>7591</v>
      </c>
      <c r="I1261">
        <v>1</v>
      </c>
    </row>
    <row r="1262" spans="1:9" x14ac:dyDescent="0.25">
      <c r="A1262" t="s">
        <v>140</v>
      </c>
      <c r="B1262">
        <f>VLOOKUP(A1262,art_category_path_name!A:B,2,FALSE)</f>
        <v>1232</v>
      </c>
      <c r="C1262" t="s">
        <v>9902</v>
      </c>
      <c r="D1262" t="s">
        <v>7593</v>
      </c>
      <c r="F1262" t="s">
        <v>1834</v>
      </c>
      <c r="G1262" t="s">
        <v>7594</v>
      </c>
      <c r="H1262" t="s">
        <v>7595</v>
      </c>
      <c r="I1262">
        <v>4</v>
      </c>
    </row>
    <row r="1263" spans="1:9" x14ac:dyDescent="0.25">
      <c r="A1263" t="s">
        <v>141</v>
      </c>
      <c r="B1263">
        <f>VLOOKUP(A1263,art_category_path_name!A:B,2,FALSE)</f>
        <v>1233</v>
      </c>
      <c r="C1263" t="s">
        <v>9903</v>
      </c>
      <c r="D1263" t="s">
        <v>7597</v>
      </c>
      <c r="F1263" t="s">
        <v>1834</v>
      </c>
      <c r="G1263" t="s">
        <v>7598</v>
      </c>
      <c r="H1263" t="s">
        <v>7599</v>
      </c>
      <c r="I1263">
        <v>1</v>
      </c>
    </row>
    <row r="1264" spans="1:9" x14ac:dyDescent="0.25">
      <c r="A1264" t="s">
        <v>142</v>
      </c>
      <c r="B1264">
        <f>VLOOKUP(A1264,art_category_path_name!A:B,2,FALSE)</f>
        <v>1234</v>
      </c>
      <c r="C1264" t="s">
        <v>9904</v>
      </c>
      <c r="D1264" t="s">
        <v>7601</v>
      </c>
      <c r="F1264" t="s">
        <v>1834</v>
      </c>
      <c r="G1264" t="s">
        <v>7602</v>
      </c>
      <c r="H1264" t="s">
        <v>7603</v>
      </c>
      <c r="I1264">
        <v>1</v>
      </c>
    </row>
    <row r="1265" spans="1:9" x14ac:dyDescent="0.25">
      <c r="A1265" t="s">
        <v>909</v>
      </c>
      <c r="B1265">
        <f>VLOOKUP(A1265,art_category_path_name!A:B,2,FALSE)</f>
        <v>1236</v>
      </c>
      <c r="C1265" t="s">
        <v>9905</v>
      </c>
      <c r="D1265" t="s">
        <v>7605</v>
      </c>
      <c r="E1265" t="s">
        <v>7606</v>
      </c>
      <c r="F1265" t="s">
        <v>7607</v>
      </c>
      <c r="G1265" t="s">
        <v>7608</v>
      </c>
      <c r="H1265" t="s">
        <v>7609</v>
      </c>
      <c r="I1265">
        <v>11</v>
      </c>
    </row>
    <row r="1266" spans="1:9" x14ac:dyDescent="0.25">
      <c r="A1266" t="s">
        <v>910</v>
      </c>
      <c r="B1266">
        <f>VLOOKUP(A1266,art_category_path_name!A:B,2,FALSE)</f>
        <v>1237</v>
      </c>
      <c r="C1266" t="s">
        <v>9906</v>
      </c>
      <c r="D1266" t="s">
        <v>7611</v>
      </c>
      <c r="E1266" t="s">
        <v>7612</v>
      </c>
      <c r="F1266" t="s">
        <v>7613</v>
      </c>
      <c r="G1266" t="s">
        <v>7614</v>
      </c>
      <c r="H1266" t="s">
        <v>7615</v>
      </c>
      <c r="I1266">
        <v>4</v>
      </c>
    </row>
    <row r="1267" spans="1:9" x14ac:dyDescent="0.25">
      <c r="A1267" t="s">
        <v>911</v>
      </c>
      <c r="B1267">
        <f>VLOOKUP(A1267,art_category_path_name!A:B,2,FALSE)</f>
        <v>1238</v>
      </c>
      <c r="C1267" t="s">
        <v>9907</v>
      </c>
      <c r="D1267" t="s">
        <v>7617</v>
      </c>
      <c r="F1267" t="s">
        <v>1834</v>
      </c>
      <c r="G1267" t="s">
        <v>7618</v>
      </c>
      <c r="H1267" t="s">
        <v>7619</v>
      </c>
      <c r="I1267">
        <v>1</v>
      </c>
    </row>
    <row r="1268" spans="1:9" x14ac:dyDescent="0.25">
      <c r="A1268" t="s">
        <v>144</v>
      </c>
      <c r="B1268">
        <f>VLOOKUP(A1268,art_category_path_name!A:B,2,FALSE)</f>
        <v>1240</v>
      </c>
      <c r="C1268" t="s">
        <v>9908</v>
      </c>
      <c r="D1268" t="s">
        <v>7621</v>
      </c>
      <c r="F1268" t="s">
        <v>1834</v>
      </c>
      <c r="G1268" t="s">
        <v>7622</v>
      </c>
      <c r="H1268" t="s">
        <v>7623</v>
      </c>
      <c r="I1268">
        <v>1</v>
      </c>
    </row>
    <row r="1269" spans="1:9" x14ac:dyDescent="0.25">
      <c r="A1269" t="s">
        <v>145</v>
      </c>
      <c r="B1269">
        <f>VLOOKUP(A1269,art_category_path_name!A:B,2,FALSE)</f>
        <v>1241</v>
      </c>
      <c r="C1269" t="s">
        <v>9909</v>
      </c>
      <c r="D1269" t="s">
        <v>7625</v>
      </c>
      <c r="F1269" t="s">
        <v>1834</v>
      </c>
      <c r="G1269" t="s">
        <v>7626</v>
      </c>
      <c r="H1269" t="s">
        <v>7627</v>
      </c>
      <c r="I1269">
        <v>3</v>
      </c>
    </row>
    <row r="1270" spans="1:9" x14ac:dyDescent="0.25">
      <c r="A1270" t="s">
        <v>97</v>
      </c>
      <c r="B1270">
        <f>VLOOKUP(A1270,art_category_path_name!A:B,2,FALSE)</f>
        <v>1242</v>
      </c>
      <c r="C1270" t="s">
        <v>9910</v>
      </c>
      <c r="D1270" t="s">
        <v>7629</v>
      </c>
      <c r="F1270" t="s">
        <v>1834</v>
      </c>
      <c r="G1270" t="s">
        <v>7630</v>
      </c>
      <c r="H1270" t="s">
        <v>7631</v>
      </c>
      <c r="I1270">
        <v>8</v>
      </c>
    </row>
    <row r="1271" spans="1:9" x14ac:dyDescent="0.25">
      <c r="A1271" t="s">
        <v>1015</v>
      </c>
      <c r="B1271">
        <f>VLOOKUP(A1271,art_category_path_name!A:B,2,FALSE)</f>
        <v>1244</v>
      </c>
      <c r="C1271" t="s">
        <v>9911</v>
      </c>
      <c r="D1271" t="s">
        <v>7633</v>
      </c>
      <c r="F1271" t="s">
        <v>1834</v>
      </c>
      <c r="G1271" t="s">
        <v>7634</v>
      </c>
      <c r="H1271" t="s">
        <v>7635</v>
      </c>
      <c r="I1271">
        <v>2</v>
      </c>
    </row>
    <row r="1272" spans="1:9" x14ac:dyDescent="0.25">
      <c r="A1272" t="s">
        <v>1016</v>
      </c>
      <c r="B1272">
        <f>VLOOKUP(A1272,art_category_path_name!A:B,2,FALSE)</f>
        <v>1245</v>
      </c>
      <c r="C1272" t="s">
        <v>9912</v>
      </c>
      <c r="D1272" t="s">
        <v>7637</v>
      </c>
      <c r="F1272" t="s">
        <v>1834</v>
      </c>
      <c r="G1272" t="s">
        <v>7638</v>
      </c>
      <c r="H1272" t="s">
        <v>7639</v>
      </c>
      <c r="I1272">
        <v>2</v>
      </c>
    </row>
    <row r="1273" spans="1:9" x14ac:dyDescent="0.25">
      <c r="A1273" t="s">
        <v>860</v>
      </c>
      <c r="B1273">
        <f>VLOOKUP(A1273,art_category_path_name!A:B,2,FALSE)</f>
        <v>1247</v>
      </c>
      <c r="C1273" t="s">
        <v>9913</v>
      </c>
      <c r="D1273" t="s">
        <v>7641</v>
      </c>
      <c r="E1273" t="s">
        <v>7642</v>
      </c>
      <c r="F1273" t="s">
        <v>7643</v>
      </c>
      <c r="G1273" t="s">
        <v>7644</v>
      </c>
      <c r="H1273" t="s">
        <v>7645</v>
      </c>
      <c r="I1273">
        <v>28</v>
      </c>
    </row>
    <row r="1274" spans="1:9" x14ac:dyDescent="0.25">
      <c r="A1274" t="s">
        <v>861</v>
      </c>
      <c r="B1274">
        <f>VLOOKUP(A1274,art_category_path_name!A:B,2,FALSE)</f>
        <v>1248</v>
      </c>
      <c r="C1274" t="s">
        <v>9914</v>
      </c>
      <c r="D1274" t="s">
        <v>7647</v>
      </c>
      <c r="E1274" t="s">
        <v>7648</v>
      </c>
      <c r="F1274" t="s">
        <v>7649</v>
      </c>
      <c r="G1274" t="s">
        <v>7650</v>
      </c>
      <c r="H1274" t="s">
        <v>7651</v>
      </c>
      <c r="I1274">
        <v>58</v>
      </c>
    </row>
    <row r="1275" spans="1:9" x14ac:dyDescent="0.25">
      <c r="A1275" t="s">
        <v>862</v>
      </c>
      <c r="B1275">
        <f>VLOOKUP(A1275,art_category_path_name!A:B,2,FALSE)</f>
        <v>1249</v>
      </c>
      <c r="C1275" t="s">
        <v>9915</v>
      </c>
      <c r="D1275" t="s">
        <v>7653</v>
      </c>
      <c r="E1275" t="s">
        <v>7654</v>
      </c>
      <c r="F1275" t="s">
        <v>7653</v>
      </c>
      <c r="G1275" t="s">
        <v>7655</v>
      </c>
      <c r="H1275" t="s">
        <v>7656</v>
      </c>
      <c r="I1275">
        <v>66</v>
      </c>
    </row>
    <row r="1276" spans="1:9" x14ac:dyDescent="0.25">
      <c r="A1276" t="s">
        <v>863</v>
      </c>
      <c r="B1276">
        <f>VLOOKUP(A1276,art_category_path_name!A:B,2,FALSE)</f>
        <v>1250</v>
      </c>
      <c r="C1276" t="s">
        <v>9916</v>
      </c>
      <c r="D1276" t="s">
        <v>7653</v>
      </c>
      <c r="E1276" t="s">
        <v>7658</v>
      </c>
      <c r="F1276" t="s">
        <v>7653</v>
      </c>
      <c r="G1276" t="s">
        <v>7659</v>
      </c>
      <c r="H1276" t="s">
        <v>7660</v>
      </c>
      <c r="I1276">
        <v>116</v>
      </c>
    </row>
    <row r="1277" spans="1:9" x14ac:dyDescent="0.25">
      <c r="A1277" t="s">
        <v>864</v>
      </c>
      <c r="B1277">
        <f>VLOOKUP(A1277,art_category_path_name!A:B,2,FALSE)</f>
        <v>1251</v>
      </c>
      <c r="C1277" t="s">
        <v>9917</v>
      </c>
      <c r="D1277" t="s">
        <v>7653</v>
      </c>
      <c r="E1277" t="s">
        <v>7662</v>
      </c>
      <c r="F1277" t="s">
        <v>7653</v>
      </c>
      <c r="G1277" t="s">
        <v>7663</v>
      </c>
      <c r="H1277" t="s">
        <v>7664</v>
      </c>
      <c r="I1277">
        <v>32</v>
      </c>
    </row>
    <row r="1278" spans="1:9" x14ac:dyDescent="0.25">
      <c r="A1278" t="s">
        <v>865</v>
      </c>
      <c r="B1278">
        <f>VLOOKUP(A1278,art_category_path_name!A:B,2,FALSE)</f>
        <v>1252</v>
      </c>
      <c r="C1278" t="s">
        <v>9918</v>
      </c>
      <c r="D1278" t="s">
        <v>7653</v>
      </c>
      <c r="E1278" t="s">
        <v>7666</v>
      </c>
      <c r="F1278" t="s">
        <v>7653</v>
      </c>
      <c r="G1278" t="s">
        <v>7667</v>
      </c>
      <c r="H1278" t="s">
        <v>7668</v>
      </c>
      <c r="I1278">
        <v>216</v>
      </c>
    </row>
    <row r="1279" spans="1:9" x14ac:dyDescent="0.25">
      <c r="A1279" t="s">
        <v>866</v>
      </c>
      <c r="B1279">
        <f>VLOOKUP(A1279,art_category_path_name!A:B,2,FALSE)</f>
        <v>1253</v>
      </c>
      <c r="C1279" t="s">
        <v>9919</v>
      </c>
      <c r="D1279" t="s">
        <v>7670</v>
      </c>
      <c r="E1279" t="s">
        <v>7671</v>
      </c>
      <c r="F1279" t="s">
        <v>5947</v>
      </c>
      <c r="G1279" t="s">
        <v>7672</v>
      </c>
      <c r="H1279" t="s">
        <v>7673</v>
      </c>
      <c r="I1279">
        <v>52</v>
      </c>
    </row>
    <row r="1280" spans="1:9" x14ac:dyDescent="0.25">
      <c r="A1280" t="s">
        <v>867</v>
      </c>
      <c r="B1280">
        <f>VLOOKUP(A1280,art_category_path_name!A:B,2,FALSE)</f>
        <v>1254</v>
      </c>
      <c r="C1280" t="s">
        <v>9920</v>
      </c>
      <c r="D1280" t="s">
        <v>7675</v>
      </c>
      <c r="E1280" t="s">
        <v>7676</v>
      </c>
      <c r="F1280" t="s">
        <v>5941</v>
      </c>
      <c r="G1280" t="s">
        <v>7677</v>
      </c>
      <c r="H1280" t="s">
        <v>7678</v>
      </c>
      <c r="I1280">
        <v>68</v>
      </c>
    </row>
    <row r="1281" spans="1:9" x14ac:dyDescent="0.25">
      <c r="A1281" t="s">
        <v>868</v>
      </c>
      <c r="B1281">
        <f>VLOOKUP(A1281,art_category_path_name!A:B,2,FALSE)</f>
        <v>1255</v>
      </c>
      <c r="C1281" t="s">
        <v>9921</v>
      </c>
      <c r="D1281" t="s">
        <v>7653</v>
      </c>
      <c r="E1281" t="s">
        <v>7680</v>
      </c>
      <c r="F1281" t="s">
        <v>7653</v>
      </c>
      <c r="G1281" t="s">
        <v>7681</v>
      </c>
      <c r="H1281" t="s">
        <v>7682</v>
      </c>
      <c r="I1281">
        <v>24</v>
      </c>
    </row>
    <row r="1282" spans="1:9" x14ac:dyDescent="0.25">
      <c r="A1282" t="s">
        <v>869</v>
      </c>
      <c r="B1282">
        <f>VLOOKUP(A1282,art_category_path_name!A:B,2,FALSE)</f>
        <v>1256</v>
      </c>
      <c r="C1282" t="s">
        <v>9922</v>
      </c>
      <c r="D1282" t="s">
        <v>7684</v>
      </c>
      <c r="E1282" t="s">
        <v>7685</v>
      </c>
      <c r="F1282" t="s">
        <v>7686</v>
      </c>
      <c r="G1282" t="s">
        <v>7687</v>
      </c>
      <c r="H1282" t="s">
        <v>7688</v>
      </c>
      <c r="I1282">
        <v>82</v>
      </c>
    </row>
    <row r="1283" spans="1:9" x14ac:dyDescent="0.25">
      <c r="A1283" t="s">
        <v>870</v>
      </c>
      <c r="B1283">
        <f>VLOOKUP(A1283,art_category_path_name!A:B,2,FALSE)</f>
        <v>1257</v>
      </c>
      <c r="C1283" t="s">
        <v>9923</v>
      </c>
      <c r="D1283" t="s">
        <v>7653</v>
      </c>
      <c r="E1283" t="s">
        <v>7690</v>
      </c>
      <c r="F1283" t="s">
        <v>7653</v>
      </c>
      <c r="G1283" t="s">
        <v>7691</v>
      </c>
      <c r="H1283" t="s">
        <v>7692</v>
      </c>
      <c r="I1283">
        <v>55</v>
      </c>
    </row>
    <row r="1284" spans="1:9" x14ac:dyDescent="0.25">
      <c r="A1284" t="s">
        <v>871</v>
      </c>
      <c r="B1284">
        <f>VLOOKUP(A1284,art_category_path_name!A:B,2,FALSE)</f>
        <v>1258</v>
      </c>
      <c r="C1284" t="s">
        <v>9924</v>
      </c>
      <c r="D1284" t="s">
        <v>7653</v>
      </c>
      <c r="E1284" t="s">
        <v>7694</v>
      </c>
      <c r="F1284" t="s">
        <v>7653</v>
      </c>
      <c r="G1284" t="s">
        <v>7695</v>
      </c>
      <c r="H1284" t="s">
        <v>7696</v>
      </c>
      <c r="I1284">
        <v>196</v>
      </c>
    </row>
    <row r="1285" spans="1:9" x14ac:dyDescent="0.25">
      <c r="A1285" t="s">
        <v>872</v>
      </c>
      <c r="B1285">
        <f>VLOOKUP(A1285,art_category_path_name!A:B,2,FALSE)</f>
        <v>1259</v>
      </c>
      <c r="C1285" t="s">
        <v>9925</v>
      </c>
      <c r="D1285" t="s">
        <v>7653</v>
      </c>
      <c r="E1285" t="s">
        <v>7698</v>
      </c>
      <c r="F1285" t="s">
        <v>7653</v>
      </c>
      <c r="G1285" t="s">
        <v>7699</v>
      </c>
      <c r="H1285" t="s">
        <v>7700</v>
      </c>
      <c r="I1285">
        <v>52</v>
      </c>
    </row>
    <row r="1286" spans="1:9" x14ac:dyDescent="0.25">
      <c r="A1286" t="s">
        <v>444</v>
      </c>
      <c r="B1286">
        <f>VLOOKUP(A1286,art_category_path_name!A:B,2,FALSE)</f>
        <v>1261</v>
      </c>
      <c r="C1286" t="s">
        <v>9926</v>
      </c>
      <c r="D1286" t="s">
        <v>7702</v>
      </c>
      <c r="F1286" t="s">
        <v>1834</v>
      </c>
      <c r="G1286" t="s">
        <v>7703</v>
      </c>
      <c r="H1286" t="s">
        <v>7704</v>
      </c>
      <c r="I1286">
        <v>5</v>
      </c>
    </row>
    <row r="1287" spans="1:9" x14ac:dyDescent="0.25">
      <c r="A1287" t="s">
        <v>445</v>
      </c>
      <c r="B1287">
        <f>VLOOKUP(A1287,art_category_path_name!A:B,2,FALSE)</f>
        <v>1262</v>
      </c>
      <c r="C1287" t="s">
        <v>9927</v>
      </c>
      <c r="D1287" t="s">
        <v>7706</v>
      </c>
      <c r="F1287" t="s">
        <v>1834</v>
      </c>
      <c r="G1287" t="s">
        <v>7707</v>
      </c>
      <c r="H1287" t="s">
        <v>7708</v>
      </c>
      <c r="I1287">
        <v>1</v>
      </c>
    </row>
    <row r="1288" spans="1:9" x14ac:dyDescent="0.25">
      <c r="A1288" t="s">
        <v>446</v>
      </c>
      <c r="B1288">
        <f>VLOOKUP(A1288,art_category_path_name!A:B,2,FALSE)</f>
        <v>1263</v>
      </c>
      <c r="C1288" t="s">
        <v>9928</v>
      </c>
      <c r="D1288" t="s">
        <v>7710</v>
      </c>
      <c r="E1288" t="s">
        <v>7711</v>
      </c>
      <c r="F1288" t="s">
        <v>7712</v>
      </c>
      <c r="G1288" t="s">
        <v>7713</v>
      </c>
      <c r="H1288" t="s">
        <v>7714</v>
      </c>
      <c r="I1288">
        <v>3</v>
      </c>
    </row>
    <row r="1289" spans="1:9" x14ac:dyDescent="0.25">
      <c r="A1289" t="s">
        <v>448</v>
      </c>
      <c r="B1289">
        <f>VLOOKUP(A1289,art_category_path_name!A:B,2,FALSE)</f>
        <v>1265</v>
      </c>
      <c r="C1289" t="s">
        <v>9929</v>
      </c>
      <c r="D1289" t="s">
        <v>7716</v>
      </c>
      <c r="E1289" t="s">
        <v>7717</v>
      </c>
      <c r="F1289" t="s">
        <v>7718</v>
      </c>
      <c r="G1289" t="s">
        <v>7719</v>
      </c>
      <c r="H1289" t="s">
        <v>7720</v>
      </c>
      <c r="I1289">
        <v>3</v>
      </c>
    </row>
    <row r="1290" spans="1:9" x14ac:dyDescent="0.25">
      <c r="A1290" t="s">
        <v>449</v>
      </c>
      <c r="B1290">
        <f>VLOOKUP(A1290,art_category_path_name!A:B,2,FALSE)</f>
        <v>1266</v>
      </c>
      <c r="C1290" t="s">
        <v>9930</v>
      </c>
      <c r="D1290" t="s">
        <v>7722</v>
      </c>
      <c r="E1290" t="s">
        <v>7723</v>
      </c>
      <c r="F1290" t="s">
        <v>7724</v>
      </c>
      <c r="G1290" t="s">
        <v>7725</v>
      </c>
      <c r="H1290" t="s">
        <v>7726</v>
      </c>
      <c r="I1290">
        <v>18</v>
      </c>
    </row>
    <row r="1291" spans="1:9" x14ac:dyDescent="0.25">
      <c r="A1291" t="s">
        <v>450</v>
      </c>
      <c r="B1291">
        <f>VLOOKUP(A1291,art_category_path_name!A:B,2,FALSE)</f>
        <v>1267</v>
      </c>
      <c r="C1291" t="s">
        <v>9931</v>
      </c>
      <c r="D1291" t="s">
        <v>7728</v>
      </c>
      <c r="E1291" t="s">
        <v>7729</v>
      </c>
      <c r="F1291" t="s">
        <v>7730</v>
      </c>
      <c r="G1291" t="s">
        <v>7731</v>
      </c>
      <c r="H1291" t="s">
        <v>7732</v>
      </c>
      <c r="I1291">
        <v>48</v>
      </c>
    </row>
    <row r="1292" spans="1:9" x14ac:dyDescent="0.25">
      <c r="A1292" t="s">
        <v>451</v>
      </c>
      <c r="B1292">
        <f>VLOOKUP(A1292,art_category_path_name!A:B,2,FALSE)</f>
        <v>1268</v>
      </c>
      <c r="C1292" t="s">
        <v>9932</v>
      </c>
      <c r="D1292" t="s">
        <v>7734</v>
      </c>
      <c r="E1292" t="s">
        <v>7735</v>
      </c>
      <c r="F1292" t="s">
        <v>7736</v>
      </c>
      <c r="G1292" t="s">
        <v>7737</v>
      </c>
      <c r="H1292" t="s">
        <v>7738</v>
      </c>
      <c r="I1292">
        <v>5</v>
      </c>
    </row>
    <row r="1293" spans="1:9" x14ac:dyDescent="0.25">
      <c r="A1293" t="s">
        <v>452</v>
      </c>
      <c r="B1293">
        <f>VLOOKUP(A1293,art_category_path_name!A:B,2,FALSE)</f>
        <v>1269</v>
      </c>
      <c r="C1293" t="s">
        <v>9933</v>
      </c>
      <c r="D1293" t="s">
        <v>7740</v>
      </c>
      <c r="E1293" t="s">
        <v>7741</v>
      </c>
      <c r="F1293" t="s">
        <v>7742</v>
      </c>
      <c r="G1293" t="s">
        <v>7743</v>
      </c>
      <c r="H1293" t="s">
        <v>7744</v>
      </c>
      <c r="I1293">
        <v>10</v>
      </c>
    </row>
    <row r="1294" spans="1:9" x14ac:dyDescent="0.25">
      <c r="A1294" t="s">
        <v>453</v>
      </c>
      <c r="B1294">
        <f>VLOOKUP(A1294,art_category_path_name!A:B,2,FALSE)</f>
        <v>1270</v>
      </c>
      <c r="C1294" t="s">
        <v>9934</v>
      </c>
      <c r="D1294" t="s">
        <v>7746</v>
      </c>
      <c r="E1294" t="s">
        <v>7747</v>
      </c>
      <c r="F1294" t="s">
        <v>7748</v>
      </c>
      <c r="G1294" t="s">
        <v>7749</v>
      </c>
      <c r="H1294" t="s">
        <v>7750</v>
      </c>
      <c r="I1294">
        <v>3</v>
      </c>
    </row>
    <row r="1295" spans="1:9" x14ac:dyDescent="0.25">
      <c r="A1295" t="s">
        <v>454</v>
      </c>
      <c r="B1295">
        <f>VLOOKUP(A1295,art_category_path_name!A:B,2,FALSE)</f>
        <v>1271</v>
      </c>
      <c r="C1295" t="s">
        <v>9935</v>
      </c>
      <c r="D1295" t="s">
        <v>7752</v>
      </c>
      <c r="E1295" t="s">
        <v>7753</v>
      </c>
      <c r="F1295" t="s">
        <v>7754</v>
      </c>
      <c r="G1295" t="s">
        <v>7755</v>
      </c>
      <c r="H1295" t="s">
        <v>7756</v>
      </c>
      <c r="I1295">
        <v>10</v>
      </c>
    </row>
    <row r="1296" spans="1:9" x14ac:dyDescent="0.25">
      <c r="A1296" t="s">
        <v>147</v>
      </c>
      <c r="B1296">
        <f>VLOOKUP(A1296,art_category_path_name!A:B,2,FALSE)</f>
        <v>1273</v>
      </c>
      <c r="C1296" t="s">
        <v>9936</v>
      </c>
      <c r="D1296" t="s">
        <v>7758</v>
      </c>
      <c r="E1296" t="s">
        <v>7759</v>
      </c>
      <c r="F1296" t="s">
        <v>7760</v>
      </c>
      <c r="G1296" t="s">
        <v>7761</v>
      </c>
      <c r="H1296" t="s">
        <v>7762</v>
      </c>
      <c r="I1296">
        <v>3</v>
      </c>
    </row>
    <row r="1297" spans="1:9" x14ac:dyDescent="0.25">
      <c r="A1297" t="s">
        <v>148</v>
      </c>
      <c r="B1297">
        <f>VLOOKUP(A1297,art_category_path_name!A:B,2,FALSE)</f>
        <v>1274</v>
      </c>
      <c r="C1297" t="s">
        <v>9937</v>
      </c>
      <c r="D1297" t="s">
        <v>7764</v>
      </c>
      <c r="F1297" t="s">
        <v>1834</v>
      </c>
      <c r="G1297" t="s">
        <v>7765</v>
      </c>
      <c r="H1297" t="s">
        <v>7766</v>
      </c>
      <c r="I1297">
        <v>2</v>
      </c>
    </row>
    <row r="1298" spans="1:9" x14ac:dyDescent="0.25">
      <c r="A1298" t="s">
        <v>149</v>
      </c>
      <c r="B1298">
        <f>VLOOKUP(A1298,art_category_path_name!A:B,2,FALSE)</f>
        <v>1275</v>
      </c>
      <c r="C1298" t="s">
        <v>9938</v>
      </c>
      <c r="D1298" t="s">
        <v>7768</v>
      </c>
      <c r="F1298" t="s">
        <v>1834</v>
      </c>
      <c r="G1298" t="s">
        <v>7769</v>
      </c>
      <c r="H1298" t="s">
        <v>7770</v>
      </c>
      <c r="I1298">
        <v>1</v>
      </c>
    </row>
    <row r="1299" spans="1:9" x14ac:dyDescent="0.25">
      <c r="A1299" t="s">
        <v>150</v>
      </c>
      <c r="B1299">
        <f>VLOOKUP(A1299,art_category_path_name!A:B,2,FALSE)</f>
        <v>1276</v>
      </c>
      <c r="C1299" t="s">
        <v>9939</v>
      </c>
      <c r="D1299" t="s">
        <v>7772</v>
      </c>
      <c r="F1299" t="s">
        <v>1834</v>
      </c>
      <c r="G1299" t="s">
        <v>7773</v>
      </c>
      <c r="H1299" t="s">
        <v>7774</v>
      </c>
      <c r="I1299">
        <v>1</v>
      </c>
    </row>
    <row r="1300" spans="1:9" x14ac:dyDescent="0.25">
      <c r="A1300" t="s">
        <v>151</v>
      </c>
      <c r="B1300">
        <f>VLOOKUP(A1300,art_category_path_name!A:B,2,FALSE)</f>
        <v>1277</v>
      </c>
      <c r="C1300" t="s">
        <v>9940</v>
      </c>
      <c r="D1300" t="s">
        <v>7776</v>
      </c>
      <c r="F1300" t="s">
        <v>1834</v>
      </c>
      <c r="G1300" t="s">
        <v>7777</v>
      </c>
      <c r="H1300" t="s">
        <v>7778</v>
      </c>
      <c r="I1300">
        <v>1</v>
      </c>
    </row>
    <row r="1301" spans="1:9" x14ac:dyDescent="0.25">
      <c r="A1301" t="s">
        <v>1245</v>
      </c>
      <c r="B1301">
        <f>VLOOKUP(A1301,art_category_path_name!A:B,2,FALSE)</f>
        <v>1279</v>
      </c>
      <c r="C1301" t="s">
        <v>9941</v>
      </c>
      <c r="D1301" t="s">
        <v>7780</v>
      </c>
      <c r="E1301" t="s">
        <v>7781</v>
      </c>
      <c r="F1301" t="s">
        <v>7782</v>
      </c>
      <c r="G1301" t="s">
        <v>7783</v>
      </c>
      <c r="H1301" t="s">
        <v>7784</v>
      </c>
      <c r="I1301">
        <v>12</v>
      </c>
    </row>
    <row r="1302" spans="1:9" x14ac:dyDescent="0.25">
      <c r="A1302" t="s">
        <v>1246</v>
      </c>
      <c r="B1302">
        <f>VLOOKUP(A1302,art_category_path_name!A:B,2,FALSE)</f>
        <v>1280</v>
      </c>
      <c r="C1302" t="s">
        <v>9942</v>
      </c>
      <c r="D1302" t="s">
        <v>7786</v>
      </c>
      <c r="F1302" t="s">
        <v>1834</v>
      </c>
      <c r="G1302" t="s">
        <v>7787</v>
      </c>
      <c r="H1302" t="s">
        <v>7788</v>
      </c>
      <c r="I1302">
        <v>3</v>
      </c>
    </row>
    <row r="1303" spans="1:9" x14ac:dyDescent="0.25">
      <c r="A1303" t="s">
        <v>1247</v>
      </c>
      <c r="B1303">
        <f>VLOOKUP(A1303,art_category_path_name!A:B,2,FALSE)</f>
        <v>1281</v>
      </c>
      <c r="C1303" t="s">
        <v>9943</v>
      </c>
      <c r="D1303" t="s">
        <v>7790</v>
      </c>
      <c r="F1303" t="s">
        <v>1834</v>
      </c>
      <c r="G1303" t="s">
        <v>7791</v>
      </c>
      <c r="H1303" t="s">
        <v>7792</v>
      </c>
      <c r="I1303">
        <v>3</v>
      </c>
    </row>
    <row r="1304" spans="1:9" x14ac:dyDescent="0.25">
      <c r="A1304" t="s">
        <v>1248</v>
      </c>
      <c r="B1304">
        <f>VLOOKUP(A1304,art_category_path_name!A:B,2,FALSE)</f>
        <v>1282</v>
      </c>
      <c r="C1304" t="s">
        <v>9944</v>
      </c>
      <c r="D1304" t="s">
        <v>7794</v>
      </c>
      <c r="E1304" t="s">
        <v>7795</v>
      </c>
      <c r="F1304" t="s">
        <v>7796</v>
      </c>
      <c r="G1304" t="s">
        <v>7797</v>
      </c>
      <c r="H1304" t="s">
        <v>7798</v>
      </c>
      <c r="I1304">
        <v>3</v>
      </c>
    </row>
    <row r="1305" spans="1:9" x14ac:dyDescent="0.25">
      <c r="A1305" t="s">
        <v>1249</v>
      </c>
      <c r="B1305">
        <f>VLOOKUP(A1305,art_category_path_name!A:B,2,FALSE)</f>
        <v>1283</v>
      </c>
      <c r="C1305" t="s">
        <v>9945</v>
      </c>
      <c r="D1305" t="s">
        <v>7800</v>
      </c>
      <c r="E1305" s="1">
        <v>42802</v>
      </c>
      <c r="F1305" s="1">
        <v>42802</v>
      </c>
      <c r="G1305" t="s">
        <v>7801</v>
      </c>
      <c r="H1305" t="s">
        <v>7802</v>
      </c>
      <c r="I1305">
        <v>7</v>
      </c>
    </row>
    <row r="1306" spans="1:9" x14ac:dyDescent="0.25">
      <c r="A1306" t="s">
        <v>1250</v>
      </c>
      <c r="B1306">
        <f>VLOOKUP(A1306,art_category_path_name!A:B,2,FALSE)</f>
        <v>1284</v>
      </c>
      <c r="C1306" t="s">
        <v>9946</v>
      </c>
      <c r="D1306" t="s">
        <v>7804</v>
      </c>
      <c r="E1306" t="s">
        <v>7805</v>
      </c>
      <c r="F1306" t="s">
        <v>7806</v>
      </c>
      <c r="G1306" t="s">
        <v>7797</v>
      </c>
      <c r="H1306" t="s">
        <v>7807</v>
      </c>
      <c r="I1306">
        <v>13</v>
      </c>
    </row>
    <row r="1307" spans="1:9" x14ac:dyDescent="0.25">
      <c r="A1307" t="s">
        <v>1251</v>
      </c>
      <c r="B1307">
        <f>VLOOKUP(A1307,art_category_path_name!A:B,2,FALSE)</f>
        <v>1285</v>
      </c>
      <c r="C1307" t="s">
        <v>9947</v>
      </c>
      <c r="D1307" t="s">
        <v>7809</v>
      </c>
      <c r="F1307" t="s">
        <v>1834</v>
      </c>
      <c r="G1307" t="s">
        <v>7810</v>
      </c>
      <c r="H1307" t="s">
        <v>7811</v>
      </c>
      <c r="I1307">
        <v>2</v>
      </c>
    </row>
    <row r="1308" spans="1:9" x14ac:dyDescent="0.25">
      <c r="A1308" t="s">
        <v>1253</v>
      </c>
      <c r="B1308">
        <f>VLOOKUP(A1308,art_category_path_name!A:B,2,FALSE)</f>
        <v>1287</v>
      </c>
      <c r="C1308" t="s">
        <v>9948</v>
      </c>
      <c r="D1308" t="s">
        <v>7813</v>
      </c>
      <c r="E1308" t="s">
        <v>7814</v>
      </c>
      <c r="F1308" t="s">
        <v>7813</v>
      </c>
      <c r="G1308" t="s">
        <v>7815</v>
      </c>
      <c r="H1308" t="s">
        <v>7816</v>
      </c>
      <c r="I1308">
        <v>4</v>
      </c>
    </row>
    <row r="1309" spans="1:9" x14ac:dyDescent="0.25">
      <c r="A1309" t="s">
        <v>1254</v>
      </c>
      <c r="B1309">
        <f>VLOOKUP(A1309,art_category_path_name!A:B,2,FALSE)</f>
        <v>1288</v>
      </c>
      <c r="C1309" t="s">
        <v>9949</v>
      </c>
      <c r="D1309" t="s">
        <v>7818</v>
      </c>
      <c r="E1309" t="s">
        <v>7819</v>
      </c>
      <c r="F1309" t="s">
        <v>7818</v>
      </c>
      <c r="G1309" t="s">
        <v>7820</v>
      </c>
      <c r="H1309" t="s">
        <v>7821</v>
      </c>
      <c r="I1309">
        <v>4</v>
      </c>
    </row>
    <row r="1310" spans="1:9" x14ac:dyDescent="0.25">
      <c r="A1310" t="s">
        <v>1255</v>
      </c>
      <c r="B1310">
        <f>VLOOKUP(A1310,art_category_path_name!A:B,2,FALSE)</f>
        <v>1289</v>
      </c>
      <c r="C1310" t="s">
        <v>9950</v>
      </c>
      <c r="D1310" t="s">
        <v>7823</v>
      </c>
      <c r="E1310" t="s">
        <v>7824</v>
      </c>
      <c r="F1310" t="s">
        <v>7825</v>
      </c>
      <c r="G1310" t="s">
        <v>7826</v>
      </c>
      <c r="H1310" t="s">
        <v>7827</v>
      </c>
      <c r="I1310">
        <v>2</v>
      </c>
    </row>
    <row r="1311" spans="1:9" x14ac:dyDescent="0.25">
      <c r="A1311" t="s">
        <v>1256</v>
      </c>
      <c r="B1311">
        <f>VLOOKUP(A1311,art_category_path_name!A:B,2,FALSE)</f>
        <v>1290</v>
      </c>
      <c r="C1311" t="s">
        <v>9951</v>
      </c>
      <c r="D1311" t="s">
        <v>7829</v>
      </c>
      <c r="E1311" t="s">
        <v>7830</v>
      </c>
      <c r="F1311" t="s">
        <v>7829</v>
      </c>
      <c r="G1311" t="s">
        <v>7831</v>
      </c>
      <c r="H1311" t="s">
        <v>7832</v>
      </c>
      <c r="I1311">
        <v>4</v>
      </c>
    </row>
    <row r="1312" spans="1:9" x14ac:dyDescent="0.25">
      <c r="A1312" t="s">
        <v>1257</v>
      </c>
      <c r="B1312">
        <f>VLOOKUP(A1312,art_category_path_name!A:B,2,FALSE)</f>
        <v>1291</v>
      </c>
      <c r="C1312" t="s">
        <v>9952</v>
      </c>
      <c r="D1312" t="s">
        <v>7834</v>
      </c>
      <c r="E1312" t="s">
        <v>7835</v>
      </c>
      <c r="F1312" t="s">
        <v>7834</v>
      </c>
      <c r="G1312" t="s">
        <v>7836</v>
      </c>
      <c r="H1312" t="s">
        <v>7837</v>
      </c>
      <c r="I1312">
        <v>4</v>
      </c>
    </row>
    <row r="1313" spans="1:9" x14ac:dyDescent="0.25">
      <c r="A1313" t="s">
        <v>456</v>
      </c>
      <c r="B1313">
        <f>VLOOKUP(A1313,art_category_path_name!A:B,2,FALSE)</f>
        <v>1293</v>
      </c>
      <c r="C1313" t="s">
        <v>9953</v>
      </c>
      <c r="D1313" t="s">
        <v>7839</v>
      </c>
      <c r="F1313" t="s">
        <v>1834</v>
      </c>
      <c r="G1313" t="s">
        <v>7713</v>
      </c>
      <c r="H1313" t="s">
        <v>7840</v>
      </c>
      <c r="I1313">
        <v>12</v>
      </c>
    </row>
    <row r="1314" spans="1:9" x14ac:dyDescent="0.25">
      <c r="A1314" t="s">
        <v>457</v>
      </c>
      <c r="B1314">
        <f>VLOOKUP(A1314,art_category_path_name!A:B,2,FALSE)</f>
        <v>1294</v>
      </c>
      <c r="C1314" t="s">
        <v>9954</v>
      </c>
      <c r="D1314" t="s">
        <v>7842</v>
      </c>
      <c r="F1314" t="s">
        <v>1834</v>
      </c>
      <c r="G1314" t="s">
        <v>7843</v>
      </c>
      <c r="H1314" t="s">
        <v>7844</v>
      </c>
      <c r="I1314">
        <v>3</v>
      </c>
    </row>
    <row r="1315" spans="1:9" x14ac:dyDescent="0.25">
      <c r="A1315" t="s">
        <v>458</v>
      </c>
      <c r="B1315">
        <f>VLOOKUP(A1315,art_category_path_name!A:B,2,FALSE)</f>
        <v>1295</v>
      </c>
      <c r="C1315" t="s">
        <v>9955</v>
      </c>
      <c r="D1315" t="s">
        <v>7846</v>
      </c>
      <c r="E1315" t="s">
        <v>7847</v>
      </c>
      <c r="F1315" t="s">
        <v>7848</v>
      </c>
      <c r="G1315" t="s">
        <v>7849</v>
      </c>
      <c r="H1315" t="s">
        <v>7850</v>
      </c>
      <c r="I1315">
        <v>1</v>
      </c>
    </row>
    <row r="1316" spans="1:9" x14ac:dyDescent="0.25">
      <c r="A1316" t="s">
        <v>778</v>
      </c>
      <c r="B1316">
        <f>VLOOKUP(A1316,art_category_path_name!A:B,2,FALSE)</f>
        <v>1297</v>
      </c>
      <c r="C1316" t="s">
        <v>9956</v>
      </c>
      <c r="D1316" t="s">
        <v>7852</v>
      </c>
      <c r="E1316" t="s">
        <v>7853</v>
      </c>
      <c r="F1316" t="s">
        <v>7854</v>
      </c>
      <c r="G1316" t="s">
        <v>7855</v>
      </c>
      <c r="H1316" t="s">
        <v>7856</v>
      </c>
      <c r="I1316">
        <v>3</v>
      </c>
    </row>
    <row r="1317" spans="1:9" x14ac:dyDescent="0.25">
      <c r="A1317" t="s">
        <v>779</v>
      </c>
      <c r="B1317">
        <f>VLOOKUP(A1317,art_category_path_name!A:B,2,FALSE)</f>
        <v>1298</v>
      </c>
      <c r="C1317" t="s">
        <v>9957</v>
      </c>
      <c r="D1317" t="s">
        <v>7858</v>
      </c>
      <c r="E1317" t="s">
        <v>7859</v>
      </c>
      <c r="F1317" t="s">
        <v>7860</v>
      </c>
      <c r="G1317" t="s">
        <v>7861</v>
      </c>
      <c r="H1317" t="s">
        <v>7862</v>
      </c>
      <c r="I1317">
        <v>7</v>
      </c>
    </row>
    <row r="1318" spans="1:9" x14ac:dyDescent="0.25">
      <c r="A1318" t="s">
        <v>642</v>
      </c>
      <c r="B1318">
        <f>VLOOKUP(A1318,art_category_path_name!A:B,2,FALSE)</f>
        <v>1300</v>
      </c>
      <c r="C1318" t="s">
        <v>9958</v>
      </c>
      <c r="D1318" t="s">
        <v>7864</v>
      </c>
      <c r="E1318" t="s">
        <v>7865</v>
      </c>
      <c r="F1318" t="s">
        <v>7866</v>
      </c>
      <c r="G1318" t="s">
        <v>7867</v>
      </c>
      <c r="H1318" t="s">
        <v>7868</v>
      </c>
      <c r="I1318">
        <v>1</v>
      </c>
    </row>
    <row r="1319" spans="1:9" x14ac:dyDescent="0.25">
      <c r="A1319" t="s">
        <v>950</v>
      </c>
      <c r="B1319">
        <f>VLOOKUP(A1319,art_category_path_name!A:B,2,FALSE)</f>
        <v>1301</v>
      </c>
      <c r="C1319" t="s">
        <v>9959</v>
      </c>
      <c r="D1319" t="s">
        <v>7870</v>
      </c>
      <c r="E1319" t="s">
        <v>7871</v>
      </c>
      <c r="F1319" t="s">
        <v>7872</v>
      </c>
      <c r="G1319" t="s">
        <v>7873</v>
      </c>
      <c r="H1319" t="s">
        <v>7874</v>
      </c>
      <c r="I1319">
        <v>10</v>
      </c>
    </row>
    <row r="1320" spans="1:9" x14ac:dyDescent="0.25">
      <c r="A1320" t="s">
        <v>951</v>
      </c>
      <c r="B1320">
        <f>VLOOKUP(A1320,art_category_path_name!A:B,2,FALSE)</f>
        <v>1302</v>
      </c>
      <c r="C1320" t="s">
        <v>9960</v>
      </c>
      <c r="D1320" t="s">
        <v>7876</v>
      </c>
      <c r="E1320" t="s">
        <v>7877</v>
      </c>
      <c r="F1320" t="s">
        <v>7878</v>
      </c>
      <c r="G1320" t="s">
        <v>7879</v>
      </c>
      <c r="H1320" t="s">
        <v>7880</v>
      </c>
      <c r="I1320">
        <v>5</v>
      </c>
    </row>
    <row r="1321" spans="1:9" x14ac:dyDescent="0.25">
      <c r="A1321" t="s">
        <v>952</v>
      </c>
      <c r="B1321">
        <f>VLOOKUP(A1321,art_category_path_name!A:B,2,FALSE)</f>
        <v>1303</v>
      </c>
      <c r="C1321" t="s">
        <v>9961</v>
      </c>
      <c r="D1321" t="s">
        <v>7882</v>
      </c>
      <c r="E1321" t="s">
        <v>7883</v>
      </c>
      <c r="F1321" t="s">
        <v>7884</v>
      </c>
      <c r="G1321" t="s">
        <v>7885</v>
      </c>
      <c r="H1321" t="s">
        <v>7886</v>
      </c>
      <c r="I1321">
        <v>19</v>
      </c>
    </row>
    <row r="1322" spans="1:9" x14ac:dyDescent="0.25">
      <c r="A1322" t="s">
        <v>953</v>
      </c>
      <c r="B1322">
        <f>VLOOKUP(A1322,art_category_path_name!A:B,2,FALSE)</f>
        <v>1304</v>
      </c>
      <c r="C1322" t="s">
        <v>9962</v>
      </c>
      <c r="D1322" t="s">
        <v>7888</v>
      </c>
      <c r="E1322" t="s">
        <v>7889</v>
      </c>
      <c r="F1322" t="s">
        <v>7890</v>
      </c>
      <c r="G1322" t="s">
        <v>7891</v>
      </c>
      <c r="H1322" t="s">
        <v>7892</v>
      </c>
      <c r="I1322">
        <v>9</v>
      </c>
    </row>
    <row r="1323" spans="1:9" x14ac:dyDescent="0.25">
      <c r="A1323" t="s">
        <v>954</v>
      </c>
      <c r="B1323">
        <f>VLOOKUP(A1323,art_category_path_name!A:B,2,FALSE)</f>
        <v>1305</v>
      </c>
      <c r="C1323" t="s">
        <v>9963</v>
      </c>
      <c r="D1323" t="s">
        <v>7894</v>
      </c>
      <c r="E1323" t="s">
        <v>7895</v>
      </c>
      <c r="F1323" t="s">
        <v>7896</v>
      </c>
      <c r="G1323" t="s">
        <v>7897</v>
      </c>
      <c r="H1323" t="s">
        <v>7898</v>
      </c>
      <c r="I1323">
        <v>7</v>
      </c>
    </row>
    <row r="1324" spans="1:9" x14ac:dyDescent="0.25">
      <c r="A1324" t="s">
        <v>955</v>
      </c>
      <c r="B1324">
        <f>VLOOKUP(A1324,art_category_path_name!A:B,2,FALSE)</f>
        <v>1306</v>
      </c>
      <c r="C1324" t="s">
        <v>9964</v>
      </c>
      <c r="D1324" t="s">
        <v>7900</v>
      </c>
      <c r="E1324" t="s">
        <v>7901</v>
      </c>
      <c r="F1324" t="s">
        <v>7902</v>
      </c>
      <c r="G1324" t="s">
        <v>7903</v>
      </c>
      <c r="H1324" t="s">
        <v>7904</v>
      </c>
      <c r="I1324">
        <v>10</v>
      </c>
    </row>
    <row r="1325" spans="1:9" x14ac:dyDescent="0.25">
      <c r="A1325" t="s">
        <v>956</v>
      </c>
      <c r="B1325">
        <f>VLOOKUP(A1325,art_category_path_name!A:B,2,FALSE)</f>
        <v>1307</v>
      </c>
      <c r="C1325" t="s">
        <v>9965</v>
      </c>
      <c r="D1325" t="s">
        <v>7906</v>
      </c>
      <c r="E1325" t="s">
        <v>7907</v>
      </c>
      <c r="F1325" t="s">
        <v>7908</v>
      </c>
      <c r="G1325" t="s">
        <v>7909</v>
      </c>
      <c r="H1325" t="s">
        <v>7910</v>
      </c>
      <c r="I1325">
        <v>41</v>
      </c>
    </row>
    <row r="1326" spans="1:9" x14ac:dyDescent="0.25">
      <c r="A1326" t="s">
        <v>957</v>
      </c>
      <c r="B1326">
        <f>VLOOKUP(A1326,art_category_path_name!A:B,2,FALSE)</f>
        <v>1308</v>
      </c>
      <c r="C1326" t="s">
        <v>9966</v>
      </c>
      <c r="D1326" t="s">
        <v>7912</v>
      </c>
      <c r="E1326" t="s">
        <v>7913</v>
      </c>
      <c r="F1326" t="s">
        <v>7914</v>
      </c>
      <c r="G1326" t="s">
        <v>7915</v>
      </c>
      <c r="H1326" t="s">
        <v>7916</v>
      </c>
      <c r="I1326">
        <v>16</v>
      </c>
    </row>
    <row r="1327" spans="1:9" x14ac:dyDescent="0.25">
      <c r="A1327" t="s">
        <v>958</v>
      </c>
      <c r="B1327">
        <f>VLOOKUP(A1327,art_category_path_name!A:B,2,FALSE)</f>
        <v>1309</v>
      </c>
      <c r="C1327" t="s">
        <v>9967</v>
      </c>
      <c r="D1327" t="s">
        <v>7918</v>
      </c>
      <c r="E1327" t="s">
        <v>7919</v>
      </c>
      <c r="F1327" t="s">
        <v>7920</v>
      </c>
      <c r="G1327" t="s">
        <v>7921</v>
      </c>
      <c r="H1327" t="s">
        <v>7922</v>
      </c>
      <c r="I1327">
        <v>20</v>
      </c>
    </row>
    <row r="1328" spans="1:9" x14ac:dyDescent="0.25">
      <c r="A1328" t="s">
        <v>959</v>
      </c>
      <c r="B1328">
        <f>VLOOKUP(A1328,art_category_path_name!A:B,2,FALSE)</f>
        <v>1310</v>
      </c>
      <c r="C1328" t="s">
        <v>9968</v>
      </c>
      <c r="D1328" t="s">
        <v>7924</v>
      </c>
      <c r="E1328" t="s">
        <v>7925</v>
      </c>
      <c r="F1328" t="s">
        <v>7926</v>
      </c>
      <c r="G1328" t="s">
        <v>7927</v>
      </c>
      <c r="H1328" t="s">
        <v>7928</v>
      </c>
      <c r="I1328">
        <v>18</v>
      </c>
    </row>
    <row r="1329" spans="1:9" x14ac:dyDescent="0.25">
      <c r="A1329" t="s">
        <v>960</v>
      </c>
      <c r="B1329">
        <f>VLOOKUP(A1329,art_category_path_name!A:B,2,FALSE)</f>
        <v>1311</v>
      </c>
      <c r="C1329" t="s">
        <v>9969</v>
      </c>
      <c r="D1329" t="s">
        <v>7930</v>
      </c>
      <c r="E1329" t="s">
        <v>7931</v>
      </c>
      <c r="F1329" t="s">
        <v>7932</v>
      </c>
      <c r="G1329" t="s">
        <v>7933</v>
      </c>
      <c r="H1329" t="s">
        <v>7934</v>
      </c>
      <c r="I1329">
        <v>5</v>
      </c>
    </row>
    <row r="1330" spans="1:9" x14ac:dyDescent="0.25">
      <c r="A1330" t="s">
        <v>392</v>
      </c>
      <c r="B1330">
        <f>VLOOKUP(A1330,art_category_path_name!A:B,2,FALSE)</f>
        <v>1312</v>
      </c>
      <c r="C1330" t="s">
        <v>9970</v>
      </c>
      <c r="D1330" t="s">
        <v>7936</v>
      </c>
      <c r="E1330" t="s">
        <v>7937</v>
      </c>
      <c r="F1330" t="s">
        <v>7938</v>
      </c>
      <c r="G1330" t="s">
        <v>7939</v>
      </c>
      <c r="H1330" t="s">
        <v>7940</v>
      </c>
      <c r="I1330">
        <v>8</v>
      </c>
    </row>
    <row r="1331" spans="1:9" x14ac:dyDescent="0.25">
      <c r="A1331" t="s">
        <v>393</v>
      </c>
      <c r="B1331">
        <f>VLOOKUP(A1331,art_category_path_name!A:B,2,FALSE)</f>
        <v>1313</v>
      </c>
      <c r="C1331" t="s">
        <v>9971</v>
      </c>
      <c r="D1331" t="s">
        <v>7942</v>
      </c>
      <c r="E1331" t="s">
        <v>7943</v>
      </c>
      <c r="F1331" t="s">
        <v>7942</v>
      </c>
      <c r="G1331" t="s">
        <v>7944</v>
      </c>
      <c r="H1331" t="s">
        <v>7945</v>
      </c>
      <c r="I1331">
        <v>11</v>
      </c>
    </row>
    <row r="1332" spans="1:9" x14ac:dyDescent="0.25">
      <c r="A1332" t="s">
        <v>913</v>
      </c>
      <c r="B1332">
        <f>VLOOKUP(A1332,art_category_path_name!A:B,2,FALSE)</f>
        <v>1315</v>
      </c>
      <c r="C1332" t="s">
        <v>9972</v>
      </c>
      <c r="D1332" t="s">
        <v>7947</v>
      </c>
      <c r="E1332" t="s">
        <v>7948</v>
      </c>
      <c r="F1332" t="s">
        <v>7949</v>
      </c>
      <c r="G1332" t="s">
        <v>7950</v>
      </c>
      <c r="H1332" t="s">
        <v>7951</v>
      </c>
      <c r="I1332">
        <v>54</v>
      </c>
    </row>
    <row r="1333" spans="1:9" x14ac:dyDescent="0.25">
      <c r="A1333" t="s">
        <v>153</v>
      </c>
      <c r="B1333">
        <f>VLOOKUP(A1333,art_category_path_name!A:B,2,FALSE)</f>
        <v>1317</v>
      </c>
      <c r="C1333" t="s">
        <v>9973</v>
      </c>
      <c r="D1333" t="s">
        <v>7953</v>
      </c>
      <c r="F1333" t="s">
        <v>1834</v>
      </c>
      <c r="G1333" t="s">
        <v>7954</v>
      </c>
      <c r="H1333" t="s">
        <v>7955</v>
      </c>
      <c r="I1333">
        <v>2</v>
      </c>
    </row>
    <row r="1334" spans="1:9" x14ac:dyDescent="0.25">
      <c r="A1334" t="s">
        <v>154</v>
      </c>
      <c r="B1334">
        <f>VLOOKUP(A1334,art_category_path_name!A:B,2,FALSE)</f>
        <v>1318</v>
      </c>
      <c r="C1334" t="s">
        <v>9974</v>
      </c>
      <c r="D1334" t="s">
        <v>7957</v>
      </c>
      <c r="F1334" t="s">
        <v>1834</v>
      </c>
      <c r="G1334" t="s">
        <v>7958</v>
      </c>
      <c r="H1334" t="s">
        <v>7959</v>
      </c>
      <c r="I1334">
        <v>3</v>
      </c>
    </row>
    <row r="1335" spans="1:9" x14ac:dyDescent="0.25">
      <c r="A1335" t="s">
        <v>1018</v>
      </c>
      <c r="B1335">
        <f>VLOOKUP(A1335,art_category_path_name!A:B,2,FALSE)</f>
        <v>1320</v>
      </c>
      <c r="C1335" t="s">
        <v>9975</v>
      </c>
      <c r="D1335" t="s">
        <v>7961</v>
      </c>
      <c r="F1335" t="s">
        <v>1834</v>
      </c>
      <c r="G1335" t="s">
        <v>7962</v>
      </c>
      <c r="H1335" t="s">
        <v>7963</v>
      </c>
      <c r="I1335">
        <v>1</v>
      </c>
    </row>
    <row r="1336" spans="1:9" x14ac:dyDescent="0.25">
      <c r="A1336" t="s">
        <v>1019</v>
      </c>
      <c r="B1336">
        <f>VLOOKUP(A1336,art_category_path_name!A:B,2,FALSE)</f>
        <v>1321</v>
      </c>
      <c r="C1336" t="s">
        <v>9976</v>
      </c>
      <c r="D1336" t="s">
        <v>7965</v>
      </c>
      <c r="F1336" t="s">
        <v>1834</v>
      </c>
      <c r="G1336" t="s">
        <v>7966</v>
      </c>
      <c r="H1336" t="s">
        <v>7967</v>
      </c>
      <c r="I1336">
        <v>1</v>
      </c>
    </row>
    <row r="1337" spans="1:9" x14ac:dyDescent="0.25">
      <c r="A1337" t="s">
        <v>1020</v>
      </c>
      <c r="B1337">
        <f>VLOOKUP(A1337,art_category_path_name!A:B,2,FALSE)</f>
        <v>1322</v>
      </c>
      <c r="C1337" t="s">
        <v>9977</v>
      </c>
      <c r="D1337" t="s">
        <v>7969</v>
      </c>
      <c r="F1337" t="s">
        <v>1834</v>
      </c>
      <c r="G1337" t="s">
        <v>7970</v>
      </c>
      <c r="H1337" t="s">
        <v>7971</v>
      </c>
      <c r="I1337">
        <v>1</v>
      </c>
    </row>
    <row r="1338" spans="1:9" x14ac:dyDescent="0.25">
      <c r="A1338" t="s">
        <v>1021</v>
      </c>
      <c r="B1338">
        <f>VLOOKUP(A1338,art_category_path_name!A:B,2,FALSE)</f>
        <v>1323</v>
      </c>
      <c r="C1338" t="s">
        <v>9978</v>
      </c>
      <c r="D1338" t="s">
        <v>7973</v>
      </c>
      <c r="F1338" t="s">
        <v>1834</v>
      </c>
      <c r="G1338" t="s">
        <v>7974</v>
      </c>
      <c r="H1338" t="s">
        <v>7975</v>
      </c>
      <c r="I1338">
        <v>1</v>
      </c>
    </row>
    <row r="1339" spans="1:9" x14ac:dyDescent="0.25">
      <c r="A1339" t="s">
        <v>1022</v>
      </c>
      <c r="B1339">
        <f>VLOOKUP(A1339,art_category_path_name!A:B,2,FALSE)</f>
        <v>1324</v>
      </c>
      <c r="C1339" t="s">
        <v>9979</v>
      </c>
      <c r="D1339" t="s">
        <v>7977</v>
      </c>
      <c r="F1339" t="s">
        <v>1834</v>
      </c>
      <c r="G1339" t="s">
        <v>7978</v>
      </c>
      <c r="H1339" t="s">
        <v>7979</v>
      </c>
      <c r="I1339">
        <v>1</v>
      </c>
    </row>
    <row r="1340" spans="1:9" x14ac:dyDescent="0.25">
      <c r="A1340" t="s">
        <v>1023</v>
      </c>
      <c r="B1340">
        <f>VLOOKUP(A1340,art_category_path_name!A:B,2,FALSE)</f>
        <v>1325</v>
      </c>
      <c r="C1340" t="s">
        <v>9980</v>
      </c>
      <c r="D1340" t="s">
        <v>7981</v>
      </c>
      <c r="F1340" t="s">
        <v>1834</v>
      </c>
      <c r="G1340" t="s">
        <v>7982</v>
      </c>
      <c r="H1340" t="s">
        <v>7983</v>
      </c>
      <c r="I1340">
        <v>1</v>
      </c>
    </row>
    <row r="1341" spans="1:9" x14ac:dyDescent="0.25">
      <c r="A1341" t="s">
        <v>1024</v>
      </c>
      <c r="B1341">
        <f>VLOOKUP(A1341,art_category_path_name!A:B,2,FALSE)</f>
        <v>1326</v>
      </c>
      <c r="C1341" t="s">
        <v>9981</v>
      </c>
      <c r="D1341" t="s">
        <v>7985</v>
      </c>
      <c r="F1341" t="s">
        <v>1834</v>
      </c>
      <c r="G1341" t="s">
        <v>7986</v>
      </c>
      <c r="H1341" t="s">
        <v>7987</v>
      </c>
      <c r="I1341">
        <v>1</v>
      </c>
    </row>
    <row r="1342" spans="1:9" x14ac:dyDescent="0.25">
      <c r="A1342" t="s">
        <v>1025</v>
      </c>
      <c r="B1342">
        <f>VLOOKUP(A1342,art_category_path_name!A:B,2,FALSE)</f>
        <v>1327</v>
      </c>
      <c r="C1342" t="s">
        <v>9982</v>
      </c>
      <c r="D1342" t="s">
        <v>7989</v>
      </c>
      <c r="F1342" t="s">
        <v>1834</v>
      </c>
      <c r="G1342" t="s">
        <v>7990</v>
      </c>
      <c r="H1342" t="s">
        <v>7991</v>
      </c>
      <c r="I1342">
        <v>1</v>
      </c>
    </row>
    <row r="1343" spans="1:9" x14ac:dyDescent="0.25">
      <c r="A1343" t="s">
        <v>1026</v>
      </c>
      <c r="B1343">
        <f>VLOOKUP(A1343,art_category_path_name!A:B,2,FALSE)</f>
        <v>1328</v>
      </c>
      <c r="C1343" t="s">
        <v>9983</v>
      </c>
      <c r="D1343" t="s">
        <v>7993</v>
      </c>
      <c r="F1343" t="s">
        <v>1834</v>
      </c>
      <c r="G1343" t="s">
        <v>7994</v>
      </c>
      <c r="H1343" t="s">
        <v>7995</v>
      </c>
      <c r="I1343">
        <v>1</v>
      </c>
    </row>
    <row r="1344" spans="1:9" x14ac:dyDescent="0.25">
      <c r="A1344" t="s">
        <v>1027</v>
      </c>
      <c r="B1344">
        <f>VLOOKUP(A1344,art_category_path_name!A:B,2,FALSE)</f>
        <v>1329</v>
      </c>
      <c r="C1344" t="s">
        <v>9984</v>
      </c>
      <c r="D1344" t="s">
        <v>7997</v>
      </c>
      <c r="F1344" t="s">
        <v>1834</v>
      </c>
      <c r="G1344" t="s">
        <v>7998</v>
      </c>
      <c r="H1344" t="s">
        <v>7999</v>
      </c>
      <c r="I1344">
        <v>1</v>
      </c>
    </row>
    <row r="1345" spans="1:9" x14ac:dyDescent="0.25">
      <c r="A1345" t="s">
        <v>1028</v>
      </c>
      <c r="B1345">
        <f>VLOOKUP(A1345,art_category_path_name!A:B,2,FALSE)</f>
        <v>1330</v>
      </c>
      <c r="C1345" t="s">
        <v>9985</v>
      </c>
      <c r="D1345" t="s">
        <v>8001</v>
      </c>
      <c r="F1345" t="s">
        <v>1834</v>
      </c>
      <c r="G1345" t="s">
        <v>8002</v>
      </c>
      <c r="H1345" t="s">
        <v>8003</v>
      </c>
      <c r="I1345">
        <v>1</v>
      </c>
    </row>
    <row r="1346" spans="1:9" x14ac:dyDescent="0.25">
      <c r="A1346" t="s">
        <v>1029</v>
      </c>
      <c r="B1346">
        <f>VLOOKUP(A1346,art_category_path_name!A:B,2,FALSE)</f>
        <v>1331</v>
      </c>
      <c r="C1346" t="s">
        <v>9986</v>
      </c>
      <c r="D1346" t="s">
        <v>8005</v>
      </c>
      <c r="F1346" t="s">
        <v>1834</v>
      </c>
      <c r="G1346" t="s">
        <v>8006</v>
      </c>
      <c r="H1346" t="s">
        <v>8007</v>
      </c>
      <c r="I1346">
        <v>1</v>
      </c>
    </row>
    <row r="1347" spans="1:9" x14ac:dyDescent="0.25">
      <c r="A1347" t="s">
        <v>1030</v>
      </c>
      <c r="B1347">
        <f>VLOOKUP(A1347,art_category_path_name!A:B,2,FALSE)</f>
        <v>1332</v>
      </c>
      <c r="C1347" t="s">
        <v>9987</v>
      </c>
      <c r="D1347" t="s">
        <v>8009</v>
      </c>
      <c r="F1347" t="s">
        <v>1834</v>
      </c>
      <c r="G1347" t="s">
        <v>8010</v>
      </c>
      <c r="H1347" t="s">
        <v>8011</v>
      </c>
      <c r="I1347">
        <v>1</v>
      </c>
    </row>
    <row r="1348" spans="1:9" x14ac:dyDescent="0.25">
      <c r="A1348" t="s">
        <v>278</v>
      </c>
      <c r="B1348">
        <f>VLOOKUP(A1348,art_category_path_name!A:B,2,FALSE)</f>
        <v>1334</v>
      </c>
      <c r="C1348" t="s">
        <v>9988</v>
      </c>
      <c r="D1348" t="s">
        <v>8013</v>
      </c>
      <c r="F1348" t="s">
        <v>1834</v>
      </c>
      <c r="G1348" t="s">
        <v>8014</v>
      </c>
      <c r="H1348" t="s">
        <v>8015</v>
      </c>
      <c r="I1348">
        <v>12</v>
      </c>
    </row>
    <row r="1349" spans="1:9" x14ac:dyDescent="0.25">
      <c r="A1349" t="s">
        <v>279</v>
      </c>
      <c r="B1349">
        <f>VLOOKUP(A1349,art_category_path_name!A:B,2,FALSE)</f>
        <v>1335</v>
      </c>
      <c r="C1349" t="s">
        <v>9989</v>
      </c>
      <c r="D1349" t="s">
        <v>8017</v>
      </c>
      <c r="F1349" t="s">
        <v>1834</v>
      </c>
      <c r="G1349" t="s">
        <v>8018</v>
      </c>
      <c r="H1349" t="s">
        <v>8019</v>
      </c>
      <c r="I1349">
        <v>19</v>
      </c>
    </row>
    <row r="1350" spans="1:9" x14ac:dyDescent="0.25">
      <c r="A1350" t="s">
        <v>280</v>
      </c>
      <c r="B1350">
        <f>VLOOKUP(A1350,art_category_path_name!A:B,2,FALSE)</f>
        <v>1336</v>
      </c>
      <c r="C1350" t="s">
        <v>9990</v>
      </c>
      <c r="D1350" t="s">
        <v>8021</v>
      </c>
      <c r="F1350" t="s">
        <v>1834</v>
      </c>
      <c r="G1350" t="s">
        <v>8022</v>
      </c>
      <c r="H1350" t="s">
        <v>8023</v>
      </c>
      <c r="I1350">
        <v>10</v>
      </c>
    </row>
    <row r="1351" spans="1:9" x14ac:dyDescent="0.25">
      <c r="A1351" t="s">
        <v>281</v>
      </c>
      <c r="B1351">
        <f>VLOOKUP(A1351,art_category_path_name!A:B,2,FALSE)</f>
        <v>1337</v>
      </c>
      <c r="C1351" t="s">
        <v>9991</v>
      </c>
      <c r="D1351" t="s">
        <v>8025</v>
      </c>
      <c r="F1351" t="s">
        <v>1834</v>
      </c>
      <c r="G1351" t="s">
        <v>8026</v>
      </c>
      <c r="H1351" t="s">
        <v>8027</v>
      </c>
      <c r="I1351">
        <v>2</v>
      </c>
    </row>
    <row r="1352" spans="1:9" x14ac:dyDescent="0.25">
      <c r="A1352" t="s">
        <v>282</v>
      </c>
      <c r="B1352">
        <f>VLOOKUP(A1352,art_category_path_name!A:B,2,FALSE)</f>
        <v>1338</v>
      </c>
      <c r="C1352" t="s">
        <v>9992</v>
      </c>
      <c r="D1352" t="s">
        <v>8029</v>
      </c>
      <c r="F1352" t="s">
        <v>1834</v>
      </c>
      <c r="G1352" t="s">
        <v>8030</v>
      </c>
      <c r="H1352" t="s">
        <v>8031</v>
      </c>
      <c r="I1352">
        <v>1</v>
      </c>
    </row>
    <row r="1353" spans="1:9" x14ac:dyDescent="0.25">
      <c r="A1353" t="s">
        <v>283</v>
      </c>
      <c r="B1353">
        <f>VLOOKUP(A1353,art_category_path_name!A:B,2,FALSE)</f>
        <v>1339</v>
      </c>
      <c r="C1353" t="s">
        <v>9993</v>
      </c>
      <c r="D1353" t="s">
        <v>8033</v>
      </c>
      <c r="F1353" t="s">
        <v>1834</v>
      </c>
      <c r="G1353" t="s">
        <v>8034</v>
      </c>
      <c r="H1353" t="s">
        <v>8035</v>
      </c>
      <c r="I1353">
        <v>1</v>
      </c>
    </row>
    <row r="1354" spans="1:9" x14ac:dyDescent="0.25">
      <c r="A1354" t="s">
        <v>284</v>
      </c>
      <c r="B1354">
        <f>VLOOKUP(A1354,art_category_path_name!A:B,2,FALSE)</f>
        <v>1340</v>
      </c>
      <c r="C1354" t="s">
        <v>9994</v>
      </c>
      <c r="D1354" t="s">
        <v>8037</v>
      </c>
      <c r="F1354" t="s">
        <v>1834</v>
      </c>
      <c r="G1354" t="s">
        <v>8038</v>
      </c>
      <c r="H1354" t="s">
        <v>8039</v>
      </c>
      <c r="I1354">
        <v>2</v>
      </c>
    </row>
    <row r="1355" spans="1:9" x14ac:dyDescent="0.25">
      <c r="A1355" t="s">
        <v>285</v>
      </c>
      <c r="B1355">
        <f>VLOOKUP(A1355,art_category_path_name!A:B,2,FALSE)</f>
        <v>1341</v>
      </c>
      <c r="C1355" t="s">
        <v>9995</v>
      </c>
      <c r="D1355" t="s">
        <v>8041</v>
      </c>
      <c r="F1355" t="s">
        <v>1834</v>
      </c>
      <c r="G1355" t="s">
        <v>8042</v>
      </c>
      <c r="H1355" t="s">
        <v>8043</v>
      </c>
      <c r="I1355">
        <v>1</v>
      </c>
    </row>
    <row r="1356" spans="1:9" x14ac:dyDescent="0.25">
      <c r="A1356" t="s">
        <v>286</v>
      </c>
      <c r="B1356">
        <f>VLOOKUP(A1356,art_category_path_name!A:B,2,FALSE)</f>
        <v>1342</v>
      </c>
      <c r="C1356" t="s">
        <v>9996</v>
      </c>
      <c r="D1356" t="s">
        <v>8045</v>
      </c>
      <c r="F1356" t="s">
        <v>1834</v>
      </c>
      <c r="G1356" t="s">
        <v>8046</v>
      </c>
      <c r="H1356" t="s">
        <v>8047</v>
      </c>
      <c r="I1356">
        <v>3</v>
      </c>
    </row>
    <row r="1357" spans="1:9" x14ac:dyDescent="0.25">
      <c r="A1357" t="s">
        <v>287</v>
      </c>
      <c r="B1357">
        <f>VLOOKUP(A1357,art_category_path_name!A:B,2,FALSE)</f>
        <v>1343</v>
      </c>
      <c r="C1357" t="s">
        <v>9988</v>
      </c>
      <c r="D1357" t="s">
        <v>8048</v>
      </c>
      <c r="F1357" t="s">
        <v>1834</v>
      </c>
      <c r="G1357" t="s">
        <v>8049</v>
      </c>
      <c r="H1357" t="s">
        <v>8050</v>
      </c>
      <c r="I1357">
        <v>4</v>
      </c>
    </row>
    <row r="1358" spans="1:9" x14ac:dyDescent="0.25">
      <c r="A1358" t="s">
        <v>288</v>
      </c>
      <c r="B1358">
        <f>VLOOKUP(A1358,art_category_path_name!A:B,2,FALSE)</f>
        <v>1344</v>
      </c>
      <c r="C1358" t="s">
        <v>9997</v>
      </c>
      <c r="D1358" t="s">
        <v>8052</v>
      </c>
      <c r="F1358" t="s">
        <v>1834</v>
      </c>
      <c r="G1358" t="s">
        <v>8053</v>
      </c>
      <c r="H1358" t="s">
        <v>8054</v>
      </c>
      <c r="I1358">
        <v>3</v>
      </c>
    </row>
    <row r="1359" spans="1:9" x14ac:dyDescent="0.25">
      <c r="A1359" t="s">
        <v>289</v>
      </c>
      <c r="B1359">
        <f>VLOOKUP(A1359,art_category_path_name!A:B,2,FALSE)</f>
        <v>1345</v>
      </c>
      <c r="C1359" t="s">
        <v>9988</v>
      </c>
      <c r="D1359" t="s">
        <v>8055</v>
      </c>
      <c r="F1359" t="s">
        <v>1834</v>
      </c>
      <c r="G1359" t="s">
        <v>8056</v>
      </c>
      <c r="H1359" t="s">
        <v>8057</v>
      </c>
      <c r="I1359">
        <v>4</v>
      </c>
    </row>
    <row r="1360" spans="1:9" x14ac:dyDescent="0.25">
      <c r="A1360" t="s">
        <v>290</v>
      </c>
      <c r="B1360">
        <f>VLOOKUP(A1360,art_category_path_name!A:B,2,FALSE)</f>
        <v>1346</v>
      </c>
      <c r="C1360" t="s">
        <v>9998</v>
      </c>
      <c r="D1360" t="s">
        <v>8059</v>
      </c>
      <c r="F1360" t="s">
        <v>1834</v>
      </c>
      <c r="G1360" t="s">
        <v>8060</v>
      </c>
      <c r="H1360" t="s">
        <v>8061</v>
      </c>
      <c r="I1360">
        <v>3</v>
      </c>
    </row>
    <row r="1361" spans="1:9" x14ac:dyDescent="0.25">
      <c r="A1361" t="s">
        <v>291</v>
      </c>
      <c r="B1361">
        <f>VLOOKUP(A1361,art_category_path_name!A:B,2,FALSE)</f>
        <v>1347</v>
      </c>
      <c r="C1361" t="s">
        <v>9999</v>
      </c>
      <c r="D1361" t="s">
        <v>8063</v>
      </c>
      <c r="F1361" t="s">
        <v>1834</v>
      </c>
      <c r="G1361" t="s">
        <v>8064</v>
      </c>
      <c r="H1361" t="s">
        <v>8065</v>
      </c>
      <c r="I1361">
        <v>2</v>
      </c>
    </row>
    <row r="1362" spans="1:9" x14ac:dyDescent="0.25">
      <c r="A1362" t="s">
        <v>293</v>
      </c>
      <c r="B1362">
        <f>VLOOKUP(A1362,art_category_path_name!A:B,2,FALSE)</f>
        <v>1349</v>
      </c>
      <c r="C1362" t="s">
        <v>10000</v>
      </c>
      <c r="D1362" t="s">
        <v>8067</v>
      </c>
      <c r="F1362" t="s">
        <v>1834</v>
      </c>
      <c r="G1362" t="s">
        <v>8068</v>
      </c>
      <c r="H1362" t="s">
        <v>8069</v>
      </c>
      <c r="I1362">
        <v>8</v>
      </c>
    </row>
    <row r="1363" spans="1:9" x14ac:dyDescent="0.25">
      <c r="A1363" t="s">
        <v>294</v>
      </c>
      <c r="B1363">
        <f>VLOOKUP(A1363,art_category_path_name!A:B,2,FALSE)</f>
        <v>1350</v>
      </c>
      <c r="C1363" t="s">
        <v>10001</v>
      </c>
      <c r="D1363" t="s">
        <v>8071</v>
      </c>
      <c r="F1363" t="s">
        <v>1834</v>
      </c>
      <c r="G1363" t="s">
        <v>8072</v>
      </c>
      <c r="H1363" t="s">
        <v>8073</v>
      </c>
      <c r="I1363">
        <v>2</v>
      </c>
    </row>
    <row r="1364" spans="1:9" x14ac:dyDescent="0.25">
      <c r="A1364" t="s">
        <v>295</v>
      </c>
      <c r="B1364">
        <f>VLOOKUP(A1364,art_category_path_name!A:B,2,FALSE)</f>
        <v>1351</v>
      </c>
      <c r="C1364" t="s">
        <v>10002</v>
      </c>
      <c r="D1364" t="s">
        <v>8075</v>
      </c>
      <c r="F1364" t="s">
        <v>1834</v>
      </c>
      <c r="G1364" t="s">
        <v>8076</v>
      </c>
      <c r="H1364" t="s">
        <v>8077</v>
      </c>
      <c r="I1364">
        <v>6</v>
      </c>
    </row>
    <row r="1365" spans="1:9" x14ac:dyDescent="0.25">
      <c r="A1365" t="s">
        <v>296</v>
      </c>
      <c r="B1365">
        <f>VLOOKUP(A1365,art_category_path_name!A:B,2,FALSE)</f>
        <v>1352</v>
      </c>
      <c r="C1365" t="s">
        <v>10003</v>
      </c>
      <c r="D1365" t="s">
        <v>8079</v>
      </c>
      <c r="F1365" t="s">
        <v>1834</v>
      </c>
      <c r="G1365" t="s">
        <v>8080</v>
      </c>
      <c r="H1365" t="s">
        <v>8081</v>
      </c>
      <c r="I1365">
        <v>5</v>
      </c>
    </row>
    <row r="1366" spans="1:9" x14ac:dyDescent="0.25">
      <c r="A1366" t="s">
        <v>297</v>
      </c>
      <c r="B1366">
        <f>VLOOKUP(A1366,art_category_path_name!A:B,2,FALSE)</f>
        <v>1353</v>
      </c>
      <c r="C1366" t="s">
        <v>10004</v>
      </c>
      <c r="D1366" t="s">
        <v>8083</v>
      </c>
      <c r="F1366" t="s">
        <v>1834</v>
      </c>
      <c r="G1366" t="s">
        <v>8084</v>
      </c>
      <c r="H1366" t="s">
        <v>8085</v>
      </c>
      <c r="I1366">
        <v>1</v>
      </c>
    </row>
    <row r="1367" spans="1:9" x14ac:dyDescent="0.25">
      <c r="A1367" t="s">
        <v>874</v>
      </c>
      <c r="B1367">
        <f>VLOOKUP(A1367,art_category_path_name!A:B,2,FALSE)</f>
        <v>1355</v>
      </c>
      <c r="C1367" t="s">
        <v>10005</v>
      </c>
      <c r="D1367" t="s">
        <v>8087</v>
      </c>
      <c r="E1367" t="s">
        <v>8088</v>
      </c>
      <c r="F1367" t="s">
        <v>8089</v>
      </c>
      <c r="G1367" t="s">
        <v>8090</v>
      </c>
      <c r="H1367" t="s">
        <v>8091</v>
      </c>
      <c r="I1367">
        <v>73</v>
      </c>
    </row>
    <row r="1368" spans="1:9" x14ac:dyDescent="0.25">
      <c r="A1368" t="s">
        <v>50</v>
      </c>
      <c r="B1368">
        <f>VLOOKUP(A1368,art_category_path_name!A:B,2,FALSE)</f>
        <v>1357</v>
      </c>
      <c r="C1368" t="s">
        <v>10006</v>
      </c>
      <c r="D1368" t="s">
        <v>8093</v>
      </c>
      <c r="F1368" t="s">
        <v>1834</v>
      </c>
      <c r="G1368" t="s">
        <v>8094</v>
      </c>
      <c r="H1368" t="s">
        <v>8095</v>
      </c>
      <c r="I1368">
        <v>14</v>
      </c>
    </row>
    <row r="1369" spans="1:9" x14ac:dyDescent="0.25">
      <c r="A1369" t="s">
        <v>258</v>
      </c>
      <c r="B1369">
        <f>VLOOKUP(A1369,art_category_path_name!A:B,2,FALSE)</f>
        <v>1359</v>
      </c>
      <c r="C1369" t="s">
        <v>10007</v>
      </c>
      <c r="D1369" t="s">
        <v>8097</v>
      </c>
      <c r="E1369" t="s">
        <v>8097</v>
      </c>
      <c r="F1369" t="s">
        <v>8098</v>
      </c>
      <c r="G1369" t="s">
        <v>8099</v>
      </c>
      <c r="H1369" t="s">
        <v>8100</v>
      </c>
      <c r="I1369">
        <v>5</v>
      </c>
    </row>
    <row r="1370" spans="1:9" x14ac:dyDescent="0.25">
      <c r="A1370" t="s">
        <v>259</v>
      </c>
      <c r="B1370">
        <f>VLOOKUP(A1370,art_category_path_name!A:B,2,FALSE)</f>
        <v>1360</v>
      </c>
      <c r="C1370" t="s">
        <v>10008</v>
      </c>
      <c r="D1370" t="s">
        <v>8102</v>
      </c>
      <c r="E1370" t="s">
        <v>8103</v>
      </c>
      <c r="F1370" t="s">
        <v>8104</v>
      </c>
      <c r="G1370" t="s">
        <v>8105</v>
      </c>
      <c r="H1370" t="s">
        <v>8106</v>
      </c>
      <c r="I1370">
        <v>5</v>
      </c>
    </row>
    <row r="1371" spans="1:9" x14ac:dyDescent="0.25">
      <c r="A1371" t="s">
        <v>653</v>
      </c>
      <c r="B1371">
        <f>VLOOKUP(A1371,art_category_path_name!A:B,2,FALSE)</f>
        <v>1362</v>
      </c>
      <c r="C1371" t="s">
        <v>10009</v>
      </c>
      <c r="D1371" t="s">
        <v>2084</v>
      </c>
      <c r="E1371" t="s">
        <v>2085</v>
      </c>
      <c r="F1371" t="s">
        <v>6743</v>
      </c>
      <c r="G1371" t="s">
        <v>8108</v>
      </c>
      <c r="H1371" t="s">
        <v>8109</v>
      </c>
      <c r="I1371">
        <v>11</v>
      </c>
    </row>
    <row r="1372" spans="1:9" x14ac:dyDescent="0.25">
      <c r="A1372" t="s">
        <v>876</v>
      </c>
      <c r="B1372">
        <f>VLOOKUP(A1372,art_category_path_name!A:B,2,FALSE)</f>
        <v>1364</v>
      </c>
      <c r="C1372" t="s">
        <v>10010</v>
      </c>
      <c r="D1372" t="s">
        <v>8111</v>
      </c>
      <c r="E1372" t="s">
        <v>8112</v>
      </c>
      <c r="F1372" t="s">
        <v>8113</v>
      </c>
      <c r="G1372" t="s">
        <v>8114</v>
      </c>
      <c r="H1372" t="s">
        <v>8115</v>
      </c>
      <c r="I1372">
        <v>40</v>
      </c>
    </row>
    <row r="1373" spans="1:9" x14ac:dyDescent="0.25">
      <c r="A1373" t="s">
        <v>877</v>
      </c>
      <c r="B1373">
        <f>VLOOKUP(A1373,art_category_path_name!A:B,2,FALSE)</f>
        <v>1365</v>
      </c>
      <c r="C1373" t="s">
        <v>10011</v>
      </c>
      <c r="D1373" t="s">
        <v>8117</v>
      </c>
      <c r="E1373" t="s">
        <v>8118</v>
      </c>
      <c r="F1373" t="s">
        <v>8119</v>
      </c>
      <c r="G1373" t="s">
        <v>8120</v>
      </c>
      <c r="H1373" t="s">
        <v>8121</v>
      </c>
      <c r="I1373">
        <v>24</v>
      </c>
    </row>
    <row r="1374" spans="1:9" x14ac:dyDescent="0.25">
      <c r="A1374" t="s">
        <v>1003</v>
      </c>
      <c r="B1374">
        <f>VLOOKUP(A1374,art_category_path_name!A:B,2,FALSE)</f>
        <v>1367</v>
      </c>
      <c r="C1374" t="s">
        <v>10012</v>
      </c>
      <c r="D1374" t="s">
        <v>8123</v>
      </c>
      <c r="E1374" t="s">
        <v>8124</v>
      </c>
      <c r="F1374" t="s">
        <v>8123</v>
      </c>
      <c r="G1374" t="s">
        <v>8125</v>
      </c>
      <c r="H1374" t="s">
        <v>8126</v>
      </c>
      <c r="I1374">
        <v>2</v>
      </c>
    </row>
    <row r="1375" spans="1:9" x14ac:dyDescent="0.25">
      <c r="A1375" t="s">
        <v>1004</v>
      </c>
      <c r="B1375">
        <f>VLOOKUP(A1375,art_category_path_name!A:B,2,FALSE)</f>
        <v>1368</v>
      </c>
      <c r="C1375" t="s">
        <v>10013</v>
      </c>
      <c r="D1375" t="s">
        <v>8128</v>
      </c>
      <c r="E1375" t="s">
        <v>8129</v>
      </c>
      <c r="F1375" t="s">
        <v>8128</v>
      </c>
      <c r="G1375" t="s">
        <v>8130</v>
      </c>
      <c r="H1375" t="s">
        <v>8131</v>
      </c>
      <c r="I1375">
        <v>18</v>
      </c>
    </row>
    <row r="1376" spans="1:9" x14ac:dyDescent="0.25">
      <c r="A1376" t="s">
        <v>1005</v>
      </c>
      <c r="B1376">
        <f>VLOOKUP(A1376,art_category_path_name!A:B,2,FALSE)</f>
        <v>1369</v>
      </c>
      <c r="C1376" t="s">
        <v>10014</v>
      </c>
      <c r="D1376" t="s">
        <v>8133</v>
      </c>
      <c r="E1376" t="s">
        <v>8134</v>
      </c>
      <c r="F1376" t="s">
        <v>8134</v>
      </c>
      <c r="G1376" t="s">
        <v>8135</v>
      </c>
      <c r="H1376" t="s">
        <v>8136</v>
      </c>
      <c r="I1376">
        <v>4</v>
      </c>
    </row>
    <row r="1377" spans="1:9" x14ac:dyDescent="0.25">
      <c r="A1377" t="s">
        <v>1006</v>
      </c>
      <c r="B1377">
        <f>VLOOKUP(A1377,art_category_path_name!A:B,2,FALSE)</f>
        <v>1370</v>
      </c>
      <c r="C1377" t="s">
        <v>10015</v>
      </c>
      <c r="D1377" t="s">
        <v>8138</v>
      </c>
      <c r="E1377" t="s">
        <v>8139</v>
      </c>
      <c r="F1377" t="s">
        <v>8138</v>
      </c>
      <c r="G1377" t="s">
        <v>8140</v>
      </c>
      <c r="H1377" t="s">
        <v>8141</v>
      </c>
      <c r="I1377">
        <v>2</v>
      </c>
    </row>
    <row r="1378" spans="1:9" x14ac:dyDescent="0.25">
      <c r="A1378" t="s">
        <v>1007</v>
      </c>
      <c r="B1378">
        <f>VLOOKUP(A1378,art_category_path_name!A:B,2,FALSE)</f>
        <v>1371</v>
      </c>
      <c r="C1378" t="s">
        <v>10016</v>
      </c>
      <c r="G1378" t="s">
        <v>8143</v>
      </c>
      <c r="H1378" t="s">
        <v>8144</v>
      </c>
      <c r="I1378">
        <v>9</v>
      </c>
    </row>
    <row r="1379" spans="1:9" x14ac:dyDescent="0.25">
      <c r="A1379" t="s">
        <v>1008</v>
      </c>
      <c r="B1379">
        <f>VLOOKUP(A1379,art_category_path_name!A:B,2,FALSE)</f>
        <v>1372</v>
      </c>
      <c r="C1379" t="s">
        <v>10017</v>
      </c>
      <c r="D1379" t="s">
        <v>8146</v>
      </c>
      <c r="E1379" t="s">
        <v>8147</v>
      </c>
      <c r="F1379" t="s">
        <v>8146</v>
      </c>
      <c r="G1379" t="s">
        <v>8148</v>
      </c>
      <c r="H1379" t="s">
        <v>8149</v>
      </c>
      <c r="I1379">
        <v>8</v>
      </c>
    </row>
    <row r="1380" spans="1:9" x14ac:dyDescent="0.25">
      <c r="A1380" t="s">
        <v>1178</v>
      </c>
      <c r="B1380">
        <f>VLOOKUP(A1380,art_category_path_name!A:B,2,FALSE)</f>
        <v>1374</v>
      </c>
      <c r="C1380" t="s">
        <v>10018</v>
      </c>
      <c r="D1380" t="s">
        <v>8151</v>
      </c>
      <c r="F1380" t="s">
        <v>1834</v>
      </c>
      <c r="G1380" t="s">
        <v>8152</v>
      </c>
      <c r="H1380" t="s">
        <v>8153</v>
      </c>
      <c r="I1380">
        <v>1</v>
      </c>
    </row>
    <row r="1381" spans="1:9" x14ac:dyDescent="0.25">
      <c r="A1381" t="s">
        <v>1179</v>
      </c>
      <c r="B1381">
        <f>VLOOKUP(A1381,art_category_path_name!A:B,2,FALSE)</f>
        <v>1375</v>
      </c>
      <c r="C1381" t="s">
        <v>10019</v>
      </c>
      <c r="D1381" t="s">
        <v>8155</v>
      </c>
      <c r="F1381" t="s">
        <v>1834</v>
      </c>
      <c r="G1381" t="s">
        <v>8156</v>
      </c>
      <c r="H1381" t="s">
        <v>8157</v>
      </c>
      <c r="I1381">
        <v>1</v>
      </c>
    </row>
    <row r="1382" spans="1:9" x14ac:dyDescent="0.25">
      <c r="A1382" t="s">
        <v>1180</v>
      </c>
      <c r="B1382">
        <f>VLOOKUP(A1382,art_category_path_name!A:B,2,FALSE)</f>
        <v>1376</v>
      </c>
      <c r="C1382" t="s">
        <v>10020</v>
      </c>
      <c r="D1382" t="s">
        <v>8159</v>
      </c>
      <c r="F1382" t="s">
        <v>1834</v>
      </c>
      <c r="G1382" t="s">
        <v>8160</v>
      </c>
      <c r="H1382" t="s">
        <v>8161</v>
      </c>
      <c r="I1382">
        <v>4</v>
      </c>
    </row>
    <row r="1383" spans="1:9" x14ac:dyDescent="0.25">
      <c r="A1383" t="s">
        <v>1181</v>
      </c>
      <c r="B1383">
        <f>VLOOKUP(A1383,art_category_path_name!A:B,2,FALSE)</f>
        <v>1377</v>
      </c>
      <c r="C1383" t="s">
        <v>10021</v>
      </c>
      <c r="D1383" t="s">
        <v>8163</v>
      </c>
      <c r="F1383" t="s">
        <v>1834</v>
      </c>
      <c r="G1383" t="s">
        <v>8164</v>
      </c>
      <c r="H1383" t="s">
        <v>8165</v>
      </c>
      <c r="I1383">
        <v>2</v>
      </c>
    </row>
    <row r="1384" spans="1:9" x14ac:dyDescent="0.25">
      <c r="A1384" t="s">
        <v>1182</v>
      </c>
      <c r="B1384">
        <f>VLOOKUP(A1384,art_category_path_name!A:B,2,FALSE)</f>
        <v>1378</v>
      </c>
      <c r="C1384" t="s">
        <v>10022</v>
      </c>
      <c r="D1384" t="s">
        <v>8167</v>
      </c>
      <c r="F1384" t="s">
        <v>1834</v>
      </c>
      <c r="G1384" t="s">
        <v>8168</v>
      </c>
      <c r="H1384" t="s">
        <v>8169</v>
      </c>
      <c r="I1384">
        <v>1</v>
      </c>
    </row>
    <row r="1385" spans="1:9" x14ac:dyDescent="0.25">
      <c r="A1385" t="s">
        <v>1183</v>
      </c>
      <c r="B1385">
        <f>VLOOKUP(A1385,art_category_path_name!A:B,2,FALSE)</f>
        <v>1379</v>
      </c>
      <c r="C1385" t="s">
        <v>10023</v>
      </c>
      <c r="D1385" t="s">
        <v>8171</v>
      </c>
      <c r="F1385" t="s">
        <v>1834</v>
      </c>
      <c r="G1385" t="s">
        <v>8172</v>
      </c>
      <c r="H1385" t="s">
        <v>8173</v>
      </c>
      <c r="I1385">
        <v>1</v>
      </c>
    </row>
    <row r="1386" spans="1:9" x14ac:dyDescent="0.25">
      <c r="A1386" t="s">
        <v>1184</v>
      </c>
      <c r="B1386">
        <f>VLOOKUP(A1386,art_category_path_name!A:B,2,FALSE)</f>
        <v>1380</v>
      </c>
      <c r="C1386" t="s">
        <v>10024</v>
      </c>
      <c r="D1386" t="s">
        <v>8175</v>
      </c>
      <c r="F1386" t="s">
        <v>1834</v>
      </c>
      <c r="G1386" t="s">
        <v>8176</v>
      </c>
      <c r="H1386" t="s">
        <v>8177</v>
      </c>
      <c r="I1386">
        <v>2</v>
      </c>
    </row>
    <row r="1387" spans="1:9" x14ac:dyDescent="0.25">
      <c r="A1387" t="s">
        <v>1185</v>
      </c>
      <c r="B1387">
        <f>VLOOKUP(A1387,art_category_path_name!A:B,2,FALSE)</f>
        <v>1381</v>
      </c>
      <c r="C1387" t="s">
        <v>10025</v>
      </c>
      <c r="D1387" t="s">
        <v>8179</v>
      </c>
      <c r="F1387" t="s">
        <v>1834</v>
      </c>
      <c r="G1387" t="s">
        <v>8180</v>
      </c>
      <c r="H1387" t="s">
        <v>8181</v>
      </c>
      <c r="I1387">
        <v>1</v>
      </c>
    </row>
    <row r="1388" spans="1:9" x14ac:dyDescent="0.25">
      <c r="A1388" t="s">
        <v>1186</v>
      </c>
      <c r="B1388">
        <f>VLOOKUP(A1388,art_category_path_name!A:B,2,FALSE)</f>
        <v>1382</v>
      </c>
      <c r="C1388" t="s">
        <v>10026</v>
      </c>
      <c r="D1388" t="s">
        <v>8183</v>
      </c>
      <c r="F1388" t="s">
        <v>1834</v>
      </c>
      <c r="G1388" t="s">
        <v>8184</v>
      </c>
      <c r="H1388" t="s">
        <v>8185</v>
      </c>
      <c r="I1388">
        <v>1</v>
      </c>
    </row>
    <row r="1389" spans="1:9" x14ac:dyDescent="0.25">
      <c r="A1389" t="s">
        <v>1441</v>
      </c>
      <c r="B1389">
        <f>VLOOKUP(A1389,art_category_path_name!A:B,2,FALSE)</f>
        <v>1384</v>
      </c>
      <c r="C1389" t="s">
        <v>10027</v>
      </c>
      <c r="D1389" t="s">
        <v>3150</v>
      </c>
      <c r="E1389" t="s">
        <v>8187</v>
      </c>
      <c r="F1389" t="s">
        <v>3150</v>
      </c>
      <c r="G1389" t="s">
        <v>8188</v>
      </c>
      <c r="H1389" t="s">
        <v>8189</v>
      </c>
      <c r="I1389">
        <v>14</v>
      </c>
    </row>
    <row r="1390" spans="1:9" x14ac:dyDescent="0.25">
      <c r="A1390" t="s">
        <v>1442</v>
      </c>
      <c r="B1390">
        <f>VLOOKUP(A1390,art_category_path_name!A:B,2,FALSE)</f>
        <v>1385</v>
      </c>
      <c r="C1390" t="s">
        <v>10028</v>
      </c>
      <c r="D1390" t="s">
        <v>8191</v>
      </c>
      <c r="E1390" t="s">
        <v>8192</v>
      </c>
      <c r="F1390" t="s">
        <v>8191</v>
      </c>
      <c r="G1390" t="s">
        <v>8193</v>
      </c>
      <c r="H1390" t="s">
        <v>8194</v>
      </c>
      <c r="I1390">
        <v>6</v>
      </c>
    </row>
    <row r="1391" spans="1:9" x14ac:dyDescent="0.25">
      <c r="A1391" t="s">
        <v>915</v>
      </c>
      <c r="B1391">
        <f>VLOOKUP(A1391,art_category_path_name!A:B,2,FALSE)</f>
        <v>1387</v>
      </c>
      <c r="C1391" t="s">
        <v>10029</v>
      </c>
      <c r="D1391" t="s">
        <v>8196</v>
      </c>
      <c r="E1391" t="s">
        <v>8197</v>
      </c>
      <c r="F1391" t="s">
        <v>8198</v>
      </c>
      <c r="G1391" t="s">
        <v>8199</v>
      </c>
      <c r="H1391" t="s">
        <v>8200</v>
      </c>
      <c r="I1391">
        <v>5</v>
      </c>
    </row>
    <row r="1392" spans="1:9" x14ac:dyDescent="0.25">
      <c r="A1392" t="s">
        <v>916</v>
      </c>
      <c r="B1392">
        <f>VLOOKUP(A1392,art_category_path_name!A:B,2,FALSE)</f>
        <v>1388</v>
      </c>
      <c r="C1392" t="s">
        <v>10030</v>
      </c>
      <c r="D1392" t="s">
        <v>8202</v>
      </c>
      <c r="E1392" t="s">
        <v>8203</v>
      </c>
      <c r="F1392" t="s">
        <v>8204</v>
      </c>
      <c r="G1392" t="s">
        <v>8205</v>
      </c>
      <c r="H1392" t="s">
        <v>8206</v>
      </c>
      <c r="I1392">
        <v>37</v>
      </c>
    </row>
    <row r="1393" spans="1:9" x14ac:dyDescent="0.25">
      <c r="A1393" t="s">
        <v>917</v>
      </c>
      <c r="B1393">
        <f>VLOOKUP(A1393,art_category_path_name!A:B,2,FALSE)</f>
        <v>1389</v>
      </c>
      <c r="C1393" t="s">
        <v>10031</v>
      </c>
      <c r="D1393" t="s">
        <v>8208</v>
      </c>
      <c r="E1393" t="s">
        <v>8209</v>
      </c>
      <c r="F1393" t="s">
        <v>8210</v>
      </c>
      <c r="G1393" t="s">
        <v>8211</v>
      </c>
      <c r="H1393" t="s">
        <v>8212</v>
      </c>
      <c r="I1393">
        <v>46</v>
      </c>
    </row>
    <row r="1394" spans="1:9" x14ac:dyDescent="0.25">
      <c r="A1394" t="s">
        <v>1366</v>
      </c>
      <c r="B1394">
        <f>VLOOKUP(A1394,art_category_path_name!A:B,2,FALSE)</f>
        <v>1390</v>
      </c>
      <c r="C1394" t="s">
        <v>10032</v>
      </c>
      <c r="D1394" t="s">
        <v>8214</v>
      </c>
      <c r="E1394" t="s">
        <v>8215</v>
      </c>
      <c r="F1394" t="s">
        <v>8216</v>
      </c>
      <c r="G1394" t="s">
        <v>8217</v>
      </c>
      <c r="H1394" t="s">
        <v>8218</v>
      </c>
      <c r="I1394">
        <v>6</v>
      </c>
    </row>
    <row r="1395" spans="1:9" x14ac:dyDescent="0.25">
      <c r="A1395" t="s">
        <v>1032</v>
      </c>
      <c r="B1395">
        <f>VLOOKUP(A1395,art_category_path_name!A:B,2,FALSE)</f>
        <v>1392</v>
      </c>
      <c r="C1395" t="s">
        <v>10033</v>
      </c>
      <c r="D1395" t="s">
        <v>8220</v>
      </c>
      <c r="E1395" t="s">
        <v>8221</v>
      </c>
      <c r="F1395" t="s">
        <v>8222</v>
      </c>
      <c r="G1395" t="s">
        <v>8223</v>
      </c>
      <c r="H1395" t="s">
        <v>8224</v>
      </c>
      <c r="I1395">
        <v>3</v>
      </c>
    </row>
    <row r="1396" spans="1:9" x14ac:dyDescent="0.25">
      <c r="A1396" t="s">
        <v>429</v>
      </c>
      <c r="B1396">
        <f>VLOOKUP(A1396,art_category_path_name!A:B,2,FALSE)</f>
        <v>1393</v>
      </c>
      <c r="C1396" t="s">
        <v>10034</v>
      </c>
      <c r="D1396" t="s">
        <v>3966</v>
      </c>
      <c r="F1396" t="s">
        <v>1834</v>
      </c>
      <c r="G1396" t="s">
        <v>3967</v>
      </c>
      <c r="H1396" t="s">
        <v>8226</v>
      </c>
      <c r="I1396">
        <v>2</v>
      </c>
    </row>
    <row r="1397" spans="1:9" x14ac:dyDescent="0.25">
      <c r="A1397" t="s">
        <v>750</v>
      </c>
      <c r="B1397">
        <f>VLOOKUP(A1397,art_category_path_name!A:B,2,FALSE)</f>
        <v>1394</v>
      </c>
      <c r="C1397" t="s">
        <v>10035</v>
      </c>
      <c r="D1397" t="s">
        <v>8228</v>
      </c>
      <c r="E1397" t="s">
        <v>8229</v>
      </c>
      <c r="F1397" t="s">
        <v>8230</v>
      </c>
      <c r="G1397" t="s">
        <v>8231</v>
      </c>
      <c r="H1397" t="s">
        <v>8232</v>
      </c>
      <c r="I1397">
        <v>5</v>
      </c>
    </row>
    <row r="1398" spans="1:9" x14ac:dyDescent="0.25">
      <c r="A1398" t="s">
        <v>78</v>
      </c>
      <c r="B1398">
        <f>VLOOKUP(A1398,art_category_path_name!A:B,2,FALSE)</f>
        <v>1395</v>
      </c>
      <c r="C1398" t="s">
        <v>10036</v>
      </c>
      <c r="D1398" t="s">
        <v>8234</v>
      </c>
      <c r="F1398" t="s">
        <v>1834</v>
      </c>
      <c r="G1398" t="s">
        <v>8235</v>
      </c>
      <c r="H1398" t="s">
        <v>8236</v>
      </c>
      <c r="I1398">
        <v>5</v>
      </c>
    </row>
    <row r="1399" spans="1:9" x14ac:dyDescent="0.25">
      <c r="A1399" t="s">
        <v>1270</v>
      </c>
      <c r="B1399">
        <f>VLOOKUP(A1399,art_category_path_name!A:B,2,FALSE)</f>
        <v>1396</v>
      </c>
      <c r="C1399" t="s">
        <v>10037</v>
      </c>
      <c r="D1399" t="s">
        <v>8238</v>
      </c>
      <c r="E1399" t="s">
        <v>8239</v>
      </c>
      <c r="F1399" t="s">
        <v>8240</v>
      </c>
      <c r="G1399" t="s">
        <v>8241</v>
      </c>
      <c r="H1399" t="s">
        <v>8242</v>
      </c>
      <c r="I1399">
        <v>2</v>
      </c>
    </row>
    <row r="1400" spans="1:9" x14ac:dyDescent="0.25">
      <c r="A1400" t="s">
        <v>858</v>
      </c>
      <c r="B1400">
        <f>VLOOKUP(A1400,art_category_path_name!A:B,2,FALSE)</f>
        <v>1397</v>
      </c>
      <c r="C1400" t="s">
        <v>10038</v>
      </c>
      <c r="D1400" t="s">
        <v>8244</v>
      </c>
      <c r="E1400" t="s">
        <v>8245</v>
      </c>
      <c r="F1400" t="s">
        <v>8246</v>
      </c>
      <c r="G1400" t="s">
        <v>8247</v>
      </c>
      <c r="H1400" t="s">
        <v>8248</v>
      </c>
      <c r="I1400">
        <v>71</v>
      </c>
    </row>
    <row r="1401" spans="1:9" x14ac:dyDescent="0.25">
      <c r="A1401" t="s">
        <v>1033</v>
      </c>
      <c r="B1401">
        <f>VLOOKUP(A1401,art_category_path_name!A:B,2,FALSE)</f>
        <v>1398</v>
      </c>
      <c r="C1401" t="s">
        <v>10039</v>
      </c>
      <c r="D1401" t="s">
        <v>8250</v>
      </c>
      <c r="E1401" t="s">
        <v>8251</v>
      </c>
      <c r="F1401" t="s">
        <v>8252</v>
      </c>
      <c r="G1401" t="s">
        <v>8253</v>
      </c>
      <c r="H1401" t="s">
        <v>8254</v>
      </c>
      <c r="I1401">
        <v>2</v>
      </c>
    </row>
    <row r="1402" spans="1:9" x14ac:dyDescent="0.25">
      <c r="A1402" t="s">
        <v>1034</v>
      </c>
      <c r="B1402">
        <f>VLOOKUP(A1402,art_category_path_name!A:B,2,FALSE)</f>
        <v>1399</v>
      </c>
      <c r="C1402" t="s">
        <v>10040</v>
      </c>
      <c r="D1402" t="s">
        <v>8256</v>
      </c>
      <c r="E1402" t="s">
        <v>8257</v>
      </c>
      <c r="F1402" t="s">
        <v>8258</v>
      </c>
      <c r="G1402" t="s">
        <v>8259</v>
      </c>
      <c r="H1402" t="s">
        <v>8260</v>
      </c>
      <c r="I1402">
        <v>2</v>
      </c>
    </row>
    <row r="1403" spans="1:9" x14ac:dyDescent="0.25">
      <c r="A1403" t="s">
        <v>805</v>
      </c>
      <c r="B1403">
        <f>VLOOKUP(A1403,art_category_path_name!A:B,2,FALSE)</f>
        <v>1400</v>
      </c>
      <c r="C1403" t="s">
        <v>10041</v>
      </c>
      <c r="D1403" t="s">
        <v>8262</v>
      </c>
      <c r="E1403" t="s">
        <v>8263</v>
      </c>
      <c r="F1403" t="s">
        <v>8264</v>
      </c>
      <c r="G1403" t="s">
        <v>8265</v>
      </c>
      <c r="H1403" t="s">
        <v>8266</v>
      </c>
      <c r="I1403">
        <v>57</v>
      </c>
    </row>
    <row r="1404" spans="1:9" x14ac:dyDescent="0.25">
      <c r="A1404" t="s">
        <v>1035</v>
      </c>
      <c r="B1404">
        <f>VLOOKUP(A1404,art_category_path_name!A:B,2,FALSE)</f>
        <v>1401</v>
      </c>
      <c r="C1404" t="s">
        <v>10042</v>
      </c>
      <c r="D1404" t="s">
        <v>8268</v>
      </c>
      <c r="E1404" t="s">
        <v>8269</v>
      </c>
      <c r="F1404" t="s">
        <v>8270</v>
      </c>
      <c r="G1404" t="s">
        <v>8271</v>
      </c>
      <c r="H1404" t="s">
        <v>8272</v>
      </c>
      <c r="I1404">
        <v>2</v>
      </c>
    </row>
    <row r="1405" spans="1:9" x14ac:dyDescent="0.25">
      <c r="A1405" t="s">
        <v>1036</v>
      </c>
      <c r="B1405">
        <f>VLOOKUP(A1405,art_category_path_name!A:B,2,FALSE)</f>
        <v>1402</v>
      </c>
      <c r="C1405" t="s">
        <v>10043</v>
      </c>
      <c r="D1405" t="s">
        <v>8274</v>
      </c>
      <c r="E1405" t="s">
        <v>8269</v>
      </c>
      <c r="F1405" t="s">
        <v>8275</v>
      </c>
      <c r="G1405" t="s">
        <v>8276</v>
      </c>
      <c r="H1405" t="s">
        <v>8277</v>
      </c>
      <c r="I1405">
        <v>2</v>
      </c>
    </row>
    <row r="1406" spans="1:9" x14ac:dyDescent="0.25">
      <c r="A1406" t="s">
        <v>9</v>
      </c>
      <c r="B1406">
        <f>VLOOKUP(A1406,art_category_path_name!A:B,2,FALSE)</f>
        <v>1403</v>
      </c>
      <c r="C1406" t="s">
        <v>10044</v>
      </c>
      <c r="D1406" t="s">
        <v>8279</v>
      </c>
      <c r="E1406" t="s">
        <v>8280</v>
      </c>
      <c r="F1406" t="s">
        <v>8281</v>
      </c>
      <c r="G1406" t="s">
        <v>8282</v>
      </c>
      <c r="H1406" t="s">
        <v>8283</v>
      </c>
      <c r="I1406">
        <v>16</v>
      </c>
    </row>
    <row r="1407" spans="1:9" x14ac:dyDescent="0.25">
      <c r="A1407" t="s">
        <v>724</v>
      </c>
      <c r="B1407">
        <f>VLOOKUP(A1407,art_category_path_name!A:B,2,FALSE)</f>
        <v>1404</v>
      </c>
      <c r="C1407" t="s">
        <v>10045</v>
      </c>
      <c r="D1407" t="s">
        <v>5618</v>
      </c>
      <c r="E1407" t="s">
        <v>5619</v>
      </c>
      <c r="F1407" t="s">
        <v>5620</v>
      </c>
      <c r="G1407" t="s">
        <v>8285</v>
      </c>
      <c r="H1407" t="s">
        <v>8286</v>
      </c>
      <c r="I1407">
        <v>20</v>
      </c>
    </row>
    <row r="1408" spans="1:9" x14ac:dyDescent="0.25">
      <c r="A1408" t="s">
        <v>1188</v>
      </c>
      <c r="B1408">
        <f>VLOOKUP(A1408,art_category_path_name!A:B,2,FALSE)</f>
        <v>1406</v>
      </c>
      <c r="C1408" t="s">
        <v>10046</v>
      </c>
      <c r="D1408" t="s">
        <v>8279</v>
      </c>
      <c r="E1408" t="s">
        <v>8280</v>
      </c>
      <c r="F1408" t="s">
        <v>8288</v>
      </c>
      <c r="G1408" t="s">
        <v>8289</v>
      </c>
      <c r="H1408" t="s">
        <v>8290</v>
      </c>
      <c r="I1408">
        <v>16</v>
      </c>
    </row>
    <row r="1409" spans="1:9" x14ac:dyDescent="0.25">
      <c r="A1409" t="s">
        <v>1009</v>
      </c>
      <c r="B1409">
        <f>VLOOKUP(A1409,art_category_path_name!A:B,2,FALSE)</f>
        <v>1407</v>
      </c>
      <c r="C1409" t="s">
        <v>10047</v>
      </c>
      <c r="D1409" t="s">
        <v>3150</v>
      </c>
      <c r="E1409" t="s">
        <v>8292</v>
      </c>
      <c r="F1409" t="s">
        <v>3150</v>
      </c>
      <c r="G1409" t="s">
        <v>8293</v>
      </c>
      <c r="H1409" t="s">
        <v>8294</v>
      </c>
      <c r="I1409">
        <v>4</v>
      </c>
    </row>
    <row r="1410" spans="1:9" x14ac:dyDescent="0.25">
      <c r="A1410" t="s">
        <v>1124</v>
      </c>
      <c r="B1410">
        <f>VLOOKUP(A1410,art_category_path_name!A:B,2,FALSE)</f>
        <v>1408</v>
      </c>
      <c r="C1410" t="s">
        <v>10048</v>
      </c>
      <c r="D1410" t="s">
        <v>8296</v>
      </c>
      <c r="E1410" t="s">
        <v>8297</v>
      </c>
      <c r="F1410" t="s">
        <v>8298</v>
      </c>
      <c r="G1410" t="s">
        <v>8299</v>
      </c>
      <c r="H1410" t="s">
        <v>8300</v>
      </c>
      <c r="I1410">
        <v>13</v>
      </c>
    </row>
    <row r="1411" spans="1:9" x14ac:dyDescent="0.25">
      <c r="A1411" t="s">
        <v>1289</v>
      </c>
      <c r="B1411">
        <f>VLOOKUP(A1411,art_category_path_name!A:B,2,FALSE)</f>
        <v>1409</v>
      </c>
      <c r="C1411" t="s">
        <v>10049</v>
      </c>
      <c r="D1411" t="s">
        <v>8302</v>
      </c>
      <c r="F1411" t="s">
        <v>1834</v>
      </c>
      <c r="G1411" t="s">
        <v>8303</v>
      </c>
      <c r="H1411" t="s">
        <v>8304</v>
      </c>
      <c r="I1411">
        <v>1</v>
      </c>
    </row>
    <row r="1412" spans="1:9" x14ac:dyDescent="0.25">
      <c r="A1412" t="s">
        <v>567</v>
      </c>
      <c r="B1412">
        <f>VLOOKUP(A1412,art_category_path_name!A:B,2,FALSE)</f>
        <v>1410</v>
      </c>
      <c r="C1412" t="s">
        <v>10050</v>
      </c>
      <c r="D1412" t="s">
        <v>8306</v>
      </c>
      <c r="F1412" t="s">
        <v>1834</v>
      </c>
      <c r="G1412" t="s">
        <v>8307</v>
      </c>
      <c r="H1412" t="s">
        <v>8308</v>
      </c>
      <c r="I1412">
        <v>1</v>
      </c>
    </row>
    <row r="1413" spans="1:9" x14ac:dyDescent="0.25">
      <c r="A1413" t="s">
        <v>568</v>
      </c>
      <c r="B1413">
        <f>VLOOKUP(A1413,art_category_path_name!A:B,2,FALSE)</f>
        <v>1411</v>
      </c>
      <c r="C1413" t="s">
        <v>10051</v>
      </c>
      <c r="D1413" t="s">
        <v>8310</v>
      </c>
      <c r="F1413" t="s">
        <v>1834</v>
      </c>
      <c r="G1413" t="s">
        <v>8311</v>
      </c>
      <c r="H1413" t="s">
        <v>8312</v>
      </c>
      <c r="I1413">
        <v>1</v>
      </c>
    </row>
    <row r="1414" spans="1:9" x14ac:dyDescent="0.25">
      <c r="A1414" t="s">
        <v>587</v>
      </c>
      <c r="B1414">
        <f>VLOOKUP(A1414,art_category_path_name!A:B,2,FALSE)</f>
        <v>1412</v>
      </c>
      <c r="C1414" t="s">
        <v>9180</v>
      </c>
      <c r="D1414" t="s">
        <v>8313</v>
      </c>
      <c r="F1414" t="s">
        <v>1834</v>
      </c>
      <c r="G1414" t="s">
        <v>8314</v>
      </c>
      <c r="H1414" t="s">
        <v>8315</v>
      </c>
      <c r="I1414">
        <v>7</v>
      </c>
    </row>
    <row r="1415" spans="1:9" x14ac:dyDescent="0.25">
      <c r="A1415" t="s">
        <v>588</v>
      </c>
      <c r="B1415">
        <f>VLOOKUP(A1415,art_category_path_name!A:B,2,FALSE)</f>
        <v>1413</v>
      </c>
      <c r="C1415" t="s">
        <v>9180</v>
      </c>
      <c r="D1415" t="s">
        <v>8316</v>
      </c>
      <c r="F1415" t="s">
        <v>1834</v>
      </c>
      <c r="G1415" t="s">
        <v>8317</v>
      </c>
      <c r="H1415" t="s">
        <v>8318</v>
      </c>
      <c r="I1415">
        <v>1</v>
      </c>
    </row>
    <row r="1416" spans="1:9" x14ac:dyDescent="0.25">
      <c r="A1416" t="s">
        <v>589</v>
      </c>
      <c r="B1416">
        <f>VLOOKUP(A1416,art_category_path_name!A:B,2,FALSE)</f>
        <v>1414</v>
      </c>
      <c r="C1416" t="s">
        <v>9180</v>
      </c>
      <c r="D1416" t="s">
        <v>7573</v>
      </c>
      <c r="F1416" t="s">
        <v>1834</v>
      </c>
      <c r="G1416" t="s">
        <v>8319</v>
      </c>
      <c r="H1416" t="s">
        <v>8320</v>
      </c>
      <c r="I1416">
        <v>8</v>
      </c>
    </row>
    <row r="1417" spans="1:9" x14ac:dyDescent="0.25">
      <c r="A1417" t="s">
        <v>546</v>
      </c>
      <c r="B1417">
        <f>VLOOKUP(A1417,art_category_path_name!A:B,2,FALSE)</f>
        <v>1415</v>
      </c>
      <c r="C1417" t="s">
        <v>10052</v>
      </c>
      <c r="D1417" t="s">
        <v>5225</v>
      </c>
      <c r="F1417" t="s">
        <v>1834</v>
      </c>
      <c r="G1417" t="s">
        <v>5226</v>
      </c>
      <c r="H1417" t="s">
        <v>8322</v>
      </c>
      <c r="I1417">
        <v>2</v>
      </c>
    </row>
    <row r="1418" spans="1:9" x14ac:dyDescent="0.25">
      <c r="A1418" t="s">
        <v>547</v>
      </c>
      <c r="B1418">
        <f>VLOOKUP(A1418,art_category_path_name!A:B,2,FALSE)</f>
        <v>1416</v>
      </c>
      <c r="C1418" t="s">
        <v>10053</v>
      </c>
      <c r="D1418" t="s">
        <v>8324</v>
      </c>
      <c r="F1418" t="s">
        <v>1834</v>
      </c>
      <c r="G1418" t="s">
        <v>8325</v>
      </c>
      <c r="H1418" t="s">
        <v>8326</v>
      </c>
      <c r="I1418">
        <v>1</v>
      </c>
    </row>
    <row r="1419" spans="1:9" x14ac:dyDescent="0.25">
      <c r="A1419" t="s">
        <v>616</v>
      </c>
      <c r="B1419">
        <f>VLOOKUP(A1419,art_category_path_name!A:B,2,FALSE)</f>
        <v>1417</v>
      </c>
      <c r="C1419" t="s">
        <v>10054</v>
      </c>
      <c r="D1419" t="s">
        <v>6206</v>
      </c>
      <c r="F1419" t="s">
        <v>1834</v>
      </c>
      <c r="G1419" t="s">
        <v>6207</v>
      </c>
      <c r="H1419" t="s">
        <v>8328</v>
      </c>
      <c r="I1419">
        <v>1</v>
      </c>
    </row>
    <row r="1420" spans="1:9" x14ac:dyDescent="0.25">
      <c r="A1420" t="s">
        <v>617</v>
      </c>
      <c r="B1420">
        <f>VLOOKUP(A1420,art_category_path_name!A:B,2,FALSE)</f>
        <v>1418</v>
      </c>
      <c r="C1420" t="s">
        <v>10055</v>
      </c>
      <c r="D1420" t="s">
        <v>8330</v>
      </c>
      <c r="F1420" t="s">
        <v>1834</v>
      </c>
      <c r="G1420" t="s">
        <v>8331</v>
      </c>
      <c r="H1420" t="s">
        <v>8332</v>
      </c>
      <c r="I1420">
        <v>1</v>
      </c>
    </row>
    <row r="1421" spans="1:9" x14ac:dyDescent="0.25">
      <c r="A1421" t="s">
        <v>618</v>
      </c>
      <c r="B1421">
        <f>VLOOKUP(A1421,art_category_path_name!A:B,2,FALSE)</f>
        <v>1419</v>
      </c>
      <c r="C1421" t="s">
        <v>10056</v>
      </c>
      <c r="D1421" t="s">
        <v>8334</v>
      </c>
      <c r="F1421" t="s">
        <v>1834</v>
      </c>
      <c r="G1421" t="s">
        <v>8335</v>
      </c>
      <c r="H1421" t="s">
        <v>8336</v>
      </c>
      <c r="I1421">
        <v>3</v>
      </c>
    </row>
    <row r="1422" spans="1:9" x14ac:dyDescent="0.25">
      <c r="A1422" t="s">
        <v>395</v>
      </c>
      <c r="B1422">
        <f>VLOOKUP(A1422,art_category_path_name!A:B,2,FALSE)</f>
        <v>1421</v>
      </c>
      <c r="C1422" t="s">
        <v>10057</v>
      </c>
      <c r="D1422" t="s">
        <v>3150</v>
      </c>
      <c r="E1422" t="s">
        <v>8338</v>
      </c>
      <c r="F1422" t="s">
        <v>8339</v>
      </c>
      <c r="G1422" t="s">
        <v>8340</v>
      </c>
      <c r="H1422" t="s">
        <v>8341</v>
      </c>
      <c r="I1422">
        <v>21</v>
      </c>
    </row>
    <row r="1423" spans="1:9" x14ac:dyDescent="0.25">
      <c r="A1423" t="s">
        <v>396</v>
      </c>
      <c r="B1423">
        <f>VLOOKUP(A1423,art_category_path_name!A:B,2,FALSE)</f>
        <v>1422</v>
      </c>
      <c r="C1423" t="s">
        <v>10058</v>
      </c>
      <c r="D1423" t="s">
        <v>3150</v>
      </c>
      <c r="E1423" t="s">
        <v>8343</v>
      </c>
      <c r="F1423" t="s">
        <v>8344</v>
      </c>
      <c r="G1423" t="s">
        <v>8345</v>
      </c>
      <c r="H1423" t="s">
        <v>8346</v>
      </c>
      <c r="I1423">
        <v>3</v>
      </c>
    </row>
    <row r="1424" spans="1:9" x14ac:dyDescent="0.25">
      <c r="A1424" t="s">
        <v>397</v>
      </c>
      <c r="B1424">
        <f>VLOOKUP(A1424,art_category_path_name!A:B,2,FALSE)</f>
        <v>1423</v>
      </c>
      <c r="C1424" t="s">
        <v>10059</v>
      </c>
      <c r="D1424" t="s">
        <v>3150</v>
      </c>
      <c r="E1424" t="s">
        <v>8348</v>
      </c>
      <c r="F1424" t="s">
        <v>8349</v>
      </c>
      <c r="G1424" t="s">
        <v>8350</v>
      </c>
      <c r="H1424" t="s">
        <v>8351</v>
      </c>
      <c r="I1424">
        <v>3</v>
      </c>
    </row>
    <row r="1425" spans="1:9" x14ac:dyDescent="0.25">
      <c r="A1425" t="s">
        <v>398</v>
      </c>
      <c r="B1425">
        <f>VLOOKUP(A1425,art_category_path_name!A:B,2,FALSE)</f>
        <v>1424</v>
      </c>
      <c r="C1425" t="s">
        <v>10060</v>
      </c>
      <c r="D1425" t="s">
        <v>3150</v>
      </c>
      <c r="E1425" t="s">
        <v>8353</v>
      </c>
      <c r="F1425" t="s">
        <v>8354</v>
      </c>
      <c r="G1425" t="s">
        <v>8355</v>
      </c>
      <c r="H1425" t="s">
        <v>8356</v>
      </c>
      <c r="I1425">
        <v>5</v>
      </c>
    </row>
    <row r="1426" spans="1:9" x14ac:dyDescent="0.25">
      <c r="A1426" t="s">
        <v>399</v>
      </c>
      <c r="B1426">
        <f>VLOOKUP(A1426,art_category_path_name!A:B,2,FALSE)</f>
        <v>1425</v>
      </c>
      <c r="C1426" t="s">
        <v>10061</v>
      </c>
      <c r="D1426" t="s">
        <v>3150</v>
      </c>
      <c r="E1426" t="s">
        <v>8358</v>
      </c>
      <c r="F1426" t="s">
        <v>8359</v>
      </c>
      <c r="G1426" t="s">
        <v>8360</v>
      </c>
      <c r="H1426" t="s">
        <v>8361</v>
      </c>
      <c r="I1426">
        <v>4</v>
      </c>
    </row>
    <row r="1427" spans="1:9" x14ac:dyDescent="0.25">
      <c r="A1427" t="s">
        <v>400</v>
      </c>
      <c r="B1427">
        <f>VLOOKUP(A1427,art_category_path_name!A:B,2,FALSE)</f>
        <v>1426</v>
      </c>
      <c r="C1427" t="s">
        <v>10062</v>
      </c>
      <c r="D1427" t="s">
        <v>8363</v>
      </c>
      <c r="F1427" t="s">
        <v>1834</v>
      </c>
      <c r="G1427" t="s">
        <v>8364</v>
      </c>
      <c r="H1427" t="s">
        <v>8365</v>
      </c>
      <c r="I1427">
        <v>4</v>
      </c>
    </row>
    <row r="1428" spans="1:9" x14ac:dyDescent="0.25">
      <c r="A1428" t="s">
        <v>401</v>
      </c>
      <c r="B1428">
        <f>VLOOKUP(A1428,art_category_path_name!A:B,2,FALSE)</f>
        <v>1427</v>
      </c>
      <c r="C1428" t="s">
        <v>10063</v>
      </c>
      <c r="D1428" t="s">
        <v>8367</v>
      </c>
      <c r="E1428" t="s">
        <v>8368</v>
      </c>
      <c r="F1428" t="s">
        <v>8369</v>
      </c>
      <c r="G1428" t="s">
        <v>8370</v>
      </c>
      <c r="H1428" t="s">
        <v>8371</v>
      </c>
      <c r="I1428">
        <v>1</v>
      </c>
    </row>
    <row r="1429" spans="1:9" x14ac:dyDescent="0.25">
      <c r="A1429" t="s">
        <v>402</v>
      </c>
      <c r="B1429">
        <f>VLOOKUP(A1429,art_category_path_name!A:B,2,FALSE)</f>
        <v>1428</v>
      </c>
      <c r="C1429" t="s">
        <v>10064</v>
      </c>
      <c r="D1429" t="s">
        <v>3150</v>
      </c>
      <c r="E1429" t="s">
        <v>8373</v>
      </c>
      <c r="F1429" t="s">
        <v>8374</v>
      </c>
      <c r="G1429" t="s">
        <v>8375</v>
      </c>
      <c r="H1429" t="s">
        <v>8376</v>
      </c>
      <c r="I1429">
        <v>1</v>
      </c>
    </row>
    <row r="1430" spans="1:9" x14ac:dyDescent="0.25">
      <c r="A1430" t="s">
        <v>403</v>
      </c>
      <c r="B1430">
        <f>VLOOKUP(A1430,art_category_path_name!A:B,2,FALSE)</f>
        <v>1429</v>
      </c>
      <c r="C1430" t="s">
        <v>10065</v>
      </c>
      <c r="D1430" t="s">
        <v>8378</v>
      </c>
      <c r="E1430" t="s">
        <v>8379</v>
      </c>
      <c r="F1430" t="s">
        <v>8380</v>
      </c>
      <c r="G1430" t="s">
        <v>8381</v>
      </c>
      <c r="H1430" t="s">
        <v>8382</v>
      </c>
      <c r="I1430">
        <v>15</v>
      </c>
    </row>
    <row r="1431" spans="1:9" x14ac:dyDescent="0.25">
      <c r="A1431" t="s">
        <v>404</v>
      </c>
      <c r="B1431">
        <f>VLOOKUP(A1431,art_category_path_name!A:B,2,FALSE)</f>
        <v>1430</v>
      </c>
      <c r="C1431" t="s">
        <v>10066</v>
      </c>
      <c r="D1431" t="s">
        <v>8384</v>
      </c>
      <c r="E1431" t="s">
        <v>8385</v>
      </c>
      <c r="F1431" t="s">
        <v>8386</v>
      </c>
      <c r="G1431" t="s">
        <v>8387</v>
      </c>
      <c r="H1431" t="s">
        <v>8388</v>
      </c>
      <c r="I1431">
        <v>39</v>
      </c>
    </row>
    <row r="1432" spans="1:9" x14ac:dyDescent="0.25">
      <c r="A1432" t="s">
        <v>405</v>
      </c>
      <c r="B1432">
        <f>VLOOKUP(A1432,art_category_path_name!A:B,2,FALSE)</f>
        <v>1431</v>
      </c>
      <c r="C1432" t="s">
        <v>10067</v>
      </c>
      <c r="D1432" t="s">
        <v>8390</v>
      </c>
      <c r="E1432" t="s">
        <v>8391</v>
      </c>
      <c r="F1432" t="s">
        <v>8392</v>
      </c>
      <c r="G1432" t="s">
        <v>8393</v>
      </c>
      <c r="H1432" t="s">
        <v>8394</v>
      </c>
      <c r="I1432">
        <v>1</v>
      </c>
    </row>
    <row r="1433" spans="1:9" x14ac:dyDescent="0.25">
      <c r="A1433" t="s">
        <v>406</v>
      </c>
      <c r="B1433">
        <f>VLOOKUP(A1433,art_category_path_name!A:B,2,FALSE)</f>
        <v>1432</v>
      </c>
      <c r="C1433" t="s">
        <v>10068</v>
      </c>
      <c r="D1433" t="s">
        <v>8396</v>
      </c>
      <c r="E1433" t="s">
        <v>8397</v>
      </c>
      <c r="F1433" t="s">
        <v>8398</v>
      </c>
      <c r="G1433" t="s">
        <v>8399</v>
      </c>
      <c r="H1433" t="s">
        <v>8400</v>
      </c>
      <c r="I1433">
        <v>4</v>
      </c>
    </row>
    <row r="1434" spans="1:9" x14ac:dyDescent="0.25">
      <c r="A1434" t="s">
        <v>407</v>
      </c>
      <c r="B1434">
        <f>VLOOKUP(A1434,art_category_path_name!A:B,2,FALSE)</f>
        <v>1433</v>
      </c>
      <c r="C1434" t="s">
        <v>10069</v>
      </c>
      <c r="D1434" t="s">
        <v>8402</v>
      </c>
      <c r="E1434" t="s">
        <v>8403</v>
      </c>
      <c r="F1434" t="s">
        <v>8404</v>
      </c>
      <c r="G1434" t="s">
        <v>8405</v>
      </c>
      <c r="H1434" t="s">
        <v>8406</v>
      </c>
      <c r="I1434">
        <v>4</v>
      </c>
    </row>
    <row r="1435" spans="1:9" x14ac:dyDescent="0.25">
      <c r="A1435" t="s">
        <v>408</v>
      </c>
      <c r="B1435">
        <f>VLOOKUP(A1435,art_category_path_name!A:B,2,FALSE)</f>
        <v>1434</v>
      </c>
      <c r="C1435" t="s">
        <v>10070</v>
      </c>
      <c r="D1435" t="s">
        <v>8408</v>
      </c>
      <c r="E1435" t="s">
        <v>8409</v>
      </c>
      <c r="F1435" t="s">
        <v>8410</v>
      </c>
      <c r="G1435" t="s">
        <v>8411</v>
      </c>
      <c r="H1435" t="s">
        <v>8412</v>
      </c>
      <c r="I1435">
        <v>5</v>
      </c>
    </row>
    <row r="1436" spans="1:9" x14ac:dyDescent="0.25">
      <c r="A1436" t="s">
        <v>409</v>
      </c>
      <c r="B1436">
        <f>VLOOKUP(A1436,art_category_path_name!A:B,2,FALSE)</f>
        <v>1435</v>
      </c>
      <c r="C1436" t="s">
        <v>10071</v>
      </c>
      <c r="D1436" t="s">
        <v>8414</v>
      </c>
      <c r="E1436" t="s">
        <v>8415</v>
      </c>
      <c r="F1436" t="s">
        <v>8414</v>
      </c>
      <c r="G1436" t="s">
        <v>8416</v>
      </c>
      <c r="H1436" t="s">
        <v>8417</v>
      </c>
      <c r="I1436">
        <v>16</v>
      </c>
    </row>
    <row r="1437" spans="1:9" x14ac:dyDescent="0.25">
      <c r="A1437" t="s">
        <v>666</v>
      </c>
      <c r="B1437">
        <f>VLOOKUP(A1437,art_category_path_name!A:B,2,FALSE)</f>
        <v>1436</v>
      </c>
      <c r="C1437" t="s">
        <v>10072</v>
      </c>
      <c r="D1437" t="s">
        <v>8419</v>
      </c>
      <c r="E1437" t="s">
        <v>8420</v>
      </c>
      <c r="F1437" t="s">
        <v>8421</v>
      </c>
      <c r="G1437" t="s">
        <v>8422</v>
      </c>
      <c r="H1437" t="s">
        <v>8423</v>
      </c>
      <c r="I1437">
        <v>7</v>
      </c>
    </row>
    <row r="1438" spans="1:9" x14ac:dyDescent="0.25">
      <c r="A1438" t="s">
        <v>667</v>
      </c>
      <c r="B1438">
        <f>VLOOKUP(A1438,art_category_path_name!A:B,2,FALSE)</f>
        <v>1437</v>
      </c>
      <c r="C1438" t="s">
        <v>10073</v>
      </c>
      <c r="D1438" t="s">
        <v>8425</v>
      </c>
      <c r="E1438" t="s">
        <v>8426</v>
      </c>
      <c r="F1438" t="s">
        <v>8427</v>
      </c>
      <c r="G1438" t="s">
        <v>8428</v>
      </c>
      <c r="H1438" t="s">
        <v>8429</v>
      </c>
      <c r="I1438">
        <v>5</v>
      </c>
    </row>
    <row r="1439" spans="1:9" x14ac:dyDescent="0.25">
      <c r="A1439" t="s">
        <v>668</v>
      </c>
      <c r="B1439">
        <f>VLOOKUP(A1439,art_category_path_name!A:B,2,FALSE)</f>
        <v>1438</v>
      </c>
      <c r="C1439" t="s">
        <v>10074</v>
      </c>
      <c r="D1439" t="s">
        <v>8431</v>
      </c>
      <c r="E1439" t="s">
        <v>4452</v>
      </c>
      <c r="F1439" t="s">
        <v>8432</v>
      </c>
      <c r="G1439" t="s">
        <v>8433</v>
      </c>
      <c r="H1439" t="s">
        <v>8434</v>
      </c>
      <c r="I1439">
        <v>5</v>
      </c>
    </row>
    <row r="1440" spans="1:9" x14ac:dyDescent="0.25">
      <c r="A1440" t="s">
        <v>970</v>
      </c>
      <c r="B1440">
        <f>VLOOKUP(A1440,art_category_path_name!A:B,2,FALSE)</f>
        <v>1439</v>
      </c>
      <c r="C1440" t="s">
        <v>10075</v>
      </c>
      <c r="D1440" t="s">
        <v>8436</v>
      </c>
      <c r="E1440" t="s">
        <v>8437</v>
      </c>
      <c r="F1440" t="s">
        <v>8438</v>
      </c>
      <c r="G1440" t="s">
        <v>8439</v>
      </c>
      <c r="H1440" t="s">
        <v>8440</v>
      </c>
      <c r="I1440">
        <v>5</v>
      </c>
    </row>
    <row r="1441" spans="1:9" x14ac:dyDescent="0.25">
      <c r="A1441" t="s">
        <v>971</v>
      </c>
      <c r="B1441">
        <f>VLOOKUP(A1441,art_category_path_name!A:B,2,FALSE)</f>
        <v>1440</v>
      </c>
      <c r="C1441" t="s">
        <v>10076</v>
      </c>
      <c r="D1441" t="s">
        <v>8442</v>
      </c>
      <c r="E1441" t="s">
        <v>8443</v>
      </c>
      <c r="F1441" t="s">
        <v>8444</v>
      </c>
      <c r="G1441" t="s">
        <v>8445</v>
      </c>
      <c r="H1441" t="s">
        <v>8446</v>
      </c>
      <c r="I1441">
        <v>5</v>
      </c>
    </row>
    <row r="1442" spans="1:9" x14ac:dyDescent="0.25">
      <c r="A1442" t="s">
        <v>972</v>
      </c>
      <c r="B1442">
        <f>VLOOKUP(A1442,art_category_path_name!A:B,2,FALSE)</f>
        <v>1441</v>
      </c>
      <c r="C1442" t="s">
        <v>10077</v>
      </c>
      <c r="D1442" t="s">
        <v>8448</v>
      </c>
      <c r="E1442" t="s">
        <v>8449</v>
      </c>
      <c r="F1442" t="s">
        <v>8450</v>
      </c>
      <c r="G1442" t="s">
        <v>8451</v>
      </c>
      <c r="H1442" t="s">
        <v>8452</v>
      </c>
      <c r="I1442">
        <v>5</v>
      </c>
    </row>
    <row r="1443" spans="1:9" x14ac:dyDescent="0.25">
      <c r="A1443" t="s">
        <v>973</v>
      </c>
      <c r="B1443">
        <f>VLOOKUP(A1443,art_category_path_name!A:B,2,FALSE)</f>
        <v>1442</v>
      </c>
      <c r="C1443" t="s">
        <v>10078</v>
      </c>
      <c r="D1443" t="s">
        <v>8454</v>
      </c>
      <c r="E1443" t="s">
        <v>8455</v>
      </c>
      <c r="F1443" t="s">
        <v>8456</v>
      </c>
      <c r="G1443" t="s">
        <v>8457</v>
      </c>
      <c r="H1443" t="s">
        <v>8458</v>
      </c>
      <c r="I1443">
        <v>6</v>
      </c>
    </row>
    <row r="1444" spans="1:9" x14ac:dyDescent="0.25">
      <c r="A1444" t="s">
        <v>974</v>
      </c>
      <c r="B1444">
        <f>VLOOKUP(A1444,art_category_path_name!A:B,2,FALSE)</f>
        <v>1443</v>
      </c>
      <c r="C1444" t="s">
        <v>10079</v>
      </c>
      <c r="D1444" t="s">
        <v>8460</v>
      </c>
      <c r="F1444" t="s">
        <v>1834</v>
      </c>
      <c r="G1444" t="s">
        <v>8461</v>
      </c>
      <c r="H1444" t="s">
        <v>8462</v>
      </c>
      <c r="I1444">
        <v>4</v>
      </c>
    </row>
    <row r="1445" spans="1:9" x14ac:dyDescent="0.25">
      <c r="A1445" t="s">
        <v>1220</v>
      </c>
      <c r="B1445">
        <f>VLOOKUP(A1445,art_category_path_name!A:B,2,FALSE)</f>
        <v>1444</v>
      </c>
      <c r="C1445" t="s">
        <v>10080</v>
      </c>
      <c r="D1445" t="s">
        <v>8464</v>
      </c>
      <c r="F1445" t="s">
        <v>1834</v>
      </c>
      <c r="G1445" t="s">
        <v>8465</v>
      </c>
      <c r="H1445" t="s">
        <v>8466</v>
      </c>
      <c r="I1445">
        <v>2</v>
      </c>
    </row>
  </sheetData>
  <autoFilter ref="A1:I1445"/>
  <hyperlinks>
    <hyperlink ref="H21"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445"/>
  <sheetViews>
    <sheetView workbookViewId="0">
      <selection activeCell="C1445" sqref="C2:C1445"/>
    </sheetView>
  </sheetViews>
  <sheetFormatPr defaultRowHeight="15" x14ac:dyDescent="0.25"/>
  <cols>
    <col min="2" max="2" width="50.5703125" customWidth="1"/>
    <col min="3" max="3" width="21.42578125" customWidth="1"/>
  </cols>
  <sheetData>
    <row r="1" spans="1:4" x14ac:dyDescent="0.25">
      <c r="A1" t="s">
        <v>8623</v>
      </c>
      <c r="B1" t="s">
        <v>10084</v>
      </c>
      <c r="C1" t="s">
        <v>10083</v>
      </c>
    </row>
    <row r="2" spans="1:4" x14ac:dyDescent="0.25">
      <c r="A2">
        <f>categories!B2</f>
        <v>257</v>
      </c>
      <c r="B2" t="str">
        <f>SUBSTITUTE(SUBSTITUTE(categories!H2,"\","/"),"www.americanretailsupply.com/","")</f>
        <v>64690/Banners--Posters.html</v>
      </c>
      <c r="C2" t="str">
        <f>"INSERT INTO url_rewrite (entity_type, entity_id, redirect_type, store_id, request_path, target_path) VALUES ('custom', 0, 301, 1,'"&amp;B2&amp;"',(SELECT CONCAT(url_path, '.html') FROM catalog_category_flat_store_1 WHERE entity_id="&amp;A2&amp;"));"</f>
        <v>INSERT INTO url_rewrite (entity_type, entity_id, redirect_type, store_id, request_path, target_path) VALUES ('custom', 0, 301, 1,'64690/Banners--Posters.html',(SELECT CONCAT(url_path, '.html') FROM catalog_category_flat_store_1 WHERE entity_id=257));</v>
      </c>
      <c r="D2" t="str">
        <f>"UPDATE url_rewrite SET request_path = '"&amp;B2&amp;"' WHERE entity_type='custom' AND target_path=(SELECT CONCAT(url_path, '.html') FROM catalog_category_flat_store_1 WHERE entity_id="&amp;A2&amp;");"</f>
        <v>UPDATE url_rewrite SET request_path = '64690/Banners--Posters.html' WHERE entity_type='custom' AND target_path=(SELECT CONCAT(url_path, '.html') FROM catalog_category_flat_store_1 WHERE entity_id=257);</v>
      </c>
    </row>
    <row r="3" spans="1:4" x14ac:dyDescent="0.25">
      <c r="A3">
        <f>categories!B3</f>
        <v>428</v>
      </c>
      <c r="B3" t="str">
        <f>SUBSTITUTE(SUBSTITUTE(categories!H3,"\","/"),"www.americanretailsupply.com/","")</f>
        <v>64695/Contest-Boxes.html</v>
      </c>
      <c r="C3" t="str">
        <f t="shared" ref="C3:C66" si="0">"INSERT INTO url_rewrite (entity_type, entity_id, redirect_type, store_id, request_path, target_path) VALUES ('custom', 0, 301, 1,'"&amp;B3&amp;"',(SELECT CONCAT(url_path, '.html') FROM catalog_category_flat_store_1 WHERE entity_id="&amp;A3&amp;"));"</f>
        <v>INSERT INTO url_rewrite (entity_type, entity_id, redirect_type, store_id, request_path, target_path) VALUES ('custom', 0, 301, 1,'64695/Contest-Boxes.html',(SELECT CONCAT(url_path, '.html') FROM catalog_category_flat_store_1 WHERE entity_id=428));</v>
      </c>
      <c r="D3" t="str">
        <f t="shared" ref="D3:D66" si="1">"UPDATE url_rewrite SET request_path = '"&amp;B3&amp;"' WHERE entity_type='custom' AND target_path=(SELECT CONCAT(url_path, '.html') FROM catalog_category_flat_store_1 WHERE entity_id="&amp;A3&amp;");"</f>
        <v>UPDATE url_rewrite SET request_path = '64695/Contest-Boxes.html' WHERE entity_type='custom' AND target_path=(SELECT CONCAT(url_path, '.html') FROM catalog_category_flat_store_1 WHERE entity_id=428);</v>
      </c>
    </row>
    <row r="4" spans="1:4" x14ac:dyDescent="0.25">
      <c r="A4">
        <f>categories!B4</f>
        <v>528</v>
      </c>
      <c r="B4" t="str">
        <f>SUBSTITUTE(SUBSTITUTE(categories!H4,"\","/"),"www.americanretailsupply.com/","")</f>
        <v>64692/Fluorescent-Labels.html</v>
      </c>
      <c r="C4" t="str">
        <f t="shared" si="0"/>
        <v>INSERT INTO url_rewrite (entity_type, entity_id, redirect_type, store_id, request_path, target_path) VALUES ('custom', 0, 301, 1,'64692/Fluorescent-Labels.html',(SELECT CONCAT(url_path, '.html') FROM catalog_category_flat_store_1 WHERE entity_id=528));</v>
      </c>
      <c r="D4" t="str">
        <f t="shared" si="1"/>
        <v>UPDATE url_rewrite SET request_path = '64692/Fluorescent-Labels.html' WHERE entity_type='custom' AND target_path=(SELECT CONCAT(url_path, '.html') FROM catalog_category_flat_store_1 WHERE entity_id=528);</v>
      </c>
    </row>
    <row r="5" spans="1:4" x14ac:dyDescent="0.25">
      <c r="A5">
        <f>categories!B5</f>
        <v>603</v>
      </c>
      <c r="B5" t="str">
        <f>SUBSTITUTE(SUBSTITUTE(categories!H5,"\","/"),"www.americanretailsupply.com/","")</f>
        <v>64987/Gift-Cards.html</v>
      </c>
      <c r="C5" t="str">
        <f t="shared" si="0"/>
        <v>INSERT INTO url_rewrite (entity_type, entity_id, redirect_type, store_id, request_path, target_path) VALUES ('custom', 0, 301, 1,'64987/Gift-Cards.html',(SELECT CONCAT(url_path, '.html') FROM catalog_category_flat_store_1 WHERE entity_id=603));</v>
      </c>
      <c r="D5" t="str">
        <f t="shared" si="1"/>
        <v>UPDATE url_rewrite SET request_path = '64987/Gift-Cards.html' WHERE entity_type='custom' AND target_path=(SELECT CONCAT(url_path, '.html') FROM catalog_category_flat_store_1 WHERE entity_id=603);</v>
      </c>
    </row>
    <row r="6" spans="1:4" x14ac:dyDescent="0.25">
      <c r="A6">
        <f>categories!B6</f>
        <v>1031</v>
      </c>
      <c r="B6" t="str">
        <f>SUBSTITUTE(SUBSTITUTE(categories!H6,"\","/"),"www.americanretailsupply.com/","")</f>
        <v>64689/Pennants.html</v>
      </c>
      <c r="C6" t="str">
        <f t="shared" si="0"/>
        <v>INSERT INTO url_rewrite (entity_type, entity_id, redirect_type, store_id, request_path, target_path) VALUES ('custom', 0, 301, 1,'64689/Pennants.html',(SELECT CONCAT(url_path, '.html') FROM catalog_category_flat_store_1 WHERE entity_id=1031));</v>
      </c>
      <c r="D6" t="str">
        <f t="shared" si="1"/>
        <v>UPDATE url_rewrite SET request_path = '64689/Pennants.html' WHERE entity_type='custom' AND target_path=(SELECT CONCAT(url_path, '.html') FROM catalog_category_flat_store_1 WHERE entity_id=1031);</v>
      </c>
    </row>
    <row r="7" spans="1:4" x14ac:dyDescent="0.25">
      <c r="A7">
        <f>categories!B7</f>
        <v>1097</v>
      </c>
      <c r="B7" t="str">
        <f>SUBSTITUTE(SUBSTITUTE(categories!H7,"\","/"),"www.americanretailsupply.com/","")</f>
        <v>64693/Ready-Flow-Pen-Sets.html</v>
      </c>
      <c r="C7" t="str">
        <f t="shared" si="0"/>
        <v>INSERT INTO url_rewrite (entity_type, entity_id, redirect_type, store_id, request_path, target_path) VALUES ('custom', 0, 301, 1,'64693/Ready-Flow-Pen-Sets.html',(SELECT CONCAT(url_path, '.html') FROM catalog_category_flat_store_1 WHERE entity_id=1097));</v>
      </c>
      <c r="D7" t="str">
        <f t="shared" si="1"/>
        <v>UPDATE url_rewrite SET request_path = '64693/Ready-Flow-Pen-Sets.html' WHERE entity_type='custom' AND target_path=(SELECT CONCAT(url_path, '.html') FROM catalog_category_flat_store_1 WHERE entity_id=1097);</v>
      </c>
    </row>
    <row r="8" spans="1:4" x14ac:dyDescent="0.25">
      <c r="A8">
        <f>categories!B8</f>
        <v>1180</v>
      </c>
      <c r="B8" t="str">
        <f>SUBSTITUTE(SUBSTITUTE(categories!H8,"\","/"),"www.americanretailsupply.com/","")</f>
        <v>64691/Sidewalk-Signs.html</v>
      </c>
      <c r="C8" t="str">
        <f t="shared" si="0"/>
        <v>INSERT INTO url_rewrite (entity_type, entity_id, redirect_type, store_id, request_path, target_path) VALUES ('custom', 0, 301, 1,'64691/Sidewalk-Signs.html',(SELECT CONCAT(url_path, '.html') FROM catalog_category_flat_store_1 WHERE entity_id=1180));</v>
      </c>
      <c r="D8" t="str">
        <f t="shared" si="1"/>
        <v>UPDATE url_rewrite SET request_path = '64691/Sidewalk-Signs.html' WHERE entity_type='custom' AND target_path=(SELECT CONCAT(url_path, '.html') FROM catalog_category_flat_store_1 WHERE entity_id=1180);</v>
      </c>
    </row>
    <row r="9" spans="1:4" x14ac:dyDescent="0.25">
      <c r="A9">
        <f>categories!B9</f>
        <v>183</v>
      </c>
      <c r="B9" t="str">
        <f>SUBSTITUTE(SUBSTITUTE(categories!H9,"\","/"),"www.americanretailsupply.com/","")</f>
        <v>64983/Acrylic-Sign-Card-Frames.html</v>
      </c>
      <c r="C9" t="str">
        <f t="shared" si="0"/>
        <v>INSERT INTO url_rewrite (entity_type, entity_id, redirect_type, store_id, request_path, target_path) VALUES ('custom', 0, 301, 1,'64983/Acrylic-Sign-Card-Frames.html',(SELECT CONCAT(url_path, '.html') FROM catalog_category_flat_store_1 WHERE entity_id=183));</v>
      </c>
      <c r="D9" t="str">
        <f t="shared" si="1"/>
        <v>UPDATE url_rewrite SET request_path = '64983/Acrylic-Sign-Card-Frames.html' WHERE entity_type='custom' AND target_path=(SELECT CONCAT(url_path, '.html') FROM catalog_category_flat_store_1 WHERE entity_id=183);</v>
      </c>
    </row>
    <row r="10" spans="1:4" x14ac:dyDescent="0.25">
      <c r="A10">
        <f>categories!B10</f>
        <v>320</v>
      </c>
      <c r="B10" t="str">
        <f>SUBSTITUTE(SUBSTITUTE(categories!H10,"\","/"),"www.americanretailsupply.com/","")</f>
        <v>64984/Chrome-Sign-Card-Frames.html</v>
      </c>
      <c r="C10" t="str">
        <f t="shared" si="0"/>
        <v>INSERT INTO url_rewrite (entity_type, entity_id, redirect_type, store_id, request_path, target_path) VALUES ('custom', 0, 301, 1,'64984/Chrome-Sign-Card-Frames.html',(SELECT CONCAT(url_path, '.html') FROM catalog_category_flat_store_1 WHERE entity_id=320));</v>
      </c>
      <c r="D10" t="str">
        <f t="shared" si="1"/>
        <v>UPDATE url_rewrite SET request_path = '64984/Chrome-Sign-Card-Frames.html' WHERE entity_type='custom' AND target_path=(SELECT CONCAT(url_path, '.html') FROM catalog_category_flat_store_1 WHERE entity_id=320);</v>
      </c>
    </row>
    <row r="11" spans="1:4" x14ac:dyDescent="0.25">
      <c r="A11">
        <f>categories!B11</f>
        <v>946</v>
      </c>
      <c r="B11" t="str">
        <f>SUBSTITUTE(SUBSTITUTE(categories!H11,"\","/"),"www.americanretailsupply.com/","")</f>
        <v>64981/Miscellaneous-Sign-Holders.html</v>
      </c>
      <c r="C11" t="str">
        <f t="shared" si="0"/>
        <v>INSERT INTO url_rewrite (entity_type, entity_id, redirect_type, store_id, request_path, target_path) VALUES ('custom', 0, 301, 1,'64981/Miscellaneous-Sign-Holders.html',(SELECT CONCAT(url_path, '.html') FROM catalog_category_flat_store_1 WHERE entity_id=946));</v>
      </c>
      <c r="D11" t="str">
        <f t="shared" si="1"/>
        <v>UPDATE url_rewrite SET request_path = '64981/Miscellaneous-Sign-Holders.html' WHERE entity_type='custom' AND target_path=(SELECT CONCAT(url_path, '.html') FROM catalog_category_flat_store_1 WHERE entity_id=946);</v>
      </c>
    </row>
    <row r="12" spans="1:4" x14ac:dyDescent="0.25">
      <c r="A12">
        <f>categories!B12</f>
        <v>1356</v>
      </c>
      <c r="B12" t="str">
        <f>SUBSTITUTE(SUBSTITUTE(categories!H12,"\","/"),"www.americanretailsupply.com/","")</f>
        <v>64982/Vinyl-Envelope--Sign-Holders.html</v>
      </c>
      <c r="C12" t="str">
        <f t="shared" si="0"/>
        <v>INSERT INTO url_rewrite (entity_type, entity_id, redirect_type, store_id, request_path, target_path) VALUES ('custom', 0, 301, 1,'64982/Vinyl-Envelope--Sign-Holders.html',(SELECT CONCAT(url_path, '.html') FROM catalog_category_flat_store_1 WHERE entity_id=1356));</v>
      </c>
      <c r="D12" t="str">
        <f t="shared" si="1"/>
        <v>UPDATE url_rewrite SET request_path = '64982/Vinyl-Envelope--Sign-Holders.html' WHERE entity_type='custom' AND target_path=(SELECT CONCAT(url_path, '.html') FROM catalog_category_flat_store_1 WHERE entity_id=1356);</v>
      </c>
    </row>
    <row r="13" spans="1:4" x14ac:dyDescent="0.25">
      <c r="A13">
        <f>categories!B13</f>
        <v>1185</v>
      </c>
      <c r="B13" t="str">
        <f>SUBSTITUTE(SUBSTITUTE(categories!H13,"\","/"),"www.americanretailsupply.com/","")</f>
        <v>64687/Sign-Cards.html</v>
      </c>
      <c r="C13" t="str">
        <f t="shared" si="0"/>
        <v>INSERT INTO url_rewrite (entity_type, entity_id, redirect_type, store_id, request_path, target_path) VALUES ('custom', 0, 301, 1,'64687/Sign-Cards.html',(SELECT CONCAT(url_path, '.html') FROM catalog_category_flat_store_1 WHERE entity_id=1185));</v>
      </c>
      <c r="D13" t="str">
        <f t="shared" si="1"/>
        <v>UPDATE url_rewrite SET request_path = '64687/Sign-Cards.html' WHERE entity_type='custom' AND target_path=(SELECT CONCAT(url_path, '.html') FROM catalog_category_flat_store_1 WHERE entity_id=1185);</v>
      </c>
    </row>
    <row r="14" spans="1:4" x14ac:dyDescent="0.25">
      <c r="A14">
        <f>categories!B14</f>
        <v>181</v>
      </c>
      <c r="B14" t="str">
        <f>SUBSTITUTE(SUBSTITUTE(categories!H14,"\","/"),"www.americanretailsupply.com/","")</f>
        <v>64600/Advertising-Aids.html</v>
      </c>
      <c r="C14" t="str">
        <f t="shared" si="0"/>
        <v>INSERT INTO url_rewrite (entity_type, entity_id, redirect_type, store_id, request_path, target_path) VALUES ('custom', 0, 301, 1,'64600/Advertising-Aids.html',(SELECT CONCAT(url_path, '.html') FROM catalog_category_flat_store_1 WHERE entity_id=181));</v>
      </c>
      <c r="D14" t="str">
        <f t="shared" si="1"/>
        <v>UPDATE url_rewrite SET request_path = '64600/Advertising-Aids.html' WHERE entity_type='custom' AND target_path=(SELECT CONCAT(url_path, '.html') FROM catalog_category_flat_store_1 WHERE entity_id=181);</v>
      </c>
    </row>
    <row r="15" spans="1:4" x14ac:dyDescent="0.25">
      <c r="A15">
        <f>categories!B15</f>
        <v>333</v>
      </c>
      <c r="B15" t="str">
        <f>SUBSTITUTE(SUBSTITUTE(categories!H15,"\","/"),"www.americanretailsupply.com/","")</f>
        <v>64900/Closeout-Acrylic-Glass-Jewelry-Displays.html</v>
      </c>
      <c r="C15" t="str">
        <f t="shared" si="0"/>
        <v>INSERT INTO url_rewrite (entity_type, entity_id, redirect_type, store_id, request_path, target_path) VALUES ('custom', 0, 301, 1,'64900/Closeout-Acrylic-Glass-Jewelry-Displays.html',(SELECT CONCAT(url_path, '.html') FROM catalog_category_flat_store_1 WHERE entity_id=333));</v>
      </c>
      <c r="D15" t="str">
        <f t="shared" si="1"/>
        <v>UPDATE url_rewrite SET request_path = '64900/Closeout-Acrylic-Glass-Jewelry-Displays.html' WHERE entity_type='custom' AND target_path=(SELECT CONCAT(url_path, '.html') FROM catalog_category_flat_store_1 WHERE entity_id=333);</v>
      </c>
    </row>
    <row r="16" spans="1:4" x14ac:dyDescent="0.25">
      <c r="A16">
        <f>categories!B16</f>
        <v>342</v>
      </c>
      <c r="B16" t="str">
        <f>SUBSTITUTE(SUBSTITUTE(categories!H16,"\","/"),"www.americanretailsupply.com/","")</f>
        <v>64904/Closeout-Apparel-Accessories.html</v>
      </c>
      <c r="C16" t="str">
        <f t="shared" si="0"/>
        <v>INSERT INTO url_rewrite (entity_type, entity_id, redirect_type, store_id, request_path, target_path) VALUES ('custom', 0, 301, 1,'64904/Closeout-Apparel-Accessories.html',(SELECT CONCAT(url_path, '.html') FROM catalog_category_flat_store_1 WHERE entity_id=342));</v>
      </c>
      <c r="D16" t="str">
        <f t="shared" si="1"/>
        <v>UPDATE url_rewrite SET request_path = '64904/Closeout-Apparel-Accessories.html' WHERE entity_type='custom' AND target_path=(SELECT CONCAT(url_path, '.html') FROM catalog_category_flat_store_1 WHERE entity_id=342);</v>
      </c>
    </row>
    <row r="17" spans="1:4" x14ac:dyDescent="0.25">
      <c r="A17">
        <f>categories!B17</f>
        <v>346</v>
      </c>
      <c r="B17" t="str">
        <f>SUBSTITUTE(SUBSTITUTE(categories!H17,"\","/"),"www.americanretailsupply.com/","")</f>
        <v>64901/Closeout-Brackets-Hooks-Standards.html</v>
      </c>
      <c r="C17" t="str">
        <f t="shared" si="0"/>
        <v>INSERT INTO url_rewrite (entity_type, entity_id, redirect_type, store_id, request_path, target_path) VALUES ('custom', 0, 301, 1,'64901/Closeout-Brackets-Hooks-Standards.html',(SELECT CONCAT(url_path, '.html') FROM catalog_category_flat_store_1 WHERE entity_id=346));</v>
      </c>
      <c r="D17" t="str">
        <f t="shared" si="1"/>
        <v>UPDATE url_rewrite SET request_path = '64901/Closeout-Brackets-Hooks-Standards.html' WHERE entity_type='custom' AND target_path=(SELECT CONCAT(url_path, '.html') FROM catalog_category_flat_store_1 WHERE entity_id=346);</v>
      </c>
    </row>
    <row r="18" spans="1:4" x14ac:dyDescent="0.25">
      <c r="A18">
        <f>categories!B18</f>
        <v>365</v>
      </c>
      <c r="B18" t="str">
        <f>SUBSTITUTE(SUBSTITUTE(categories!H18,"\","/"),"www.americanretailsupply.com/","")</f>
        <v>64898/Closeout-Display-Cases-and-Racks.html</v>
      </c>
      <c r="C18" t="str">
        <f t="shared" si="0"/>
        <v>INSERT INTO url_rewrite (entity_type, entity_id, redirect_type, store_id, request_path, target_path) VALUES ('custom', 0, 301, 1,'64898/Closeout-Display-Cases-and-Racks.html',(SELECT CONCAT(url_path, '.html') FROM catalog_category_flat_store_1 WHERE entity_id=365));</v>
      </c>
      <c r="D18" t="str">
        <f t="shared" si="1"/>
        <v>UPDATE url_rewrite SET request_path = '64898/Closeout-Display-Cases-and-Racks.html' WHERE entity_type='custom' AND target_path=(SELECT CONCAT(url_path, '.html') FROM catalog_category_flat_store_1 WHERE entity_id=365);</v>
      </c>
    </row>
    <row r="19" spans="1:4" x14ac:dyDescent="0.25">
      <c r="A19">
        <f>categories!B19</f>
        <v>383</v>
      </c>
      <c r="B19" t="str">
        <f>SUBSTITUTE(SUBSTITUTE(categories!H19,"\","/"),"www.americanretailsupply.com/","")</f>
        <v>64899/Closeout-Packaging.html</v>
      </c>
      <c r="C19" t="str">
        <f t="shared" si="0"/>
        <v>INSERT INTO url_rewrite (entity_type, entity_id, redirect_type, store_id, request_path, target_path) VALUES ('custom', 0, 301, 1,'64899/Closeout-Packaging.html',(SELECT CONCAT(url_path, '.html') FROM catalog_category_flat_store_1 WHERE entity_id=383));</v>
      </c>
      <c r="D19" t="str">
        <f t="shared" si="1"/>
        <v>UPDATE url_rewrite SET request_path = '64899/Closeout-Packaging.html' WHERE entity_type='custom' AND target_path=(SELECT CONCAT(url_path, '.html') FROM catalog_category_flat_store_1 WHERE entity_id=383);</v>
      </c>
    </row>
    <row r="20" spans="1:4" x14ac:dyDescent="0.25">
      <c r="A20">
        <f>categories!B20</f>
        <v>392</v>
      </c>
      <c r="B20" t="str">
        <f>SUBSTITUTE(SUBSTITUTE(categories!H20,"\","/"),"www.americanretailsupply.com/","")</f>
        <v>64902/Closeout-Price-Marking.html</v>
      </c>
      <c r="C20" t="str">
        <f t="shared" si="0"/>
        <v>INSERT INTO url_rewrite (entity_type, entity_id, redirect_type, store_id, request_path, target_path) VALUES ('custom', 0, 301, 1,'64902/Closeout-Price-Marking.html',(SELECT CONCAT(url_path, '.html') FROM catalog_category_flat_store_1 WHERE entity_id=392));</v>
      </c>
      <c r="D20" t="str">
        <f t="shared" si="1"/>
        <v>UPDATE url_rewrite SET request_path = '64902/Closeout-Price-Marking.html' WHERE entity_type='custom' AND target_path=(SELECT CONCAT(url_path, '.html') FROM catalog_category_flat_store_1 WHERE entity_id=392);</v>
      </c>
    </row>
    <row r="21" spans="1:4" x14ac:dyDescent="0.25">
      <c r="A21">
        <f>categories!B21</f>
        <v>927</v>
      </c>
      <c r="B21" t="str">
        <f>SUBSTITUTE(SUBSTITUTE(categories!H21,"\","/"),"www.americanretailsupply.com/","")</f>
        <v>64905/Miscellaneous-Closeout.html</v>
      </c>
      <c r="C21" t="str">
        <f t="shared" si="0"/>
        <v>INSERT INTO url_rewrite (entity_type, entity_id, redirect_type, store_id, request_path, target_path) VALUES ('custom', 0, 301, 1,'64905/Miscellaneous-Closeout.html',(SELECT CONCAT(url_path, '.html') FROM catalog_category_flat_store_1 WHERE entity_id=927));</v>
      </c>
      <c r="D21" t="str">
        <f t="shared" si="1"/>
        <v>UPDATE url_rewrite SET request_path = '64905/Miscellaneous-Closeout.html' WHERE entity_type='custom' AND target_path=(SELECT CONCAT(url_path, '.html') FROM catalog_category_flat_store_1 WHERE entity_id=927);</v>
      </c>
    </row>
    <row r="22" spans="1:4" x14ac:dyDescent="0.25">
      <c r="A22">
        <f>categories!B22</f>
        <v>332</v>
      </c>
      <c r="B22" t="str">
        <f>SUBSTITUTE(SUBSTITUTE(categories!H22,"\","/"),"www.americanretailsupply.com/","")</f>
        <v>64594/Closeouts.html</v>
      </c>
      <c r="C22" t="str">
        <f t="shared" si="0"/>
        <v>INSERT INTO url_rewrite (entity_type, entity_id, redirect_type, store_id, request_path, target_path) VALUES ('custom', 0, 301, 1,'64594/Closeouts.html',(SELECT CONCAT(url_path, '.html') FROM catalog_category_flat_store_1 WHERE entity_id=332));</v>
      </c>
      <c r="D22" t="str">
        <f t="shared" si="1"/>
        <v>UPDATE url_rewrite SET request_path = '64594/Closeouts.html' WHERE entity_type='custom' AND target_path=(SELECT CONCAT(url_path, '.html') FROM catalog_category_flat_store_1 WHERE entity_id=332);</v>
      </c>
    </row>
    <row r="23" spans="1:4" x14ac:dyDescent="0.25">
      <c r="A23">
        <f>categories!B23</f>
        <v>182</v>
      </c>
      <c r="B23" t="str">
        <f>SUBSTITUTE(SUBSTITUTE(categories!H23,"\","/"),"www.americanretailsupply.com/","")</f>
        <v>64688/Sign-Card-Frames-and-Vinyl-Envelopes.html</v>
      </c>
      <c r="C23" t="str">
        <f t="shared" si="0"/>
        <v>INSERT INTO url_rewrite (entity_type, entity_id, redirect_type, store_id, request_path, target_path) VALUES ('custom', 0, 301, 1,'64688/Sign-Card-Frames-and-Vinyl-Envelopes.html',(SELECT CONCAT(url_path, '.html') FROM catalog_category_flat_store_1 WHERE entity_id=182));</v>
      </c>
      <c r="D23" t="str">
        <f t="shared" si="1"/>
        <v>UPDATE url_rewrite SET request_path = '64688/Sign-Card-Frames-and-Vinyl-Envelopes.html' WHERE entity_type='custom' AND target_path=(SELECT CONCAT(url_path, '.html') FROM catalog_category_flat_store_1 WHERE entity_id=182);</v>
      </c>
    </row>
    <row r="24" spans="1:4" x14ac:dyDescent="0.25">
      <c r="A24">
        <f>categories!B24</f>
        <v>206</v>
      </c>
      <c r="B24" t="str">
        <f>SUBSTITUTE(SUBSTITUTE(categories!H24,"\","/"),"www.americanretailsupply.com/","")</f>
        <v>65197/Apparel-Accessories--Apparel-Store-Supplies.html</v>
      </c>
      <c r="C24" t="str">
        <f t="shared" si="0"/>
        <v>INSERT INTO url_rewrite (entity_type, entity_id, redirect_type, store_id, request_path, target_path) VALUES ('custom', 0, 301, 1,'65197/Apparel-Accessories--Apparel-Store-Supplies.html',(SELECT CONCAT(url_path, '.html') FROM catalog_category_flat_store_1 WHERE entity_id=206));</v>
      </c>
      <c r="D24" t="str">
        <f t="shared" si="1"/>
        <v>UPDATE url_rewrite SET request_path = '65197/Apparel-Accessories--Apparel-Store-Supplies.html' WHERE entity_type='custom' AND target_path=(SELECT CONCAT(url_path, '.html') FROM catalog_category_flat_store_1 WHERE entity_id=206);</v>
      </c>
    </row>
    <row r="25" spans="1:4" x14ac:dyDescent="0.25">
      <c r="A25">
        <f>categories!B25</f>
        <v>284</v>
      </c>
      <c r="B25" t="str">
        <f>SUBSTITUTE(SUBSTITUTE(categories!H25,"\","/"),"www.americanretailsupply.com/","")</f>
        <v>64848/Box-Cutters.html</v>
      </c>
      <c r="C25" t="str">
        <f t="shared" si="0"/>
        <v>INSERT INTO url_rewrite (entity_type, entity_id, redirect_type, store_id, request_path, target_path) VALUES ('custom', 0, 301, 1,'64848/Box-Cutters.html',(SELECT CONCAT(url_path, '.html') FROM catalog_category_flat_store_1 WHERE entity_id=284));</v>
      </c>
      <c r="D25" t="str">
        <f t="shared" si="1"/>
        <v>UPDATE url_rewrite SET request_path = '64848/Box-Cutters.html' WHERE entity_type='custom' AND target_path=(SELECT CONCAT(url_path, '.html') FROM catalog_category_flat_store_1 WHERE entity_id=284);</v>
      </c>
    </row>
    <row r="26" spans="1:4" x14ac:dyDescent="0.25">
      <c r="A26">
        <f>categories!B26</f>
        <v>298</v>
      </c>
      <c r="B26" t="str">
        <f>SUBSTITUTE(SUBSTITUTE(categories!H26,"\","/"),"www.americanretailsupply.com/","")</f>
        <v>64850/Carts.html</v>
      </c>
      <c r="C26" t="str">
        <f t="shared" si="0"/>
        <v>INSERT INTO url_rewrite (entity_type, entity_id, redirect_type, store_id, request_path, target_path) VALUES ('custom', 0, 301, 1,'64850/Carts.html',(SELECT CONCAT(url_path, '.html') FROM catalog_category_flat_store_1 WHERE entity_id=298));</v>
      </c>
      <c r="D26" t="str">
        <f t="shared" si="1"/>
        <v>UPDATE url_rewrite SET request_path = '64850/Carts.html' WHERE entity_type='custom' AND target_path=(SELECT CONCAT(url_path, '.html') FROM catalog_category_flat_store_1 WHERE entity_id=298);</v>
      </c>
    </row>
    <row r="27" spans="1:4" x14ac:dyDescent="0.25">
      <c r="A27">
        <f>categories!B27</f>
        <v>306</v>
      </c>
      <c r="B27" t="str">
        <f>SUBSTITUTE(SUBSTITUTE(categories!H27,"\","/"),"www.americanretailsupply.com/","")</f>
        <v>64857/Cash-Register-Paper.html</v>
      </c>
      <c r="C27" t="str">
        <f t="shared" si="0"/>
        <v>INSERT INTO url_rewrite (entity_type, entity_id, redirect_type, store_id, request_path, target_path) VALUES ('custom', 0, 301, 1,'64857/Cash-Register-Paper.html',(SELECT CONCAT(url_path, '.html') FROM catalog_category_flat_store_1 WHERE entity_id=306));</v>
      </c>
      <c r="D27" t="str">
        <f t="shared" si="1"/>
        <v>UPDATE url_rewrite SET request_path = '64857/Cash-Register-Paper.html' WHERE entity_type='custom' AND target_path=(SELECT CONCAT(url_path, '.html') FROM catalog_category_flat_store_1 WHERE entity_id=306);</v>
      </c>
    </row>
    <row r="28" spans="1:4" x14ac:dyDescent="0.25">
      <c r="A28">
        <f>categories!B28</f>
        <v>613</v>
      </c>
      <c r="B28" t="str">
        <f>SUBSTITUTE(SUBSTITUTE(categories!H28,"\","/"),"www.americanretailsupply.com/","")</f>
        <v>64860/Giftwrap-Ribbon-Tissue-Racks.html</v>
      </c>
      <c r="C28" t="str">
        <f t="shared" si="0"/>
        <v>INSERT INTO url_rewrite (entity_type, entity_id, redirect_type, store_id, request_path, target_path) VALUES ('custom', 0, 301, 1,'64860/Giftwrap-Ribbon-Tissue-Racks.html',(SELECT CONCAT(url_path, '.html') FROM catalog_category_flat_store_1 WHERE entity_id=613));</v>
      </c>
      <c r="D28" t="str">
        <f t="shared" si="1"/>
        <v>UPDATE url_rewrite SET request_path = '64860/Giftwrap-Ribbon-Tissue-Racks.html' WHERE entity_type='custom' AND target_path=(SELECT CONCAT(url_path, '.html') FROM catalog_category_flat_store_1 WHERE entity_id=613);</v>
      </c>
    </row>
    <row r="29" spans="1:4" x14ac:dyDescent="0.25">
      <c r="A29">
        <f>categories!B29</f>
        <v>751</v>
      </c>
      <c r="B29" t="str">
        <f>SUBSTITUTE(SUBSTITUTE(categories!H29,"\","/"),"www.americanretailsupply.com/","")</f>
        <v>64852/Impulse-Sealers--Shrink-Wrap.html</v>
      </c>
      <c r="C29" t="str">
        <f t="shared" si="0"/>
        <v>INSERT INTO url_rewrite (entity_type, entity_id, redirect_type, store_id, request_path, target_path) VALUES ('custom', 0, 301, 1,'64852/Impulse-Sealers--Shrink-Wrap.html',(SELECT CONCAT(url_path, '.html') FROM catalog_category_flat_store_1 WHERE entity_id=751));</v>
      </c>
      <c r="D29" t="str">
        <f t="shared" si="1"/>
        <v>UPDATE url_rewrite SET request_path = '64852/Impulse-Sealers--Shrink-Wrap.html' WHERE entity_type='custom' AND target_path=(SELECT CONCAT(url_path, '.html') FROM catalog_category_flat_store_1 WHERE entity_id=751);</v>
      </c>
    </row>
    <row r="30" spans="1:4" x14ac:dyDescent="0.25">
      <c r="A30">
        <f>categories!B30</f>
        <v>857</v>
      </c>
      <c r="B30" t="str">
        <f>SUBSTITUTE(SUBSTITUTE(categories!H30,"\","/"),"www.americanretailsupply.com/","")</f>
        <v>64847/Lights.html</v>
      </c>
      <c r="C30" t="str">
        <f t="shared" si="0"/>
        <v>INSERT INTO url_rewrite (entity_type, entity_id, redirect_type, store_id, request_path, target_path) VALUES ('custom', 0, 301, 1,'64847/Lights.html',(SELECT CONCAT(url_path, '.html') FROM catalog_category_flat_store_1 WHERE entity_id=857));</v>
      </c>
      <c r="D30" t="str">
        <f t="shared" si="1"/>
        <v>UPDATE url_rewrite SET request_path = '64847/Lights.html' WHERE entity_type='custom' AND target_path=(SELECT CONCAT(url_path, '.html') FROM catalog_category_flat_store_1 WHERE entity_id=857);</v>
      </c>
    </row>
    <row r="31" spans="1:4" x14ac:dyDescent="0.25">
      <c r="A31">
        <f>categories!B31</f>
        <v>884</v>
      </c>
      <c r="B31" t="str">
        <f>SUBSTITUTE(SUBSTITUTE(categories!H31,"\","/"),"www.americanretailsupply.com/","")</f>
        <v>64864/Merchandising-Aids.html</v>
      </c>
      <c r="C31" t="str">
        <f t="shared" si="0"/>
        <v>INSERT INTO url_rewrite (entity_type, entity_id, redirect_type, store_id, request_path, target_path) VALUES ('custom', 0, 301, 1,'64864/Merchandising-Aids.html',(SELECT CONCAT(url_path, '.html') FROM catalog_category_flat_store_1 WHERE entity_id=884));</v>
      </c>
      <c r="D31" t="str">
        <f t="shared" si="1"/>
        <v>UPDATE url_rewrite SET request_path = '64864/Merchandising-Aids.html' WHERE entity_type='custom' AND target_path=(SELECT CONCAT(url_path, '.html') FROM catalog_category_flat_store_1 WHERE entity_id=884);</v>
      </c>
    </row>
    <row r="32" spans="1:4" x14ac:dyDescent="0.25">
      <c r="A32">
        <f>categories!B32</f>
        <v>1058</v>
      </c>
      <c r="B32" t="str">
        <f>SUBSTITUTE(SUBSTITUTE(categories!H32,"\","/"),"www.americanretailsupply.com/","")</f>
        <v>64856/Printer-Labels.html</v>
      </c>
      <c r="C32" t="str">
        <f t="shared" si="0"/>
        <v>INSERT INTO url_rewrite (entity_type, entity_id, redirect_type, store_id, request_path, target_path) VALUES ('custom', 0, 301, 1,'64856/Printer-Labels.html',(SELECT CONCAT(url_path, '.html') FROM catalog_category_flat_store_1 WHERE entity_id=1058));</v>
      </c>
      <c r="D32" t="str">
        <f t="shared" si="1"/>
        <v>UPDATE url_rewrite SET request_path = '64856/Printer-Labels.html' WHERE entity_type='custom' AND target_path=(SELECT CONCAT(url_path, '.html') FROM catalog_category_flat_store_1 WHERE entity_id=1058);</v>
      </c>
    </row>
    <row r="33" spans="1:4" x14ac:dyDescent="0.25">
      <c r="A33">
        <f>categories!B33</f>
        <v>1157</v>
      </c>
      <c r="B33" t="str">
        <f>SUBSTITUTE(SUBSTITUTE(categories!H33,"\","/"),"www.americanretailsupply.com/","")</f>
        <v>64865/Shipping-Envelopes.html</v>
      </c>
      <c r="C33" t="str">
        <f t="shared" si="0"/>
        <v>INSERT INTO url_rewrite (entity_type, entity_id, redirect_type, store_id, request_path, target_path) VALUES ('custom', 0, 301, 1,'64865/Shipping-Envelopes.html',(SELECT CONCAT(url_path, '.html') FROM catalog_category_flat_store_1 WHERE entity_id=1157));</v>
      </c>
      <c r="D33" t="str">
        <f t="shared" si="1"/>
        <v>UPDATE url_rewrite SET request_path = '64865/Shipping-Envelopes.html' WHERE entity_type='custom' AND target_path=(SELECT CONCAT(url_path, '.html') FROM catalog_category_flat_store_1 WHERE entity_id=1157);</v>
      </c>
    </row>
    <row r="34" spans="1:4" x14ac:dyDescent="0.25">
      <c r="A34">
        <f>categories!B34</f>
        <v>1161</v>
      </c>
      <c r="B34" t="str">
        <f>SUBSTITUTE(SUBSTITUTE(categories!H34,"\","/"),"www.americanretailsupply.com/","")</f>
        <v>64859/Shipping-Supplies.html</v>
      </c>
      <c r="C34" t="str">
        <f t="shared" si="0"/>
        <v>INSERT INTO url_rewrite (entity_type, entity_id, redirect_type, store_id, request_path, target_path) VALUES ('custom', 0, 301, 1,'64859/Shipping-Supplies.html',(SELECT CONCAT(url_path, '.html') FROM catalog_category_flat_store_1 WHERE entity_id=1161));</v>
      </c>
      <c r="D34" t="str">
        <f t="shared" si="1"/>
        <v>UPDATE url_rewrite SET request_path = '64859/Shipping-Supplies.html' WHERE entity_type='custom' AND target_path=(SELECT CONCAT(url_path, '.html') FROM catalog_category_flat_store_1 WHERE entity_id=1161);</v>
      </c>
    </row>
    <row r="35" spans="1:4" x14ac:dyDescent="0.25">
      <c r="A35">
        <f>categories!B35</f>
        <v>1173</v>
      </c>
      <c r="B35" t="str">
        <f>SUBSTITUTE(SUBSTITUTE(categories!H35,"\","/"),"www.americanretailsupply.com/","")</f>
        <v>64855/Shopping-Baskets.html</v>
      </c>
      <c r="C35" t="str">
        <f t="shared" si="0"/>
        <v>INSERT INTO url_rewrite (entity_type, entity_id, redirect_type, store_id, request_path, target_path) VALUES ('custom', 0, 301, 1,'64855/Shopping-Baskets.html',(SELECT CONCAT(url_path, '.html') FROM catalog_category_flat_store_1 WHERE entity_id=1173));</v>
      </c>
      <c r="D35" t="str">
        <f t="shared" si="1"/>
        <v>UPDATE url_rewrite SET request_path = '64855/Shopping-Baskets.html' WHERE entity_type='custom' AND target_path=(SELECT CONCAT(url_path, '.html') FROM catalog_category_flat_store_1 WHERE entity_id=1173);</v>
      </c>
    </row>
    <row r="36" spans="1:4" x14ac:dyDescent="0.25">
      <c r="A36">
        <f>categories!B36</f>
        <v>1192</v>
      </c>
      <c r="B36" t="str">
        <f>SUBSTITUTE(SUBSTITUTE(categories!H36,"\","/"),"www.americanretailsupply.com/","")</f>
        <v>65196/Sizers-Markers--Size-Labels.html</v>
      </c>
      <c r="C36" t="str">
        <f t="shared" si="0"/>
        <v>INSERT INTO url_rewrite (entity_type, entity_id, redirect_type, store_id, request_path, target_path) VALUES ('custom', 0, 301, 1,'65196/Sizers-Markers--Size-Labels.html',(SELECT CONCAT(url_path, '.html') FROM catalog_category_flat_store_1 WHERE entity_id=1192));</v>
      </c>
      <c r="D36" t="str">
        <f t="shared" si="1"/>
        <v>UPDATE url_rewrite SET request_path = '65196/Sizers-Markers--Size-Labels.html' WHERE entity_type='custom' AND target_path=(SELECT CONCAT(url_path, '.html') FROM catalog_category_flat_store_1 WHERE entity_id=1192);</v>
      </c>
    </row>
    <row r="37" spans="1:4" x14ac:dyDescent="0.25">
      <c r="A37">
        <f>categories!B37</f>
        <v>1227</v>
      </c>
      <c r="B37" t="str">
        <f>SUBSTITUTE(SUBSTITUTE(categories!H37,"\","/"),"www.americanretailsupply.com/","")</f>
        <v>64851/Steamers.html</v>
      </c>
      <c r="C37" t="str">
        <f t="shared" si="0"/>
        <v>INSERT INTO url_rewrite (entity_type, entity_id, redirect_type, store_id, request_path, target_path) VALUES ('custom', 0, 301, 1,'64851/Steamers.html',(SELECT CONCAT(url_path, '.html') FROM catalog_category_flat_store_1 WHERE entity_id=1227));</v>
      </c>
      <c r="D37" t="str">
        <f t="shared" si="1"/>
        <v>UPDATE url_rewrite SET request_path = '64851/Steamers.html' WHERE entity_type='custom' AND target_path=(SELECT CONCAT(url_path, '.html') FROM catalog_category_flat_store_1 WHERE entity_id=1227);</v>
      </c>
    </row>
    <row r="38" spans="1:4" x14ac:dyDescent="0.25">
      <c r="A38">
        <f>categories!B38</f>
        <v>1239</v>
      </c>
      <c r="B38" t="str">
        <f>SUBSTITUTE(SUBSTITUTE(categories!H38,"\","/"),"www.americanretailsupply.com/","")</f>
        <v>64866/Stretch-Wrap.html</v>
      </c>
      <c r="C38" t="str">
        <f t="shared" si="0"/>
        <v>INSERT INTO url_rewrite (entity_type, entity_id, redirect_type, store_id, request_path, target_path) VALUES ('custom', 0, 301, 1,'64866/Stretch-Wrap.html',(SELECT CONCAT(url_path, '.html') FROM catalog_category_flat_store_1 WHERE entity_id=1239));</v>
      </c>
      <c r="D38" t="str">
        <f t="shared" si="1"/>
        <v>UPDATE url_rewrite SET request_path = '64866/Stretch-Wrap.html' WHERE entity_type='custom' AND target_path=(SELECT CONCAT(url_path, '.html') FROM catalog_category_flat_store_1 WHERE entity_id=1239);</v>
      </c>
    </row>
    <row r="39" spans="1:4" x14ac:dyDescent="0.25">
      <c r="A39">
        <f>categories!B39</f>
        <v>1272</v>
      </c>
      <c r="B39" t="str">
        <f>SUBSTITUTE(SUBSTITUTE(categories!H39,"\","/"),"www.americanretailsupply.com/","")</f>
        <v>64849/Tape.html</v>
      </c>
      <c r="C39" t="str">
        <f t="shared" si="0"/>
        <v>INSERT INTO url_rewrite (entity_type, entity_id, redirect_type, store_id, request_path, target_path) VALUES ('custom', 0, 301, 1,'64849/Tape.html',(SELECT CONCAT(url_path, '.html') FROM catalog_category_flat_store_1 WHERE entity_id=1272));</v>
      </c>
      <c r="D39" t="str">
        <f t="shared" si="1"/>
        <v>UPDATE url_rewrite SET request_path = '64849/Tape.html' WHERE entity_type='custom' AND target_path=(SELECT CONCAT(url_path, '.html') FROM catalog_category_flat_store_1 WHERE entity_id=1272);</v>
      </c>
    </row>
    <row r="40" spans="1:4" x14ac:dyDescent="0.25">
      <c r="A40">
        <f>categories!B40</f>
        <v>1316</v>
      </c>
      <c r="B40" t="str">
        <f>SUBSTITUTE(SUBSTITUTE(categories!H40,"\","/"),"www.americanretailsupply.com/","")</f>
        <v>64854/Turn--O--Matic-Systems.html</v>
      </c>
      <c r="C40" t="str">
        <f t="shared" si="0"/>
        <v>INSERT INTO url_rewrite (entity_type, entity_id, redirect_type, store_id, request_path, target_path) VALUES ('custom', 0, 301, 1,'64854/Turn--O--Matic-Systems.html',(SELECT CONCAT(url_path, '.html') FROM catalog_category_flat_store_1 WHERE entity_id=1316));</v>
      </c>
      <c r="D40" t="str">
        <f t="shared" si="1"/>
        <v>UPDATE url_rewrite SET request_path = '64854/Turn--O--Matic-Systems.html' WHERE entity_type='custom' AND target_path=(SELECT CONCAT(url_path, '.html') FROM catalog_category_flat_store_1 WHERE entity_id=1316);</v>
      </c>
    </row>
    <row r="41" spans="1:4" x14ac:dyDescent="0.25">
      <c r="A41">
        <f>categories!B41</f>
        <v>205</v>
      </c>
      <c r="B41" t="str">
        <f>SUBSTITUTE(SUBSTITUTE(categories!H41,"\","/"),"www.americanretailsupply.com/","")</f>
        <v>64602/General-Store-Supplies.html</v>
      </c>
      <c r="C41" t="str">
        <f t="shared" si="0"/>
        <v>INSERT INTO url_rewrite (entity_type, entity_id, redirect_type, store_id, request_path, target_path) VALUES ('custom', 0, 301, 1,'64602/General-Store-Supplies.html',(SELECT CONCAT(url_path, '.html') FROM catalog_category_flat_store_1 WHERE entity_id=205));</v>
      </c>
      <c r="D41" t="str">
        <f t="shared" si="1"/>
        <v>UPDATE url_rewrite SET request_path = '64602/General-Store-Supplies.html' WHERE entity_type='custom' AND target_path=(SELECT CONCAT(url_path, '.html') FROM catalog_category_flat_store_1 WHERE entity_id=205);</v>
      </c>
    </row>
    <row r="42" spans="1:4" x14ac:dyDescent="0.25">
      <c r="A42">
        <f>categories!B42</f>
        <v>453</v>
      </c>
      <c r="B42" t="str">
        <f>SUBSTITUTE(SUBSTITUTE(categories!H42,"\","/"),"www.americanretailsupply.com/","")</f>
        <v>64735/Curling-Ribbon.html</v>
      </c>
      <c r="C42" t="str">
        <f t="shared" si="0"/>
        <v>INSERT INTO url_rewrite (entity_type, entity_id, redirect_type, store_id, request_path, target_path) VALUES ('custom', 0, 301, 1,'64735/Curling-Ribbon.html',(SELECT CONCAT(url_path, '.html') FROM catalog_category_flat_store_1 WHERE entity_id=453));</v>
      </c>
      <c r="D42" t="str">
        <f t="shared" si="1"/>
        <v>UPDATE url_rewrite SET request_path = '64735/Curling-Ribbon.html' WHERE entity_type='custom' AND target_path=(SELECT CONCAT(url_path, '.html') FROM catalog_category_flat_store_1 WHERE entity_id=453);</v>
      </c>
    </row>
    <row r="43" spans="1:4" x14ac:dyDescent="0.25">
      <c r="A43">
        <f>categories!B43</f>
        <v>520</v>
      </c>
      <c r="B43" t="str">
        <f>SUBSTITUTE(SUBSTITUTE(categories!H43,"\","/"),"www.americanretailsupply.com/","")</f>
        <v>64738/Fabric-Ribbon.html</v>
      </c>
      <c r="C43" t="str">
        <f t="shared" si="0"/>
        <v>INSERT INTO url_rewrite (entity_type, entity_id, redirect_type, store_id, request_path, target_path) VALUES ('custom', 0, 301, 1,'64738/Fabric-Ribbon.html',(SELECT CONCAT(url_path, '.html') FROM catalog_category_flat_store_1 WHERE entity_id=520));</v>
      </c>
      <c r="D43" t="str">
        <f t="shared" si="1"/>
        <v>UPDATE url_rewrite SET request_path = '64738/Fabric-Ribbon.html' WHERE entity_type='custom' AND target_path=(SELECT CONCAT(url_path, '.html') FROM catalog_category_flat_store_1 WHERE entity_id=520);</v>
      </c>
    </row>
    <row r="44" spans="1:4" x14ac:dyDescent="0.25">
      <c r="A44">
        <f>categories!B44</f>
        <v>900</v>
      </c>
      <c r="B44" t="str">
        <f>SUBSTITUTE(SUBSTITUTE(categories!H44,"\","/"),"www.americanretailsupply.com/","")</f>
        <v>64739/Metallic-Bows--Ribbon.html</v>
      </c>
      <c r="C44" t="str">
        <f t="shared" si="0"/>
        <v>INSERT INTO url_rewrite (entity_type, entity_id, redirect_type, store_id, request_path, target_path) VALUES ('custom', 0, 301, 1,'64739/Metallic-Bows--Ribbon.html',(SELECT CONCAT(url_path, '.html') FROM catalog_category_flat_store_1 WHERE entity_id=900));</v>
      </c>
      <c r="D44" t="str">
        <f t="shared" si="1"/>
        <v>UPDATE url_rewrite SET request_path = '64739/Metallic-Bows--Ribbon.html' WHERE entity_type='custom' AND target_path=(SELECT CONCAT(url_path, '.html') FROM catalog_category_flat_store_1 WHERE entity_id=900);</v>
      </c>
    </row>
    <row r="45" spans="1:4" x14ac:dyDescent="0.25">
      <c r="A45">
        <f>categories!B45</f>
        <v>973</v>
      </c>
      <c r="B45" t="str">
        <f>SUBSTITUTE(SUBSTITUTE(categories!H45,"\","/"),"www.americanretailsupply.com/","")</f>
        <v>64734/Natural-Curling-Ribbon.html</v>
      </c>
      <c r="C45" t="str">
        <f t="shared" si="0"/>
        <v>INSERT INTO url_rewrite (entity_type, entity_id, redirect_type, store_id, request_path, target_path) VALUES ('custom', 0, 301, 1,'64734/Natural-Curling-Ribbon.html',(SELECT CONCAT(url_path, '.html') FROM catalog_category_flat_store_1 WHERE entity_id=973));</v>
      </c>
      <c r="D45" t="str">
        <f t="shared" si="1"/>
        <v>UPDATE url_rewrite SET request_path = '64734/Natural-Curling-Ribbon.html' WHERE entity_type='custom' AND target_path=(SELECT CONCAT(url_path, '.html') FROM catalog_category_flat_store_1 WHERE entity_id=973);</v>
      </c>
    </row>
    <row r="46" spans="1:4" x14ac:dyDescent="0.25">
      <c r="A46">
        <f>categories!B46</f>
        <v>1036</v>
      </c>
      <c r="B46" t="str">
        <f>SUBSTITUTE(SUBSTITUTE(categories!H46,"\","/"),"www.americanretailsupply.com/","")</f>
        <v>64736/Perfect-Bows--Ribbon.html</v>
      </c>
      <c r="C46" t="str">
        <f t="shared" si="0"/>
        <v>INSERT INTO url_rewrite (entity_type, entity_id, redirect_type, store_id, request_path, target_path) VALUES ('custom', 0, 301, 1,'64736/Perfect-Bows--Ribbon.html',(SELECT CONCAT(url_path, '.html') FROM catalog_category_flat_store_1 WHERE entity_id=1036));</v>
      </c>
      <c r="D46" t="str">
        <f t="shared" si="1"/>
        <v>UPDATE url_rewrite SET request_path = '64736/Perfect-Bows--Ribbon.html' WHERE entity_type='custom' AND target_path=(SELECT CONCAT(url_path, '.html') FROM catalog_category_flat_store_1 WHERE entity_id=1036);</v>
      </c>
    </row>
    <row r="47" spans="1:4" x14ac:dyDescent="0.25">
      <c r="A47">
        <f>categories!B47</f>
        <v>1223</v>
      </c>
      <c r="B47" t="str">
        <f>SUBSTITUTE(SUBSTITUTE(categories!H47,"\","/"),"www.americanretailsupply.com/","")</f>
        <v>64737/Star-Prenotched-Bows-Ribbon.html</v>
      </c>
      <c r="C47" t="str">
        <f t="shared" si="0"/>
        <v>INSERT INTO url_rewrite (entity_type, entity_id, redirect_type, store_id, request_path, target_path) VALUES ('custom', 0, 301, 1,'64737/Star-Prenotched-Bows-Ribbon.html',(SELECT CONCAT(url_path, '.html') FROM catalog_category_flat_store_1 WHERE entity_id=1223));</v>
      </c>
      <c r="D47" t="str">
        <f t="shared" si="1"/>
        <v>UPDATE url_rewrite SET request_path = '64737/Star-Prenotched-Bows-Ribbon.html' WHERE entity_type='custom' AND target_path=(SELECT CONCAT(url_path, '.html') FROM catalog_category_flat_store_1 WHERE entity_id=1223);</v>
      </c>
    </row>
    <row r="48" spans="1:4" x14ac:dyDescent="0.25">
      <c r="A48">
        <f>categories!B48</f>
        <v>1235</v>
      </c>
      <c r="B48" t="str">
        <f>SUBSTITUTE(SUBSTITUTE(categories!H48,"\","/"),"www.americanretailsupply.com/","")</f>
        <v>64741/Stretch-Loops--Cord.html</v>
      </c>
      <c r="C48" t="str">
        <f t="shared" si="0"/>
        <v>INSERT INTO url_rewrite (entity_type, entity_id, redirect_type, store_id, request_path, target_path) VALUES ('custom', 0, 301, 1,'64741/Stretch-Loops--Cord.html',(SELECT CONCAT(url_path, '.html') FROM catalog_category_flat_store_1 WHERE entity_id=1235));</v>
      </c>
      <c r="D48" t="str">
        <f t="shared" si="1"/>
        <v>UPDATE url_rewrite SET request_path = '64741/Stretch-Loops--Cord.html' WHERE entity_type='custom' AND target_path=(SELECT CONCAT(url_path, '.html') FROM catalog_category_flat_store_1 WHERE entity_id=1235);</v>
      </c>
    </row>
    <row r="49" spans="1:4" x14ac:dyDescent="0.25">
      <c r="A49">
        <f>categories!B49</f>
        <v>1314</v>
      </c>
      <c r="B49" t="str">
        <f>SUBSTITUTE(SUBSTITUTE(categories!H49,"\","/"),"www.americanretailsupply.com/","")</f>
        <v>64742/Tulle.html</v>
      </c>
      <c r="C49" t="str">
        <f t="shared" si="0"/>
        <v>INSERT INTO url_rewrite (entity_type, entity_id, redirect_type, store_id, request_path, target_path) VALUES ('custom', 0, 301, 1,'64742/Tulle.html',(SELECT CONCAT(url_path, '.html') FROM catalog_category_flat_store_1 WHERE entity_id=1314));</v>
      </c>
      <c r="D49" t="str">
        <f t="shared" si="1"/>
        <v>UPDATE url_rewrite SET request_path = '64742/Tulle.html' WHERE entity_type='custom' AND target_path=(SELECT CONCAT(url_path, '.html') FROM catalog_category_flat_store_1 WHERE entity_id=1314);</v>
      </c>
    </row>
    <row r="50" spans="1:4" x14ac:dyDescent="0.25">
      <c r="A50">
        <f>categories!B50</f>
        <v>1386</v>
      </c>
      <c r="B50" t="str">
        <f>SUBSTITUTE(SUBSTITUTE(categories!H50,"\","/"),"www.americanretailsupply.com/","")</f>
        <v>64740/Wraphia-Raffia-Excelsior.html</v>
      </c>
      <c r="C50" t="str">
        <f t="shared" si="0"/>
        <v>INSERT INTO url_rewrite (entity_type, entity_id, redirect_type, store_id, request_path, target_path) VALUES ('custom', 0, 301, 1,'64740/Wraphia-Raffia-Excelsior.html',(SELECT CONCAT(url_path, '.html') FROM catalog_category_flat_store_1 WHERE entity_id=1386));</v>
      </c>
      <c r="D50" t="str">
        <f t="shared" si="1"/>
        <v>UPDATE url_rewrite SET request_path = '64740/Wraphia-Raffia-Excelsior.html' WHERE entity_type='custom' AND target_path=(SELECT CONCAT(url_path, '.html') FROM catalog_category_flat_store_1 WHERE entity_id=1386);</v>
      </c>
    </row>
    <row r="51" spans="1:4" x14ac:dyDescent="0.25">
      <c r="A51">
        <f>categories!B51</f>
        <v>452</v>
      </c>
      <c r="B51" t="str">
        <f>SUBSTITUTE(SUBSTITUTE(categories!H51,"\","/"),"www.americanretailsupply.com/","")</f>
        <v>64492/Bows--Ribbon.html</v>
      </c>
      <c r="C51" t="str">
        <f t="shared" si="0"/>
        <v>INSERT INTO url_rewrite (entity_type, entity_id, redirect_type, store_id, request_path, target_path) VALUES ('custom', 0, 301, 1,'64492/Bows--Ribbon.html',(SELECT CONCAT(url_path, '.html') FROM catalog_category_flat_store_1 WHERE entity_id=452));</v>
      </c>
      <c r="D51" t="str">
        <f t="shared" si="1"/>
        <v>UPDATE url_rewrite SET request_path = '64492/Bows--Ribbon.html' WHERE entity_type='custom' AND target_path=(SELECT CONCAT(url_path, '.html') FROM catalog_category_flat_store_1 WHERE entity_id=452);</v>
      </c>
    </row>
    <row r="52" spans="1:4" x14ac:dyDescent="0.25">
      <c r="A52">
        <f>categories!B52</f>
        <v>219</v>
      </c>
      <c r="B52" t="str">
        <f>SUBSTITUTE(SUBSTITUTE(categories!H52,"\","/"),"www.americanretailsupply.com/","")</f>
        <v>64707/Apparel-Boxes.html</v>
      </c>
      <c r="C52" t="str">
        <f t="shared" si="0"/>
        <v>INSERT INTO url_rewrite (entity_type, entity_id, redirect_type, store_id, request_path, target_path) VALUES ('custom', 0, 301, 1,'64707/Apparel-Boxes.html',(SELECT CONCAT(url_path, '.html') FROM catalog_category_flat_store_1 WHERE entity_id=219));</v>
      </c>
      <c r="D52" t="str">
        <f t="shared" si="1"/>
        <v>UPDATE url_rewrite SET request_path = '64707/Apparel-Boxes.html' WHERE entity_type='custom' AND target_path=(SELECT CONCAT(url_path, '.html') FROM catalog_category_flat_store_1 WHERE entity_id=219);</v>
      </c>
    </row>
    <row r="53" spans="1:4" x14ac:dyDescent="0.25">
      <c r="A53">
        <f>categories!B53</f>
        <v>462</v>
      </c>
      <c r="B53" t="str">
        <f>SUBSTITUTE(SUBSTITUTE(categories!H53,"\","/"),"www.americanretailsupply.com/","")</f>
        <v>64709/Decorative-Corrugated-Boxes.html</v>
      </c>
      <c r="C53" t="str">
        <f t="shared" si="0"/>
        <v>INSERT INTO url_rewrite (entity_type, entity_id, redirect_type, store_id, request_path, target_path) VALUES ('custom', 0, 301, 1,'64709/Decorative-Corrugated-Boxes.html',(SELECT CONCAT(url_path, '.html') FROM catalog_category_flat_store_1 WHERE entity_id=462));</v>
      </c>
      <c r="D53" t="str">
        <f t="shared" si="1"/>
        <v>UPDATE url_rewrite SET request_path = '64709/Decorative-Corrugated-Boxes.html' WHERE entity_type='custom' AND target_path=(SELECT CONCAT(url_path, '.html') FROM catalog_category_flat_store_1 WHERE entity_id=462);</v>
      </c>
    </row>
    <row r="54" spans="1:4" x14ac:dyDescent="0.25">
      <c r="A54">
        <f>categories!B54</f>
        <v>491</v>
      </c>
      <c r="B54" t="str">
        <f>SUBSTITUTE(SUBSTITUTE(categories!H54,"\","/"),"www.americanretailsupply.com/","")</f>
        <v>64715/E--Flute-Decorative-Boxes.html</v>
      </c>
      <c r="C54" t="str">
        <f t="shared" si="0"/>
        <v>INSERT INTO url_rewrite (entity_type, entity_id, redirect_type, store_id, request_path, target_path) VALUES ('custom', 0, 301, 1,'64715/E--Flute-Decorative-Boxes.html',(SELECT CONCAT(url_path, '.html') FROM catalog_category_flat_store_1 WHERE entity_id=491));</v>
      </c>
      <c r="D54" t="str">
        <f t="shared" si="1"/>
        <v>UPDATE url_rewrite SET request_path = '64715/E--Flute-Decorative-Boxes.html' WHERE entity_type='custom' AND target_path=(SELECT CONCAT(url_path, '.html') FROM catalog_category_flat_store_1 WHERE entity_id=491);</v>
      </c>
    </row>
    <row r="55" spans="1:4" x14ac:dyDescent="0.25">
      <c r="A55">
        <f>categories!B55</f>
        <v>561</v>
      </c>
      <c r="B55" t="str">
        <f>SUBSTITUTE(SUBSTITUTE(categories!H55,"\","/"),"www.americanretailsupply.com/","")</f>
        <v>64711/Gable-Boxes.html</v>
      </c>
      <c r="C55" t="str">
        <f t="shared" si="0"/>
        <v>INSERT INTO url_rewrite (entity_type, entity_id, redirect_type, store_id, request_path, target_path) VALUES ('custom', 0, 301, 1,'64711/Gable-Boxes.html',(SELECT CONCAT(url_path, '.html') FROM catalog_category_flat_store_1 WHERE entity_id=561));</v>
      </c>
      <c r="D55" t="str">
        <f t="shared" si="1"/>
        <v>UPDATE url_rewrite SET request_path = '64711/Gable-Boxes.html' WHERE entity_type='custom' AND target_path=(SELECT CONCAT(url_path, '.html') FROM catalog_category_flat_store_1 WHERE entity_id=561);</v>
      </c>
    </row>
    <row r="56" spans="1:4" x14ac:dyDescent="0.25">
      <c r="A56">
        <f>categories!B56</f>
        <v>593</v>
      </c>
      <c r="B56" t="str">
        <f>SUBSTITUTE(SUBSTITUTE(categories!H56,"\","/"),"www.americanretailsupply.com/","")</f>
        <v>64706/Gift-Boxes.html</v>
      </c>
      <c r="C56" t="str">
        <f t="shared" si="0"/>
        <v>INSERT INTO url_rewrite (entity_type, entity_id, redirect_type, store_id, request_path, target_path) VALUES ('custom', 0, 301, 1,'64706/Gift-Boxes.html',(SELECT CONCAT(url_path, '.html') FROM catalog_category_flat_store_1 WHERE entity_id=593));</v>
      </c>
      <c r="D56" t="str">
        <f t="shared" si="1"/>
        <v>UPDATE url_rewrite SET request_path = '64706/Gift-Boxes.html' WHERE entity_type='custom' AND target_path=(SELECT CONCAT(url_path, '.html') FROM catalog_category_flat_store_1 WHERE entity_id=593);</v>
      </c>
    </row>
    <row r="57" spans="1:4" x14ac:dyDescent="0.25">
      <c r="A57">
        <f>categories!B57</f>
        <v>601</v>
      </c>
      <c r="B57" t="str">
        <f>SUBSTITUTE(SUBSTITUTE(categories!H57,"\","/"),"www.americanretailsupply.com/","")</f>
        <v>65764/Gift-Card-Boxes-and-Purse-Totes.html</v>
      </c>
      <c r="C57" t="str">
        <f t="shared" si="0"/>
        <v>INSERT INTO url_rewrite (entity_type, entity_id, redirect_type, store_id, request_path, target_path) VALUES ('custom', 0, 301, 1,'65764/Gift-Card-Boxes-and-Purse-Totes.html',(SELECT CONCAT(url_path, '.html') FROM catalog_category_flat_store_1 WHERE entity_id=601));</v>
      </c>
      <c r="D57" t="str">
        <f t="shared" si="1"/>
        <v>UPDATE url_rewrite SET request_path = '65764/Gift-Card-Boxes-and-Purse-Totes.html' WHERE entity_type='custom' AND target_path=(SELECT CONCAT(url_path, '.html') FROM catalog_category_flat_store_1 WHERE entity_id=601);</v>
      </c>
    </row>
    <row r="58" spans="1:4" x14ac:dyDescent="0.25">
      <c r="A58">
        <f>categories!B58</f>
        <v>705</v>
      </c>
      <c r="B58" t="str">
        <f>SUBSTITUTE(SUBSTITUTE(categories!H58,"\","/"),"www.americanretailsupply.com/","")</f>
        <v>64710/Hi-Wall-2-Piece-Boxes--Lids.html</v>
      </c>
      <c r="C58" t="str">
        <f t="shared" si="0"/>
        <v>INSERT INTO url_rewrite (entity_type, entity_id, redirect_type, store_id, request_path, target_path) VALUES ('custom', 0, 301, 1,'64710/Hi-Wall-2-Piece-Boxes--Lids.html',(SELECT CONCAT(url_path, '.html') FROM catalog_category_flat_store_1 WHERE entity_id=705));</v>
      </c>
      <c r="D58" t="str">
        <f t="shared" si="1"/>
        <v>UPDATE url_rewrite SET request_path = '64710/Hi-Wall-2-Piece-Boxes--Lids.html' WHERE entity_type='custom' AND target_path=(SELECT CONCAT(url_path, '.html') FROM catalog_category_flat_store_1 WHERE entity_id=705);</v>
      </c>
    </row>
    <row r="59" spans="1:4" x14ac:dyDescent="0.25">
      <c r="A59">
        <f>categories!B59</f>
        <v>759</v>
      </c>
      <c r="B59" t="str">
        <f>SUBSTITUTE(SUBSTITUTE(categories!H59,"\","/"),"www.americanretailsupply.com/","")</f>
        <v>64712/Italian-Boxes.html</v>
      </c>
      <c r="C59" t="str">
        <f t="shared" si="0"/>
        <v>INSERT INTO url_rewrite (entity_type, entity_id, redirect_type, store_id, request_path, target_path) VALUES ('custom', 0, 301, 1,'64712/Italian-Boxes.html',(SELECT CONCAT(url_path, '.html') FROM catalog_category_flat_store_1 WHERE entity_id=759));</v>
      </c>
      <c r="D59" t="str">
        <f t="shared" si="1"/>
        <v>UPDATE url_rewrite SET request_path = '64712/Italian-Boxes.html' WHERE entity_type='custom' AND target_path=(SELECT CONCAT(url_path, '.html') FROM catalog_category_flat_store_1 WHERE entity_id=759);</v>
      </c>
    </row>
    <row r="60" spans="1:4" x14ac:dyDescent="0.25">
      <c r="A60">
        <f>categories!B60</f>
        <v>781</v>
      </c>
      <c r="B60" t="str">
        <f>SUBSTITUTE(SUBSTITUTE(categories!H60,"\","/"),"www.americanretailsupply.com/","")</f>
        <v>64708/Jewelry-Boxes.html</v>
      </c>
      <c r="C60" t="str">
        <f t="shared" si="0"/>
        <v>INSERT INTO url_rewrite (entity_type, entity_id, redirect_type, store_id, request_path, target_path) VALUES ('custom', 0, 301, 1,'64708/Jewelry-Boxes.html',(SELECT CONCAT(url_path, '.html') FROM catalog_category_flat_store_1 WHERE entity_id=781));</v>
      </c>
      <c r="D60" t="str">
        <f t="shared" si="1"/>
        <v>UPDATE url_rewrite SET request_path = '64708/Jewelry-Boxes.html' WHERE entity_type='custom' AND target_path=(SELECT CONCAT(url_path, '.html') FROM catalog_category_flat_store_1 WHERE entity_id=781);</v>
      </c>
    </row>
    <row r="61" spans="1:4" x14ac:dyDescent="0.25">
      <c r="A61">
        <f>categories!B61</f>
        <v>793</v>
      </c>
      <c r="B61" t="str">
        <f>SUBSTITUTE(SUBSTITUTE(categories!H61,"\","/"),"www.americanretailsupply.com/","")</f>
        <v>64716/Jewelry-Boxes-with-Hinged-Lids.html</v>
      </c>
      <c r="C61" t="str">
        <f t="shared" si="0"/>
        <v>INSERT INTO url_rewrite (entity_type, entity_id, redirect_type, store_id, request_path, target_path) VALUES ('custom', 0, 301, 1,'64716/Jewelry-Boxes-with-Hinged-Lids.html',(SELECT CONCAT(url_path, '.html') FROM catalog_category_flat_store_1 WHERE entity_id=793));</v>
      </c>
      <c r="D61" t="str">
        <f t="shared" si="1"/>
        <v>UPDATE url_rewrite SET request_path = '64716/Jewelry-Boxes-with-Hinged-Lids.html' WHERE entity_type='custom' AND target_path=(SELECT CONCAT(url_path, '.html') FROM catalog_category_flat_store_1 WHERE entity_id=793);</v>
      </c>
    </row>
    <row r="62" spans="1:4" x14ac:dyDescent="0.25">
      <c r="A62">
        <f>categories!B62</f>
        <v>1296</v>
      </c>
      <c r="B62" t="str">
        <f>SUBSTITUTE(SUBSTITUTE(categories!H62,"\","/"),"www.americanretailsupply.com/","")</f>
        <v>64717/Tin-Boxes.html</v>
      </c>
      <c r="C62" t="str">
        <f t="shared" si="0"/>
        <v>INSERT INTO url_rewrite (entity_type, entity_id, redirect_type, store_id, request_path, target_path) VALUES ('custom', 0, 301, 1,'64717/Tin-Boxes.html',(SELECT CONCAT(url_path, '.html') FROM catalog_category_flat_store_1 WHERE entity_id=1296));</v>
      </c>
      <c r="D62" t="str">
        <f t="shared" si="1"/>
        <v>UPDATE url_rewrite SET request_path = '64717/Tin-Boxes.html' WHERE entity_type='custom' AND target_path=(SELECT CONCAT(url_path, '.html') FROM catalog_category_flat_store_1 WHERE entity_id=1296);</v>
      </c>
    </row>
    <row r="63" spans="1:4" x14ac:dyDescent="0.25">
      <c r="A63">
        <f>categories!B63</f>
        <v>218</v>
      </c>
      <c r="B63" t="str">
        <f>SUBSTITUTE(SUBSTITUTE(categories!H63,"\","/"),"www.americanretailsupply.com/","")</f>
        <v>64484/Boxes.html</v>
      </c>
      <c r="C63" t="str">
        <f t="shared" si="0"/>
        <v>INSERT INTO url_rewrite (entity_type, entity_id, redirect_type, store_id, request_path, target_path) VALUES ('custom', 0, 301, 1,'64484/Boxes.html',(SELECT CONCAT(url_path, '.html') FROM catalog_category_flat_store_1 WHERE entity_id=218));</v>
      </c>
      <c r="D63" t="str">
        <f t="shared" si="1"/>
        <v>UPDATE url_rewrite SET request_path = '64484/Boxes.html' WHERE entity_type='custom' AND target_path=(SELECT CONCAT(url_path, '.html') FROM catalog_category_flat_store_1 WHERE entity_id=218);</v>
      </c>
    </row>
    <row r="64" spans="1:4" x14ac:dyDescent="0.25">
      <c r="A64">
        <f>categories!B64</f>
        <v>64</v>
      </c>
      <c r="B64" t="str">
        <f>SUBSTITUTE(SUBSTITUTE(categories!H64,"\","/"),"www.americanretailsupply.com/","")</f>
        <v>65088/A-La-Carte-Bags--Boxes.html</v>
      </c>
      <c r="C64" t="str">
        <f t="shared" si="0"/>
        <v>INSERT INTO url_rewrite (entity_type, entity_id, redirect_type, store_id, request_path, target_path) VALUES ('custom', 0, 301, 1,'65088/A-La-Carte-Bags--Boxes.html',(SELECT CONCAT(url_path, '.html') FROM catalog_category_flat_store_1 WHERE entity_id=64));</v>
      </c>
      <c r="D64" t="str">
        <f t="shared" si="1"/>
        <v>UPDATE url_rewrite SET request_path = '65088/A-La-Carte-Bags--Boxes.html' WHERE entity_type='custom' AND target_path=(SELECT CONCAT(url_path, '.html') FROM catalog_category_flat_store_1 WHERE entity_id=64);</v>
      </c>
    </row>
    <row r="65" spans="1:4" x14ac:dyDescent="0.25">
      <c r="A65">
        <f>categories!B65</f>
        <v>460</v>
      </c>
      <c r="B65" t="str">
        <f>SUBSTITUTE(SUBSTITUTE(categories!H65,"\","/"),"www.americanretailsupply.com/","")</f>
        <v>65084/Decorative-Corrugated-Boxes.html</v>
      </c>
      <c r="C65" t="str">
        <f t="shared" si="0"/>
        <v>INSERT INTO url_rewrite (entity_type, entity_id, redirect_type, store_id, request_path, target_path) VALUES ('custom', 0, 301, 1,'65084/Decorative-Corrugated-Boxes.html',(SELECT CONCAT(url_path, '.html') FROM catalog_category_flat_store_1 WHERE entity_id=460));</v>
      </c>
      <c r="D65" t="str">
        <f t="shared" si="1"/>
        <v>UPDATE url_rewrite SET request_path = '65084/Decorative-Corrugated-Boxes.html' WHERE entity_type='custom' AND target_path=(SELECT CONCAT(url_path, '.html') FROM catalog_category_flat_store_1 WHERE entity_id=460);</v>
      </c>
    </row>
    <row r="66" spans="1:4" x14ac:dyDescent="0.25">
      <c r="A66">
        <f>categories!B66</f>
        <v>533</v>
      </c>
      <c r="B66" t="str">
        <f>SUBSTITUTE(SUBSTITUTE(categories!H66,"\","/"),"www.americanretailsupply.com/","")</f>
        <v>65085/Food-Grade-Tissue.html</v>
      </c>
      <c r="C66" t="str">
        <f t="shared" si="0"/>
        <v>INSERT INTO url_rewrite (entity_type, entity_id, redirect_type, store_id, request_path, target_path) VALUES ('custom', 0, 301, 1,'65085/Food-Grade-Tissue.html',(SELECT CONCAT(url_path, '.html') FROM catalog_category_flat_store_1 WHERE entity_id=533));</v>
      </c>
      <c r="D66" t="str">
        <f t="shared" si="1"/>
        <v>UPDATE url_rewrite SET request_path = '65085/Food-Grade-Tissue.html' WHERE entity_type='custom' AND target_path=(SELECT CONCAT(url_path, '.html') FROM catalog_category_flat_store_1 WHERE entity_id=533);</v>
      </c>
    </row>
    <row r="67" spans="1:4" x14ac:dyDescent="0.25">
      <c r="A67">
        <f>categories!B67</f>
        <v>537</v>
      </c>
      <c r="B67" t="str">
        <f>SUBSTITUTE(SUBSTITUTE(categories!H67,"\","/"),"www.americanretailsupply.com/","")</f>
        <v>65123/Food-Service-Boxes.html</v>
      </c>
      <c r="C67" t="str">
        <f t="shared" ref="C67:C130" si="2">"INSERT INTO url_rewrite (entity_type, entity_id, redirect_type, store_id, request_path, target_path) VALUES ('custom', 0, 301, 1,'"&amp;B67&amp;"',(SELECT CONCAT(url_path, '.html') FROM catalog_category_flat_store_1 WHERE entity_id="&amp;A67&amp;"));"</f>
        <v>INSERT INTO url_rewrite (entity_type, entity_id, redirect_type, store_id, request_path, target_path) VALUES ('custom', 0, 301, 1,'65123/Food-Service-Boxes.html',(SELECT CONCAT(url_path, '.html') FROM catalog_category_flat_store_1 WHERE entity_id=537));</v>
      </c>
      <c r="D67" t="str">
        <f t="shared" ref="D67:D130" si="3">"UPDATE url_rewrite SET request_path = '"&amp;B67&amp;"' WHERE entity_type='custom' AND target_path=(SELECT CONCAT(url_path, '.html') FROM catalog_category_flat_store_1 WHERE entity_id="&amp;A67&amp;");"</f>
        <v>UPDATE url_rewrite SET request_path = '65123/Food-Service-Boxes.html' WHERE entity_type='custom' AND target_path=(SELECT CONCAT(url_path, '.html') FROM catalog_category_flat_store_1 WHERE entity_id=537);</v>
      </c>
    </row>
    <row r="68" spans="1:4" x14ac:dyDescent="0.25">
      <c r="A68">
        <f>categories!B68</f>
        <v>1049</v>
      </c>
      <c r="B68" t="str">
        <f>SUBSTITUTE(SUBSTITUTE(categories!H68,"\","/"),"www.americanretailsupply.com/","")</f>
        <v>65086/Polyproylene-Bags--Rolls.html</v>
      </c>
      <c r="C68" t="str">
        <f t="shared" si="2"/>
        <v>INSERT INTO url_rewrite (entity_type, entity_id, redirect_type, store_id, request_path, target_path) VALUES ('custom', 0, 301, 1,'65086/Polyproylene-Bags--Rolls.html',(SELECT CONCAT(url_path, '.html') FROM catalog_category_flat_store_1 WHERE entity_id=1049));</v>
      </c>
      <c r="D68" t="str">
        <f t="shared" si="3"/>
        <v>UPDATE url_rewrite SET request_path = '65086/Polyproylene-Bags--Rolls.html' WHERE entity_type='custom' AND target_path=(SELECT CONCAT(url_path, '.html') FROM catalog_category_flat_store_1 WHERE entity_id=1049);</v>
      </c>
    </row>
    <row r="69" spans="1:4" x14ac:dyDescent="0.25">
      <c r="A69" t="e">
        <f>categories!B69</f>
        <v>#N/A</v>
      </c>
      <c r="B69" t="str">
        <f>SUBSTITUTE(SUBSTITUTE(categories!H69,"\","/"),"www.americanretailsupply.com/","")</f>
        <v>65087/Wine-Liquor-Bags--Boxes.html</v>
      </c>
      <c r="C69" t="e">
        <f t="shared" si="2"/>
        <v>#N/A</v>
      </c>
      <c r="D69" t="e">
        <f t="shared" si="3"/>
        <v>#N/A</v>
      </c>
    </row>
    <row r="70" spans="1:4" x14ac:dyDescent="0.25">
      <c r="A70">
        <f>categories!B70</f>
        <v>63</v>
      </c>
      <c r="B70" t="str">
        <f>SUBSTITUTE(SUBSTITUTE(categories!H70,"\","/"),"www.americanretailsupply.com/","")</f>
        <v>65082/Food-Packaging.html</v>
      </c>
      <c r="C70" t="str">
        <f t="shared" si="2"/>
        <v>INSERT INTO url_rewrite (entity_type, entity_id, redirect_type, store_id, request_path, target_path) VALUES ('custom', 0, 301, 1,'65082/Food-Packaging.html',(SELECT CONCAT(url_path, '.html') FROM catalog_category_flat_store_1 WHERE entity_id=63));</v>
      </c>
      <c r="D70" t="str">
        <f t="shared" si="3"/>
        <v>UPDATE url_rewrite SET request_path = '65082/Food-Packaging.html' WHERE entity_type='custom' AND target_path=(SELECT CONCAT(url_path, '.html') FROM catalog_category_flat_store_1 WHERE entity_id=63);</v>
      </c>
    </row>
    <row r="71" spans="1:4" x14ac:dyDescent="0.25">
      <c r="A71">
        <f>categories!B71</f>
        <v>607</v>
      </c>
      <c r="B71" t="str">
        <f>SUBSTITUTE(SUBSTITUTE(categories!H71,"\","/"),"www.americanretailsupply.com/","")</f>
        <v>64751/Gift-Enclosure-Cards.html</v>
      </c>
      <c r="C71" t="str">
        <f t="shared" si="2"/>
        <v>INSERT INTO url_rewrite (entity_type, entity_id, redirect_type, store_id, request_path, target_path) VALUES ('custom', 0, 301, 1,'64751/Gift-Enclosure-Cards.html',(SELECT CONCAT(url_path, '.html') FROM catalog_category_flat_store_1 WHERE entity_id=607));</v>
      </c>
      <c r="D71" t="str">
        <f t="shared" si="3"/>
        <v>UPDATE url_rewrite SET request_path = '64751/Gift-Enclosure-Cards.html' WHERE entity_type='custom' AND target_path=(SELECT CONCAT(url_path, '.html') FROM catalog_category_flat_store_1 WHERE entity_id=607);</v>
      </c>
    </row>
    <row r="72" spans="1:4" x14ac:dyDescent="0.25">
      <c r="A72">
        <f>categories!B72</f>
        <v>263</v>
      </c>
      <c r="B72" t="str">
        <f>SUBSTITUTE(SUBSTITUTE(categories!H72,"\","/"),"www.americanretailsupply.com/","")</f>
        <v>64725/BARGAIN-In-Stock-Giftwrap.html</v>
      </c>
      <c r="C72" t="str">
        <f t="shared" si="2"/>
        <v>INSERT INTO url_rewrite (entity_type, entity_id, redirect_type, store_id, request_path, target_path) VALUES ('custom', 0, 301, 1,'64725/BARGAIN-In-Stock-Giftwrap.html',(SELECT CONCAT(url_path, '.html') FROM catalog_category_flat_store_1 WHERE entity_id=263));</v>
      </c>
      <c r="D72" t="str">
        <f t="shared" si="3"/>
        <v>UPDATE url_rewrite SET request_path = '64725/BARGAIN-In-Stock-Giftwrap.html' WHERE entity_type='custom' AND target_path=(SELECT CONCAT(url_path, '.html') FROM catalog_category_flat_store_1 WHERE entity_id=263);</v>
      </c>
    </row>
    <row r="73" spans="1:4" x14ac:dyDescent="0.25">
      <c r="A73">
        <f>categories!B73</f>
        <v>738</v>
      </c>
      <c r="B73" t="str">
        <f>SUBSTITUTE(SUBSTITUTE(categories!H73,"\","/"),"www.americanretailsupply.com/","")</f>
        <v>64723/Holiday-Giftwrap.html</v>
      </c>
      <c r="C73" t="str">
        <f t="shared" si="2"/>
        <v>INSERT INTO url_rewrite (entity_type, entity_id, redirect_type, store_id, request_path, target_path) VALUES ('custom', 0, 301, 1,'64723/Holiday-Giftwrap.html',(SELECT CONCAT(url_path, '.html') FROM catalog_category_flat_store_1 WHERE entity_id=738));</v>
      </c>
      <c r="D73" t="str">
        <f t="shared" si="3"/>
        <v>UPDATE url_rewrite SET request_path = '64723/Holiday-Giftwrap.html' WHERE entity_type='custom' AND target_path=(SELECT CONCAT(url_path, '.html') FROM catalog_category_flat_store_1 WHERE entity_id=738);</v>
      </c>
    </row>
    <row r="74" spans="1:4" x14ac:dyDescent="0.25">
      <c r="A74">
        <f>categories!B74</f>
        <v>819</v>
      </c>
      <c r="B74" t="str">
        <f>SUBSTITUTE(SUBSTITUTE(categories!H74,"\","/"),"www.americanretailsupply.com/","")</f>
        <v>64720/JR-GiftWrap.html</v>
      </c>
      <c r="C74" t="str">
        <f t="shared" si="2"/>
        <v>INSERT INTO url_rewrite (entity_type, entity_id, redirect_type, store_id, request_path, target_path) VALUES ('custom', 0, 301, 1,'64720/JR-GiftWrap.html',(SELECT CONCAT(url_path, '.html') FROM catalog_category_flat_store_1 WHERE entity_id=819));</v>
      </c>
      <c r="D74" t="str">
        <f t="shared" si="3"/>
        <v>UPDATE url_rewrite SET request_path = '64720/JR-GiftWrap.html' WHERE entity_type='custom' AND target_path=(SELECT CONCAT(url_path, '.html') FROM catalog_category_flat_store_1 WHERE entity_id=819);</v>
      </c>
    </row>
    <row r="75" spans="1:4" x14ac:dyDescent="0.25">
      <c r="A75">
        <f>categories!B75</f>
        <v>837</v>
      </c>
      <c r="B75" t="str">
        <f>SUBSTITUTE(SUBSTITUTE(categories!H75,"\","/"),"www.americanretailsupply.com/","")</f>
        <v>65351/Kraft-Paper-GiftWrap.html</v>
      </c>
      <c r="C75" t="str">
        <f t="shared" si="2"/>
        <v>INSERT INTO url_rewrite (entity_type, entity_id, redirect_type, store_id, request_path, target_path) VALUES ('custom', 0, 301, 1,'65351/Kraft-Paper-GiftWrap.html',(SELECT CONCAT(url_path, '.html') FROM catalog_category_flat_store_1 WHERE entity_id=837));</v>
      </c>
      <c r="D75" t="str">
        <f t="shared" si="3"/>
        <v>UPDATE url_rewrite SET request_path = '65351/Kraft-Paper-GiftWrap.html' WHERE entity_type='custom' AND target_path=(SELECT CONCAT(url_path, '.html') FROM catalog_category_flat_store_1 WHERE entity_id=837);</v>
      </c>
    </row>
    <row r="76" spans="1:4" x14ac:dyDescent="0.25">
      <c r="A76">
        <f>categories!B76</f>
        <v>1149</v>
      </c>
      <c r="B76" t="str">
        <f>SUBSTITUTE(SUBSTITUTE(categories!H76,"\","/"),"www.americanretailsupply.com/","")</f>
        <v>65799/Shamrock.html</v>
      </c>
      <c r="C76" t="str">
        <f t="shared" si="2"/>
        <v>INSERT INTO url_rewrite (entity_type, entity_id, redirect_type, store_id, request_path, target_path) VALUES ('custom', 0, 301, 1,'65799/Shamrock.html',(SELECT CONCAT(url_path, '.html') FROM catalog_category_flat_store_1 WHERE entity_id=1149));</v>
      </c>
      <c r="D76" t="str">
        <f t="shared" si="3"/>
        <v>UPDATE url_rewrite SET request_path = '65799/Shamrock.html' WHERE entity_type='custom' AND target_path=(SELECT CONCAT(url_path, '.html') FROM catalog_category_flat_store_1 WHERE entity_id=1149);</v>
      </c>
    </row>
    <row r="77" spans="1:4" x14ac:dyDescent="0.25">
      <c r="A77">
        <f>categories!B77</f>
        <v>1246</v>
      </c>
      <c r="B77" t="str">
        <f>SUBSTITUTE(SUBSTITUTE(categories!H77,"\","/"),"www.americanretailsupply.com/","")</f>
        <v>64719/Sullivan-GiftWrap.html</v>
      </c>
      <c r="C77" t="str">
        <f t="shared" si="2"/>
        <v>INSERT INTO url_rewrite (entity_type, entity_id, redirect_type, store_id, request_path, target_path) VALUES ('custom', 0, 301, 1,'64719/Sullivan-GiftWrap.html',(SELECT CONCAT(url_path, '.html') FROM catalog_category_flat_store_1 WHERE entity_id=1246));</v>
      </c>
      <c r="D77" t="str">
        <f t="shared" si="3"/>
        <v>UPDATE url_rewrite SET request_path = '64719/Sullivan-GiftWrap.html' WHERE entity_type='custom' AND target_path=(SELECT CONCAT(url_path, '.html') FROM catalog_category_flat_store_1 WHERE entity_id=1246);</v>
      </c>
    </row>
    <row r="78" spans="1:4" x14ac:dyDescent="0.25">
      <c r="A78">
        <f>categories!B78</f>
        <v>1354</v>
      </c>
      <c r="B78" t="str">
        <f>SUBSTITUTE(SUBSTITUTE(categories!H78,"\","/"),"www.americanretailsupply.com/","")</f>
        <v>64721/VantagePOINT-GiftWrap.html</v>
      </c>
      <c r="C78" t="str">
        <f t="shared" si="2"/>
        <v>INSERT INTO url_rewrite (entity_type, entity_id, redirect_type, store_id, request_path, target_path) VALUES ('custom', 0, 301, 1,'64721/VantagePOINT-GiftWrap.html',(SELECT CONCAT(url_path, '.html') FROM catalog_category_flat_store_1 WHERE entity_id=1354));</v>
      </c>
      <c r="D78" t="str">
        <f t="shared" si="3"/>
        <v>UPDATE url_rewrite SET request_path = '64721/VantagePOINT-GiftWrap.html' WHERE entity_type='custom' AND target_path=(SELECT CONCAT(url_path, '.html') FROM catalog_category_flat_store_1 WHERE entity_id=1354);</v>
      </c>
    </row>
    <row r="79" spans="1:4" x14ac:dyDescent="0.25">
      <c r="A79">
        <f>categories!B79</f>
        <v>1363</v>
      </c>
      <c r="B79" t="str">
        <f>SUBSTITUTE(SUBSTITUTE(categories!H79,"\","/"),"www.americanretailsupply.com/","")</f>
        <v>64722/Western-Themed-GiftWrap.html</v>
      </c>
      <c r="C79" t="str">
        <f t="shared" si="2"/>
        <v>INSERT INTO url_rewrite (entity_type, entity_id, redirect_type, store_id, request_path, target_path) VALUES ('custom', 0, 301, 1,'64722/Western-Themed-GiftWrap.html',(SELECT CONCAT(url_path, '.html') FROM catalog_category_flat_store_1 WHERE entity_id=1363));</v>
      </c>
      <c r="D79" t="str">
        <f t="shared" si="3"/>
        <v>UPDATE url_rewrite SET request_path = '64722/Western-Themed-GiftWrap.html' WHERE entity_type='custom' AND target_path=(SELECT CONCAT(url_path, '.html') FROM catalog_category_flat_store_1 WHERE entity_id=1363);</v>
      </c>
    </row>
    <row r="80" spans="1:4" x14ac:dyDescent="0.25">
      <c r="A80">
        <f>categories!B80</f>
        <v>262</v>
      </c>
      <c r="B80" t="str">
        <f>SUBSTITUTE(SUBSTITUTE(categories!H80,"\","/"),"www.americanretailsupply.com/","")</f>
        <v>64491/Gift-Wrap.html</v>
      </c>
      <c r="C80" t="str">
        <f t="shared" si="2"/>
        <v>INSERT INTO url_rewrite (entity_type, entity_id, redirect_type, store_id, request_path, target_path) VALUES ('custom', 0, 301, 1,'64491/Gift-Wrap.html',(SELECT CONCAT(url_path, '.html') FROM catalog_category_flat_store_1 WHERE entity_id=262));</v>
      </c>
      <c r="D80" t="str">
        <f t="shared" si="3"/>
        <v>UPDATE url_rewrite SET request_path = '64491/Gift-Wrap.html' WHERE entity_type='custom' AND target_path=(SELECT CONCAT(url_path, '.html') FROM catalog_category_flat_store_1 WHERE entity_id=262);</v>
      </c>
    </row>
    <row r="81" spans="1:4" x14ac:dyDescent="0.25">
      <c r="A81">
        <f>categories!B81</f>
        <v>839</v>
      </c>
      <c r="B81" t="str">
        <f>SUBSTITUTE(SUBSTITUTE(categories!H81,"\","/"),"www.americanretailsupply.com/","")</f>
        <v>64493/Labels--Stickers.html</v>
      </c>
      <c r="C81" t="str">
        <f t="shared" si="2"/>
        <v>INSERT INTO url_rewrite (entity_type, entity_id, redirect_type, store_id, request_path, target_path) VALUES ('custom', 0, 301, 1,'64493/Labels--Stickers.html',(SELECT CONCAT(url_path, '.html') FROM catalog_category_flat_store_1 WHERE entity_id=839));</v>
      </c>
      <c r="D81" t="str">
        <f t="shared" si="3"/>
        <v>UPDATE url_rewrite SET request_path = '64493/Labels--Stickers.html' WHERE entity_type='custom' AND target_path=(SELECT CONCAT(url_path, '.html') FROM catalog_category_flat_store_1 WHERE entity_id=839);</v>
      </c>
    </row>
    <row r="82" spans="1:4" x14ac:dyDescent="0.25">
      <c r="A82">
        <f>categories!B82</f>
        <v>1008</v>
      </c>
      <c r="B82" t="str">
        <f>SUBSTITUTE(SUBSTITUTE(categories!H82,"\","/"),"www.americanretailsupply.com/","")</f>
        <v>64749/Organza--Velvet-Bags.html</v>
      </c>
      <c r="C82" t="str">
        <f t="shared" si="2"/>
        <v>INSERT INTO url_rewrite (entity_type, entity_id, redirect_type, store_id, request_path, target_path) VALUES ('custom', 0, 301, 1,'64749/Organza--Velvet-Bags.html',(SELECT CONCAT(url_path, '.html') FROM catalog_category_flat_store_1 WHERE entity_id=1008));</v>
      </c>
      <c r="D82" t="str">
        <f t="shared" si="3"/>
        <v>UPDATE url_rewrite SET request_path = '64749/Organza--Velvet-Bags.html' WHERE entity_type='custom' AND target_path=(SELECT CONCAT(url_path, '.html') FROM catalog_category_flat_store_1 WHERE entity_id=1008);</v>
      </c>
    </row>
    <row r="83" spans="1:4" x14ac:dyDescent="0.25">
      <c r="A83">
        <f>categories!B83</f>
        <v>1046</v>
      </c>
      <c r="B83" t="str">
        <f>SUBSTITUTE(SUBSTITUTE(categories!H83,"\","/"),"www.americanretailsupply.com/","")</f>
        <v>64705/Polypropylene-Rolls--Bags.html</v>
      </c>
      <c r="C83" t="str">
        <f t="shared" si="2"/>
        <v>INSERT INTO url_rewrite (entity_type, entity_id, redirect_type, store_id, request_path, target_path) VALUES ('custom', 0, 301, 1,'64705/Polypropylene-Rolls--Bags.html',(SELECT CONCAT(url_path, '.html') FROM catalog_category_flat_store_1 WHERE entity_id=1046));</v>
      </c>
      <c r="D83" t="str">
        <f t="shared" si="3"/>
        <v>UPDATE url_rewrite SET request_path = '64705/Polypropylene-Rolls--Bags.html' WHERE entity_type='custom' AND target_path=(SELECT CONCAT(url_path, '.html') FROM catalog_category_flat_store_1 WHERE entity_id=1046);</v>
      </c>
    </row>
    <row r="84" spans="1:4" x14ac:dyDescent="0.25">
      <c r="A84">
        <f>categories!B84</f>
        <v>1176</v>
      </c>
      <c r="B84" t="str">
        <f>SUBSTITUTE(SUBSTITUTE(categories!H84,"\","/"),"www.americanretailsupply.com/","")</f>
        <v>64704/Shreds.html</v>
      </c>
      <c r="C84" t="str">
        <f t="shared" si="2"/>
        <v>INSERT INTO url_rewrite (entity_type, entity_id, redirect_type, store_id, request_path, target_path) VALUES ('custom', 0, 301, 1,'64704/Shreds.html',(SELECT CONCAT(url_path, '.html') FROM catalog_category_flat_store_1 WHERE entity_id=1176));</v>
      </c>
      <c r="D84" t="str">
        <f t="shared" si="3"/>
        <v>UPDATE url_rewrite SET request_path = '64704/Shreds.html' WHERE entity_type='custom' AND target_path=(SELECT CONCAT(url_path, '.html') FROM catalog_category_flat_store_1 WHERE entity_id=1176);</v>
      </c>
    </row>
    <row r="85" spans="1:4" x14ac:dyDescent="0.25">
      <c r="A85">
        <f>categories!B85</f>
        <v>62</v>
      </c>
      <c r="B85" t="str">
        <f>SUBSTITUTE(SUBSTITUTE(categories!H85,"\","/"),"www.americanretailsupply.com/","")</f>
        <v>64477/Gift-Wrapping--Packaging.html</v>
      </c>
      <c r="C85" t="str">
        <f t="shared" si="2"/>
        <v>INSERT INTO url_rewrite (entity_type, entity_id, redirect_type, store_id, request_path, target_path) VALUES ('custom', 0, 301, 1,'64477/Gift-Wrapping--Packaging.html',(SELECT CONCAT(url_path, '.html') FROM catalog_category_flat_store_1 WHERE entity_id=62));</v>
      </c>
      <c r="D85" t="str">
        <f t="shared" si="3"/>
        <v>UPDATE url_rewrite SET request_path = '64477/Gift-Wrapping--Packaging.html' WHERE entity_type='custom' AND target_path=(SELECT CONCAT(url_path, '.html') FROM catalog_category_flat_store_1 WHERE entity_id=62);</v>
      </c>
    </row>
    <row r="86" spans="1:4" x14ac:dyDescent="0.25">
      <c r="A86">
        <f>categories!B86</f>
        <v>457</v>
      </c>
      <c r="B86" t="str">
        <f>SUBSTITUTE(SUBSTITUTE(categories!H86,"\","/"),"www.americanretailsupply.com/","")</f>
        <v>64486/Tissue-Paper-Shreds--Polypropylene-Rolls.html</v>
      </c>
      <c r="C86" t="str">
        <f t="shared" si="2"/>
        <v>INSERT INTO url_rewrite (entity_type, entity_id, redirect_type, store_id, request_path, target_path) VALUES ('custom', 0, 301, 1,'64486/Tissue-Paper-Shreds--Polypropylene-Rolls.html',(SELECT CONCAT(url_path, '.html') FROM catalog_category_flat_store_1 WHERE entity_id=457));</v>
      </c>
      <c r="D86" t="str">
        <f t="shared" si="3"/>
        <v>UPDATE url_rewrite SET request_path = '64486/Tissue-Paper-Shreds--Polypropylene-Rolls.html' WHERE entity_type='custom' AND target_path=(SELECT CONCAT(url_path, '.html') FROM catalog_category_flat_store_1 WHERE entity_id=457);</v>
      </c>
    </row>
    <row r="87" spans="1:4" x14ac:dyDescent="0.25">
      <c r="A87">
        <f>categories!B87</f>
        <v>458</v>
      </c>
      <c r="B87" t="str">
        <f>SUBSTITUTE(SUBSTITUTE(categories!H87,"\","/"),"www.americanretailsupply.com/","")</f>
        <v>64703/Tissue-Paper.html</v>
      </c>
      <c r="C87" t="str">
        <f t="shared" si="2"/>
        <v>INSERT INTO url_rewrite (entity_type, entity_id, redirect_type, store_id, request_path, target_path) VALUES ('custom', 0, 301, 1,'64703/Tissue-Paper.html',(SELECT CONCAT(url_path, '.html') FROM catalog_category_flat_store_1 WHERE entity_id=458));</v>
      </c>
      <c r="D87" t="str">
        <f t="shared" si="3"/>
        <v>UPDATE url_rewrite SET request_path = '64703/Tissue-Paper.html' WHERE entity_type='custom' AND target_path=(SELECT CONCAT(url_path, '.html') FROM catalog_category_flat_store_1 WHERE entity_id=458);</v>
      </c>
    </row>
    <row r="88" spans="1:4" x14ac:dyDescent="0.25">
      <c r="A88">
        <f>categories!B88</f>
        <v>499</v>
      </c>
      <c r="B88" t="str">
        <f>SUBSTITUTE(SUBSTITUTE(categories!H88,"\","/"),"www.americanretailsupply.com/","")</f>
        <v>64895/EAS-Electronic-Article-Surveillance.html</v>
      </c>
      <c r="C88" t="str">
        <f t="shared" si="2"/>
        <v>INSERT INTO url_rewrite (entity_type, entity_id, redirect_type, store_id, request_path, target_path) VALUES ('custom', 0, 301, 1,'64895/EAS-Electronic-Article-Surveillance.html',(SELECT CONCAT(url_path, '.html') FROM catalog_category_flat_store_1 WHERE entity_id=499));</v>
      </c>
      <c r="D88" t="str">
        <f t="shared" si="3"/>
        <v>UPDATE url_rewrite SET request_path = '64895/EAS-Electronic-Article-Surveillance.html' WHERE entity_type='custom' AND target_path=(SELECT CONCAT(url_path, '.html') FROM catalog_category_flat_store_1 WHERE entity_id=499);</v>
      </c>
    </row>
    <row r="89" spans="1:4" x14ac:dyDescent="0.25">
      <c r="A89">
        <f>categories!B89</f>
        <v>1137</v>
      </c>
      <c r="B89" t="str">
        <f>SUBSTITUTE(SUBSTITUTE(categories!H89,"\","/"),"www.americanretailsupply.com/","")</f>
        <v>64894/Security-Locks-Announcers-Detectors-Mirrors.html</v>
      </c>
      <c r="C89" t="str">
        <f t="shared" si="2"/>
        <v>INSERT INTO url_rewrite (entity_type, entity_id, redirect_type, store_id, request_path, target_path) VALUES ('custom', 0, 301, 1,'64894/Security-Locks-Announcers-Detectors-Mirrors.html',(SELECT CONCAT(url_path, '.html') FROM catalog_category_flat_store_1 WHERE entity_id=1137));</v>
      </c>
      <c r="D89" t="str">
        <f t="shared" si="3"/>
        <v>UPDATE url_rewrite SET request_path = '64894/Security-Locks-Announcers-Detectors-Mirrors.html' WHERE entity_type='custom' AND target_path=(SELECT CONCAT(url_path, '.html') FROM catalog_category_flat_store_1 WHERE entity_id=1137);</v>
      </c>
    </row>
    <row r="90" spans="1:4" x14ac:dyDescent="0.25">
      <c r="A90">
        <f>categories!B90</f>
        <v>498</v>
      </c>
      <c r="B90" t="str">
        <f>SUBSTITUTE(SUBSTITUTE(categories!H90,"\","/"),"www.americanretailsupply.com/","")</f>
        <v>64597/Loss-Prevention.html</v>
      </c>
      <c r="C90" t="str">
        <f t="shared" si="2"/>
        <v>INSERT INTO url_rewrite (entity_type, entity_id, redirect_type, store_id, request_path, target_path) VALUES ('custom', 0, 301, 1,'64597/Loss-Prevention.html',(SELECT CONCAT(url_path, '.html') FROM catalog_category_flat_store_1 WHERE entity_id=498));</v>
      </c>
      <c r="D90" t="str">
        <f t="shared" si="3"/>
        <v>UPDATE url_rewrite SET request_path = '64597/Loss-Prevention.html' WHERE entity_type='custom' AND target_path=(SELECT CONCAT(url_path, '.html') FROM catalog_category_flat_store_1 WHERE entity_id=498);</v>
      </c>
    </row>
    <row r="91" spans="1:4" x14ac:dyDescent="0.25">
      <c r="A91">
        <f>categories!B91</f>
        <v>1000</v>
      </c>
      <c r="B91" t="str">
        <f>SUBSTITUTE(SUBSTITUTE(categories!H91,"\","/"),"www.americanretailsupply.com/","")</f>
        <v>64595/New-Arrivals.html</v>
      </c>
      <c r="C91" t="str">
        <f t="shared" si="2"/>
        <v>INSERT INTO url_rewrite (entity_type, entity_id, redirect_type, store_id, request_path, target_path) VALUES ('custom', 0, 301, 1,'64595/New-Arrivals.html',(SELECT CONCAT(url_path, '.html') FROM catalog_category_flat_store_1 WHERE entity_id=1000));</v>
      </c>
      <c r="D91" t="str">
        <f t="shared" si="3"/>
        <v>UPDATE url_rewrite SET request_path = '64595/New-Arrivals.html' WHERE entity_type='custom' AND target_path=(SELECT CONCAT(url_path, '.html') FROM catalog_category_flat_store_1 WHERE entity_id=1000);</v>
      </c>
    </row>
    <row r="92" spans="1:4" x14ac:dyDescent="0.25">
      <c r="A92" t="e">
        <f>categories!B92</f>
        <v>#N/A</v>
      </c>
      <c r="B92" t="str">
        <f>SUBSTITUTE(SUBSTITUTE(categories!H92,"\","/"),"www.americanretailsupply.com/","")</f>
        <v>64988/Gift-Cards.html</v>
      </c>
      <c r="C92" t="e">
        <f t="shared" si="2"/>
        <v>#N/A</v>
      </c>
      <c r="D92" t="e">
        <f t="shared" si="3"/>
        <v>#N/A</v>
      </c>
    </row>
    <row r="93" spans="1:4" x14ac:dyDescent="0.25">
      <c r="A93" t="e">
        <f>categories!B93</f>
        <v>#N/A</v>
      </c>
      <c r="B93" t="str">
        <f>SUBSTITUTE(SUBSTITUTE(categories!H93,"\","/"),"www.americanretailsupply.com/","")</f>
        <v>64985/Printer--POS-Labels-Paper.html</v>
      </c>
      <c r="C93" t="e">
        <f t="shared" si="2"/>
        <v>#N/A</v>
      </c>
      <c r="D93" t="e">
        <f t="shared" si="3"/>
        <v>#N/A</v>
      </c>
    </row>
    <row r="94" spans="1:4" x14ac:dyDescent="0.25">
      <c r="A94" t="e">
        <f>categories!B94</f>
        <v>#N/A</v>
      </c>
      <c r="B94" t="str">
        <f>SUBSTITUTE(SUBSTITUTE(categories!H94,"\","/"),"www.americanretailsupply.com/","")</f>
        <v>64598/Point-of-Sale-POS-System--Accessories.html</v>
      </c>
      <c r="C94" t="e">
        <f t="shared" si="2"/>
        <v>#N/A</v>
      </c>
      <c r="D94" t="e">
        <f t="shared" si="3"/>
        <v>#N/A</v>
      </c>
    </row>
    <row r="95" spans="1:4" x14ac:dyDescent="0.25">
      <c r="A95">
        <f>categories!B95</f>
        <v>239</v>
      </c>
      <c r="B95" t="str">
        <f>SUBSTITUTE(SUBSTITUTE(categories!H95,"\","/"),"www.americanretailsupply.com/","")</f>
        <v>64679/Avery-Dennison-Labelers--Labels.html</v>
      </c>
      <c r="C95" t="str">
        <f t="shared" si="2"/>
        <v>INSERT INTO url_rewrite (entity_type, entity_id, redirect_type, store_id, request_path, target_path) VALUES ('custom', 0, 301, 1,'64679/Avery-Dennison-Labelers--Labels.html',(SELECT CONCAT(url_path, '.html') FROM catalog_category_flat_store_1 WHERE entity_id=239));</v>
      </c>
      <c r="D95" t="str">
        <f t="shared" si="3"/>
        <v>UPDATE url_rewrite SET request_path = '64679/Avery-Dennison-Labelers--Labels.html' WHERE entity_type='custom' AND target_path=(SELECT CONCAT(url_path, '.html') FROM catalog_category_flat_store_1 WHERE entity_id=239);</v>
      </c>
    </row>
    <row r="96" spans="1:4" x14ac:dyDescent="0.25">
      <c r="A96">
        <f>categories!B96</f>
        <v>249</v>
      </c>
      <c r="B96" t="str">
        <f>SUBSTITUTE(SUBSTITUTE(categories!H96,"\","/"),"www.americanretailsupply.com/","")</f>
        <v>64683/Avery-Dennison-Taggers.html</v>
      </c>
      <c r="C96" t="str">
        <f t="shared" si="2"/>
        <v>INSERT INTO url_rewrite (entity_type, entity_id, redirect_type, store_id, request_path, target_path) VALUES ('custom', 0, 301, 1,'64683/Avery-Dennison-Taggers.html',(SELECT CONCAT(url_path, '.html') FROM catalog_category_flat_store_1 WHERE entity_id=249));</v>
      </c>
      <c r="D96" t="str">
        <f t="shared" si="3"/>
        <v>UPDATE url_rewrite SET request_path = '64683/Avery-Dennison-Taggers.html' WHERE entity_type='custom' AND target_path=(SELECT CONCAT(url_path, '.html') FROM catalog_category_flat_store_1 WHERE entity_id=249);</v>
      </c>
    </row>
    <row r="97" spans="1:4" x14ac:dyDescent="0.25">
      <c r="A97">
        <f>categories!B97</f>
        <v>580</v>
      </c>
      <c r="B97" t="str">
        <f>SUBSTITUTE(SUBSTITUTE(categories!H97,"\","/"),"www.americanretailsupply.com/","")</f>
        <v>64931/Garvey-1-Line-Price-Guns.html</v>
      </c>
      <c r="C97" t="str">
        <f t="shared" si="2"/>
        <v>INSERT INTO url_rewrite (entity_type, entity_id, redirect_type, store_id, request_path, target_path) VALUES ('custom', 0, 301, 1,'64931/Garvey-1-Line-Price-Guns.html',(SELECT CONCAT(url_path, '.html') FROM catalog_category_flat_store_1 WHERE entity_id=580));</v>
      </c>
      <c r="D97" t="str">
        <f t="shared" si="3"/>
        <v>UPDATE url_rewrite SET request_path = '64931/Garvey-1-Line-Price-Guns.html' WHERE entity_type='custom' AND target_path=(SELECT CONCAT(url_path, '.html') FROM catalog_category_flat_store_1 WHERE entity_id=580);</v>
      </c>
    </row>
    <row r="98" spans="1:4" x14ac:dyDescent="0.25">
      <c r="A98">
        <f>categories!B98</f>
        <v>589</v>
      </c>
      <c r="B98" t="str">
        <f>SUBSTITUTE(SUBSTITUTE(categories!H98,"\","/"),"www.americanretailsupply.com/","")</f>
        <v>64932/Garvey-2-Line-Price-Guns.html</v>
      </c>
      <c r="C98" t="str">
        <f t="shared" si="2"/>
        <v>INSERT INTO url_rewrite (entity_type, entity_id, redirect_type, store_id, request_path, target_path) VALUES ('custom', 0, 301, 1,'64932/Garvey-2-Line-Price-Guns.html',(SELECT CONCAT(url_path, '.html') FROM catalog_category_flat_store_1 WHERE entity_id=589));</v>
      </c>
      <c r="D98" t="str">
        <f t="shared" si="3"/>
        <v>UPDATE url_rewrite SET request_path = '64932/Garvey-2-Line-Price-Guns.html' WHERE entity_type='custom' AND target_path=(SELECT CONCAT(url_path, '.html') FROM catalog_category_flat_store_1 WHERE entity_id=589);</v>
      </c>
    </row>
    <row r="99" spans="1:4" x14ac:dyDescent="0.25">
      <c r="A99">
        <f>categories!B99</f>
        <v>579</v>
      </c>
      <c r="B99" t="str">
        <f>SUBSTITUTE(SUBSTITUTE(categories!H99,"\","/"),"www.americanretailsupply.com/","")</f>
        <v>64681/Garvey-Labelers--Labels.html</v>
      </c>
      <c r="C99" t="str">
        <f t="shared" si="2"/>
        <v>INSERT INTO url_rewrite (entity_type, entity_id, redirect_type, store_id, request_path, target_path) VALUES ('custom', 0, 301, 1,'64681/Garvey-Labelers--Labels.html',(SELECT CONCAT(url_path, '.html') FROM catalog_category_flat_store_1 WHERE entity_id=579));</v>
      </c>
      <c r="D99" t="str">
        <f t="shared" si="3"/>
        <v>UPDATE url_rewrite SET request_path = '64681/Garvey-Labelers--Labels.html' WHERE entity_type='custom' AND target_path=(SELECT CONCAT(url_path, '.html') FROM catalog_category_flat_store_1 WHERE entity_id=579);</v>
      </c>
    </row>
    <row r="100" spans="1:4" x14ac:dyDescent="0.25">
      <c r="A100">
        <f>categories!B100</f>
        <v>906</v>
      </c>
      <c r="B100" t="str">
        <f>SUBSTITUTE(SUBSTITUTE(categories!H100,"\","/"),"www.americanretailsupply.com/","")</f>
        <v>64930/Meto-1--2-Line-Price-Guns.html</v>
      </c>
      <c r="C100" t="str">
        <f t="shared" si="2"/>
        <v>INSERT INTO url_rewrite (entity_type, entity_id, redirect_type, store_id, request_path, target_path) VALUES ('custom', 0, 301, 1,'64930/Meto-1--2-Line-Price-Guns.html',(SELECT CONCAT(url_path, '.html') FROM catalog_category_flat_store_1 WHERE entity_id=906));</v>
      </c>
      <c r="D100" t="str">
        <f t="shared" si="3"/>
        <v>UPDATE url_rewrite SET request_path = '64930/Meto-1--2-Line-Price-Guns.html' WHERE entity_type='custom' AND target_path=(SELECT CONCAT(url_path, '.html') FROM catalog_category_flat_store_1 WHERE entity_id=906);</v>
      </c>
    </row>
    <row r="101" spans="1:4" x14ac:dyDescent="0.25">
      <c r="A101">
        <f>categories!B101</f>
        <v>1051</v>
      </c>
      <c r="B101" t="str">
        <f>SUBSTITUTE(SUBSTITUTE(categories!H101,"\","/"),"www.americanretailsupply.com/","")</f>
        <v>64929/Primark-1--2-Line-Price-Guns.html</v>
      </c>
      <c r="C101" t="str">
        <f t="shared" si="2"/>
        <v>INSERT INTO url_rewrite (entity_type, entity_id, redirect_type, store_id, request_path, target_path) VALUES ('custom', 0, 301, 1,'64929/Primark-1--2-Line-Price-Guns.html',(SELECT CONCAT(url_path, '.html') FROM catalog_category_flat_store_1 WHERE entity_id=1051));</v>
      </c>
      <c r="D101" t="str">
        <f t="shared" si="3"/>
        <v>UPDATE url_rewrite SET request_path = '64929/Primark-1--2-Line-Price-Guns.html' WHERE entity_type='custom' AND target_path=(SELECT CONCAT(url_path, '.html') FROM catalog_category_flat_store_1 WHERE entity_id=1051);</v>
      </c>
    </row>
    <row r="102" spans="1:4" x14ac:dyDescent="0.25">
      <c r="A102">
        <f>categories!B102</f>
        <v>905</v>
      </c>
      <c r="B102" t="str">
        <f>SUBSTITUTE(SUBSTITUTE(categories!H102,"\","/"),"www.americanretailsupply.com/","")</f>
        <v>64680/Meto-Labelers--Labels.html</v>
      </c>
      <c r="C102" t="str">
        <f t="shared" si="2"/>
        <v>INSERT INTO url_rewrite (entity_type, entity_id, redirect_type, store_id, request_path, target_path) VALUES ('custom', 0, 301, 1,'64680/Meto-Labelers--Labels.html',(SELECT CONCAT(url_path, '.html') FROM catalog_category_flat_store_1 WHERE entity_id=905));</v>
      </c>
      <c r="D102" t="str">
        <f t="shared" si="3"/>
        <v>UPDATE url_rewrite SET request_path = '64680/Meto-Labelers--Labels.html' WHERE entity_type='custom' AND target_path=(SELECT CONCAT(url_path, '.html') FROM catalog_category_flat_store_1 WHERE entity_id=905);</v>
      </c>
    </row>
    <row r="103" spans="1:4" x14ac:dyDescent="0.25">
      <c r="A103">
        <f>categories!B103</f>
        <v>5</v>
      </c>
      <c r="B103" t="str">
        <f>SUBSTITUTE(SUBSTITUTE(categories!H103,"\","/"),"www.americanretailsupply.com/","")</f>
        <v>64923/1-Line-Monarch-Labelers.html</v>
      </c>
      <c r="C103" t="str">
        <f t="shared" si="2"/>
        <v>INSERT INTO url_rewrite (entity_type, entity_id, redirect_type, store_id, request_path, target_path) VALUES ('custom', 0, 301, 1,'64923/1-Line-Monarch-Labelers.html',(SELECT CONCAT(url_path, '.html') FROM catalog_category_flat_store_1 WHERE entity_id=5));</v>
      </c>
      <c r="D103" t="str">
        <f t="shared" si="3"/>
        <v>UPDATE url_rewrite SET request_path = '64923/1-Line-Monarch-Labelers.html' WHERE entity_type='custom' AND target_path=(SELECT CONCAT(url_path, '.html') FROM catalog_category_flat_store_1 WHERE entity_id=5);</v>
      </c>
    </row>
    <row r="104" spans="1:4" x14ac:dyDescent="0.25">
      <c r="A104">
        <f>categories!B104</f>
        <v>14</v>
      </c>
      <c r="B104" t="str">
        <f>SUBSTITUTE(SUBSTITUTE(categories!H104,"\","/"),"www.americanretailsupply.com/","")</f>
        <v>64922/2-Line-Monarch-Labelers.html</v>
      </c>
      <c r="C104" t="str">
        <f t="shared" si="2"/>
        <v>INSERT INTO url_rewrite (entity_type, entity_id, redirect_type, store_id, request_path, target_path) VALUES ('custom', 0, 301, 1,'64922/2-Line-Monarch-Labelers.html',(SELECT CONCAT(url_path, '.html') FROM catalog_category_flat_store_1 WHERE entity_id=14));</v>
      </c>
      <c r="D104" t="str">
        <f t="shared" si="3"/>
        <v>UPDATE url_rewrite SET request_path = '64922/2-Line-Monarch-Labelers.html' WHERE entity_type='custom' AND target_path=(SELECT CONCAT(url_path, '.html') FROM catalog_category_flat_store_1 WHERE entity_id=14);</v>
      </c>
    </row>
    <row r="105" spans="1:4" x14ac:dyDescent="0.25">
      <c r="A105">
        <f>categories!B105</f>
        <v>22</v>
      </c>
      <c r="B105" t="str">
        <f>SUBSTITUTE(SUBSTITUTE(categories!H105,"\","/"),"www.americanretailsupply.com/","")</f>
        <v>64924/3-Line--Promo-Monarch-Labelers.html</v>
      </c>
      <c r="C105" t="str">
        <f t="shared" si="2"/>
        <v>INSERT INTO url_rewrite (entity_type, entity_id, redirect_type, store_id, request_path, target_path) VALUES ('custom', 0, 301, 1,'64924/3-Line--Promo-Monarch-Labelers.html',(SELECT CONCAT(url_path, '.html') FROM catalog_category_flat_store_1 WHERE entity_id=22));</v>
      </c>
      <c r="D105" t="str">
        <f t="shared" si="3"/>
        <v>UPDATE url_rewrite SET request_path = '64924/3-Line--Promo-Monarch-Labelers.html' WHERE entity_type='custom' AND target_path=(SELECT CONCAT(url_path, '.html') FROM catalog_category_flat_store_1 WHERE entity_id=22);</v>
      </c>
    </row>
    <row r="106" spans="1:4" x14ac:dyDescent="0.25">
      <c r="A106">
        <f>categories!B106</f>
        <v>4</v>
      </c>
      <c r="B106" t="str">
        <f>SUBSTITUTE(SUBSTITUTE(categories!H106,"\","/"),"www.americanretailsupply.com/","")</f>
        <v>64678/Monarch-Labelers--Labels.html</v>
      </c>
      <c r="C106" t="str">
        <f t="shared" si="2"/>
        <v>INSERT INTO url_rewrite (entity_type, entity_id, redirect_type, store_id, request_path, target_path) VALUES ('custom', 0, 301, 1,'64678/Monarch-Labelers--Labels.html',(SELECT CONCAT(url_path, '.html') FROM catalog_category_flat_store_1 WHERE entity_id=4));</v>
      </c>
      <c r="D106" t="str">
        <f t="shared" si="3"/>
        <v>UPDATE url_rewrite SET request_path = '64678/Monarch-Labelers--Labels.html' WHERE entity_type='custom' AND target_path=(SELECT CONCAT(url_path, '.html') FROM catalog_category_flat_store_1 WHERE entity_id=4);</v>
      </c>
    </row>
    <row r="107" spans="1:4" x14ac:dyDescent="0.25">
      <c r="A107" t="e">
        <f>categories!B107</f>
        <v>#N/A</v>
      </c>
      <c r="B107" t="str">
        <f>SUBSTITUTE(SUBSTITUTE(categories!H107,"\","/"),"www.americanretailsupply.com/","")</f>
        <v>64686/Price-Marking-Accessories.html</v>
      </c>
      <c r="C107" t="e">
        <f t="shared" si="2"/>
        <v>#N/A</v>
      </c>
      <c r="D107" t="e">
        <f t="shared" si="3"/>
        <v>#N/A</v>
      </c>
    </row>
    <row r="108" spans="1:4" x14ac:dyDescent="0.25">
      <c r="A108">
        <f>categories!B108</f>
        <v>1144</v>
      </c>
      <c r="B108" t="str">
        <f>SUBSTITUTE(SUBSTITUTE(categories!H108,"\","/"),"www.americanretailsupply.com/","")</f>
        <v>64685/Security-Loops.html</v>
      </c>
      <c r="C108" t="str">
        <f t="shared" si="2"/>
        <v>INSERT INTO url_rewrite (entity_type, entity_id, redirect_type, store_id, request_path, target_path) VALUES ('custom', 0, 301, 1,'64685/Security-Loops.html',(SELECT CONCAT(url_path, '.html') FROM catalog_category_flat_store_1 WHERE entity_id=1144));</v>
      </c>
      <c r="D108" t="str">
        <f t="shared" si="3"/>
        <v>UPDATE url_rewrite SET request_path = '64685/Security-Loops.html' WHERE entity_type='custom' AND target_path=(SELECT CONCAT(url_path, '.html') FROM catalog_category_flat_store_1 WHERE entity_id=1144);</v>
      </c>
    </row>
    <row r="109" spans="1:4" x14ac:dyDescent="0.25">
      <c r="A109">
        <f>categories!B109</f>
        <v>1260</v>
      </c>
      <c r="B109" t="str">
        <f>SUBSTITUTE(SUBSTITUTE(categories!H109,"\","/"),"www.americanretailsupply.com/","")</f>
        <v>64684/Tach-It-Taggers.html</v>
      </c>
      <c r="C109" t="str">
        <f t="shared" si="2"/>
        <v>INSERT INTO url_rewrite (entity_type, entity_id, redirect_type, store_id, request_path, target_path) VALUES ('custom', 0, 301, 1,'64684/Tach-It-Taggers.html',(SELECT CONCAT(url_path, '.html') FROM catalog_category_flat_store_1 WHERE entity_id=1260));</v>
      </c>
      <c r="D109" t="str">
        <f t="shared" si="3"/>
        <v>UPDATE url_rewrite SET request_path = '64684/Tach-It-Taggers.html' WHERE entity_type='custom' AND target_path=(SELECT CONCAT(url_path, '.html') FROM catalog_category_flat_store_1 WHERE entity_id=1260);</v>
      </c>
    </row>
    <row r="110" spans="1:4" x14ac:dyDescent="0.25">
      <c r="A110">
        <f>categories!B110</f>
        <v>1264</v>
      </c>
      <c r="B110" t="str">
        <f>SUBSTITUTE(SUBSTITUTE(categories!H110,"\","/"),"www.americanretailsupply.com/","")</f>
        <v>64980/Tags.html</v>
      </c>
      <c r="C110" t="str">
        <f t="shared" si="2"/>
        <v>INSERT INTO url_rewrite (entity_type, entity_id, redirect_type, store_id, request_path, target_path) VALUES ('custom', 0, 301, 1,'64980/Tags.html',(SELECT CONCAT(url_path, '.html') FROM catalog_category_flat_store_1 WHERE entity_id=1264));</v>
      </c>
      <c r="D110" t="str">
        <f t="shared" si="3"/>
        <v>UPDATE url_rewrite SET request_path = '64980/Tags.html' WHERE entity_type='custom' AND target_path=(SELECT CONCAT(url_path, '.html') FROM catalog_category_flat_store_1 WHERE entity_id=1264);</v>
      </c>
    </row>
    <row r="111" spans="1:4" x14ac:dyDescent="0.25">
      <c r="A111">
        <f>categories!B111</f>
        <v>1292</v>
      </c>
      <c r="B111" t="str">
        <f>SUBSTITUTE(SUBSTITUTE(categories!H111,"\","/"),"www.americanretailsupply.com/","")</f>
        <v>64682/TG-Tacher-Taggers.html</v>
      </c>
      <c r="C111" t="str">
        <f t="shared" si="2"/>
        <v>INSERT INTO url_rewrite (entity_type, entity_id, redirect_type, store_id, request_path, target_path) VALUES ('custom', 0, 301, 1,'64682/TG-Tacher-Taggers.html',(SELECT CONCAT(url_path, '.html') FROM catalog_category_flat_store_1 WHERE entity_id=1292));</v>
      </c>
      <c r="D111" t="str">
        <f t="shared" si="3"/>
        <v>UPDATE url_rewrite SET request_path = '64682/TG-Tacher-Taggers.html' WHERE entity_type='custom' AND target_path=(SELECT CONCAT(url_path, '.html') FROM catalog_category_flat_store_1 WHERE entity_id=1292);</v>
      </c>
    </row>
    <row r="112" spans="1:4" x14ac:dyDescent="0.25">
      <c r="A112">
        <f>categories!B112</f>
        <v>3</v>
      </c>
      <c r="B112" t="str">
        <f>SUBSTITUTE(SUBSTITUTE(categories!H112,"\","/"),"www.americanretailsupply.com/","")</f>
        <v>64601/Pricing--Tagging.html</v>
      </c>
      <c r="C112" t="str">
        <f t="shared" si="2"/>
        <v>INSERT INTO url_rewrite (entity_type, entity_id, redirect_type, store_id, request_path, target_path) VALUES ('custom', 0, 301, 1,'64601/Pricing--Tagging.html',(SELECT CONCAT(url_path, '.html') FROM catalog_category_flat_store_1 WHERE entity_id=3));</v>
      </c>
      <c r="D112" t="str">
        <f t="shared" si="3"/>
        <v>UPDATE url_rewrite SET request_path = '64601/Pricing--Tagging.html' WHERE entity_type='custom' AND target_path=(SELECT CONCAT(url_path, '.html') FROM catalog_category_flat_store_1 WHERE entity_id=3);</v>
      </c>
    </row>
    <row r="113" spans="1:4" x14ac:dyDescent="0.25">
      <c r="A113">
        <f>categories!B113</f>
        <v>48</v>
      </c>
      <c r="B113" t="str">
        <f>SUBSTITUTE(SUBSTITUTE(categories!H113,"\","/"),"www.americanretailsupply.com/","")</f>
        <v>64599/Shopping-Bags.html</v>
      </c>
      <c r="C113" t="str">
        <f t="shared" si="2"/>
        <v>INSERT INTO url_rewrite (entity_type, entity_id, redirect_type, store_id, request_path, target_path) VALUES ('custom', 0, 301, 1,'64599/Shopping-Bags.html',(SELECT CONCAT(url_path, '.html') FROM catalog_category_flat_store_1 WHERE entity_id=48));</v>
      </c>
      <c r="D113" t="str">
        <f t="shared" si="3"/>
        <v>UPDATE url_rewrite SET request_path = '64599/Shopping-Bags.html' WHERE entity_type='custom' AND target_path=(SELECT CONCAT(url_path, '.html') FROM catalog_category_flat_store_1 WHERE entity_id=48);</v>
      </c>
    </row>
    <row r="114" spans="1:4" x14ac:dyDescent="0.25">
      <c r="A114">
        <f>categories!B114</f>
        <v>253</v>
      </c>
      <c r="B114" t="str">
        <f>SUBSTITUTE(SUBSTITUTE(categories!H114,"\","/"),"www.americanretailsupply.com/","")</f>
        <v>64991/Animal-Print-Packaging.html</v>
      </c>
      <c r="C114" t="str">
        <f t="shared" si="2"/>
        <v>INSERT INTO url_rewrite (entity_type, entity_id, redirect_type, store_id, request_path, target_path) VALUES ('custom', 0, 301, 1,'64991/Animal-Print-Packaging.html',(SELECT CONCAT(url_path, '.html') FROM catalog_category_flat_store_1 WHERE entity_id=253));</v>
      </c>
      <c r="D114" t="str">
        <f t="shared" si="3"/>
        <v>UPDATE url_rewrite SET request_path = '64991/Animal-Print-Packaging.html' WHERE entity_type='custom' AND target_path=(SELECT CONCAT(url_path, '.html') FROM catalog_category_flat_store_1 WHERE entity_id=253);</v>
      </c>
    </row>
    <row r="115" spans="1:4" x14ac:dyDescent="0.25">
      <c r="A115">
        <f>categories!B115</f>
        <v>254</v>
      </c>
      <c r="B115" t="str">
        <f>SUBSTITUTE(SUBSTITUTE(categories!H115,"\","/"),"www.americanretailsupply.com/","")</f>
        <v>65008/Bags-in-Animal-Prints.html</v>
      </c>
      <c r="C115" t="str">
        <f t="shared" si="2"/>
        <v>INSERT INTO url_rewrite (entity_type, entity_id, redirect_type, store_id, request_path, target_path) VALUES ('custom', 0, 301, 1,'65008/Bags-in-Animal-Prints.html',(SELECT CONCAT(url_path, '.html') FROM catalog_category_flat_store_1 WHERE entity_id=254));</v>
      </c>
      <c r="D115" t="str">
        <f t="shared" si="3"/>
        <v>UPDATE url_rewrite SET request_path = '65008/Bags-in-Animal-Prints.html' WHERE entity_type='custom' AND target_path=(SELECT CONCAT(url_path, '.html') FROM catalog_category_flat_store_1 WHERE entity_id=254);</v>
      </c>
    </row>
    <row r="116" spans="1:4" x14ac:dyDescent="0.25">
      <c r="A116">
        <f>categories!B116</f>
        <v>287</v>
      </c>
      <c r="B116" t="str">
        <f>SUBSTITUTE(SUBSTITUTE(categories!H116,"\","/"),"www.americanretailsupply.com/","")</f>
        <v>65009/Boxes-in-Animal-Prints.html</v>
      </c>
      <c r="C116" t="str">
        <f t="shared" si="2"/>
        <v>INSERT INTO url_rewrite (entity_type, entity_id, redirect_type, store_id, request_path, target_path) VALUES ('custom', 0, 301, 1,'65009/Boxes-in-Animal-Prints.html',(SELECT CONCAT(url_path, '.html') FROM catalog_category_flat_store_1 WHERE entity_id=287));</v>
      </c>
      <c r="D116" t="str">
        <f t="shared" si="3"/>
        <v>UPDATE url_rewrite SET request_path = '65009/Boxes-in-Animal-Prints.html' WHERE entity_type='custom' AND target_path=(SELECT CONCAT(url_path, '.html') FROM catalog_category_flat_store_1 WHERE entity_id=287);</v>
      </c>
    </row>
    <row r="117" spans="1:4" x14ac:dyDescent="0.25">
      <c r="A117">
        <f>categories!B117</f>
        <v>611</v>
      </c>
      <c r="B117" t="str">
        <f>SUBSTITUTE(SUBSTITUTE(categories!H117,"\","/"),"www.americanretailsupply.com/","")</f>
        <v>65007/Giftwrap-in-Animal-Prints.html</v>
      </c>
      <c r="C117" t="str">
        <f t="shared" si="2"/>
        <v>INSERT INTO url_rewrite (entity_type, entity_id, redirect_type, store_id, request_path, target_path) VALUES ('custom', 0, 301, 1,'65007/Giftwrap-in-Animal-Prints.html',(SELECT CONCAT(url_path, '.html') FROM catalog_category_flat_store_1 WHERE entity_id=611));</v>
      </c>
      <c r="D117" t="str">
        <f t="shared" si="3"/>
        <v>UPDATE url_rewrite SET request_path = '65007/Giftwrap-in-Animal-Prints.html' WHERE entity_type='custom' AND target_path=(SELECT CONCAT(url_path, '.html') FROM catalog_category_flat_store_1 WHERE entity_id=611);</v>
      </c>
    </row>
    <row r="118" spans="1:4" x14ac:dyDescent="0.25">
      <c r="A118">
        <f>categories!B118</f>
        <v>1115</v>
      </c>
      <c r="B118" t="str">
        <f>SUBSTITUTE(SUBSTITUTE(categories!H118,"\","/"),"www.americanretailsupply.com/","")</f>
        <v>65006/Ribbon-in-Animal-Prints.html</v>
      </c>
      <c r="C118" t="str">
        <f t="shared" si="2"/>
        <v>INSERT INTO url_rewrite (entity_type, entity_id, redirect_type, store_id, request_path, target_path) VALUES ('custom', 0, 301, 1,'65006/Ribbon-in-Animal-Prints.html',(SELECT CONCAT(url_path, '.html') FROM catalog_category_flat_store_1 WHERE entity_id=1115));</v>
      </c>
      <c r="D118" t="str">
        <f t="shared" si="3"/>
        <v>UPDATE url_rewrite SET request_path = '65006/Ribbon-in-Animal-Prints.html' WHERE entity_type='custom' AND target_path=(SELECT CONCAT(url_path, '.html') FROM catalog_category_flat_store_1 WHERE entity_id=1115);</v>
      </c>
    </row>
    <row r="119" spans="1:4" x14ac:dyDescent="0.25">
      <c r="A119">
        <f>categories!B119</f>
        <v>1299</v>
      </c>
      <c r="B119" t="str">
        <f>SUBSTITUTE(SUBSTITUTE(categories!H119,"\","/"),"www.americanretailsupply.com/","")</f>
        <v>65005/Tissue-in-Animal-Prints.html</v>
      </c>
      <c r="C119" t="str">
        <f t="shared" si="2"/>
        <v>INSERT INTO url_rewrite (entity_type, entity_id, redirect_type, store_id, request_path, target_path) VALUES ('custom', 0, 301, 1,'65005/Tissue-in-Animal-Prints.html',(SELECT CONCAT(url_path, '.html') FROM catalog_category_flat_store_1 WHERE entity_id=1299));</v>
      </c>
      <c r="D119" t="str">
        <f t="shared" si="3"/>
        <v>UPDATE url_rewrite SET request_path = '65005/Tissue-in-Animal-Prints.html' WHERE entity_type='custom' AND target_path=(SELECT CONCAT(url_path, '.html') FROM catalog_category_flat_store_1 WHERE entity_id=1299);</v>
      </c>
    </row>
    <row r="120" spans="1:4" x14ac:dyDescent="0.25">
      <c r="A120">
        <f>categories!B120</f>
        <v>316</v>
      </c>
      <c r="B120" t="str">
        <f>SUBSTITUTE(SUBSTITUTE(categories!H120,"\","/"),"www.americanretailsupply.com/","")</f>
        <v>64989/Christmas--Holiday-Packaging.html</v>
      </c>
      <c r="C120" t="str">
        <f t="shared" si="2"/>
        <v>INSERT INTO url_rewrite (entity_type, entity_id, redirect_type, store_id, request_path, target_path) VALUES ('custom', 0, 301, 1,'64989/Christmas--Holiday-Packaging.html',(SELECT CONCAT(url_path, '.html') FROM catalog_category_flat_store_1 WHERE entity_id=316));</v>
      </c>
      <c r="D120" t="str">
        <f t="shared" si="3"/>
        <v>UPDATE url_rewrite SET request_path = '64989/Christmas--Holiday-Packaging.html' WHERE entity_type='custom' AND target_path=(SELECT CONCAT(url_path, '.html') FROM catalog_category_flat_store_1 WHERE entity_id=316);</v>
      </c>
    </row>
    <row r="121" spans="1:4" x14ac:dyDescent="0.25">
      <c r="A121">
        <f>categories!B121</f>
        <v>317</v>
      </c>
      <c r="B121" t="str">
        <f>SUBSTITUTE(SUBSTITUTE(categories!H121,"\","/"),"www.americanretailsupply.com/","")</f>
        <v>65000/Christmas-Giftwrap.html</v>
      </c>
      <c r="C121" t="str">
        <f t="shared" si="2"/>
        <v>INSERT INTO url_rewrite (entity_type, entity_id, redirect_type, store_id, request_path, target_path) VALUES ('custom', 0, 301, 1,'65000/Christmas-Giftwrap.html',(SELECT CONCAT(url_path, '.html') FROM catalog_category_flat_store_1 WHERE entity_id=317));</v>
      </c>
      <c r="D121" t="str">
        <f t="shared" si="3"/>
        <v>UPDATE url_rewrite SET request_path = '65000/Christmas-Giftwrap.html' WHERE entity_type='custom' AND target_path=(SELECT CONCAT(url_path, '.html') FROM catalog_category_flat_store_1 WHERE entity_id=317);</v>
      </c>
    </row>
    <row r="122" spans="1:4" x14ac:dyDescent="0.25">
      <c r="A122" t="e">
        <f>categories!B122</f>
        <v>#N/A</v>
      </c>
      <c r="B122" t="str">
        <f>SUBSTITUTE(SUBSTITUTE(categories!H122,"\","/"),"www.americanretailsupply.com/","")</f>
        <v>65004/Custom-Holiday-Matched-Packaging.html</v>
      </c>
      <c r="C122" t="e">
        <f t="shared" si="2"/>
        <v>#N/A</v>
      </c>
      <c r="D122" t="e">
        <f t="shared" si="3"/>
        <v>#N/A</v>
      </c>
    </row>
    <row r="123" spans="1:4" x14ac:dyDescent="0.25">
      <c r="A123">
        <f>categories!B123</f>
        <v>483</v>
      </c>
      <c r="B123" t="str">
        <f>SUBSTITUTE(SUBSTITUTE(categories!H123,"\","/"),"www.americanretailsupply.com/","")</f>
        <v>65753/Decorative-Holiday-Packaging.html</v>
      </c>
      <c r="C123" t="str">
        <f t="shared" si="2"/>
        <v>INSERT INTO url_rewrite (entity_type, entity_id, redirect_type, store_id, request_path, target_path) VALUES ('custom', 0, 301, 1,'65753/Decorative-Holiday-Packaging.html',(SELECT CONCAT(url_path, '.html') FROM catalog_category_flat_store_1 WHERE entity_id=483));</v>
      </c>
      <c r="D123" t="str">
        <f t="shared" si="3"/>
        <v>UPDATE url_rewrite SET request_path = '65753/Decorative-Holiday-Packaging.html' WHERE entity_type='custom' AND target_path=(SELECT CONCAT(url_path, '.html') FROM catalog_category_flat_store_1 WHERE entity_id=483);</v>
      </c>
    </row>
    <row r="124" spans="1:4" x14ac:dyDescent="0.25">
      <c r="A124">
        <f>categories!B124</f>
        <v>735</v>
      </c>
      <c r="B124" t="str">
        <f>SUBSTITUTE(SUBSTITUTE(categories!H124,"\","/"),"www.americanretailsupply.com/","")</f>
        <v>65011/Holiday-Boxes.html</v>
      </c>
      <c r="C124" t="str">
        <f t="shared" si="2"/>
        <v>INSERT INTO url_rewrite (entity_type, entity_id, redirect_type, store_id, request_path, target_path) VALUES ('custom', 0, 301, 1,'65011/Holiday-Boxes.html',(SELECT CONCAT(url_path, '.html') FROM catalog_category_flat_store_1 WHERE entity_id=735));</v>
      </c>
      <c r="D124" t="str">
        <f t="shared" si="3"/>
        <v>UPDATE url_rewrite SET request_path = '65011/Holiday-Boxes.html' WHERE entity_type='custom' AND target_path=(SELECT CONCAT(url_path, '.html') FROM catalog_category_flat_store_1 WHERE entity_id=735);</v>
      </c>
    </row>
    <row r="125" spans="1:4" x14ac:dyDescent="0.25">
      <c r="A125">
        <f>categories!B125</f>
        <v>741</v>
      </c>
      <c r="B125" t="str">
        <f>SUBSTITUTE(SUBSTITUTE(categories!H125,"\","/"),"www.americanretailsupply.com/","")</f>
        <v>65001/Holiday-Patterned-Tissue-Paper.html</v>
      </c>
      <c r="C125" t="str">
        <f t="shared" si="2"/>
        <v>INSERT INTO url_rewrite (entity_type, entity_id, redirect_type, store_id, request_path, target_path) VALUES ('custom', 0, 301, 1,'65001/Holiday-Patterned-Tissue-Paper.html',(SELECT CONCAT(url_path, '.html') FROM catalog_category_flat_store_1 WHERE entity_id=741));</v>
      </c>
      <c r="D125" t="str">
        <f t="shared" si="3"/>
        <v>UPDATE url_rewrite SET request_path = '65001/Holiday-Patterned-Tissue-Paper.html' WHERE entity_type='custom' AND target_path=(SELECT CONCAT(url_path, '.html') FROM catalog_category_flat_store_1 WHERE entity_id=741);</v>
      </c>
    </row>
    <row r="126" spans="1:4" x14ac:dyDescent="0.25">
      <c r="A126">
        <f>categories!B126</f>
        <v>744</v>
      </c>
      <c r="B126" t="str">
        <f>SUBSTITUTE(SUBSTITUTE(categories!H126,"\","/"),"www.americanretailsupply.com/","")</f>
        <v>64999/Holiday-Patterns-Plastic-Bags.html</v>
      </c>
      <c r="C126" t="str">
        <f t="shared" si="2"/>
        <v>INSERT INTO url_rewrite (entity_type, entity_id, redirect_type, store_id, request_path, target_path) VALUES ('custom', 0, 301, 1,'64999/Holiday-Patterns-Plastic-Bags.html',(SELECT CONCAT(url_path, '.html') FROM catalog_category_flat_store_1 WHERE entity_id=744));</v>
      </c>
      <c r="D126" t="str">
        <f t="shared" si="3"/>
        <v>UPDATE url_rewrite SET request_path = '64999/Holiday-Patterns-Plastic-Bags.html' WHERE entity_type='custom' AND target_path=(SELECT CONCAT(url_path, '.html') FROM catalog_category_flat_store_1 WHERE entity_id=744);</v>
      </c>
    </row>
    <row r="127" spans="1:4" x14ac:dyDescent="0.25">
      <c r="A127">
        <f>categories!B127</f>
        <v>1361</v>
      </c>
      <c r="B127" t="str">
        <f>SUBSTITUTE(SUBSTITUTE(categories!H127,"\","/"),"www.americanretailsupply.com/","")</f>
        <v>65003/Western-Themed-Christmas-Bags.html</v>
      </c>
      <c r="C127" t="str">
        <f t="shared" si="2"/>
        <v>INSERT INTO url_rewrite (entity_type, entity_id, redirect_type, store_id, request_path, target_path) VALUES ('custom', 0, 301, 1,'65003/Western-Themed-Christmas-Bags.html',(SELECT CONCAT(url_path, '.html') FROM catalog_category_flat_store_1 WHERE entity_id=1361));</v>
      </c>
      <c r="D127" t="str">
        <f t="shared" si="3"/>
        <v>UPDATE url_rewrite SET request_path = '65003/Western-Themed-Christmas-Bags.html' WHERE entity_type='custom' AND target_path=(SELECT CONCAT(url_path, '.html') FROM catalog_category_flat_store_1 WHERE entity_id=1361);</v>
      </c>
    </row>
    <row r="128" spans="1:4" x14ac:dyDescent="0.25">
      <c r="A128">
        <f>categories!B128</f>
        <v>502</v>
      </c>
      <c r="B128" t="str">
        <f>SUBSTITUTE(SUBSTITUTE(categories!H128,"\","/"),"www.americanretailsupply.com/","")</f>
        <v>66198/Eco-Friendly-Plastic-Bags.html</v>
      </c>
      <c r="C128" t="str">
        <f t="shared" si="2"/>
        <v>INSERT INTO url_rewrite (entity_type, entity_id, redirect_type, store_id, request_path, target_path) VALUES ('custom', 0, 301, 1,'66198/Eco-Friendly-Plastic-Bags.html',(SELECT CONCAT(url_path, '.html') FROM catalog_category_flat_store_1 WHERE entity_id=502));</v>
      </c>
      <c r="D128" t="str">
        <f t="shared" si="3"/>
        <v>UPDATE url_rewrite SET request_path = '66198/Eco-Friendly-Plastic-Bags.html' WHERE entity_type='custom' AND target_path=(SELECT CONCAT(url_path, '.html') FROM catalog_category_flat_store_1 WHERE entity_id=502);</v>
      </c>
    </row>
    <row r="129" spans="1:4" x14ac:dyDescent="0.25">
      <c r="A129">
        <f>categories!B129</f>
        <v>506</v>
      </c>
      <c r="B129" t="str">
        <f>SUBSTITUTE(SUBSTITUTE(categories!H129,"\","/"),"www.americanretailsupply.com/","")</f>
        <v>66199/Eco-Friendly-Recycled-Paper-Bags.html</v>
      </c>
      <c r="C129" t="str">
        <f t="shared" si="2"/>
        <v>INSERT INTO url_rewrite (entity_type, entity_id, redirect_type, store_id, request_path, target_path) VALUES ('custom', 0, 301, 1,'66199/Eco-Friendly-Recycled-Paper-Bags.html',(SELECT CONCAT(url_path, '.html') FROM catalog_category_flat_store_1 WHERE entity_id=506));</v>
      </c>
      <c r="D129" t="str">
        <f t="shared" si="3"/>
        <v>UPDATE url_rewrite SET request_path = '66199/Eco-Friendly-Recycled-Paper-Bags.html' WHERE entity_type='custom' AND target_path=(SELECT CONCAT(url_path, '.html') FROM catalog_category_flat_store_1 WHERE entity_id=506);</v>
      </c>
    </row>
    <row r="130" spans="1:4" x14ac:dyDescent="0.25">
      <c r="A130">
        <f>categories!B130</f>
        <v>509</v>
      </c>
      <c r="B130" t="str">
        <f>SUBSTITUTE(SUBSTITUTE(categories!H130,"\","/"),"www.americanretailsupply.com/","")</f>
        <v>66200/Eco-Friendly-Reusable-Bags.html</v>
      </c>
      <c r="C130" t="str">
        <f t="shared" si="2"/>
        <v>INSERT INTO url_rewrite (entity_type, entity_id, redirect_type, store_id, request_path, target_path) VALUES ('custom', 0, 301, 1,'66200/Eco-Friendly-Reusable-Bags.html',(SELECT CONCAT(url_path, '.html') FROM catalog_category_flat_store_1 WHERE entity_id=509));</v>
      </c>
      <c r="D130" t="str">
        <f t="shared" si="3"/>
        <v>UPDATE url_rewrite SET request_path = '66200/Eco-Friendly-Reusable-Bags.html' WHERE entity_type='custom' AND target_path=(SELECT CONCAT(url_path, '.html') FROM catalog_category_flat_store_1 WHERE entity_id=509);</v>
      </c>
    </row>
    <row r="131" spans="1:4" x14ac:dyDescent="0.25">
      <c r="A131">
        <f>categories!B131</f>
        <v>49</v>
      </c>
      <c r="B131" t="str">
        <f>SUBSTITUTE(SUBSTITUTE(categories!H131,"\","/"),"www.americanretailsupply.com/","")</f>
        <v>64990/Food--Wine-Bags.html</v>
      </c>
      <c r="C131" t="str">
        <f t="shared" ref="C131:C194" si="4">"INSERT INTO url_rewrite (entity_type, entity_id, redirect_type, store_id, request_path, target_path) VALUES ('custom', 0, 301, 1,'"&amp;B131&amp;"',(SELECT CONCAT(url_path, '.html') FROM catalog_category_flat_store_1 WHERE entity_id="&amp;A131&amp;"));"</f>
        <v>INSERT INTO url_rewrite (entity_type, entity_id, redirect_type, store_id, request_path, target_path) VALUES ('custom', 0, 301, 1,'64990/Food--Wine-Bags.html',(SELECT CONCAT(url_path, '.html') FROM catalog_category_flat_store_1 WHERE entity_id=49));</v>
      </c>
      <c r="D131" t="str">
        <f t="shared" ref="D131:D194" si="5">"UPDATE url_rewrite SET request_path = '"&amp;B131&amp;"' WHERE entity_type='custom' AND target_path=(SELECT CONCAT(url_path, '.html') FROM catalog_category_flat_store_1 WHERE entity_id="&amp;A131&amp;");"</f>
        <v>UPDATE url_rewrite SET request_path = '64990/Food--Wine-Bags.html' WHERE entity_type='custom' AND target_path=(SELECT CONCAT(url_path, '.html') FROM catalog_category_flat_store_1 WHERE entity_id=49);</v>
      </c>
    </row>
    <row r="132" spans="1:4" x14ac:dyDescent="0.25">
      <c r="A132">
        <f>categories!B132</f>
        <v>50</v>
      </c>
      <c r="B132" t="str">
        <f>SUBSTITUTE(SUBSTITUTE(categories!H132,"\","/"),"www.americanretailsupply.com/","")</f>
        <v>64993/A-La-Carte-Bags--Boxes.html</v>
      </c>
      <c r="C132" t="str">
        <f t="shared" si="4"/>
        <v>INSERT INTO url_rewrite (entity_type, entity_id, redirect_type, store_id, request_path, target_path) VALUES ('custom', 0, 301, 1,'64993/A-La-Carte-Bags--Boxes.html',(SELECT CONCAT(url_path, '.html') FROM catalog_category_flat_store_1 WHERE entity_id=50));</v>
      </c>
      <c r="D132" t="str">
        <f t="shared" si="5"/>
        <v>UPDATE url_rewrite SET request_path = '64993/A-La-Carte-Bags--Boxes.html' WHERE entity_type='custom' AND target_path=(SELECT CONCAT(url_path, '.html') FROM catalog_category_flat_store_1 WHERE entity_id=50);</v>
      </c>
    </row>
    <row r="133" spans="1:4" x14ac:dyDescent="0.25">
      <c r="A133" t="e">
        <f>categories!B133</f>
        <v>#N/A</v>
      </c>
      <c r="B133" t="str">
        <f>SUBSTITUTE(SUBSTITUTE(categories!H133,"\","/"),"www.americanretailsupply.com/","")</f>
        <v>64996/Polypropylene-Bags--Rolls.html</v>
      </c>
      <c r="C133" t="e">
        <f t="shared" si="4"/>
        <v>#N/A</v>
      </c>
      <c r="D133" t="e">
        <f t="shared" si="5"/>
        <v>#N/A</v>
      </c>
    </row>
    <row r="134" spans="1:4" x14ac:dyDescent="0.25">
      <c r="A134" t="e">
        <f>categories!B134</f>
        <v>#N/A</v>
      </c>
      <c r="B134" t="str">
        <f>SUBSTITUTE(SUBSTITUTE(categories!H134,"\","/"),"www.americanretailsupply.com/","")</f>
        <v>64994/Wine-Liquor-Bags--Boxes.html</v>
      </c>
      <c r="C134" t="e">
        <f t="shared" si="4"/>
        <v>#N/A</v>
      </c>
      <c r="D134" t="e">
        <f t="shared" si="5"/>
        <v>#N/A</v>
      </c>
    </row>
    <row r="135" spans="1:4" x14ac:dyDescent="0.25">
      <c r="A135">
        <f>categories!B135</f>
        <v>576</v>
      </c>
      <c r="B135" t="str">
        <f>SUBSTITUTE(SUBSTITUTE(categories!H135,"\","/"),"www.americanretailsupply.com/","")</f>
        <v>65198/Garment-Rolls--Bags.html</v>
      </c>
      <c r="C135" t="str">
        <f t="shared" si="4"/>
        <v>INSERT INTO url_rewrite (entity_type, entity_id, redirect_type, store_id, request_path, target_path) VALUES ('custom', 0, 301, 1,'65198/Garment-Rolls--Bags.html',(SELECT CONCAT(url_path, '.html') FROM catalog_category_flat_store_1 WHERE entity_id=576));</v>
      </c>
      <c r="D135" t="str">
        <f t="shared" si="5"/>
        <v>UPDATE url_rewrite SET request_path = '65198/Garment-Rolls--Bags.html' WHERE entity_type='custom' AND target_path=(SELECT CONCAT(url_path, '.html') FROM catalog_category_flat_store_1 WHERE entity_id=576);</v>
      </c>
    </row>
    <row r="136" spans="1:4" x14ac:dyDescent="0.25">
      <c r="A136">
        <f>categories!B136</f>
        <v>513</v>
      </c>
      <c r="B136" t="str">
        <f>SUBSTITUTE(SUBSTITUTE(categories!H136,"\","/"),"www.americanretailsupply.com/","")</f>
        <v>65066/Paper-Bags.html</v>
      </c>
      <c r="C136" t="str">
        <f t="shared" si="4"/>
        <v>INSERT INTO url_rewrite (entity_type, entity_id, redirect_type, store_id, request_path, target_path) VALUES ('custom', 0, 301, 1,'65066/Paper-Bags.html',(SELECT CONCAT(url_path, '.html') FROM catalog_category_flat_store_1 WHERE entity_id=513));</v>
      </c>
      <c r="D136" t="str">
        <f t="shared" si="5"/>
        <v>UPDATE url_rewrite SET request_path = '65066/Paper-Bags.html' WHERE entity_type='custom' AND target_path=(SELECT CONCAT(url_path, '.html') FROM catalog_category_flat_store_1 WHERE entity_id=513);</v>
      </c>
    </row>
    <row r="137" spans="1:4" x14ac:dyDescent="0.25">
      <c r="A137">
        <f>categories!B137</f>
        <v>514</v>
      </c>
      <c r="B137" t="str">
        <f>SUBSTITUTE(SUBSTITUTE(categories!H137,"\","/"),"www.americanretailsupply.com/","")</f>
        <v>65072/European-Tote-Style-Bags.html</v>
      </c>
      <c r="C137" t="str">
        <f t="shared" si="4"/>
        <v>INSERT INTO url_rewrite (entity_type, entity_id, redirect_type, store_id, request_path, target_path) VALUES ('custom', 0, 301, 1,'65072/European-Tote-Style-Bags.html',(SELECT CONCAT(url_path, '.html') FROM catalog_category_flat_store_1 WHERE entity_id=514));</v>
      </c>
      <c r="D137" t="str">
        <f t="shared" si="5"/>
        <v>UPDATE url_rewrite SET request_path = '65072/European-Tote-Style-Bags.html' WHERE entity_type='custom' AND target_path=(SELECT CONCAT(url_path, '.html') FROM catalog_category_flat_store_1 WHERE entity_id=514);</v>
      </c>
    </row>
    <row r="138" spans="1:4" x14ac:dyDescent="0.25">
      <c r="A138">
        <f>categories!B138</f>
        <v>1012</v>
      </c>
      <c r="B138" t="str">
        <f>SUBSTITUTE(SUBSTITUTE(categories!H138,"\","/"),"www.americanretailsupply.com/","")</f>
        <v>65071/Paper-Merchandise-Bags.html</v>
      </c>
      <c r="C138" t="str">
        <f t="shared" si="4"/>
        <v>INSERT INTO url_rewrite (entity_type, entity_id, redirect_type, store_id, request_path, target_path) VALUES ('custom', 0, 301, 1,'65071/Paper-Merchandise-Bags.html',(SELECT CONCAT(url_path, '.html') FROM catalog_category_flat_store_1 WHERE entity_id=1012));</v>
      </c>
      <c r="D138" t="str">
        <f t="shared" si="5"/>
        <v>UPDATE url_rewrite SET request_path = '65071/Paper-Merchandise-Bags.html' WHERE entity_type='custom' AND target_path=(SELECT CONCAT(url_path, '.html') FROM catalog_category_flat_store_1 WHERE entity_id=1012);</v>
      </c>
    </row>
    <row r="139" spans="1:4" x14ac:dyDescent="0.25">
      <c r="A139">
        <f>categories!B139</f>
        <v>1018</v>
      </c>
      <c r="B139" t="str">
        <f>SUBSTITUTE(SUBSTITUTE(categories!H139,"\","/"),"www.americanretailsupply.com/","")</f>
        <v>65070/Paper-Shopping-Bags.html</v>
      </c>
      <c r="C139" t="str">
        <f t="shared" si="4"/>
        <v>INSERT INTO url_rewrite (entity_type, entity_id, redirect_type, store_id, request_path, target_path) VALUES ('custom', 0, 301, 1,'65070/Paper-Shopping-Bags.html',(SELECT CONCAT(url_path, '.html') FROM catalog_category_flat_store_1 WHERE entity_id=1018));</v>
      </c>
      <c r="D139" t="str">
        <f t="shared" si="5"/>
        <v>UPDATE url_rewrite SET request_path = '65070/Paper-Shopping-Bags.html' WHERE entity_type='custom' AND target_path=(SELECT CONCAT(url_path, '.html') FROM catalog_category_flat_store_1 WHERE entity_id=1018);</v>
      </c>
    </row>
    <row r="140" spans="1:4" x14ac:dyDescent="0.25">
      <c r="A140" t="e">
        <f>categories!B140</f>
        <v>#N/A</v>
      </c>
      <c r="B140" t="str">
        <f>SUBSTITUTE(SUBSTITUTE(categories!H140,"\","/"),"www.americanretailsupply.com/","")</f>
        <v>65069/Personalized-Retail-Packaging-Collections.html</v>
      </c>
      <c r="C140" t="e">
        <f t="shared" si="4"/>
        <v>#N/A</v>
      </c>
      <c r="D140" t="e">
        <f t="shared" si="5"/>
        <v>#N/A</v>
      </c>
    </row>
    <row r="141" spans="1:4" x14ac:dyDescent="0.25">
      <c r="A141" t="e">
        <f>categories!B141</f>
        <v>#N/A</v>
      </c>
      <c r="B141" t="str">
        <f>SUBSTITUTE(SUBSTITUTE(categories!H141,"\","/"),"www.americanretailsupply.com/","")</f>
        <v>65081/Personalized-Shopping-Bags.html</v>
      </c>
      <c r="C141" t="e">
        <f t="shared" si="4"/>
        <v>#N/A</v>
      </c>
      <c r="D141" t="e">
        <f t="shared" si="5"/>
        <v>#N/A</v>
      </c>
    </row>
    <row r="142" spans="1:4" x14ac:dyDescent="0.25">
      <c r="A142">
        <f>categories!B142</f>
        <v>324</v>
      </c>
      <c r="B142" t="str">
        <f>SUBSTITUTE(SUBSTITUTE(categories!H142,"\","/"),"www.americanretailsupply.com/","")</f>
        <v>65067/Plastic-Bags.html</v>
      </c>
      <c r="C142" t="str">
        <f t="shared" si="4"/>
        <v>INSERT INTO url_rewrite (entity_type, entity_id, redirect_type, store_id, request_path, target_path) VALUES ('custom', 0, 301, 1,'65067/Plastic-Bags.html',(SELECT CONCAT(url_path, '.html') FROM catalog_category_flat_store_1 WHERE entity_id=324));</v>
      </c>
      <c r="D142" t="str">
        <f t="shared" si="5"/>
        <v>UPDATE url_rewrite SET request_path = '65067/Plastic-Bags.html' WHERE entity_type='custom' AND target_path=(SELECT CONCAT(url_path, '.html') FROM catalog_category_flat_store_1 WHERE entity_id=324);</v>
      </c>
    </row>
    <row r="143" spans="1:4" x14ac:dyDescent="0.25">
      <c r="A143">
        <f>categories!B143</f>
        <v>325</v>
      </c>
      <c r="B143" t="str">
        <f>SUBSTITUTE(SUBSTITUTE(categories!H143,"\","/"),"www.americanretailsupply.com/","")</f>
        <v>65080/Clear-Poly-Bags.html</v>
      </c>
      <c r="C143" t="str">
        <f t="shared" si="4"/>
        <v>INSERT INTO url_rewrite (entity_type, entity_id, redirect_type, store_id, request_path, target_path) VALUES ('custom', 0, 301, 1,'65080/Clear-Poly-Bags.html',(SELECT CONCAT(url_path, '.html') FROM catalog_category_flat_store_1 WHERE entity_id=325));</v>
      </c>
      <c r="D143" t="str">
        <f t="shared" si="5"/>
        <v>UPDATE url_rewrite SET request_path = '65080/Clear-Poly-Bags.html' WHERE entity_type='custom' AND target_path=(SELECT CONCAT(url_path, '.html') FROM catalog_category_flat_store_1 WHERE entity_id=325);</v>
      </c>
    </row>
    <row r="144" spans="1:4" x14ac:dyDescent="0.25">
      <c r="A144">
        <f>categories!B144</f>
        <v>554</v>
      </c>
      <c r="B144" t="str">
        <f>SUBSTITUTE(SUBSTITUTE(categories!H144,"\","/"),"www.americanretailsupply.com/","")</f>
        <v>65075/Frosted-Plastic-Bags.html</v>
      </c>
      <c r="C144" t="str">
        <f t="shared" si="4"/>
        <v>INSERT INTO url_rewrite (entity_type, entity_id, redirect_type, store_id, request_path, target_path) VALUES ('custom', 0, 301, 1,'65075/Frosted-Plastic-Bags.html',(SELECT CONCAT(url_path, '.html') FROM catalog_category_flat_store_1 WHERE entity_id=554));</v>
      </c>
      <c r="D144" t="str">
        <f t="shared" si="5"/>
        <v>UPDATE url_rewrite SET request_path = '65075/Frosted-Plastic-Bags.html' WHERE entity_type='custom' AND target_path=(SELECT CONCAT(url_path, '.html') FROM catalog_category_flat_store_1 WHERE entity_id=554);</v>
      </c>
    </row>
    <row r="145" spans="1:4" x14ac:dyDescent="0.25">
      <c r="A145">
        <f>categories!B145</f>
        <v>710</v>
      </c>
      <c r="B145" t="str">
        <f>SUBSTITUTE(SUBSTITUTE(categories!H145,"\","/"),"www.americanretailsupply.com/","")</f>
        <v>65074/High-Density-Plastic-Bags.html</v>
      </c>
      <c r="C145" t="str">
        <f t="shared" si="4"/>
        <v>INSERT INTO url_rewrite (entity_type, entity_id, redirect_type, store_id, request_path, target_path) VALUES ('custom', 0, 301, 1,'65074/High-Density-Plastic-Bags.html',(SELECT CONCAT(url_path, '.html') FROM catalog_category_flat_store_1 WHERE entity_id=710));</v>
      </c>
      <c r="D145" t="str">
        <f t="shared" si="5"/>
        <v>UPDATE url_rewrite SET request_path = '65074/High-Density-Plastic-Bags.html' WHERE entity_type='custom' AND target_path=(SELECT CONCAT(url_path, '.html') FROM catalog_category_flat_store_1 WHERE entity_id=710);</v>
      </c>
    </row>
    <row r="146" spans="1:4" x14ac:dyDescent="0.25">
      <c r="A146">
        <f>categories!B146</f>
        <v>874</v>
      </c>
      <c r="B146" t="str">
        <f>SUBSTITUTE(SUBSTITUTE(categories!H146,"\","/"),"www.americanretailsupply.com/","")</f>
        <v>65073/Low-Density-Plastic-Bags.html</v>
      </c>
      <c r="C146" t="str">
        <f t="shared" si="4"/>
        <v>INSERT INTO url_rewrite (entity_type, entity_id, redirect_type, store_id, request_path, target_path) VALUES ('custom', 0, 301, 1,'65073/Low-Density-Plastic-Bags.html',(SELECT CONCAT(url_path, '.html') FROM catalog_category_flat_store_1 WHERE entity_id=874));</v>
      </c>
      <c r="D146" t="str">
        <f t="shared" si="5"/>
        <v>UPDATE url_rewrite SET request_path = '65073/Low-Density-Plastic-Bags.html' WHERE entity_type='custom' AND target_path=(SELECT CONCAT(url_path, '.html') FROM catalog_category_flat_store_1 WHERE entity_id=874);</v>
      </c>
    </row>
    <row r="147" spans="1:4" x14ac:dyDescent="0.25">
      <c r="A147" t="e">
        <f>categories!B147</f>
        <v>#N/A</v>
      </c>
      <c r="B147" t="str">
        <f>SUBSTITUTE(SUBSTITUTE(categories!H147,"\","/"),"www.americanretailsupply.com/","")</f>
        <v>65077/Personalized-Plastic-Bags.html</v>
      </c>
      <c r="C147" t="e">
        <f t="shared" si="4"/>
        <v>#N/A</v>
      </c>
      <c r="D147" t="e">
        <f t="shared" si="5"/>
        <v>#N/A</v>
      </c>
    </row>
    <row r="148" spans="1:4" x14ac:dyDescent="0.25">
      <c r="A148">
        <f>categories!B148</f>
        <v>1039</v>
      </c>
      <c r="B148" t="str">
        <f>SUBSTITUTE(SUBSTITUTE(categories!H148,"\","/"),"www.americanretailsupply.com/","")</f>
        <v>65079/Polypropylene-Bags.html</v>
      </c>
      <c r="C148" t="str">
        <f t="shared" si="4"/>
        <v>INSERT INTO url_rewrite (entity_type, entity_id, redirect_type, store_id, request_path, target_path) VALUES ('custom', 0, 301, 1,'65079/Polypropylene-Bags.html',(SELECT CONCAT(url_path, '.html') FROM catalog_category_flat_store_1 WHERE entity_id=1039));</v>
      </c>
      <c r="D148" t="str">
        <f t="shared" si="5"/>
        <v>UPDATE url_rewrite SET request_path = '65079/Polypropylene-Bags.html' WHERE entity_type='custom' AND target_path=(SELECT CONCAT(url_path, '.html') FROM catalog_category_flat_store_1 WHERE entity_id=1039);</v>
      </c>
    </row>
    <row r="149" spans="1:4" x14ac:dyDescent="0.25">
      <c r="A149" t="e">
        <f>categories!B149</f>
        <v>#N/A</v>
      </c>
      <c r="B149" t="str">
        <f>SUBSTITUTE(SUBSTITUTE(categories!H149,"\","/"),"www.americanretailsupply.com/","")</f>
        <v>64992/Western-Themed-Packaging.html</v>
      </c>
      <c r="C149" t="e">
        <f t="shared" si="4"/>
        <v>#N/A</v>
      </c>
      <c r="D149" t="e">
        <f t="shared" si="5"/>
        <v>#N/A</v>
      </c>
    </row>
    <row r="150" spans="1:4" x14ac:dyDescent="0.25">
      <c r="A150">
        <f>categories!B150</f>
        <v>281</v>
      </c>
      <c r="B150" t="str">
        <f>SUBSTITUTE(SUBSTITUTE(categories!H150,"\","/"),"www.americanretailsupply.com/","")</f>
        <v>65124/BookHANGERS--Sample-Rings.html</v>
      </c>
      <c r="C150" t="str">
        <f t="shared" si="4"/>
        <v>INSERT INTO url_rewrite (entity_type, entity_id, redirect_type, store_id, request_path, target_path) VALUES ('custom', 0, 301, 1,'65124/BookHANGERS--Sample-Rings.html',(SELECT CONCAT(url_path, '.html') FROM catalog_category_flat_store_1 WHERE entity_id=281));</v>
      </c>
      <c r="D150" t="str">
        <f t="shared" si="5"/>
        <v>UPDATE url_rewrite SET request_path = '65124/BookHANGERS--Sample-Rings.html' WHERE entity_type='custom' AND target_path=(SELECT CONCAT(url_path, '.html') FROM catalog_category_flat_store_1 WHERE entity_id=281);</v>
      </c>
    </row>
    <row r="151" spans="1:4" x14ac:dyDescent="0.25">
      <c r="A151">
        <f>categories!B151</f>
        <v>290</v>
      </c>
      <c r="B151" t="str">
        <f>SUBSTITUTE(SUBSTITUTE(categories!H151,"\","/"),"www.americanretailsupply.com/","")</f>
        <v>64964/CalHANGERS.html</v>
      </c>
      <c r="C151" t="str">
        <f t="shared" si="4"/>
        <v>INSERT INTO url_rewrite (entity_type, entity_id, redirect_type, store_id, request_path, target_path) VALUES ('custom', 0, 301, 1,'64964/CalHANGERS.html',(SELECT CONCAT(url_path, '.html') FROM catalog_category_flat_store_1 WHERE entity_id=290));</v>
      </c>
      <c r="D151" t="str">
        <f t="shared" si="5"/>
        <v>UPDATE url_rewrite SET request_path = '64964/CalHANGERS.html' WHERE entity_type='custom' AND target_path=(SELECT CONCAT(url_path, '.html') FROM catalog_category_flat_store_1 WHERE entity_id=290);</v>
      </c>
    </row>
    <row r="152" spans="1:4" x14ac:dyDescent="0.25">
      <c r="A152">
        <f>categories!B152</f>
        <v>293</v>
      </c>
      <c r="B152" t="str">
        <f>SUBSTITUTE(SUBSTITUTE(categories!H152,"\","/"),"www.americanretailsupply.com/","")</f>
        <v>64962/CalHOOK-Brackets.html</v>
      </c>
      <c r="C152" t="str">
        <f t="shared" si="4"/>
        <v>INSERT INTO url_rewrite (entity_type, entity_id, redirect_type, store_id, request_path, target_path) VALUES ('custom', 0, 301, 1,'64962/CalHOOK-Brackets.html',(SELECT CONCAT(url_path, '.html') FROM catalog_category_flat_store_1 WHERE entity_id=293));</v>
      </c>
      <c r="D152" t="str">
        <f t="shared" si="5"/>
        <v>UPDATE url_rewrite SET request_path = '64962/CalHOOK-Brackets.html' WHERE entity_type='custom' AND target_path=(SELECT CONCAT(url_path, '.html') FROM catalog_category_flat_store_1 WHERE entity_id=293);</v>
      </c>
    </row>
    <row r="153" spans="1:4" x14ac:dyDescent="0.25">
      <c r="A153">
        <f>categories!B153</f>
        <v>295</v>
      </c>
      <c r="B153" t="str">
        <f>SUBSTITUTE(SUBSTITUTE(categories!H153,"\","/"),"www.americanretailsupply.com/","")</f>
        <v>64963/CalTRACK--SlatTRACK.html</v>
      </c>
      <c r="C153" t="str">
        <f t="shared" si="4"/>
        <v>INSERT INTO url_rewrite (entity_type, entity_id, redirect_type, store_id, request_path, target_path) VALUES ('custom', 0, 301, 1,'64963/CalTRACK--SlatTRACK.html',(SELECT CONCAT(url_path, '.html') FROM catalog_category_flat_store_1 WHERE entity_id=295));</v>
      </c>
      <c r="D153" t="str">
        <f t="shared" si="5"/>
        <v>UPDATE url_rewrite SET request_path = '64963/CalTRACK--SlatTRACK.html' WHERE entity_type='custom' AND target_path=(SELECT CONCAT(url_path, '.html') FROM catalog_category_flat_store_1 WHERE entity_id=295);</v>
      </c>
    </row>
    <row r="154" spans="1:4" x14ac:dyDescent="0.25">
      <c r="A154">
        <f>categories!B154</f>
        <v>280</v>
      </c>
      <c r="B154" t="str">
        <f>SUBSTITUTE(SUBSTITUTE(categories!H154,"\","/"),"www.americanretailsupply.com/","")</f>
        <v>64941/CalHOOK.html</v>
      </c>
      <c r="C154" t="str">
        <f t="shared" si="4"/>
        <v>INSERT INTO url_rewrite (entity_type, entity_id, redirect_type, store_id, request_path, target_path) VALUES ('custom', 0, 301, 1,'64941/CalHOOK.html',(SELECT CONCAT(url_path, '.html') FROM catalog_category_flat_store_1 WHERE entity_id=280));</v>
      </c>
      <c r="D154" t="str">
        <f t="shared" si="5"/>
        <v>UPDATE url_rewrite SET request_path = '64941/CalHOOK.html' WHERE entity_type='custom' AND target_path=(SELECT CONCAT(url_path, '.html') FROM catalog_category_flat_store_1 WHERE entity_id=280);</v>
      </c>
    </row>
    <row r="155" spans="1:4" x14ac:dyDescent="0.25">
      <c r="A155">
        <f>categories!B155</f>
        <v>107</v>
      </c>
      <c r="B155" t="str">
        <f>SUBSTITUTE(SUBSTITUTE(categories!H155,"\","/"),"www.americanretailsupply.com/","")</f>
        <v>64949/Acrylic-for-Gridwall.html</v>
      </c>
      <c r="C155" t="str">
        <f t="shared" si="4"/>
        <v>INSERT INTO url_rewrite (entity_type, entity_id, redirect_type, store_id, request_path, target_path) VALUES ('custom', 0, 301, 1,'64949/Acrylic-for-Gridwall.html',(SELECT CONCAT(url_path, '.html') FROM catalog_category_flat_store_1 WHERE entity_id=107));</v>
      </c>
      <c r="D155" t="str">
        <f t="shared" si="5"/>
        <v>UPDATE url_rewrite SET request_path = '64949/Acrylic-for-Gridwall.html' WHERE entity_type='custom' AND target_path=(SELECT CONCAT(url_path, '.html') FROM catalog_category_flat_store_1 WHERE entity_id=107);</v>
      </c>
    </row>
    <row r="156" spans="1:4" x14ac:dyDescent="0.25">
      <c r="A156">
        <f>categories!B156</f>
        <v>630</v>
      </c>
      <c r="B156" t="str">
        <f>SUBSTITUTE(SUBSTITUTE(categories!H156,"\","/"),"www.americanretailsupply.com/","")</f>
        <v>64947/Gridwall--Slatgrid-Panels.html</v>
      </c>
      <c r="C156" t="str">
        <f t="shared" si="4"/>
        <v>INSERT INTO url_rewrite (entity_type, entity_id, redirect_type, store_id, request_path, target_path) VALUES ('custom', 0, 301, 1,'64947/Gridwall--Slatgrid-Panels.html',(SELECT CONCAT(url_path, '.html') FROM catalog_category_flat_store_1 WHERE entity_id=630));</v>
      </c>
      <c r="D156" t="str">
        <f t="shared" si="5"/>
        <v>UPDATE url_rewrite SET request_path = '64947/Gridwall--Slatgrid-Panels.html' WHERE entity_type='custom' AND target_path=(SELECT CONCAT(url_path, '.html') FROM catalog_category_flat_store_1 WHERE entity_id=630);</v>
      </c>
    </row>
    <row r="157" spans="1:4" x14ac:dyDescent="0.25">
      <c r="A157">
        <f>categories!B157</f>
        <v>633</v>
      </c>
      <c r="B157" t="str">
        <f>SUBSTITUTE(SUBSTITUTE(categories!H157,"\","/"),"www.americanretailsupply.com/","")</f>
        <v>64951/Gridwall-Connectors.html</v>
      </c>
      <c r="C157" t="str">
        <f t="shared" si="4"/>
        <v>INSERT INTO url_rewrite (entity_type, entity_id, redirect_type, store_id, request_path, target_path) VALUES ('custom', 0, 301, 1,'64951/Gridwall-Connectors.html',(SELECT CONCAT(url_path, '.html') FROM catalog_category_flat_store_1 WHERE entity_id=633));</v>
      </c>
      <c r="D157" t="str">
        <f t="shared" si="5"/>
        <v>UPDATE url_rewrite SET request_path = '64951/Gridwall-Connectors.html' WHERE entity_type='custom' AND target_path=(SELECT CONCAT(url_path, '.html') FROM catalog_category_flat_store_1 WHERE entity_id=633);</v>
      </c>
    </row>
    <row r="158" spans="1:4" x14ac:dyDescent="0.25">
      <c r="A158">
        <f>categories!B158</f>
        <v>639</v>
      </c>
      <c r="B158" t="str">
        <f>SUBSTITUTE(SUBSTITUTE(categories!H158,"\","/"),"www.americanretailsupply.com/","")</f>
        <v>64950/Gridwall-Display-Bases.html</v>
      </c>
      <c r="C158" t="str">
        <f t="shared" si="4"/>
        <v>INSERT INTO url_rewrite (entity_type, entity_id, redirect_type, store_id, request_path, target_path) VALUES ('custom', 0, 301, 1,'64950/Gridwall-Display-Bases.html',(SELECT CONCAT(url_path, '.html') FROM catalog_category_flat_store_1 WHERE entity_id=639));</v>
      </c>
      <c r="D158" t="str">
        <f t="shared" si="5"/>
        <v>UPDATE url_rewrite SET request_path = '64950/Gridwall-Display-Bases.html' WHERE entity_type='custom' AND target_path=(SELECT CONCAT(url_path, '.html') FROM catalog_category_flat_store_1 WHERE entity_id=639);</v>
      </c>
    </row>
    <row r="159" spans="1:4" x14ac:dyDescent="0.25">
      <c r="A159">
        <f>categories!B159</f>
        <v>644</v>
      </c>
      <c r="B159" t="str">
        <f>SUBSTITUTE(SUBSTITUTE(categories!H159,"\","/"),"www.americanretailsupply.com/","")</f>
        <v>64948/Gridwall-Metal-Attachments.html</v>
      </c>
      <c r="C159" t="str">
        <f t="shared" si="4"/>
        <v>INSERT INTO url_rewrite (entity_type, entity_id, redirect_type, store_id, request_path, target_path) VALUES ('custom', 0, 301, 1,'64948/Gridwall-Metal-Attachments.html',(SELECT CONCAT(url_path, '.html') FROM catalog_category_flat_store_1 WHERE entity_id=644));</v>
      </c>
      <c r="D159" t="str">
        <f t="shared" si="5"/>
        <v>UPDATE url_rewrite SET request_path = '64948/Gridwall-Metal-Attachments.html' WHERE entity_type='custom' AND target_path=(SELECT CONCAT(url_path, '.html') FROM catalog_category_flat_store_1 WHERE entity_id=644);</v>
      </c>
    </row>
    <row r="160" spans="1:4" x14ac:dyDescent="0.25">
      <c r="A160">
        <f>categories!B160</f>
        <v>106</v>
      </c>
      <c r="B160" t="str">
        <f>SUBSTITUTE(SUBSTITUTE(categories!H160,"\","/"),"www.americanretailsupply.com/","")</f>
        <v>64936/Gridwall-Slatgrid.html</v>
      </c>
      <c r="C160" t="str">
        <f t="shared" si="4"/>
        <v>INSERT INTO url_rewrite (entity_type, entity_id, redirect_type, store_id, request_path, target_path) VALUES ('custom', 0, 301, 1,'64936/Gridwall-Slatgrid.html',(SELECT CONCAT(url_path, '.html') FROM catalog_category_flat_store_1 WHERE entity_id=106));</v>
      </c>
      <c r="D160" t="str">
        <f t="shared" si="5"/>
        <v>UPDATE url_rewrite SET request_path = '64936/Gridwall-Slatgrid.html' WHERE entity_type='custom' AND target_path=(SELECT CONCAT(url_path, '.html') FROM catalog_category_flat_store_1 WHERE entity_id=106);</v>
      </c>
    </row>
    <row r="161" spans="1:4" x14ac:dyDescent="0.25">
      <c r="A161">
        <f>categories!B161</f>
        <v>447</v>
      </c>
      <c r="B161" t="str">
        <f>SUBSTITUTE(SUBSTITUTE(categories!H161,"\","/"),"www.americanretailsupply.com/","")</f>
        <v>64960/Cross-Bars.html</v>
      </c>
      <c r="C161" t="str">
        <f t="shared" si="4"/>
        <v>INSERT INTO url_rewrite (entity_type, entity_id, redirect_type, store_id, request_path, target_path) VALUES ('custom', 0, 301, 1,'64960/Cross-Bars.html',(SELECT CONCAT(url_path, '.html') FROM catalog_category_flat_store_1 WHERE entity_id=447));</v>
      </c>
      <c r="D161" t="str">
        <f t="shared" si="5"/>
        <v>UPDATE url_rewrite SET request_path = '64960/Cross-Bars.html' WHERE entity_type='custom' AND target_path=(SELECT CONCAT(url_path, '.html') FROM catalog_category_flat_store_1 WHERE entity_id=447);</v>
      </c>
    </row>
    <row r="162" spans="1:4" x14ac:dyDescent="0.25">
      <c r="A162">
        <f>categories!B162</f>
        <v>677</v>
      </c>
      <c r="B162" t="str">
        <f>SUBSTITUTE(SUBSTITUTE(categories!H162,"\","/"),"www.americanretailsupply.com/","")</f>
        <v>64961/Hangrod.html</v>
      </c>
      <c r="C162" t="str">
        <f t="shared" si="4"/>
        <v>INSERT INTO url_rewrite (entity_type, entity_id, redirect_type, store_id, request_path, target_path) VALUES ('custom', 0, 301, 1,'64961/Hangrod.html',(SELECT CONCAT(url_path, '.html') FROM catalog_category_flat_store_1 WHERE entity_id=677));</v>
      </c>
      <c r="D162" t="str">
        <f t="shared" si="5"/>
        <v>UPDATE url_rewrite SET request_path = '64961/Hangrod.html' WHERE entity_type='custom' AND target_path=(SELECT CONCAT(url_path, '.html') FROM catalog_category_flat_store_1 WHERE entity_id=677);</v>
      </c>
    </row>
    <row r="163" spans="1:4" x14ac:dyDescent="0.25">
      <c r="A163">
        <f>categories!B163</f>
        <v>897</v>
      </c>
      <c r="B163" t="str">
        <f>SUBSTITUTE(SUBSTITUTE(categories!H163,"\","/"),"www.americanretailsupply.com/","")</f>
        <v>64959/Merchandising-Bars.html</v>
      </c>
      <c r="C163" t="str">
        <f t="shared" si="4"/>
        <v>INSERT INTO url_rewrite (entity_type, entity_id, redirect_type, store_id, request_path, target_path) VALUES ('custom', 0, 301, 1,'64959/Merchandising-Bars.html',(SELECT CONCAT(url_path, '.html') FROM catalog_category_flat_store_1 WHERE entity_id=897));</v>
      </c>
      <c r="D163" t="str">
        <f t="shared" si="5"/>
        <v>UPDATE url_rewrite SET request_path = '64959/Merchandising-Bars.html' WHERE entity_type='custom' AND target_path=(SELECT CONCAT(url_path, '.html') FROM catalog_category_flat_store_1 WHERE entity_id=897);</v>
      </c>
    </row>
    <row r="164" spans="1:4" x14ac:dyDescent="0.25">
      <c r="A164">
        <f>categories!B164</f>
        <v>446</v>
      </c>
      <c r="B164" t="str">
        <f>SUBSTITUTE(SUBSTITUTE(categories!H164,"\","/"),"www.americanretailsupply.com/","")</f>
        <v>64939/Merchandising-Bars-Hangrod-Crossbars.html</v>
      </c>
      <c r="C164" t="str">
        <f t="shared" si="4"/>
        <v>INSERT INTO url_rewrite (entity_type, entity_id, redirect_type, store_id, request_path, target_path) VALUES ('custom', 0, 301, 1,'64939/Merchandising-Bars-Hangrod-Crossbars.html',(SELECT CONCAT(url_path, '.html') FROM catalog_category_flat_store_1 WHERE entity_id=446));</v>
      </c>
      <c r="D164" t="str">
        <f t="shared" si="5"/>
        <v>UPDATE url_rewrite SET request_path = '64939/Merchandising-Bars-Hangrod-Crossbars.html' WHERE entity_type='custom' AND target_path=(SELECT CONCAT(url_path, '.html') FROM catalog_category_flat_store_1 WHERE entity_id=446);</v>
      </c>
    </row>
    <row r="165" spans="1:4" x14ac:dyDescent="0.25">
      <c r="A165">
        <f>categories!B165</f>
        <v>270</v>
      </c>
      <c r="B165" t="str">
        <f>SUBSTITUTE(SUBSTITUTE(categories!H165,"\","/"),"www.americanretailsupply.com/","")</f>
        <v>65039/Baskets-BracketsDouble-Hooks.html</v>
      </c>
      <c r="C165" t="str">
        <f t="shared" si="4"/>
        <v>INSERT INTO url_rewrite (entity_type, entity_id, redirect_type, store_id, request_path, target_path) VALUES ('custom', 0, 301, 1,'65039/Baskets-BracketsDouble-Hooks.html',(SELECT CONCAT(url_path, '.html') FROM catalog_category_flat_store_1 WHERE entity_id=270));</v>
      </c>
      <c r="D165" t="str">
        <f t="shared" si="5"/>
        <v>UPDATE url_rewrite SET request_path = '65039/Baskets-BracketsDouble-Hooks.html' WHERE entity_type='custom' AND target_path=(SELECT CONCAT(url_path, '.html') FROM catalog_category_flat_store_1 WHERE entity_id=270);</v>
      </c>
    </row>
    <row r="166" spans="1:4" x14ac:dyDescent="0.25">
      <c r="A166">
        <f>categories!B166</f>
        <v>563</v>
      </c>
      <c r="B166" t="str">
        <f>SUBSTITUTE(SUBSTITUTE(categories!H166,"\","/"),"www.americanretailsupply.com/","")</f>
        <v>65038/Galvanized-Ball-Tip-PegHooks.html</v>
      </c>
      <c r="C166" t="str">
        <f t="shared" si="4"/>
        <v>INSERT INTO url_rewrite (entity_type, entity_id, redirect_type, store_id, request_path, target_path) VALUES ('custom', 0, 301, 1,'65038/Galvanized-Ball-Tip-PegHooks.html',(SELECT CONCAT(url_path, '.html') FROM catalog_category_flat_store_1 WHERE entity_id=563));</v>
      </c>
      <c r="D166" t="str">
        <f t="shared" si="5"/>
        <v>UPDATE url_rewrite SET request_path = '65038/Galvanized-Ball-Tip-PegHooks.html' WHERE entity_type='custom' AND target_path=(SELECT CONCAT(url_path, '.html') FROM catalog_category_flat_store_1 WHERE entity_id=563);</v>
      </c>
    </row>
    <row r="167" spans="1:4" x14ac:dyDescent="0.25">
      <c r="A167">
        <f>categories!B167</f>
        <v>1130</v>
      </c>
      <c r="B167" t="str">
        <f>SUBSTITUTE(SUBSTITUTE(categories!H167,"\","/"),"www.americanretailsupply.com/","")</f>
        <v>65037/Scanner-Hooks.html</v>
      </c>
      <c r="C167" t="str">
        <f t="shared" si="4"/>
        <v>INSERT INTO url_rewrite (entity_type, entity_id, redirect_type, store_id, request_path, target_path) VALUES ('custom', 0, 301, 1,'65037/Scanner-Hooks.html',(SELECT CONCAT(url_path, '.html') FROM catalog_category_flat_store_1 WHERE entity_id=1130));</v>
      </c>
      <c r="D167" t="str">
        <f t="shared" si="5"/>
        <v>UPDATE url_rewrite SET request_path = '65037/Scanner-Hooks.html' WHERE entity_type='custom' AND target_path=(SELECT CONCAT(url_path, '.html') FROM catalog_category_flat_store_1 WHERE entity_id=1130);</v>
      </c>
    </row>
    <row r="168" spans="1:4" x14ac:dyDescent="0.25">
      <c r="A168">
        <f>categories!B168</f>
        <v>269</v>
      </c>
      <c r="B168" t="str">
        <f>SUBSTITUTE(SUBSTITUTE(categories!H168,"\","/"),"www.americanretailsupply.com/","")</f>
        <v>64938/PegBoard-Hooks--Baskets.html</v>
      </c>
      <c r="C168" t="str">
        <f t="shared" si="4"/>
        <v>INSERT INTO url_rewrite (entity_type, entity_id, redirect_type, store_id, request_path, target_path) VALUES ('custom', 0, 301, 1,'64938/PegBoard-Hooks--Baskets.html',(SELECT CONCAT(url_path, '.html') FROM catalog_category_flat_store_1 WHERE entity_id=269));</v>
      </c>
      <c r="D168" t="str">
        <f t="shared" si="5"/>
        <v>UPDATE url_rewrite SET request_path = '64938/PegBoard-Hooks--Baskets.html' WHERE entity_type='custom' AND target_path=(SELECT CONCAT(url_path, '.html') FROM catalog_category_flat_store_1 WHERE entity_id=269);</v>
      </c>
    </row>
    <row r="169" spans="1:4" x14ac:dyDescent="0.25">
      <c r="A169">
        <f>categories!B169</f>
        <v>31</v>
      </c>
      <c r="B169" t="str">
        <f>SUBSTITUTE(SUBSTITUTE(categories!H169,"\","/"),"www.americanretailsupply.com/","")</f>
        <v>65349/3D-Textured-Slatwall.html</v>
      </c>
      <c r="C169" t="str">
        <f t="shared" si="4"/>
        <v>INSERT INTO url_rewrite (entity_type, entity_id, redirect_type, store_id, request_path, target_path) VALUES ('custom', 0, 301, 1,'65349/3D-Textured-Slatwall.html',(SELECT CONCAT(url_path, '.html') FROM catalog_category_flat_store_1 WHERE entity_id=31));</v>
      </c>
      <c r="D169" t="str">
        <f t="shared" si="5"/>
        <v>UPDATE url_rewrite SET request_path = '65349/3D-Textured-Slatwall.html' WHERE entity_type='custom' AND target_path=(SELECT CONCAT(url_path, '.html') FROM catalog_category_flat_store_1 WHERE entity_id=31);</v>
      </c>
    </row>
    <row r="170" spans="1:4" x14ac:dyDescent="0.25">
      <c r="A170">
        <f>categories!B170</f>
        <v>116</v>
      </c>
      <c r="B170" t="str">
        <f>SUBSTITUTE(SUBSTITUTE(categories!H170,"\","/"),"www.americanretailsupply.com/","")</f>
        <v>64944/Acrylic-for-Slatwall.html</v>
      </c>
      <c r="C170" t="str">
        <f t="shared" si="4"/>
        <v>INSERT INTO url_rewrite (entity_type, entity_id, redirect_type, store_id, request_path, target_path) VALUES ('custom', 0, 301, 1,'64944/Acrylic-for-Slatwall.html',(SELECT CONCAT(url_path, '.html') FROM catalog_category_flat_store_1 WHERE entity_id=116));</v>
      </c>
      <c r="D170" t="str">
        <f t="shared" si="5"/>
        <v>UPDATE url_rewrite SET request_path = '64944/Acrylic-for-Slatwall.html' WHERE entity_type='custom' AND target_path=(SELECT CONCAT(url_path, '.html') FROM catalog_category_flat_store_1 WHERE entity_id=116);</v>
      </c>
    </row>
    <row r="171" spans="1:4" x14ac:dyDescent="0.25">
      <c r="A171">
        <f>categories!B171</f>
        <v>1201</v>
      </c>
      <c r="B171" t="str">
        <f>SUBSTITUTE(SUBSTITUTE(categories!H171,"\","/"),"www.americanretailsupply.com/","")</f>
        <v>64945/Slatbox-Displays.html</v>
      </c>
      <c r="C171" t="str">
        <f t="shared" si="4"/>
        <v>INSERT INTO url_rewrite (entity_type, entity_id, redirect_type, store_id, request_path, target_path) VALUES ('custom', 0, 301, 1,'64945/Slatbox-Displays.html',(SELECT CONCAT(url_path, '.html') FROM catalog_category_flat_store_1 WHERE entity_id=1201));</v>
      </c>
      <c r="D171" t="str">
        <f t="shared" si="5"/>
        <v>UPDATE url_rewrite SET request_path = '64945/Slatbox-Displays.html' WHERE entity_type='custom' AND target_path=(SELECT CONCAT(url_path, '.html') FROM catalog_category_flat_store_1 WHERE entity_id=1201);</v>
      </c>
    </row>
    <row r="172" spans="1:4" x14ac:dyDescent="0.25">
      <c r="A172">
        <f>categories!B172</f>
        <v>1213</v>
      </c>
      <c r="B172" t="str">
        <f>SUBSTITUTE(SUBSTITUTE(categories!H172,"\","/"),"www.americanretailsupply.com/","")</f>
        <v>64946/Slatwall-Free-Standing-Displays.html</v>
      </c>
      <c r="C172" t="str">
        <f t="shared" si="4"/>
        <v>INSERT INTO url_rewrite (entity_type, entity_id, redirect_type, store_id, request_path, target_path) VALUES ('custom', 0, 301, 1,'64946/Slatwall-Free-Standing-Displays.html',(SELECT CONCAT(url_path, '.html') FROM catalog_category_flat_store_1 WHERE entity_id=1213));</v>
      </c>
      <c r="D172" t="str">
        <f t="shared" si="5"/>
        <v>UPDATE url_rewrite SET request_path = '64946/Slatwall-Free-Standing-Displays.html' WHERE entity_type='custom' AND target_path=(SELECT CONCAT(url_path, '.html') FROM catalog_category_flat_store_1 WHERE entity_id=1213);</v>
      </c>
    </row>
    <row r="173" spans="1:4" x14ac:dyDescent="0.25">
      <c r="A173">
        <f>categories!B173</f>
        <v>1221</v>
      </c>
      <c r="B173" t="str">
        <f>SUBSTITUTE(SUBSTITUTE(categories!H173,"\","/"),"www.americanretailsupply.com/","")</f>
        <v>64942/Traditional-Slatwall-Panels--Inserts.html</v>
      </c>
      <c r="C173" t="str">
        <f t="shared" si="4"/>
        <v>INSERT INTO url_rewrite (entity_type, entity_id, redirect_type, store_id, request_path, target_path) VALUES ('custom', 0, 301, 1,'64942/Traditional-Slatwall-Panels--Inserts.html',(SELECT CONCAT(url_path, '.html') FROM catalog_category_flat_store_1 WHERE entity_id=1221));</v>
      </c>
      <c r="D173" t="str">
        <f t="shared" si="5"/>
        <v>UPDATE url_rewrite SET request_path = '64942/Traditional-Slatwall-Panels--Inserts.html' WHERE entity_type='custom' AND target_path=(SELECT CONCAT(url_path, '.html') FROM catalog_category_flat_store_1 WHERE entity_id=1221);</v>
      </c>
    </row>
    <row r="174" spans="1:4" x14ac:dyDescent="0.25">
      <c r="A174">
        <f>categories!B174</f>
        <v>30</v>
      </c>
      <c r="B174" t="str">
        <f>SUBSTITUTE(SUBSTITUTE(categories!H174,"\","/"),"www.americanretailsupply.com/","")</f>
        <v>64935/Slatwall.html</v>
      </c>
      <c r="C174" t="str">
        <f t="shared" si="4"/>
        <v>INSERT INTO url_rewrite (entity_type, entity_id, redirect_type, store_id, request_path, target_path) VALUES ('custom', 0, 301, 1,'64935/Slatwall.html',(SELECT CONCAT(url_path, '.html') FROM catalog_category_flat_store_1 WHERE entity_id=30));</v>
      </c>
      <c r="D174" t="str">
        <f t="shared" si="5"/>
        <v>UPDATE url_rewrite SET request_path = '64935/Slatwall.html' WHERE entity_type='custom' AND target_path=(SELECT CONCAT(url_path, '.html') FROM catalog_category_flat_store_1 WHERE entity_id=30);</v>
      </c>
    </row>
    <row r="175" spans="1:4" x14ac:dyDescent="0.25">
      <c r="A175">
        <f>categories!B175</f>
        <v>223</v>
      </c>
      <c r="B175" t="str">
        <f>SUBSTITUTE(SUBSTITUTE(categories!H175,"\","/"),"www.americanretailsupply.com/","")</f>
        <v>64967/Aristocrat-Extra-HD-Brackets.html</v>
      </c>
      <c r="C175" t="str">
        <f t="shared" si="4"/>
        <v>INSERT INTO url_rewrite (entity_type, entity_id, redirect_type, store_id, request_path, target_path) VALUES ('custom', 0, 301, 1,'64967/Aristocrat-Extra-HD-Brackets.html',(SELECT CONCAT(url_path, '.html') FROM catalog_category_flat_store_1 WHERE entity_id=223));</v>
      </c>
      <c r="D175" t="str">
        <f t="shared" si="5"/>
        <v>UPDATE url_rewrite SET request_path = '64967/Aristocrat-Extra-HD-Brackets.html' WHERE entity_type='custom' AND target_path=(SELECT CONCAT(url_path, '.html') FROM catalog_category_flat_store_1 WHERE entity_id=223);</v>
      </c>
    </row>
    <row r="176" spans="1:4" x14ac:dyDescent="0.25">
      <c r="A176">
        <f>categories!B176</f>
        <v>234</v>
      </c>
      <c r="B176" t="str">
        <f>SUBSTITUTE(SUBSTITUTE(categories!H176,"\","/"),"www.americanretailsupply.com/","")</f>
        <v>64968/Aristocrat-Extra-HD-Standards.html</v>
      </c>
      <c r="C176" t="str">
        <f t="shared" si="4"/>
        <v>INSERT INTO url_rewrite (entity_type, entity_id, redirect_type, store_id, request_path, target_path) VALUES ('custom', 0, 301, 1,'64968/Aristocrat-Extra-HD-Standards.html',(SELECT CONCAT(url_path, '.html') FROM catalog_category_flat_store_1 WHERE entity_id=234));</v>
      </c>
      <c r="D176" t="str">
        <f t="shared" si="5"/>
        <v>UPDATE url_rewrite SET request_path = '64968/Aristocrat-Extra-HD-Standards.html' WHERE entity_type='custom' AND target_path=(SELECT CONCAT(url_path, '.html') FROM catalog_category_flat_store_1 WHERE entity_id=234);</v>
      </c>
    </row>
    <row r="177" spans="1:4" x14ac:dyDescent="0.25">
      <c r="A177">
        <f>categories!B177</f>
        <v>1062</v>
      </c>
      <c r="B177" t="str">
        <f>SUBSTITUTE(SUBSTITUTE(categories!H177,"\","/"),"www.americanretailsupply.com/","")</f>
        <v>64969/Quantum-Extra-HD-Brackets.html</v>
      </c>
      <c r="C177" t="str">
        <f t="shared" si="4"/>
        <v>INSERT INTO url_rewrite (entity_type, entity_id, redirect_type, store_id, request_path, target_path) VALUES ('custom', 0, 301, 1,'64969/Quantum-Extra-HD-Brackets.html',(SELECT CONCAT(url_path, '.html') FROM catalog_category_flat_store_1 WHERE entity_id=1062));</v>
      </c>
      <c r="D177" t="str">
        <f t="shared" si="5"/>
        <v>UPDATE url_rewrite SET request_path = '64969/Quantum-Extra-HD-Brackets.html' WHERE entity_type='custom' AND target_path=(SELECT CONCAT(url_path, '.html') FROM catalog_category_flat_store_1 WHERE entity_id=1062);</v>
      </c>
    </row>
    <row r="178" spans="1:4" x14ac:dyDescent="0.25">
      <c r="A178">
        <f>categories!B178</f>
        <v>1075</v>
      </c>
      <c r="B178" t="str">
        <f>SUBSTITUTE(SUBSTITUTE(categories!H178,"\","/"),"www.americanretailsupply.com/","")</f>
        <v>64970/Quantum-Extra-HD-Wall-Standards.html</v>
      </c>
      <c r="C178" t="str">
        <f t="shared" si="4"/>
        <v>INSERT INTO url_rewrite (entity_type, entity_id, redirect_type, store_id, request_path, target_path) VALUES ('custom', 0, 301, 1,'64970/Quantum-Extra-HD-Wall-Standards.html',(SELECT CONCAT(url_path, '.html') FROM catalog_category_flat_store_1 WHERE entity_id=1075));</v>
      </c>
      <c r="D178" t="str">
        <f t="shared" si="5"/>
        <v>UPDATE url_rewrite SET request_path = '64970/Quantum-Extra-HD-Wall-Standards.html' WHERE entity_type='custom' AND target_path=(SELECT CONCAT(url_path, '.html') FROM catalog_category_flat_store_1 WHERE entity_id=1075);</v>
      </c>
    </row>
    <row r="179" spans="1:4" x14ac:dyDescent="0.25">
      <c r="A179">
        <f>categories!B179</f>
        <v>1333</v>
      </c>
      <c r="B179" t="str">
        <f>SUBSTITUTE(SUBSTITUTE(categories!H179,"\","/"),"www.americanretailsupply.com/","")</f>
        <v>64966/Universal-HD-Brackets.html</v>
      </c>
      <c r="C179" t="str">
        <f t="shared" si="4"/>
        <v>INSERT INTO url_rewrite (entity_type, entity_id, redirect_type, store_id, request_path, target_path) VALUES ('custom', 0, 301, 1,'64966/Universal-HD-Brackets.html',(SELECT CONCAT(url_path, '.html') FROM catalog_category_flat_store_1 WHERE entity_id=1333));</v>
      </c>
      <c r="D179" t="str">
        <f t="shared" si="5"/>
        <v>UPDATE url_rewrite SET request_path = '64966/Universal-HD-Brackets.html' WHERE entity_type='custom' AND target_path=(SELECT CONCAT(url_path, '.html') FROM catalog_category_flat_store_1 WHERE entity_id=1333);</v>
      </c>
    </row>
    <row r="180" spans="1:4" x14ac:dyDescent="0.25">
      <c r="A180">
        <f>categories!B180</f>
        <v>1348</v>
      </c>
      <c r="B180" t="str">
        <f>SUBSTITUTE(SUBSTITUTE(categories!H180,"\","/"),"www.americanretailsupply.com/","")</f>
        <v>64965/Universal-HD-Wall-Standards.html</v>
      </c>
      <c r="C180" t="str">
        <f t="shared" si="4"/>
        <v>INSERT INTO url_rewrite (entity_type, entity_id, redirect_type, store_id, request_path, target_path) VALUES ('custom', 0, 301, 1,'64965/Universal-HD-Wall-Standards.html',(SELECT CONCAT(url_path, '.html') FROM catalog_category_flat_store_1 WHERE entity_id=1348));</v>
      </c>
      <c r="D180" t="str">
        <f t="shared" si="5"/>
        <v>UPDATE url_rewrite SET request_path = '64965/Universal-HD-Wall-Standards.html' WHERE entity_type='custom' AND target_path=(SELECT CONCAT(url_path, '.html') FROM catalog_category_flat_store_1 WHERE entity_id=1348);</v>
      </c>
    </row>
    <row r="181" spans="1:4" x14ac:dyDescent="0.25">
      <c r="A181">
        <f>categories!B181</f>
        <v>222</v>
      </c>
      <c r="B181" t="str">
        <f>SUBSTITUTE(SUBSTITUTE(categories!H181,"\","/"),"www.americanretailsupply.com/","")</f>
        <v>64952/Slotted-Wall-Standards--Accessories.html</v>
      </c>
      <c r="C181" t="str">
        <f t="shared" si="4"/>
        <v>INSERT INTO url_rewrite (entity_type, entity_id, redirect_type, store_id, request_path, target_path) VALUES ('custom', 0, 301, 1,'64952/Slotted-Wall-Standards--Accessories.html',(SELECT CONCAT(url_path, '.html') FROM catalog_category_flat_store_1 WHERE entity_id=222));</v>
      </c>
      <c r="D181" t="str">
        <f t="shared" si="5"/>
        <v>UPDATE url_rewrite SET request_path = '64952/Slotted-Wall-Standards--Accessories.html' WHERE entity_type='custom' AND target_path=(SELECT CONCAT(url_path, '.html') FROM catalog_category_flat_store_1 WHERE entity_id=222);</v>
      </c>
    </row>
    <row r="182" spans="1:4" x14ac:dyDescent="0.25">
      <c r="A182">
        <f>categories!B182</f>
        <v>1358</v>
      </c>
      <c r="B182" t="str">
        <f>SUBSTITUTE(SUBSTITUTE(categories!H182,"\","/"),"www.americanretailsupply.com/","")</f>
        <v>64940/Wallmount-Brackets.html</v>
      </c>
      <c r="C182" t="str">
        <f t="shared" si="4"/>
        <v>INSERT INTO url_rewrite (entity_type, entity_id, redirect_type, store_id, request_path, target_path) VALUES ('custom', 0, 301, 1,'64940/Wallmount-Brackets.html',(SELECT CONCAT(url_path, '.html') FROM catalog_category_flat_store_1 WHERE entity_id=1358));</v>
      </c>
      <c r="D182" t="str">
        <f t="shared" si="5"/>
        <v>UPDATE url_rewrite SET request_path = '64940/Wallmount-Brackets.html' WHERE entity_type='custom' AND target_path=(SELECT CONCAT(url_path, '.html') FROM catalog_category_flat_store_1 WHERE entity_id=1358);</v>
      </c>
    </row>
    <row r="183" spans="1:4" x14ac:dyDescent="0.25">
      <c r="A183">
        <f>categories!B183</f>
        <v>29</v>
      </c>
      <c r="B183" t="str">
        <f>SUBSTITUTE(SUBSTITUTE(categories!H183,"\","/"),"www.americanretailsupply.com/","")</f>
        <v>64921/Slatwall-Gridwall-Wall-Display.html</v>
      </c>
      <c r="C183" t="str">
        <f t="shared" si="4"/>
        <v>INSERT INTO url_rewrite (entity_type, entity_id, redirect_type, store_id, request_path, target_path) VALUES ('custom', 0, 301, 1,'64921/Slatwall-Gridwall-Wall-Display.html',(SELECT CONCAT(url_path, '.html') FROM catalog_category_flat_store_1 WHERE entity_id=29));</v>
      </c>
      <c r="D183" t="str">
        <f t="shared" si="5"/>
        <v>UPDATE url_rewrite SET request_path = '64921/Slatwall-Gridwall-Wall-Display.html' WHERE entity_type='custom' AND target_path=(SELECT CONCAT(url_path, '.html') FROM catalog_category_flat_store_1 WHERE entity_id=29);</v>
      </c>
    </row>
    <row r="184" spans="1:4" x14ac:dyDescent="0.25">
      <c r="A184">
        <f>categories!B184</f>
        <v>70</v>
      </c>
      <c r="B184" t="str">
        <f>SUBSTITUTE(SUBSTITUTE(categories!H184,"\","/"),"www.americanretailsupply.com/","")</f>
        <v>64770/Acrylic-Bins-Trays-Easels.html</v>
      </c>
      <c r="C184" t="str">
        <f t="shared" si="4"/>
        <v>INSERT INTO url_rewrite (entity_type, entity_id, redirect_type, store_id, request_path, target_path) VALUES ('custom', 0, 301, 1,'64770/Acrylic-Bins-Trays-Easels.html',(SELECT CONCAT(url_path, '.html') FROM catalog_category_flat_store_1 WHERE entity_id=70));</v>
      </c>
      <c r="D184" t="str">
        <f t="shared" si="5"/>
        <v>UPDATE url_rewrite SET request_path = '64770/Acrylic-Bins-Trays-Easels.html' WHERE entity_type='custom' AND target_path=(SELECT CONCAT(url_path, '.html') FROM catalog_category_flat_store_1 WHERE entity_id=70);</v>
      </c>
    </row>
    <row r="185" spans="1:4" x14ac:dyDescent="0.25">
      <c r="A185">
        <f>categories!B185</f>
        <v>85</v>
      </c>
      <c r="B185" t="str">
        <f>SUBSTITUTE(SUBSTITUTE(categories!H185,"\","/"),"www.americanretailsupply.com/","")</f>
        <v>64779/Acrylic-Countertop-Displays.html</v>
      </c>
      <c r="C185" t="str">
        <f t="shared" si="4"/>
        <v>INSERT INTO url_rewrite (entity_type, entity_id, redirect_type, store_id, request_path, target_path) VALUES ('custom', 0, 301, 1,'64779/Acrylic-Countertop-Displays.html',(SELECT CONCAT(url_path, '.html') FROM catalog_category_flat_store_1 WHERE entity_id=85));</v>
      </c>
      <c r="D185" t="str">
        <f t="shared" si="5"/>
        <v>UPDATE url_rewrite SET request_path = '64779/Acrylic-Countertop-Displays.html' WHERE entity_type='custom' AND target_path=(SELECT CONCAT(url_path, '.html') FROM catalog_category_flat_store_1 WHERE entity_id=85);</v>
      </c>
    </row>
    <row r="186" spans="1:4" x14ac:dyDescent="0.25">
      <c r="A186">
        <f>categories!B186</f>
        <v>104</v>
      </c>
      <c r="B186" t="str">
        <f>SUBSTITUTE(SUBSTITUTE(categories!H186,"\","/"),"www.americanretailsupply.com/","")</f>
        <v>64768/Acrylic-E--Cig-Displays.html</v>
      </c>
      <c r="C186" t="str">
        <f t="shared" si="4"/>
        <v>INSERT INTO url_rewrite (entity_type, entity_id, redirect_type, store_id, request_path, target_path) VALUES ('custom', 0, 301, 1,'64768/Acrylic-E--Cig-Displays.html',(SELECT CONCAT(url_path, '.html') FROM catalog_category_flat_store_1 WHERE entity_id=104));</v>
      </c>
      <c r="D186" t="str">
        <f t="shared" si="5"/>
        <v>UPDATE url_rewrite SET request_path = '64768/Acrylic-E--Cig-Displays.html' WHERE entity_type='custom' AND target_path=(SELECT CONCAT(url_path, '.html') FROM catalog_category_flat_store_1 WHERE entity_id=104);</v>
      </c>
    </row>
    <row r="187" spans="1:4" x14ac:dyDescent="0.25">
      <c r="A187">
        <f>categories!B187</f>
        <v>165</v>
      </c>
      <c r="B187" t="str">
        <f>SUBSTITUTE(SUBSTITUTE(categories!H187,"\","/"),"www.americanretailsupply.com/","")</f>
        <v>64769/Acrylic-Risers--Cubes.html</v>
      </c>
      <c r="C187" t="str">
        <f t="shared" si="4"/>
        <v>INSERT INTO url_rewrite (entity_type, entity_id, redirect_type, store_id, request_path, target_path) VALUES ('custom', 0, 301, 1,'64769/Acrylic-Risers--Cubes.html',(SELECT CONCAT(url_path, '.html') FROM catalog_category_flat_store_1 WHERE entity_id=165));</v>
      </c>
      <c r="D187" t="str">
        <f t="shared" si="5"/>
        <v>UPDATE url_rewrite SET request_path = '64769/Acrylic-Risers--Cubes.html' WHERE entity_type='custom' AND target_path=(SELECT CONCAT(url_path, '.html') FROM catalog_category_flat_store_1 WHERE entity_id=165);</v>
      </c>
    </row>
    <row r="188" spans="1:4" x14ac:dyDescent="0.25">
      <c r="A188">
        <f>categories!B188</f>
        <v>763</v>
      </c>
      <c r="B188" t="str">
        <f>SUBSTITUTE(SUBSTITUTE(categories!H188,"\","/"),"www.americanretailsupply.com/","")</f>
        <v>64915/Jewelry-Apparel-Eyewear-Displays.html</v>
      </c>
      <c r="C188" t="str">
        <f t="shared" si="4"/>
        <v>INSERT INTO url_rewrite (entity_type, entity_id, redirect_type, store_id, request_path, target_path) VALUES ('custom', 0, 301, 1,'64915/Jewelry-Apparel-Eyewear-Displays.html',(SELECT CONCAT(url_path, '.html') FROM catalog_category_flat_store_1 WHERE entity_id=763));</v>
      </c>
      <c r="D188" t="str">
        <f t="shared" si="5"/>
        <v>UPDATE url_rewrite SET request_path = '64915/Jewelry-Apparel-Eyewear-Displays.html' WHERE entity_type='custom' AND target_path=(SELECT CONCAT(url_path, '.html') FROM catalog_category_flat_store_1 WHERE entity_id=763);</v>
      </c>
    </row>
    <row r="189" spans="1:4" x14ac:dyDescent="0.25">
      <c r="A189">
        <f>categories!B189</f>
        <v>69</v>
      </c>
      <c r="B189" t="str">
        <f>SUBSTITUTE(SUBSTITUTE(categories!H189,"\","/"),"www.americanretailsupply.com/","")</f>
        <v>64663/Acrylic-Displays.html</v>
      </c>
      <c r="C189" t="str">
        <f t="shared" si="4"/>
        <v>INSERT INTO url_rewrite (entity_type, entity_id, redirect_type, store_id, request_path, target_path) VALUES ('custom', 0, 301, 1,'64663/Acrylic-Displays.html',(SELECT CONCAT(url_path, '.html') FROM catalog_category_flat_store_1 WHERE entity_id=69));</v>
      </c>
      <c r="D189" t="str">
        <f t="shared" si="5"/>
        <v>UPDATE url_rewrite SET request_path = '64663/Acrylic-Displays.html' WHERE entity_type='custom' AND target_path=(SELECT CONCAT(url_path, '.html') FROM catalog_category_flat_store_1 WHERE entity_id=69);</v>
      </c>
    </row>
    <row r="190" spans="1:4" x14ac:dyDescent="0.25">
      <c r="A190">
        <f>categories!B190</f>
        <v>310</v>
      </c>
      <c r="B190" t="str">
        <f>SUBSTITUTE(SUBSTITUTE(categories!H190,"\","/"),"www.americanretailsupply.com/","")</f>
        <v>65182/CD-Video--Eyeware-Displays.html</v>
      </c>
      <c r="C190" t="str">
        <f t="shared" si="4"/>
        <v>INSERT INTO url_rewrite (entity_type, entity_id, redirect_type, store_id, request_path, target_path) VALUES ('custom', 0, 301, 1,'65182/CD-Video--Eyeware-Displays.html',(SELECT CONCAT(url_path, '.html') FROM catalog_category_flat_store_1 WHERE entity_id=310));</v>
      </c>
      <c r="D190" t="str">
        <f t="shared" si="5"/>
        <v>UPDATE url_rewrite SET request_path = '65182/CD-Video--Eyeware-Displays.html' WHERE entity_type='custom' AND target_path=(SELECT CONCAT(url_path, '.html') FROM catalog_category_flat_store_1 WHERE entity_id=310);</v>
      </c>
    </row>
    <row r="191" spans="1:4" x14ac:dyDescent="0.25">
      <c r="A191">
        <f>categories!B191</f>
        <v>409</v>
      </c>
      <c r="B191" t="str">
        <f>SUBSTITUTE(SUBSTITUTE(categories!H191,"\","/"),"www.americanretailsupply.com/","")</f>
        <v>65211/Contemporary-Raw-Steel-Displays.html</v>
      </c>
      <c r="C191" t="str">
        <f t="shared" si="4"/>
        <v>INSERT INTO url_rewrite (entity_type, entity_id, redirect_type, store_id, request_path, target_path) VALUES ('custom', 0, 301, 1,'65211/Contemporary-Raw-Steel-Displays.html',(SELECT CONCAT(url_path, '.html') FROM catalog_category_flat_store_1 WHERE entity_id=409));</v>
      </c>
      <c r="D191" t="str">
        <f t="shared" si="5"/>
        <v>UPDATE url_rewrite SET request_path = '65211/Contemporary-Raw-Steel-Displays.html' WHERE entity_type='custom' AND target_path=(SELECT CONCAT(url_path, '.html') FROM catalog_category_flat_store_1 WHERE entity_id=409);</v>
      </c>
    </row>
    <row r="192" spans="1:4" x14ac:dyDescent="0.25">
      <c r="A192">
        <f>categories!B192</f>
        <v>441</v>
      </c>
      <c r="B192" t="str">
        <f>SUBSTITUTE(SUBSTITUTE(categories!H192,"\","/"),"www.americanretailsupply.com/","")</f>
        <v>64797/Counter-Top-Racks.html</v>
      </c>
      <c r="C192" t="str">
        <f t="shared" si="4"/>
        <v>INSERT INTO url_rewrite (entity_type, entity_id, redirect_type, store_id, request_path, target_path) VALUES ('custom', 0, 301, 1,'64797/Counter-Top-Racks.html',(SELECT CONCAT(url_path, '.html') FROM catalog_category_flat_store_1 WHERE entity_id=441));</v>
      </c>
      <c r="D192" t="str">
        <f t="shared" si="5"/>
        <v>UPDATE url_rewrite SET request_path = '64797/Counter-Top-Racks.html' WHERE entity_type='custom' AND target_path=(SELECT CONCAT(url_path, '.html') FROM catalog_category_flat_store_1 WHERE entity_id=441);</v>
      </c>
    </row>
    <row r="193" spans="1:4" x14ac:dyDescent="0.25">
      <c r="A193">
        <f>categories!B193</f>
        <v>864</v>
      </c>
      <c r="B193" t="str">
        <f>SUBSTITUTE(SUBSTITUTE(categories!H193,"\","/"),"www.americanretailsupply.com/","")</f>
        <v>65181/Literature-Racks.html</v>
      </c>
      <c r="C193" t="str">
        <f t="shared" si="4"/>
        <v>INSERT INTO url_rewrite (entity_type, entity_id, redirect_type, store_id, request_path, target_path) VALUES ('custom', 0, 301, 1,'65181/Literature-Racks.html',(SELECT CONCAT(url_path, '.html') FROM catalog_category_flat_store_1 WHERE entity_id=864));</v>
      </c>
      <c r="D193" t="str">
        <f t="shared" si="5"/>
        <v>UPDATE url_rewrite SET request_path = '65181/Literature-Racks.html' WHERE entity_type='custom' AND target_path=(SELECT CONCAT(url_path, '.html') FROM catalog_category_flat_store_1 WHERE entity_id=864);</v>
      </c>
    </row>
    <row r="194" spans="1:4" x14ac:dyDescent="0.25">
      <c r="A194">
        <f>categories!B194</f>
        <v>949</v>
      </c>
      <c r="B194" t="str">
        <f>SUBSTITUTE(SUBSTITUTE(categories!H194,"\","/"),"www.americanretailsupply.com/","")</f>
        <v>65209/Modular-Birch-Displays.html</v>
      </c>
      <c r="C194" t="str">
        <f t="shared" si="4"/>
        <v>INSERT INTO url_rewrite (entity_type, entity_id, redirect_type, store_id, request_path, target_path) VALUES ('custom', 0, 301, 1,'65209/Modular-Birch-Displays.html',(SELECT CONCAT(url_path, '.html') FROM catalog_category_flat_store_1 WHERE entity_id=949));</v>
      </c>
      <c r="D194" t="str">
        <f t="shared" si="5"/>
        <v>UPDATE url_rewrite SET request_path = '65209/Modular-Birch-Displays.html' WHERE entity_type='custom' AND target_path=(SELECT CONCAT(url_path, '.html') FROM catalog_category_flat_store_1 WHERE entity_id=949);</v>
      </c>
    </row>
    <row r="195" spans="1:4" x14ac:dyDescent="0.25">
      <c r="A195">
        <f>categories!B195</f>
        <v>1027</v>
      </c>
      <c r="B195" t="str">
        <f>SUBSTITUTE(SUBSTITUTE(categories!H195,"\","/"),"www.americanretailsupply.com/","")</f>
        <v>65210/Pearl-District-Displays.html</v>
      </c>
      <c r="C195" t="str">
        <f t="shared" ref="C195:C258" si="6">"INSERT INTO url_rewrite (entity_type, entity_id, redirect_type, store_id, request_path, target_path) VALUES ('custom', 0, 301, 1,'"&amp;B195&amp;"',(SELECT CONCAT(url_path, '.html') FROM catalog_category_flat_store_1 WHERE entity_id="&amp;A195&amp;"));"</f>
        <v>INSERT INTO url_rewrite (entity_type, entity_id, redirect_type, store_id, request_path, target_path) VALUES ('custom', 0, 301, 1,'65210/Pearl-District-Displays.html',(SELECT CONCAT(url_path, '.html') FROM catalog_category_flat_store_1 WHERE entity_id=1027));</v>
      </c>
      <c r="D195" t="str">
        <f t="shared" ref="D195:D258" si="7">"UPDATE url_rewrite SET request_path = '"&amp;B195&amp;"' WHERE entity_type='custom' AND target_path=(SELECT CONCAT(url_path, '.html') FROM catalog_category_flat_store_1 WHERE entity_id="&amp;A195&amp;");"</f>
        <v>UPDATE url_rewrite SET request_path = '65210/Pearl-District-Displays.html' WHERE entity_type='custom' AND target_path=(SELECT CONCAT(url_path, '.html') FROM catalog_category_flat_store_1 WHERE entity_id=1027);</v>
      </c>
    </row>
    <row r="196" spans="1:4" x14ac:dyDescent="0.25">
      <c r="A196">
        <f>categories!B196</f>
        <v>1405</v>
      </c>
      <c r="B196" t="str">
        <f>SUBSTITUTE(SUBSTITUTE(categories!H196,"\","/"),"www.americanretailsupply.com/","")</f>
        <v>66192/Pipe--Panel-Displays.html</v>
      </c>
      <c r="C196" t="str">
        <f t="shared" si="6"/>
        <v>INSERT INTO url_rewrite (entity_type, entity_id, redirect_type, store_id, request_path, target_path) VALUES ('custom', 0, 301, 1,'66192/Pipe--Panel-Displays.html',(SELECT CONCAT(url_path, '.html') FROM catalog_category_flat_store_1 WHERE entity_id=1405));</v>
      </c>
      <c r="D196" t="str">
        <f t="shared" si="7"/>
        <v>UPDATE url_rewrite SET request_path = '66192/Pipe--Panel-Displays.html' WHERE entity_type='custom' AND target_path=(SELECT CONCAT(url_path, '.html') FROM catalog_category_flat_store_1 WHERE entity_id=1405);</v>
      </c>
    </row>
    <row r="197" spans="1:4" x14ac:dyDescent="0.25">
      <c r="A197" t="e">
        <f>categories!B197</f>
        <v>#N/A</v>
      </c>
      <c r="B197" t="str">
        <f>SUBSTITUTE(SUBSTITUTE(categories!H197,"\","/"),"www.americanretailsupply.com/","")</f>
        <v>66174/Pipeline-Displays.html</v>
      </c>
      <c r="C197" t="e">
        <f t="shared" si="6"/>
        <v>#N/A</v>
      </c>
      <c r="D197" t="e">
        <f t="shared" si="7"/>
        <v>#N/A</v>
      </c>
    </row>
    <row r="198" spans="1:4" x14ac:dyDescent="0.25">
      <c r="A198">
        <f>categories!B198</f>
        <v>1078</v>
      </c>
      <c r="B198" t="str">
        <f>SUBSTITUTE(SUBSTITUTE(categories!H198,"\","/"),"www.americanretailsupply.com/","")</f>
        <v>64806/Racks-Spinners-Dump-Bins.html</v>
      </c>
      <c r="C198" t="str">
        <f t="shared" si="6"/>
        <v>INSERT INTO url_rewrite (entity_type, entity_id, redirect_type, store_id, request_path, target_path) VALUES ('custom', 0, 301, 1,'64806/Racks-Spinners-Dump-Bins.html',(SELECT CONCAT(url_path, '.html') FROM catalog_category_flat_store_1 WHERE entity_id=1078));</v>
      </c>
      <c r="D198" t="str">
        <f t="shared" si="7"/>
        <v>UPDATE url_rewrite SET request_path = '64806/Racks-Spinners-Dump-Bins.html' WHERE entity_type='custom' AND target_path=(SELECT CONCAT(url_path, '.html') FROM catalog_category_flat_store_1 WHERE entity_id=1078);</v>
      </c>
    </row>
    <row r="199" spans="1:4" x14ac:dyDescent="0.25">
      <c r="A199">
        <f>categories!B199</f>
        <v>1133</v>
      </c>
      <c r="B199" t="str">
        <f>SUBSTITUTE(SUBSTITUTE(categories!H199,"\","/"),"www.americanretailsupply.com/","")</f>
        <v>64800/Scrapbooking-Racks.html</v>
      </c>
      <c r="C199" t="str">
        <f t="shared" si="6"/>
        <v>INSERT INTO url_rewrite (entity_type, entity_id, redirect_type, store_id, request_path, target_path) VALUES ('custom', 0, 301, 1,'64800/Scrapbooking-Racks.html',(SELECT CONCAT(url_path, '.html') FROM catalog_category_flat_store_1 WHERE entity_id=1133));</v>
      </c>
      <c r="D199" t="str">
        <f t="shared" si="7"/>
        <v>UPDATE url_rewrite SET request_path = '64800/Scrapbooking-Racks.html' WHERE entity_type='custom' AND target_path=(SELECT CONCAT(url_path, '.html') FROM catalog_category_flat_store_1 WHERE entity_id=1133);</v>
      </c>
    </row>
    <row r="200" spans="1:4" x14ac:dyDescent="0.25">
      <c r="A200">
        <f>categories!B200</f>
        <v>1215</v>
      </c>
      <c r="B200" t="str">
        <f>SUBSTITUTE(SUBSTITUTE(categories!H200,"\","/"),"www.americanretailsupply.com/","")</f>
        <v>64914/Slatwall-FreeStanding-Displays.html</v>
      </c>
      <c r="C200" t="str">
        <f t="shared" si="6"/>
        <v>INSERT INTO url_rewrite (entity_type, entity_id, redirect_type, store_id, request_path, target_path) VALUES ('custom', 0, 301, 1,'64914/Slatwall-FreeStanding-Displays.html',(SELECT CONCAT(url_path, '.html') FROM catalog_category_flat_store_1 WHERE entity_id=1215));</v>
      </c>
      <c r="D200" t="str">
        <f t="shared" si="7"/>
        <v>UPDATE url_rewrite SET request_path = '64914/Slatwall-FreeStanding-Displays.html' WHERE entity_type='custom' AND target_path=(SELECT CONCAT(url_path, '.html') FROM catalog_category_flat_store_1 WHERE entity_id=1215);</v>
      </c>
    </row>
    <row r="201" spans="1:4" x14ac:dyDescent="0.25">
      <c r="A201">
        <f>categories!B201</f>
        <v>1373</v>
      </c>
      <c r="B201" t="str">
        <f>SUBSTITUTE(SUBSTITUTE(categories!H201,"\","/"),"www.americanretailsupply.com/","")</f>
        <v>64799/Wire-Rack-Components.html</v>
      </c>
      <c r="C201" t="str">
        <f t="shared" si="6"/>
        <v>INSERT INTO url_rewrite (entity_type, entity_id, redirect_type, store_id, request_path, target_path) VALUES ('custom', 0, 301, 1,'64799/Wire-Rack-Components.html',(SELECT CONCAT(url_path, '.html') FROM catalog_category_flat_store_1 WHERE entity_id=1373));</v>
      </c>
      <c r="D201" t="str">
        <f t="shared" si="7"/>
        <v>UPDATE url_rewrite SET request_path = '64799/Wire-Rack-Components.html' WHERE entity_type='custom' AND target_path=(SELECT CONCAT(url_path, '.html') FROM catalog_category_flat_store_1 WHERE entity_id=1373);</v>
      </c>
    </row>
    <row r="202" spans="1:4" x14ac:dyDescent="0.25">
      <c r="A202">
        <f>categories!B202</f>
        <v>309</v>
      </c>
      <c r="B202" t="str">
        <f>SUBSTITUTE(SUBSTITUTE(categories!H202,"\","/"),"www.americanretailsupply.com/","")</f>
        <v>64667/Display-Racks.html</v>
      </c>
      <c r="C202" t="str">
        <f t="shared" si="6"/>
        <v>INSERT INTO url_rewrite (entity_type, entity_id, redirect_type, store_id, request_path, target_path) VALUES ('custom', 0, 301, 1,'64667/Display-Racks.html',(SELECT CONCAT(url_path, '.html') FROM catalog_category_flat_store_1 WHERE entity_id=309));</v>
      </c>
      <c r="D202" t="str">
        <f t="shared" si="7"/>
        <v>UPDATE url_rewrite SET request_path = '64667/Display-Racks.html' WHERE entity_type='custom' AND target_path=(SELECT CONCAT(url_path, '.html') FROM catalog_category_flat_store_1 WHERE entity_id=309);</v>
      </c>
    </row>
    <row r="203" spans="1:4" x14ac:dyDescent="0.25">
      <c r="A203">
        <f>categories!B203</f>
        <v>567</v>
      </c>
      <c r="B203" t="str">
        <f>SUBSTITUTE(SUBSTITUTE(categories!H203,"\","/"),"www.americanretailsupply.com/","")</f>
        <v>65194/Garment--Hat-Racks.html</v>
      </c>
      <c r="C203" t="str">
        <f t="shared" si="6"/>
        <v>INSERT INTO url_rewrite (entity_type, entity_id, redirect_type, store_id, request_path, target_path) VALUES ('custom', 0, 301, 1,'65194/Garment--Hat-Racks.html',(SELECT CONCAT(url_path, '.html') FROM catalog_category_flat_store_1 WHERE entity_id=567));</v>
      </c>
      <c r="D203" t="str">
        <f t="shared" si="7"/>
        <v>UPDATE url_rewrite SET request_path = '65194/Garment--Hat-Racks.html' WHERE entity_type='custom' AND target_path=(SELECT CONCAT(url_path, '.html') FROM catalog_category_flat_store_1 WHERE entity_id=567);</v>
      </c>
    </row>
    <row r="204" spans="1:4" x14ac:dyDescent="0.25">
      <c r="A204">
        <f>categories!B204</f>
        <v>666</v>
      </c>
      <c r="B204" t="str">
        <f>SUBSTITUTE(SUBSTITUTE(categories!H204,"\","/"),"www.americanretailsupply.com/","")</f>
        <v>65195/Hangers.html</v>
      </c>
      <c r="C204" t="str">
        <f t="shared" si="6"/>
        <v>INSERT INTO url_rewrite (entity_type, entity_id, redirect_type, store_id, request_path, target_path) VALUES ('custom', 0, 301, 1,'65195/Hangers.html',(SELECT CONCAT(url_path, '.html') FROM catalog_category_flat_store_1 WHERE entity_id=666));</v>
      </c>
      <c r="D204" t="str">
        <f t="shared" si="7"/>
        <v>UPDATE url_rewrite SET request_path = '65195/Hangers.html' WHERE entity_type='custom' AND target_path=(SELECT CONCAT(url_path, '.html') FROM catalog_category_flat_store_1 WHERE entity_id=666);</v>
      </c>
    </row>
    <row r="205" spans="1:4" x14ac:dyDescent="0.25">
      <c r="A205">
        <f>categories!B205</f>
        <v>278</v>
      </c>
      <c r="B205" t="str">
        <f>SUBSTITUTE(SUBSTITUTE(categories!H205,"\","/"),"www.americanretailsupply.com/","")</f>
        <v>64788/Birch-Jewelry-Displays.html</v>
      </c>
      <c r="C205" t="str">
        <f t="shared" si="6"/>
        <v>INSERT INTO url_rewrite (entity_type, entity_id, redirect_type, store_id, request_path, target_path) VALUES ('custom', 0, 301, 1,'64788/Birch-Jewelry-Displays.html',(SELECT CONCAT(url_path, '.html') FROM catalog_category_flat_store_1 WHERE entity_id=278));</v>
      </c>
      <c r="D205" t="str">
        <f t="shared" si="7"/>
        <v>UPDATE url_rewrite SET request_path = '64788/Birch-Jewelry-Displays.html' WHERE entity_type='custom' AND target_path=(SELECT CONCAT(url_path, '.html') FROM catalog_category_flat_store_1 WHERE entity_id=278);</v>
      </c>
    </row>
    <row r="206" spans="1:4" x14ac:dyDescent="0.25">
      <c r="A206">
        <f>categories!B206</f>
        <v>797</v>
      </c>
      <c r="B206" t="str">
        <f>SUBSTITUTE(SUBSTITUTE(categories!H206,"\","/"),"www.americanretailsupply.com/","")</f>
        <v>64791/Jewelry-Pouches.html</v>
      </c>
      <c r="C206" t="str">
        <f t="shared" si="6"/>
        <v>INSERT INTO url_rewrite (entity_type, entity_id, redirect_type, store_id, request_path, target_path) VALUES ('custom', 0, 301, 1,'64791/Jewelry-Pouches.html',(SELECT CONCAT(url_path, '.html') FROM catalog_category_flat_store_1 WHERE entity_id=797));</v>
      </c>
      <c r="D206" t="str">
        <f t="shared" si="7"/>
        <v>UPDATE url_rewrite SET request_path = '64791/Jewelry-Pouches.html' WHERE entity_type='custom' AND target_path=(SELECT CONCAT(url_path, '.html') FROM catalog_category_flat_store_1 WHERE entity_id=797);</v>
      </c>
    </row>
    <row r="207" spans="1:4" x14ac:dyDescent="0.25">
      <c r="A207">
        <f>categories!B207</f>
        <v>800</v>
      </c>
      <c r="B207" t="str">
        <f>SUBSTITUTE(SUBSTITUTE(categories!H207,"\","/"),"www.americanretailsupply.com/","")</f>
        <v>64794/Jewelry-Riser-Sets.html</v>
      </c>
      <c r="C207" t="str">
        <f t="shared" si="6"/>
        <v>INSERT INTO url_rewrite (entity_type, entity_id, redirect_type, store_id, request_path, target_path) VALUES ('custom', 0, 301, 1,'64794/Jewelry-Riser-Sets.html',(SELECT CONCAT(url_path, '.html') FROM catalog_category_flat_store_1 WHERE entity_id=800));</v>
      </c>
      <c r="D207" t="str">
        <f t="shared" si="7"/>
        <v>UPDATE url_rewrite SET request_path = '64794/Jewelry-Riser-Sets.html' WHERE entity_type='custom' AND target_path=(SELECT CONCAT(url_path, '.html') FROM catalog_category_flat_store_1 WHERE entity_id=800);</v>
      </c>
    </row>
    <row r="208" spans="1:4" x14ac:dyDescent="0.25">
      <c r="A208">
        <f>categories!B208</f>
        <v>802</v>
      </c>
      <c r="B208" t="str">
        <f>SUBSTITUTE(SUBSTITUTE(categories!H208,"\","/"),"www.americanretailsupply.com/","")</f>
        <v>64790/Jewelry-Supplies.html</v>
      </c>
      <c r="C208" t="str">
        <f t="shared" si="6"/>
        <v>INSERT INTO url_rewrite (entity_type, entity_id, redirect_type, store_id, request_path, target_path) VALUES ('custom', 0, 301, 1,'64790/Jewelry-Supplies.html',(SELECT CONCAT(url_path, '.html') FROM catalog_category_flat_store_1 WHERE entity_id=802));</v>
      </c>
      <c r="D208" t="str">
        <f t="shared" si="7"/>
        <v>UPDATE url_rewrite SET request_path = '64790/Jewelry-Supplies.html' WHERE entity_type='custom' AND target_path=(SELECT CONCAT(url_path, '.html') FROM catalog_category_flat_store_1 WHERE entity_id=802);</v>
      </c>
    </row>
    <row r="209" spans="1:4" x14ac:dyDescent="0.25">
      <c r="A209">
        <f>categories!B209</f>
        <v>813</v>
      </c>
      <c r="B209" t="str">
        <f>SUBSTITUTE(SUBSTITUTE(categories!H209,"\","/"),"www.americanretailsupply.com/","")</f>
        <v>64793/Jewelry-Trays--Inserts.html</v>
      </c>
      <c r="C209" t="str">
        <f t="shared" si="6"/>
        <v>INSERT INTO url_rewrite (entity_type, entity_id, redirect_type, store_id, request_path, target_path) VALUES ('custom', 0, 301, 1,'64793/Jewelry-Trays--Inserts.html',(SELECT CONCAT(url_path, '.html') FROM catalog_category_flat_store_1 WHERE entity_id=813));</v>
      </c>
      <c r="D209" t="str">
        <f t="shared" si="7"/>
        <v>UPDATE url_rewrite SET request_path = '64793/Jewelry-Trays--Inserts.html' WHERE entity_type='custom' AND target_path=(SELECT CONCAT(url_path, '.html') FROM catalog_category_flat_store_1 WHERE entity_id=813);</v>
      </c>
    </row>
    <row r="210" spans="1:4" x14ac:dyDescent="0.25">
      <c r="A210">
        <f>categories!B210</f>
        <v>860</v>
      </c>
      <c r="B210" t="str">
        <f>SUBSTITUTE(SUBSTITUTE(categories!H210,"\","/"),"www.americanretailsupply.com/","")</f>
        <v>64786/Linen-Jewelry-Displays.html</v>
      </c>
      <c r="C210" t="str">
        <f t="shared" si="6"/>
        <v>INSERT INTO url_rewrite (entity_type, entity_id, redirect_type, store_id, request_path, target_path) VALUES ('custom', 0, 301, 1,'64786/Linen-Jewelry-Displays.html',(SELECT CONCAT(url_path, '.html') FROM catalog_category_flat_store_1 WHERE entity_id=860));</v>
      </c>
      <c r="D210" t="str">
        <f t="shared" si="7"/>
        <v>UPDATE url_rewrite SET request_path = '64786/Linen-Jewelry-Displays.html' WHERE entity_type='custom' AND target_path=(SELECT CONCAT(url_path, '.html') FROM catalog_category_flat_store_1 WHERE entity_id=860);</v>
      </c>
    </row>
    <row r="211" spans="1:4" x14ac:dyDescent="0.25">
      <c r="A211">
        <f>categories!B211</f>
        <v>981</v>
      </c>
      <c r="B211" t="str">
        <f>SUBSTITUTE(SUBSTITUTE(categories!H211,"\","/"),"www.americanretailsupply.com/","")</f>
        <v>64787/Necklace--Bracelet-Displays.html</v>
      </c>
      <c r="C211" t="str">
        <f t="shared" si="6"/>
        <v>INSERT INTO url_rewrite (entity_type, entity_id, redirect_type, store_id, request_path, target_path) VALUES ('custom', 0, 301, 1,'64787/Necklace--Bracelet-Displays.html',(SELECT CONCAT(url_path, '.html') FROM catalog_category_flat_store_1 WHERE entity_id=981));</v>
      </c>
      <c r="D211" t="str">
        <f t="shared" si="7"/>
        <v>UPDATE url_rewrite SET request_path = '64787/Necklace--Bracelet-Displays.html' WHERE entity_type='custom' AND target_path=(SELECT CONCAT(url_path, '.html') FROM catalog_category_flat_store_1 WHERE entity_id=981);</v>
      </c>
    </row>
    <row r="212" spans="1:4" x14ac:dyDescent="0.25">
      <c r="A212">
        <f>categories!B212</f>
        <v>1117</v>
      </c>
      <c r="B212" t="str">
        <f>SUBSTITUTE(SUBSTITUTE(categories!H212,"\","/"),"www.americanretailsupply.com/","")</f>
        <v>64795/Ring--Earring-Displays.html</v>
      </c>
      <c r="C212" t="str">
        <f t="shared" si="6"/>
        <v>INSERT INTO url_rewrite (entity_type, entity_id, redirect_type, store_id, request_path, target_path) VALUES ('custom', 0, 301, 1,'64795/Ring--Earring-Displays.html',(SELECT CONCAT(url_path, '.html') FROM catalog_category_flat_store_1 WHERE entity_id=1117));</v>
      </c>
      <c r="D212" t="str">
        <f t="shared" si="7"/>
        <v>UPDATE url_rewrite SET request_path = '64795/Ring--Earring-Displays.html' WHERE entity_type='custom' AND target_path=(SELECT CONCAT(url_path, '.html') FROM catalog_category_flat_store_1 WHERE entity_id=1117);</v>
      </c>
    </row>
    <row r="213" spans="1:4" x14ac:dyDescent="0.25">
      <c r="A213">
        <f>categories!B213</f>
        <v>195</v>
      </c>
      <c r="B213" t="str">
        <f>SUBSTITUTE(SUBSTITUTE(categories!H213,"\","/"),"www.americanretailsupply.com/","")</f>
        <v>65161/Apollo--Athena-Forms.html</v>
      </c>
      <c r="C213" t="str">
        <f t="shared" si="6"/>
        <v>INSERT INTO url_rewrite (entity_type, entity_id, redirect_type, store_id, request_path, target_path) VALUES ('custom', 0, 301, 1,'65161/Apollo--Athena-Forms.html',(SELECT CONCAT(url_path, '.html') FROM catalog_category_flat_store_1 WHERE entity_id=195));</v>
      </c>
      <c r="D213" t="str">
        <f t="shared" si="7"/>
        <v>UPDATE url_rewrite SET request_path = '65161/Apollo--Athena-Forms.html' WHERE entity_type='custom' AND target_path=(SELECT CONCAT(url_path, '.html') FROM catalog_category_flat_store_1 WHERE entity_id=195);</v>
      </c>
    </row>
    <row r="214" spans="1:4" x14ac:dyDescent="0.25">
      <c r="A214">
        <f>categories!B214</f>
        <v>431</v>
      </c>
      <c r="B214" t="str">
        <f>SUBSTITUTE(SUBSTITUTE(categories!H214,"\","/"),"www.americanretailsupply.com/","")</f>
        <v>65154/Costumers.html</v>
      </c>
      <c r="C214" t="str">
        <f t="shared" si="6"/>
        <v>INSERT INTO url_rewrite (entity_type, entity_id, redirect_type, store_id, request_path, target_path) VALUES ('custom', 0, 301, 1,'65154/Costumers.html',(SELECT CONCAT(url_path, '.html') FROM catalog_category_flat_store_1 WHERE entity_id=431));</v>
      </c>
      <c r="D214" t="str">
        <f t="shared" si="7"/>
        <v>UPDATE url_rewrite SET request_path = '65154/Costumers.html' WHERE entity_type='custom' AND target_path=(SELECT CONCAT(url_path, '.html') FROM catalog_category_flat_store_1 WHERE entity_id=431);</v>
      </c>
    </row>
    <row r="215" spans="1:4" x14ac:dyDescent="0.25">
      <c r="A215">
        <f>categories!B215</f>
        <v>449</v>
      </c>
      <c r="B215" t="str">
        <f>SUBSTITUTE(SUBSTITUTE(categories!H215,"\","/"),"www.americanretailsupply.com/","")</f>
        <v>65156/Crystalline-Series-Mannequins.html</v>
      </c>
      <c r="C215" t="str">
        <f t="shared" si="6"/>
        <v>INSERT INTO url_rewrite (entity_type, entity_id, redirect_type, store_id, request_path, target_path) VALUES ('custom', 0, 301, 1,'65156/Crystalline-Series-Mannequins.html',(SELECT CONCAT(url_path, '.html') FROM catalog_category_flat_store_1 WHERE entity_id=449));</v>
      </c>
      <c r="D215" t="str">
        <f t="shared" si="7"/>
        <v>UPDATE url_rewrite SET request_path = '65156/Crystalline-Series-Mannequins.html' WHERE entity_type='custom' AND target_path=(SELECT CONCAT(url_path, '.html') FROM catalog_category_flat_store_1 WHERE entity_id=449);</v>
      </c>
    </row>
    <row r="216" spans="1:4" x14ac:dyDescent="0.25">
      <c r="A216">
        <f>categories!B216</f>
        <v>702</v>
      </c>
      <c r="B216" t="str">
        <f>SUBSTITUTE(SUBSTITUTE(categories!H216,"\","/"),"www.americanretailsupply.com/","")</f>
        <v>65166/Head-Forms.html</v>
      </c>
      <c r="C216" t="str">
        <f t="shared" si="6"/>
        <v>INSERT INTO url_rewrite (entity_type, entity_id, redirect_type, store_id, request_path, target_path) VALUES ('custom', 0, 301, 1,'65166/Head-Forms.html',(SELECT CONCAT(url_path, '.html') FROM catalog_category_flat_store_1 WHERE entity_id=702));</v>
      </c>
      <c r="D216" t="str">
        <f t="shared" si="7"/>
        <v>UPDATE url_rewrite SET request_path = '65166/Head-Forms.html' WHERE entity_type='custom' AND target_path=(SELECT CONCAT(url_path, '.html') FROM catalog_category_flat_store_1 WHERE entity_id=702);</v>
      </c>
    </row>
    <row r="217" spans="1:4" x14ac:dyDescent="0.25">
      <c r="A217">
        <f>categories!B217</f>
        <v>748</v>
      </c>
      <c r="B217" t="str">
        <f>SUBSTITUTE(SUBSTITUTE(categories!H217,"\","/"),"www.americanretailsupply.com/","")</f>
        <v>65167/Hosiery--Sock-Displays.html</v>
      </c>
      <c r="C217" t="str">
        <f t="shared" si="6"/>
        <v>INSERT INTO url_rewrite (entity_type, entity_id, redirect_type, store_id, request_path, target_path) VALUES ('custom', 0, 301, 1,'65167/Hosiery--Sock-Displays.html',(SELECT CONCAT(url_path, '.html') FROM catalog_category_flat_store_1 WHERE entity_id=748));</v>
      </c>
      <c r="D217" t="str">
        <f t="shared" si="7"/>
        <v>UPDATE url_rewrite SET request_path = '65167/Hosiery--Sock-Displays.html' WHERE entity_type='custom' AND target_path=(SELECT CONCAT(url_path, '.html') FROM catalog_category_flat_store_1 WHERE entity_id=748);</v>
      </c>
    </row>
    <row r="218" spans="1:4" x14ac:dyDescent="0.25">
      <c r="A218">
        <f>categories!B218</f>
        <v>830</v>
      </c>
      <c r="B218" t="str">
        <f>SUBSTITUTE(SUBSTITUTE(categories!H218,"\","/"),"www.americanretailsupply.com/","")</f>
        <v>65164/Kidz-Klub-Mannequins.html</v>
      </c>
      <c r="C218" t="str">
        <f t="shared" si="6"/>
        <v>INSERT INTO url_rewrite (entity_type, entity_id, redirect_type, store_id, request_path, target_path) VALUES ('custom', 0, 301, 1,'65164/Kidz-Klub-Mannequins.html',(SELECT CONCAT(url_path, '.html') FROM catalog_category_flat_store_1 WHERE entity_id=830));</v>
      </c>
      <c r="D218" t="str">
        <f t="shared" si="7"/>
        <v>UPDATE url_rewrite SET request_path = '65164/Kidz-Klub-Mannequins.html' WHERE entity_type='custom' AND target_path=(SELECT CONCAT(url_path, '.html') FROM catalog_category_flat_store_1 WHERE entity_id=830);</v>
      </c>
    </row>
    <row r="219" spans="1:4" x14ac:dyDescent="0.25">
      <c r="A219">
        <f>categories!B219</f>
        <v>959</v>
      </c>
      <c r="B219" t="str">
        <f>SUBSTITUTE(SUBSTITUTE(categories!H219,"\","/"),"www.americanretailsupply.com/","")</f>
        <v>65153/Molded-Forms.html</v>
      </c>
      <c r="C219" t="str">
        <f t="shared" si="6"/>
        <v>INSERT INTO url_rewrite (entity_type, entity_id, redirect_type, store_id, request_path, target_path) VALUES ('custom', 0, 301, 1,'65153/Molded-Forms.html',(SELECT CONCAT(url_path, '.html') FROM catalog_category_flat_store_1 WHERE entity_id=959));</v>
      </c>
      <c r="D219" t="str">
        <f t="shared" si="7"/>
        <v>UPDATE url_rewrite SET request_path = '65153/Molded-Forms.html' WHERE entity_type='custom' AND target_path=(SELECT CONCAT(url_path, '.html') FROM catalog_category_flat_store_1 WHERE entity_id=959);</v>
      </c>
    </row>
    <row r="220" spans="1:4" x14ac:dyDescent="0.25">
      <c r="A220">
        <f>categories!B220</f>
        <v>1127</v>
      </c>
      <c r="B220" t="str">
        <f>SUBSTITUTE(SUBSTITUTE(categories!H220,"\","/"),"www.americanretailsupply.com/","")</f>
        <v>65158/Rudy--Judy-Mannequins.html</v>
      </c>
      <c r="C220" t="str">
        <f t="shared" si="6"/>
        <v>INSERT INTO url_rewrite (entity_type, entity_id, redirect_type, store_id, request_path, target_path) VALUES ('custom', 0, 301, 1,'65158/Rudy--Judy-Mannequins.html',(SELECT CONCAT(url_path, '.html') FROM catalog_category_flat_store_1 WHERE entity_id=1127));</v>
      </c>
      <c r="D220" t="str">
        <f t="shared" si="7"/>
        <v>UPDATE url_rewrite SET request_path = '65158/Rudy--Judy-Mannequins.html' WHERE entity_type='custom' AND target_path=(SELECT CONCAT(url_path, '.html') FROM catalog_category_flat_store_1 WHERE entity_id=1127);</v>
      </c>
    </row>
    <row r="221" spans="1:4" x14ac:dyDescent="0.25">
      <c r="A221">
        <f>categories!B221</f>
        <v>1243</v>
      </c>
      <c r="B221" t="str">
        <f>SUBSTITUTE(SUBSTITUTE(categories!H221,"\","/"),"www.americanretailsupply.com/","")</f>
        <v>65152/Suit-Dress-Forms.html</v>
      </c>
      <c r="C221" t="str">
        <f t="shared" si="6"/>
        <v>INSERT INTO url_rewrite (entity_type, entity_id, redirect_type, store_id, request_path, target_path) VALUES ('custom', 0, 301, 1,'65152/Suit-Dress-Forms.html',(SELECT CONCAT(url_path, '.html') FROM catalog_category_flat_store_1 WHERE entity_id=1243));</v>
      </c>
      <c r="D221" t="str">
        <f t="shared" si="7"/>
        <v>UPDATE url_rewrite SET request_path = '65152/Suit-Dress-Forms.html' WHERE entity_type='custom' AND target_path=(SELECT CONCAT(url_path, '.html') FROM catalog_category_flat_store_1 WHERE entity_id=1243);</v>
      </c>
    </row>
    <row r="222" spans="1:4" x14ac:dyDescent="0.25">
      <c r="A222">
        <f>categories!B222</f>
        <v>1319</v>
      </c>
      <c r="B222" t="str">
        <f>SUBSTITUTE(SUBSTITUTE(categories!H222,"\","/"),"www.americanretailsupply.com/","")</f>
        <v>65155/Unbreakable-Forms.html</v>
      </c>
      <c r="C222" t="str">
        <f t="shared" si="6"/>
        <v>INSERT INTO url_rewrite (entity_type, entity_id, redirect_type, store_id, request_path, target_path) VALUES ('custom', 0, 301, 1,'65155/Unbreakable-Forms.html',(SELECT CONCAT(url_path, '.html') FROM catalog_category_flat_store_1 WHERE entity_id=1319));</v>
      </c>
      <c r="D222" t="str">
        <f t="shared" si="7"/>
        <v>UPDATE url_rewrite SET request_path = '65155/Unbreakable-Forms.html' WHERE entity_type='custom' AND target_path=(SELECT CONCAT(url_path, '.html') FROM catalog_category_flat_store_1 WHERE entity_id=1319);</v>
      </c>
    </row>
    <row r="223" spans="1:4" x14ac:dyDescent="0.25">
      <c r="A223">
        <f>categories!B223</f>
        <v>194</v>
      </c>
      <c r="B223" t="str">
        <f>SUBSTITUTE(SUBSTITUTE(categories!H223,"\","/"),"www.americanretailsupply.com/","")</f>
        <v>65151/Mannequins.html</v>
      </c>
      <c r="C223" t="str">
        <f t="shared" si="6"/>
        <v>INSERT INTO url_rewrite (entity_type, entity_id, redirect_type, store_id, request_path, target_path) VALUES ('custom', 0, 301, 1,'65151/Mannequins.html',(SELECT CONCAT(url_path, '.html') FROM catalog_category_flat_store_1 WHERE entity_id=194));</v>
      </c>
      <c r="D223" t="str">
        <f t="shared" si="7"/>
        <v>UPDATE url_rewrite SET request_path = '65151/Mannequins.html' WHERE entity_type='custom' AND target_path=(SELECT CONCAT(url_path, '.html') FROM catalog_category_flat_store_1 WHERE entity_id=194);</v>
      </c>
    </row>
    <row r="224" spans="1:4" x14ac:dyDescent="0.25">
      <c r="A224">
        <f>categories!B224</f>
        <v>917</v>
      </c>
      <c r="B224" t="str">
        <f>SUBSTITUTE(SUBSTITUTE(categories!H224,"\","/"),"www.americanretailsupply.com/","")</f>
        <v>64826/Mini-Grid.html</v>
      </c>
      <c r="C224" t="str">
        <f t="shared" si="6"/>
        <v>INSERT INTO url_rewrite (entity_type, entity_id, redirect_type, store_id, request_path, target_path) VALUES ('custom', 0, 301, 1,'64826/Mini-Grid.html',(SELECT CONCAT(url_path, '.html') FROM catalog_category_flat_store_1 WHERE entity_id=917));</v>
      </c>
      <c r="D224" t="str">
        <f t="shared" si="7"/>
        <v>UPDATE url_rewrite SET request_path = '64826/Mini-Grid.html' WHERE entity_type='custom' AND target_path=(SELECT CONCAT(url_path, '.html') FROM catalog_category_flat_store_1 WHERE entity_id=917);</v>
      </c>
    </row>
    <row r="225" spans="1:4" x14ac:dyDescent="0.25">
      <c r="A225">
        <f>categories!B225</f>
        <v>953</v>
      </c>
      <c r="B225" t="str">
        <f>SUBSTITUTE(SUBSTITUTE(categories!H225,"\","/"),"www.americanretailsupply.com/","")</f>
        <v>65357/Modular-Display-Shelving.html</v>
      </c>
      <c r="C225" t="str">
        <f t="shared" si="6"/>
        <v>INSERT INTO url_rewrite (entity_type, entity_id, redirect_type, store_id, request_path, target_path) VALUES ('custom', 0, 301, 1,'65357/Modular-Display-Shelving.html',(SELECT CONCAT(url_path, '.html') FROM catalog_category_flat_store_1 WHERE entity_id=953));</v>
      </c>
      <c r="D225" t="str">
        <f t="shared" si="7"/>
        <v>UPDATE url_rewrite SET request_path = '65357/Modular-Display-Shelving.html' WHERE entity_type='custom' AND target_path=(SELECT CONCAT(url_path, '.html') FROM catalog_category_flat_store_1 WHERE entity_id=953);</v>
      </c>
    </row>
    <row r="226" spans="1:4" x14ac:dyDescent="0.25">
      <c r="A226">
        <f>categories!B226</f>
        <v>878</v>
      </c>
      <c r="B226" t="str">
        <f>SUBSTITUTE(SUBSTITUTE(categories!H226,"\","/"),"www.americanretailsupply.com/","")</f>
        <v>64816/Melamine--Bullnose-Shelves.html</v>
      </c>
      <c r="C226" t="str">
        <f t="shared" si="6"/>
        <v>INSERT INTO url_rewrite (entity_type, entity_id, redirect_type, store_id, request_path, target_path) VALUES ('custom', 0, 301, 1,'64816/Melamine--Bullnose-Shelves.html',(SELECT CONCAT(url_path, '.html') FROM catalog_category_flat_store_1 WHERE entity_id=878));</v>
      </c>
      <c r="D226" t="str">
        <f t="shared" si="7"/>
        <v>UPDATE url_rewrite SET request_path = '64816/Melamine--Bullnose-Shelves.html' WHERE entity_type='custom' AND target_path=(SELECT CONCAT(url_path, '.html') FROM catalog_category_flat_store_1 WHERE entity_id=878);</v>
      </c>
    </row>
    <row r="227" spans="1:4" x14ac:dyDescent="0.25">
      <c r="A227" t="e">
        <f>categories!B227</f>
        <v>#N/A</v>
      </c>
      <c r="B227" t="str">
        <f>SUBSTITUTE(SUBSTITUTE(categories!H227,"\","/"),"www.americanretailsupply.com/","")</f>
        <v>64812/Tempered-Glass-Shelves.html</v>
      </c>
      <c r="C227" t="e">
        <f t="shared" si="6"/>
        <v>#N/A</v>
      </c>
      <c r="D227" t="e">
        <f t="shared" si="7"/>
        <v>#N/A</v>
      </c>
    </row>
    <row r="228" spans="1:4" x14ac:dyDescent="0.25">
      <c r="A228">
        <f>categories!B228</f>
        <v>1383</v>
      </c>
      <c r="B228" t="str">
        <f>SUBSTITUTE(SUBSTITUTE(categories!H228,"\","/"),"www.americanretailsupply.com/","")</f>
        <v>64814/Wire-Shelves.html</v>
      </c>
      <c r="C228" t="str">
        <f t="shared" si="6"/>
        <v>INSERT INTO url_rewrite (entity_type, entity_id, redirect_type, store_id, request_path, target_path) VALUES ('custom', 0, 301, 1,'64814/Wire-Shelves.html',(SELECT CONCAT(url_path, '.html') FROM catalog_category_flat_store_1 WHERE entity_id=1383));</v>
      </c>
      <c r="D228" t="str">
        <f t="shared" si="7"/>
        <v>UPDATE url_rewrite SET request_path = '64814/Wire-Shelves.html' WHERE entity_type='custom' AND target_path=(SELECT CONCAT(url_path, '.html') FROM catalog_category_flat_store_1 WHERE entity_id=1383);</v>
      </c>
    </row>
    <row r="229" spans="1:4" x14ac:dyDescent="0.25">
      <c r="A229">
        <f>categories!B229</f>
        <v>877</v>
      </c>
      <c r="B229" t="str">
        <f>SUBSTITUTE(SUBSTITUTE(categories!H229,"\","/"),"www.americanretailsupply.com/","")</f>
        <v>64669/Shelves.html</v>
      </c>
      <c r="C229" t="str">
        <f t="shared" si="6"/>
        <v>INSERT INTO url_rewrite (entity_type, entity_id, redirect_type, store_id, request_path, target_path) VALUES ('custom', 0, 301, 1,'64669/Shelves.html',(SELECT CONCAT(url_path, '.html') FROM catalog_category_flat_store_1 WHERE entity_id=877));</v>
      </c>
      <c r="D229" t="str">
        <f t="shared" si="7"/>
        <v>UPDATE url_rewrite SET request_path = '64669/Shelves.html' WHERE entity_type='custom' AND target_path=(SELECT CONCAT(url_path, '.html') FROM catalog_category_flat_store_1 WHERE entity_id=877);</v>
      </c>
    </row>
    <row r="230" spans="1:4" x14ac:dyDescent="0.25">
      <c r="A230">
        <f>categories!B230</f>
        <v>681</v>
      </c>
      <c r="B230" t="str">
        <f>SUBSTITUTE(SUBSTITUTE(categories!H230,"\","/"),"www.americanretailsupply.com/","")</f>
        <v>64831/Hardwood-Showcases.html</v>
      </c>
      <c r="C230" t="str">
        <f t="shared" si="6"/>
        <v>INSERT INTO url_rewrite (entity_type, entity_id, redirect_type, store_id, request_path, target_path) VALUES ('custom', 0, 301, 1,'64831/Hardwood-Showcases.html',(SELECT CONCAT(url_path, '.html') FROM catalog_category_flat_store_1 WHERE entity_id=681));</v>
      </c>
      <c r="D230" t="str">
        <f t="shared" si="7"/>
        <v>UPDATE url_rewrite SET request_path = '64831/Hardwood-Showcases.html' WHERE entity_type='custom' AND target_path=(SELECT CONCAT(url_path, '.html') FROM catalog_category_flat_store_1 WHERE entity_id=681);</v>
      </c>
    </row>
    <row r="231" spans="1:4" x14ac:dyDescent="0.25">
      <c r="A231">
        <f>categories!B231</f>
        <v>715</v>
      </c>
      <c r="B231" t="str">
        <f>SUBSTITUTE(SUBSTITUTE(categories!H231,"\","/"),"www.americanretailsupply.com/","")</f>
        <v>64832/High-Tech-Showcases.html</v>
      </c>
      <c r="C231" t="str">
        <f t="shared" si="6"/>
        <v>INSERT INTO url_rewrite (entity_type, entity_id, redirect_type, store_id, request_path, target_path) VALUES ('custom', 0, 301, 1,'64832/High-Tech-Showcases.html',(SELECT CONCAT(url_path, '.html') FROM catalog_category_flat_store_1 WHERE entity_id=715));</v>
      </c>
      <c r="D231" t="str">
        <f t="shared" si="7"/>
        <v>UPDATE url_rewrite SET request_path = '64832/High-Tech-Showcases.html' WHERE entity_type='custom' AND target_path=(SELECT CONCAT(url_path, '.html') FROM catalog_category_flat_store_1 WHERE entity_id=715);</v>
      </c>
    </row>
    <row r="232" spans="1:4" x14ac:dyDescent="0.25">
      <c r="A232">
        <f>categories!B232</f>
        <v>841</v>
      </c>
      <c r="B232" t="str">
        <f>SUBSTITUTE(SUBSTITUTE(categories!H232,"\","/"),"www.americanretailsupply.com/","")</f>
        <v>64830/LaminateMetal-Showcases.html</v>
      </c>
      <c r="C232" t="str">
        <f t="shared" si="6"/>
        <v>INSERT INTO url_rewrite (entity_type, entity_id, redirect_type, store_id, request_path, target_path) VALUES ('custom', 0, 301, 1,'64830/LaminateMetal-Showcases.html',(SELECT CONCAT(url_path, '.html') FROM catalog_category_flat_store_1 WHERE entity_id=841));</v>
      </c>
      <c r="D232" t="str">
        <f t="shared" si="7"/>
        <v>UPDATE url_rewrite SET request_path = '64830/LaminateMetal-Showcases.html' WHERE entity_type='custom' AND target_path=(SELECT CONCAT(url_path, '.html') FROM catalog_category_flat_store_1 WHERE entity_id=841);</v>
      </c>
    </row>
    <row r="233" spans="1:4" x14ac:dyDescent="0.25">
      <c r="A233">
        <f>categories!B233</f>
        <v>1102</v>
      </c>
      <c r="B233" t="str">
        <f>SUBSTITUTE(SUBSTITUTE(categories!H233,"\","/"),"www.americanretailsupply.com/","")</f>
        <v>64829/Ready-To-Assemble-Showcases.html</v>
      </c>
      <c r="C233" t="str">
        <f t="shared" si="6"/>
        <v>INSERT INTO url_rewrite (entity_type, entity_id, redirect_type, store_id, request_path, target_path) VALUES ('custom', 0, 301, 1,'64829/Ready-To-Assemble-Showcases.html',(SELECT CONCAT(url_path, '.html') FROM catalog_category_flat_store_1 WHERE entity_id=1102));</v>
      </c>
      <c r="D233" t="str">
        <f t="shared" si="7"/>
        <v>UPDATE url_rewrite SET request_path = '64829/Ready-To-Assemble-Showcases.html' WHERE entity_type='custom' AND target_path=(SELECT CONCAT(url_path, '.html') FROM catalog_category_flat_store_1 WHERE entity_id=1102);</v>
      </c>
    </row>
    <row r="234" spans="1:4" x14ac:dyDescent="0.25">
      <c r="A234">
        <f>categories!B234</f>
        <v>680</v>
      </c>
      <c r="B234" t="str">
        <f>SUBSTITUTE(SUBSTITUTE(categories!H234,"\","/"),"www.americanretailsupply.com/","")</f>
        <v>64674/Showcases.html</v>
      </c>
      <c r="C234" t="str">
        <f t="shared" si="6"/>
        <v>INSERT INTO url_rewrite (entity_type, entity_id, redirect_type, store_id, request_path, target_path) VALUES ('custom', 0, 301, 1,'64674/Showcases.html',(SELECT CONCAT(url_path, '.html') FROM catalog_category_flat_store_1 WHERE entity_id=680));</v>
      </c>
      <c r="D234" t="str">
        <f t="shared" si="7"/>
        <v>UPDATE url_rewrite SET request_path = '64674/Showcases.html' WHERE entity_type='custom' AND target_path=(SELECT CONCAT(url_path, '.html') FROM catalog_category_flat_store_1 WHERE entity_id=680);</v>
      </c>
    </row>
    <row r="235" spans="1:4" x14ac:dyDescent="0.25">
      <c r="A235">
        <f>categories!B235</f>
        <v>621</v>
      </c>
      <c r="B235" t="str">
        <f>SUBSTITUTE(SUBSTITUTE(categories!H235,"\","/"),"www.americanretailsupply.com/","")</f>
        <v>64971/Glass-Connectors.html</v>
      </c>
      <c r="C235" t="str">
        <f t="shared" si="6"/>
        <v>INSERT INTO url_rewrite (entity_type, entity_id, redirect_type, store_id, request_path, target_path) VALUES ('custom', 0, 301, 1,'64971/Glass-Connectors.html',(SELECT CONCAT(url_path, '.html') FROM catalog_category_flat_store_1 WHERE entity_id=621));</v>
      </c>
      <c r="D235" t="str">
        <f t="shared" si="7"/>
        <v>UPDATE url_rewrite SET request_path = '64971/Glass-Connectors.html' WHERE entity_type='custom' AND target_path=(SELECT CONCAT(url_path, '.html') FROM catalog_category_flat_store_1 WHERE entity_id=621);</v>
      </c>
    </row>
    <row r="236" spans="1:4" x14ac:dyDescent="0.25">
      <c r="A236">
        <f>categories!B236</f>
        <v>882</v>
      </c>
      <c r="B236" t="str">
        <f>SUBSTITUTE(SUBSTITUTE(categories!H236,"\","/"),"www.americanretailsupply.com/","")</f>
        <v>65208/Melamine-Bases-for-Glass-Displays.html</v>
      </c>
      <c r="C236" t="str">
        <f t="shared" si="6"/>
        <v>INSERT INTO url_rewrite (entity_type, entity_id, redirect_type, store_id, request_path, target_path) VALUES ('custom', 0, 301, 1,'65208/Melamine-Bases-for-Glass-Displays.html',(SELECT CONCAT(url_path, '.html') FROM catalog_category_flat_store_1 WHERE entity_id=882));</v>
      </c>
      <c r="D236" t="str">
        <f t="shared" si="7"/>
        <v>UPDATE url_rewrite SET request_path = '65208/Melamine-Bases-for-Glass-Displays.html' WHERE entity_type='custom' AND target_path=(SELECT CONCAT(url_path, '.html') FROM catalog_category_flat_store_1 WHERE entity_id=882);</v>
      </c>
    </row>
    <row r="237" spans="1:4" x14ac:dyDescent="0.25">
      <c r="A237">
        <f>categories!B237</f>
        <v>1286</v>
      </c>
      <c r="B237" t="str">
        <f>SUBSTITUTE(SUBSTITUTE(categories!H237,"\","/"),"www.americanretailsupply.com/","")</f>
        <v>64766/Tempered-Glass-Tower-Displays.html</v>
      </c>
      <c r="C237" t="str">
        <f t="shared" si="6"/>
        <v>INSERT INTO url_rewrite (entity_type, entity_id, redirect_type, store_id, request_path, target_path) VALUES ('custom', 0, 301, 1,'64766/Tempered-Glass-Tower-Displays.html',(SELECT CONCAT(url_path, '.html') FROM catalog_category_flat_store_1 WHERE entity_id=1286));</v>
      </c>
      <c r="D237" t="str">
        <f t="shared" si="7"/>
        <v>UPDATE url_rewrite SET request_path = '64766/Tempered-Glass-Tower-Displays.html' WHERE entity_type='custom' AND target_path=(SELECT CONCAT(url_path, '.html') FROM catalog_category_flat_store_1 WHERE entity_id=1286);</v>
      </c>
    </row>
    <row r="238" spans="1:4" x14ac:dyDescent="0.25">
      <c r="A238">
        <f>categories!B238</f>
        <v>620</v>
      </c>
      <c r="B238" t="str">
        <f>SUBSTITUTE(SUBSTITUTE(categories!H238,"\","/"),"www.americanretailsupply.com/","")</f>
        <v>64666/Tempered-Glass-Shelves--Displays.html</v>
      </c>
      <c r="C238" t="str">
        <f t="shared" si="6"/>
        <v>INSERT INTO url_rewrite (entity_type, entity_id, redirect_type, store_id, request_path, target_path) VALUES ('custom', 0, 301, 1,'64666/Tempered-Glass-Shelves--Displays.html',(SELECT CONCAT(url_path, '.html') FROM catalog_category_flat_store_1 WHERE entity_id=620));</v>
      </c>
      <c r="D238" t="str">
        <f t="shared" si="7"/>
        <v>UPDATE url_rewrite SET request_path = '64666/Tempered-Glass-Shelves--Displays.html' WHERE entity_type='custom' AND target_path=(SELECT CONCAT(url_path, '.html') FROM catalog_category_flat_store_1 WHERE entity_id=620);</v>
      </c>
    </row>
    <row r="239" spans="1:4" x14ac:dyDescent="0.25">
      <c r="A239">
        <f>categories!B239</f>
        <v>1366</v>
      </c>
      <c r="B239" t="str">
        <f>SUBSTITUTE(SUBSTITUTE(categories!H239,"\","/"),"www.americanretailsupply.com/","")</f>
        <v>64665/Wire--Acylic-Easels.html</v>
      </c>
      <c r="C239" t="str">
        <f t="shared" si="6"/>
        <v>INSERT INTO url_rewrite (entity_type, entity_id, redirect_type, store_id, request_path, target_path) VALUES ('custom', 0, 301, 1,'64665/Wire--Acylic-Easels.html',(SELECT CONCAT(url_path, '.html') FROM catalog_category_flat_store_1 WHERE entity_id=1366));</v>
      </c>
      <c r="D239" t="str">
        <f t="shared" si="7"/>
        <v>UPDATE url_rewrite SET request_path = '64665/Wire--Acylic-Easels.html' WHERE entity_type='custom' AND target_path=(SELECT CONCAT(url_path, '.html') FROM catalog_category_flat_store_1 WHERE entity_id=1366);</v>
      </c>
    </row>
    <row r="240" spans="1:4" x14ac:dyDescent="0.25">
      <c r="A240">
        <f>categories!B240</f>
        <v>68</v>
      </c>
      <c r="B240" t="str">
        <f>SUBSTITUTE(SUBSTITUTE(categories!H240,"\","/"),"www.americanretailsupply.com/","")</f>
        <v>64593/Store-Display-Cases-Racks--Showcases.html</v>
      </c>
      <c r="C240" t="str">
        <f t="shared" si="6"/>
        <v>INSERT INTO url_rewrite (entity_type, entity_id, redirect_type, store_id, request_path, target_path) VALUES ('custom', 0, 301, 1,'64593/Store-Display-Cases-Racks--Showcases.html',(SELECT CONCAT(url_path, '.html') FROM catalog_category_flat_store_1 WHERE entity_id=68));</v>
      </c>
      <c r="D240" t="str">
        <f t="shared" si="7"/>
        <v>UPDATE url_rewrite SET request_path = '64593/Store-Display-Cases-Racks--Showcases.html' WHERE entity_type='custom' AND target_path=(SELECT CONCAT(url_path, '.html') FROM catalog_category_flat_store_1 WHERE entity_id=68);</v>
      </c>
    </row>
    <row r="241" spans="1:4" x14ac:dyDescent="0.25">
      <c r="A241">
        <f>categories!B241</f>
        <v>6</v>
      </c>
      <c r="B241" t="str">
        <f>SUBSTITUTE(SUBSTITUTE(categories!H241,"\","/"),"www.americanretailsupply.com/","")</f>
        <v>64923/1430/1-Line-Monarch-Labelers/Monarch-1110-Pricing-Gun.html</v>
      </c>
      <c r="C241" t="str">
        <f t="shared" si="6"/>
        <v>INSERT INTO url_rewrite (entity_type, entity_id, redirect_type, store_id, request_path, target_path) VALUES ('custom', 0, 301, 1,'64923/1430/1-Line-Monarch-Labelers/Monarch-1110-Pricing-Gun.html',(SELECT CONCAT(url_path, '.html') FROM catalog_category_flat_store_1 WHERE entity_id=6));</v>
      </c>
      <c r="D241" t="str">
        <f t="shared" si="7"/>
        <v>UPDATE url_rewrite SET request_path = '64923/1430/1-Line-Monarch-Labelers/Monarch-1110-Pricing-Gun.html' WHERE entity_type='custom' AND target_path=(SELECT CONCAT(url_path, '.html') FROM catalog_category_flat_store_1 WHERE entity_id=6);</v>
      </c>
    </row>
    <row r="242" spans="1:4" x14ac:dyDescent="0.25">
      <c r="A242">
        <f>categories!B242</f>
        <v>7</v>
      </c>
      <c r="B242" t="str">
        <f>SUBSTITUTE(SUBSTITUTE(categories!H242,"\","/"),"www.americanretailsupply.com/","")</f>
        <v>64923/1561/1-Line-Monarch-Labelers/Monarch-1110-Labels.html</v>
      </c>
      <c r="C242" t="str">
        <f t="shared" si="6"/>
        <v>INSERT INTO url_rewrite (entity_type, entity_id, redirect_type, store_id, request_path, target_path) VALUES ('custom', 0, 301, 1,'64923/1561/1-Line-Monarch-Labelers/Monarch-1110-Labels.html',(SELECT CONCAT(url_path, '.html') FROM catalog_category_flat_store_1 WHERE entity_id=7));</v>
      </c>
      <c r="D242" t="str">
        <f t="shared" si="7"/>
        <v>UPDATE url_rewrite SET request_path = '64923/1561/1-Line-Monarch-Labelers/Monarch-1110-Labels.html' WHERE entity_type='custom' AND target_path=(SELECT CONCAT(url_path, '.html') FROM catalog_category_flat_store_1 WHERE entity_id=7);</v>
      </c>
    </row>
    <row r="243" spans="1:4" x14ac:dyDescent="0.25">
      <c r="A243">
        <f>categories!B243</f>
        <v>8</v>
      </c>
      <c r="B243" t="str">
        <f>SUBSTITUTE(SUBSTITUTE(categories!H243,"\","/"),"www.americanretailsupply.com/","")</f>
        <v>64923/1564/1-Line-Monarch-Labelers/Monarch-1130-Labels.html</v>
      </c>
      <c r="C243" t="str">
        <f t="shared" si="6"/>
        <v>INSERT INTO url_rewrite (entity_type, entity_id, redirect_type, store_id, request_path, target_path) VALUES ('custom', 0, 301, 1,'64923/1564/1-Line-Monarch-Labelers/Monarch-1130-Labels.html',(SELECT CONCAT(url_path, '.html') FROM catalog_category_flat_store_1 WHERE entity_id=8));</v>
      </c>
      <c r="D243" t="str">
        <f t="shared" si="7"/>
        <v>UPDATE url_rewrite SET request_path = '64923/1564/1-Line-Monarch-Labelers/Monarch-1130-Labels.html' WHERE entity_type='custom' AND target_path=(SELECT CONCAT(url_path, '.html') FROM catalog_category_flat_store_1 WHERE entity_id=8);</v>
      </c>
    </row>
    <row r="244" spans="1:4" x14ac:dyDescent="0.25">
      <c r="A244">
        <f>categories!B244</f>
        <v>9</v>
      </c>
      <c r="B244" t="str">
        <f>SUBSTITUTE(SUBSTITUTE(categories!H244,"\","/"),"www.americanretailsupply.com/","")</f>
        <v>64923/1565/1-Line-Monarch-Labelers/Monarch-1131-Labels.html</v>
      </c>
      <c r="C244" t="str">
        <f t="shared" si="6"/>
        <v>INSERT INTO url_rewrite (entity_type, entity_id, redirect_type, store_id, request_path, target_path) VALUES ('custom', 0, 301, 1,'64923/1565/1-Line-Monarch-Labelers/Monarch-1131-Labels.html',(SELECT CONCAT(url_path, '.html') FROM catalog_category_flat_store_1 WHERE entity_id=9));</v>
      </c>
      <c r="D244" t="str">
        <f t="shared" si="7"/>
        <v>UPDATE url_rewrite SET request_path = '64923/1565/1-Line-Monarch-Labelers/Monarch-1131-Labels.html' WHERE entity_type='custom' AND target_path=(SELECT CONCAT(url_path, '.html') FROM catalog_category_flat_store_1 WHERE entity_id=9);</v>
      </c>
    </row>
    <row r="245" spans="1:4" x14ac:dyDescent="0.25">
      <c r="A245">
        <f>categories!B245</f>
        <v>10</v>
      </c>
      <c r="B245" t="str">
        <f>SUBSTITUTE(SUBSTITUTE(categories!H245,"\","/"),"www.americanretailsupply.com/","")</f>
        <v>64923/1569/1-Line-Monarch-Labelers/Monarch-1110-Inkers.html</v>
      </c>
      <c r="C245" t="str">
        <f t="shared" si="6"/>
        <v>INSERT INTO url_rewrite (entity_type, entity_id, redirect_type, store_id, request_path, target_path) VALUES ('custom', 0, 301, 1,'64923/1569/1-Line-Monarch-Labelers/Monarch-1110-Inkers.html',(SELECT CONCAT(url_path, '.html') FROM catalog_category_flat_store_1 WHERE entity_id=10));</v>
      </c>
      <c r="D245" t="str">
        <f t="shared" si="7"/>
        <v>UPDATE url_rewrite SET request_path = '64923/1569/1-Line-Monarch-Labelers/Monarch-1110-Inkers.html' WHERE entity_type='custom' AND target_path=(SELECT CONCAT(url_path, '.html') FROM catalog_category_flat_store_1 WHERE entity_id=10);</v>
      </c>
    </row>
    <row r="246" spans="1:4" x14ac:dyDescent="0.25">
      <c r="A246">
        <f>categories!B246</f>
        <v>11</v>
      </c>
      <c r="B246" t="str">
        <f>SUBSTITUTE(SUBSTITUTE(categories!H246,"\","/"),"www.americanretailsupply.com/","")</f>
        <v>64923/48186/1-Line-Monarch-Labelers/Monarch-1130-Price-Gun.html</v>
      </c>
      <c r="C246" t="str">
        <f t="shared" si="6"/>
        <v>INSERT INTO url_rewrite (entity_type, entity_id, redirect_type, store_id, request_path, target_path) VALUES ('custom', 0, 301, 1,'64923/48186/1-Line-Monarch-Labelers/Monarch-1130-Price-Gun.html',(SELECT CONCAT(url_path, '.html') FROM catalog_category_flat_store_1 WHERE entity_id=11));</v>
      </c>
      <c r="D246" t="str">
        <f t="shared" si="7"/>
        <v>UPDATE url_rewrite SET request_path = '64923/48186/1-Line-Monarch-Labelers/Monarch-1130-Price-Gun.html' WHERE entity_type='custom' AND target_path=(SELECT CONCAT(url_path, '.html') FROM catalog_category_flat_store_1 WHERE entity_id=11);</v>
      </c>
    </row>
    <row r="247" spans="1:4" x14ac:dyDescent="0.25">
      <c r="A247">
        <f>categories!B247</f>
        <v>12</v>
      </c>
      <c r="B247" t="str">
        <f>SUBSTITUTE(SUBSTITUTE(categories!H247,"\","/"),"www.americanretailsupply.com/","")</f>
        <v>64923/48290/1-Line-Monarch-Labelers/Monarch-1130-Series-Inker.html</v>
      </c>
      <c r="C247" t="str">
        <f t="shared" si="6"/>
        <v>INSERT INTO url_rewrite (entity_type, entity_id, redirect_type, store_id, request_path, target_path) VALUES ('custom', 0, 301, 1,'64923/48290/1-Line-Monarch-Labelers/Monarch-1130-Series-Inker.html',(SELECT CONCAT(url_path, '.html') FROM catalog_category_flat_store_1 WHERE entity_id=12));</v>
      </c>
      <c r="D247" t="str">
        <f t="shared" si="7"/>
        <v>UPDATE url_rewrite SET request_path = '64923/48290/1-Line-Monarch-Labelers/Monarch-1130-Series-Inker.html' WHERE entity_type='custom' AND target_path=(SELECT CONCAT(url_path, '.html') FROM catalog_category_flat_store_1 WHERE entity_id=12);</v>
      </c>
    </row>
    <row r="248" spans="1:4" x14ac:dyDescent="0.25">
      <c r="A248">
        <f>categories!B248</f>
        <v>13</v>
      </c>
      <c r="B248" t="str">
        <f>SUBSTITUTE(SUBSTITUTE(categories!H248,"\","/"),"www.americanretailsupply.com/","")</f>
        <v>64923/48328/1-Line-Monarch-Labelers/Monarch-1131-Price-Gun.html</v>
      </c>
      <c r="C248" t="str">
        <f t="shared" si="6"/>
        <v>INSERT INTO url_rewrite (entity_type, entity_id, redirect_type, store_id, request_path, target_path) VALUES ('custom', 0, 301, 1,'64923/48328/1-Line-Monarch-Labelers/Monarch-1131-Price-Gun.html',(SELECT CONCAT(url_path, '.html') FROM catalog_category_flat_store_1 WHERE entity_id=13));</v>
      </c>
      <c r="D248" t="str">
        <f t="shared" si="7"/>
        <v>UPDATE url_rewrite SET request_path = '64923/48328/1-Line-Monarch-Labelers/Monarch-1131-Price-Gun.html' WHERE entity_type='custom' AND target_path=(SELECT CONCAT(url_path, '.html') FROM catalog_category_flat_store_1 WHERE entity_id=13);</v>
      </c>
    </row>
    <row r="249" spans="1:4" x14ac:dyDescent="0.25">
      <c r="A249">
        <f>categories!B249</f>
        <v>15</v>
      </c>
      <c r="B249" t="str">
        <f>SUBSTITUTE(SUBSTITUTE(categories!H249,"\","/"),"www.americanretailsupply.com/","")</f>
        <v>64922/1562/2-Line-Monarch-Labelers/Monarch-1115-Labels.html</v>
      </c>
      <c r="C249" t="str">
        <f t="shared" si="6"/>
        <v>INSERT INTO url_rewrite (entity_type, entity_id, redirect_type, store_id, request_path, target_path) VALUES ('custom', 0, 301, 1,'64922/1562/2-Line-Monarch-Labelers/Monarch-1115-Labels.html',(SELECT CONCAT(url_path, '.html') FROM catalog_category_flat_store_1 WHERE entity_id=15));</v>
      </c>
      <c r="D249" t="str">
        <f t="shared" si="7"/>
        <v>UPDATE url_rewrite SET request_path = '64922/1562/2-Line-Monarch-Labelers/Monarch-1115-Labels.html' WHERE entity_type='custom' AND target_path=(SELECT CONCAT(url_path, '.html') FROM catalog_category_flat_store_1 WHERE entity_id=15);</v>
      </c>
    </row>
    <row r="250" spans="1:4" x14ac:dyDescent="0.25">
      <c r="A250">
        <f>categories!B250</f>
        <v>16</v>
      </c>
      <c r="B250" t="str">
        <f>SUBSTITUTE(SUBSTITUTE(categories!H250,"\","/"),"www.americanretailsupply.com/","")</f>
        <v>64922/1566/2-Line-Monarch-Labelers/Monarch-1135-Labels.html</v>
      </c>
      <c r="C250" t="str">
        <f t="shared" si="6"/>
        <v>INSERT INTO url_rewrite (entity_type, entity_id, redirect_type, store_id, request_path, target_path) VALUES ('custom', 0, 301, 1,'64922/1566/2-Line-Monarch-Labelers/Monarch-1135-Labels.html',(SELECT CONCAT(url_path, '.html') FROM catalog_category_flat_store_1 WHERE entity_id=16));</v>
      </c>
      <c r="D250" t="str">
        <f t="shared" si="7"/>
        <v>UPDATE url_rewrite SET request_path = '64922/1566/2-Line-Monarch-Labelers/Monarch-1135-Labels.html' WHERE entity_type='custom' AND target_path=(SELECT CONCAT(url_path, '.html') FROM catalog_category_flat_store_1 WHERE entity_id=16);</v>
      </c>
    </row>
    <row r="251" spans="1:4" x14ac:dyDescent="0.25">
      <c r="A251">
        <f>categories!B251</f>
        <v>17</v>
      </c>
      <c r="B251" t="str">
        <f>SUBSTITUTE(SUBSTITUTE(categories!H251,"\","/"),"www.americanretailsupply.com/","")</f>
        <v>64922/1567/2-Line-Monarch-Labelers/Monarch-1136-Labels.html</v>
      </c>
      <c r="C251" t="str">
        <f t="shared" si="6"/>
        <v>INSERT INTO url_rewrite (entity_type, entity_id, redirect_type, store_id, request_path, target_path) VALUES ('custom', 0, 301, 1,'64922/1567/2-Line-Monarch-Labelers/Monarch-1136-Labels.html',(SELECT CONCAT(url_path, '.html') FROM catalog_category_flat_store_1 WHERE entity_id=17));</v>
      </c>
      <c r="D251" t="str">
        <f t="shared" si="7"/>
        <v>UPDATE url_rewrite SET request_path = '64922/1567/2-Line-Monarch-Labelers/Monarch-1136-Labels.html' WHERE entity_type='custom' AND target_path=(SELECT CONCAT(url_path, '.html') FROM catalog_category_flat_store_1 WHERE entity_id=17);</v>
      </c>
    </row>
    <row r="252" spans="1:4" x14ac:dyDescent="0.25">
      <c r="A252">
        <f>categories!B252</f>
        <v>18</v>
      </c>
      <c r="B252" t="str">
        <f>SUBSTITUTE(SUBSTITUTE(categories!H252,"\","/"),"www.americanretailsupply.com/","")</f>
        <v>64922/48184/2-Line-Monarch-Labelers/Monarch-1115-Pricing-Gun.html</v>
      </c>
      <c r="C252" t="str">
        <f t="shared" si="6"/>
        <v>INSERT INTO url_rewrite (entity_type, entity_id, redirect_type, store_id, request_path, target_path) VALUES ('custom', 0, 301, 1,'64922/48184/2-Line-Monarch-Labelers/Monarch-1115-Pricing-Gun.html',(SELECT CONCAT(url_path, '.html') FROM catalog_category_flat_store_1 WHERE entity_id=18));</v>
      </c>
      <c r="D252" t="str">
        <f t="shared" si="7"/>
        <v>UPDATE url_rewrite SET request_path = '64922/48184/2-Line-Monarch-Labelers/Monarch-1115-Pricing-Gun.html' WHERE entity_type='custom' AND target_path=(SELECT CONCAT(url_path, '.html') FROM catalog_category_flat_store_1 WHERE entity_id=18);</v>
      </c>
    </row>
    <row r="253" spans="1:4" x14ac:dyDescent="0.25">
      <c r="A253">
        <f>categories!B253</f>
        <v>19</v>
      </c>
      <c r="B253" t="str">
        <f>SUBSTITUTE(SUBSTITUTE(categories!H253,"\","/"),"www.americanretailsupply.com/","")</f>
        <v>64922/48187/2-Line-Monarch-Labelers/Monarch-1135-Price-Gun.html</v>
      </c>
      <c r="C253" t="str">
        <f t="shared" si="6"/>
        <v>INSERT INTO url_rewrite (entity_type, entity_id, redirect_type, store_id, request_path, target_path) VALUES ('custom', 0, 301, 1,'64922/48187/2-Line-Monarch-Labelers/Monarch-1135-Price-Gun.html',(SELECT CONCAT(url_path, '.html') FROM catalog_category_flat_store_1 WHERE entity_id=19));</v>
      </c>
      <c r="D253" t="str">
        <f t="shared" si="7"/>
        <v>UPDATE url_rewrite SET request_path = '64922/48187/2-Line-Monarch-Labelers/Monarch-1135-Price-Gun.html' WHERE entity_type='custom' AND target_path=(SELECT CONCAT(url_path, '.html') FROM catalog_category_flat_store_1 WHERE entity_id=19);</v>
      </c>
    </row>
    <row r="254" spans="1:4" x14ac:dyDescent="0.25">
      <c r="A254">
        <f>categories!B254</f>
        <v>20</v>
      </c>
      <c r="B254" t="str">
        <f>SUBSTITUTE(SUBSTITUTE(categories!H254,"\","/"),"www.americanretailsupply.com/","")</f>
        <v>64922/48188/2-Line-Monarch-Labelers/Monarch-1136-Price-Gun.html</v>
      </c>
      <c r="C254" t="str">
        <f t="shared" si="6"/>
        <v>INSERT INTO url_rewrite (entity_type, entity_id, redirect_type, store_id, request_path, target_path) VALUES ('custom', 0, 301, 1,'64922/48188/2-Line-Monarch-Labelers/Monarch-1136-Price-Gun.html',(SELECT CONCAT(url_path, '.html') FROM catalog_category_flat_store_1 WHERE entity_id=20));</v>
      </c>
      <c r="D254" t="str">
        <f t="shared" si="7"/>
        <v>UPDATE url_rewrite SET request_path = '64922/48188/2-Line-Monarch-Labelers/Monarch-1136-Price-Gun.html' WHERE entity_type='custom' AND target_path=(SELECT CONCAT(url_path, '.html') FROM catalog_category_flat_store_1 WHERE entity_id=20);</v>
      </c>
    </row>
    <row r="255" spans="1:4" x14ac:dyDescent="0.25">
      <c r="A255">
        <f>categories!B255</f>
        <v>21</v>
      </c>
      <c r="B255" t="str">
        <f>SUBSTITUTE(SUBSTITUTE(categories!H255,"\","/"),"www.americanretailsupply.com/","")</f>
        <v>64922/48288/2-Line-Monarch-Labelers/1115-Inker.html</v>
      </c>
      <c r="C255" t="str">
        <f t="shared" si="6"/>
        <v>INSERT INTO url_rewrite (entity_type, entity_id, redirect_type, store_id, request_path, target_path) VALUES ('custom', 0, 301, 1,'64922/48288/2-Line-Monarch-Labelers/1115-Inker.html',(SELECT CONCAT(url_path, '.html') FROM catalog_category_flat_store_1 WHERE entity_id=21));</v>
      </c>
      <c r="D255" t="str">
        <f t="shared" si="7"/>
        <v>UPDATE url_rewrite SET request_path = '64922/48288/2-Line-Monarch-Labelers/1115-Inker.html' WHERE entity_type='custom' AND target_path=(SELECT CONCAT(url_path, '.html') FROM catalog_category_flat_store_1 WHERE entity_id=21);</v>
      </c>
    </row>
    <row r="256" spans="1:4" x14ac:dyDescent="0.25">
      <c r="A256">
        <f>categories!B256</f>
        <v>23</v>
      </c>
      <c r="B256" t="str">
        <f>SUBSTITUTE(SUBSTITUTE(categories!H256,"\","/"),"www.americanretailsupply.com/","")</f>
        <v>64924/1568/3-Line--Promo-Monarch-Labelers/Monarch-1150-Series-Promotional-Labels.html</v>
      </c>
      <c r="C256" t="str">
        <f t="shared" si="6"/>
        <v>INSERT INTO url_rewrite (entity_type, entity_id, redirect_type, store_id, request_path, target_path) VALUES ('custom', 0, 301, 1,'64924/1568/3-Line--Promo-Monarch-Labelers/Monarch-1150-Series-Promotional-Labels.html',(SELECT CONCAT(url_path, '.html') FROM catalog_category_flat_store_1 WHERE entity_id=23));</v>
      </c>
      <c r="D256" t="str">
        <f t="shared" si="7"/>
        <v>UPDATE url_rewrite SET request_path = '64924/1568/3-Line--Promo-Monarch-Labelers/Monarch-1150-Series-Promotional-Labels.html' WHERE entity_type='custom' AND target_path=(SELECT CONCAT(url_path, '.html') FROM catalog_category_flat_store_1 WHERE entity_id=23);</v>
      </c>
    </row>
    <row r="257" spans="1:4" x14ac:dyDescent="0.25">
      <c r="A257">
        <f>categories!B257</f>
        <v>24</v>
      </c>
      <c r="B257" t="str">
        <f>SUBSTITUTE(SUBSTITUTE(categories!H257,"\","/"),"www.americanretailsupply.com/","")</f>
        <v>64924/48189/3-Line--Promo-Monarch-Labelers/Monarch-1151.html</v>
      </c>
      <c r="C257" t="str">
        <f t="shared" si="6"/>
        <v>INSERT INTO url_rewrite (entity_type, entity_id, redirect_type, store_id, request_path, target_path) VALUES ('custom', 0, 301, 1,'64924/48189/3-Line--Promo-Monarch-Labelers/Monarch-1151.html',(SELECT CONCAT(url_path, '.html') FROM catalog_category_flat_store_1 WHERE entity_id=24));</v>
      </c>
      <c r="D257" t="str">
        <f t="shared" si="7"/>
        <v>UPDATE url_rewrite SET request_path = '64924/48189/3-Line--Promo-Monarch-Labelers/Monarch-1151.html' WHERE entity_type='custom' AND target_path=(SELECT CONCAT(url_path, '.html') FROM catalog_category_flat_store_1 WHERE entity_id=24);</v>
      </c>
    </row>
    <row r="258" spans="1:4" x14ac:dyDescent="0.25">
      <c r="A258">
        <f>categories!B258</f>
        <v>25</v>
      </c>
      <c r="B258" t="str">
        <f>SUBSTITUTE(SUBSTITUTE(categories!H258,"\","/"),"www.americanretailsupply.com/","")</f>
        <v>64924/48190/3-Line--Promo-Monarch-Labelers/Monarch-1152.html</v>
      </c>
      <c r="C258" t="str">
        <f t="shared" si="6"/>
        <v>INSERT INTO url_rewrite (entity_type, entity_id, redirect_type, store_id, request_path, target_path) VALUES ('custom', 0, 301, 1,'64924/48190/3-Line--Promo-Monarch-Labelers/Monarch-1152.html',(SELECT CONCAT(url_path, '.html') FROM catalog_category_flat_store_1 WHERE entity_id=25));</v>
      </c>
      <c r="D258" t="str">
        <f t="shared" si="7"/>
        <v>UPDATE url_rewrite SET request_path = '64924/48190/3-Line--Promo-Monarch-Labelers/Monarch-1152.html' WHERE entity_type='custom' AND target_path=(SELECT CONCAT(url_path, '.html') FROM catalog_category_flat_store_1 WHERE entity_id=25);</v>
      </c>
    </row>
    <row r="259" spans="1:4" x14ac:dyDescent="0.25">
      <c r="A259">
        <f>categories!B259</f>
        <v>26</v>
      </c>
      <c r="B259" t="str">
        <f>SUBSTITUTE(SUBSTITUTE(categories!H259,"\","/"),"www.americanretailsupply.com/","")</f>
        <v>64924/48289/3-Line--Promo-Monarch-Labelers/1150-Series-Inker.html</v>
      </c>
      <c r="C259" t="str">
        <f t="shared" ref="C259:C322" si="8">"INSERT INTO url_rewrite (entity_type, entity_id, redirect_type, store_id, request_path, target_path) VALUES ('custom', 0, 301, 1,'"&amp;B259&amp;"',(SELECT CONCAT(url_path, '.html') FROM catalog_category_flat_store_1 WHERE entity_id="&amp;A259&amp;"));"</f>
        <v>INSERT INTO url_rewrite (entity_type, entity_id, redirect_type, store_id, request_path, target_path) VALUES ('custom', 0, 301, 1,'64924/48289/3-Line--Promo-Monarch-Labelers/1150-Series-Inker.html',(SELECT CONCAT(url_path, '.html') FROM catalog_category_flat_store_1 WHERE entity_id=26));</v>
      </c>
      <c r="D259" t="str">
        <f t="shared" ref="D259:D322" si="9">"UPDATE url_rewrite SET request_path = '"&amp;B259&amp;"' WHERE entity_type='custom' AND target_path=(SELECT CONCAT(url_path, '.html') FROM catalog_category_flat_store_1 WHERE entity_id="&amp;A259&amp;");"</f>
        <v>UPDATE url_rewrite SET request_path = '64924/48289/3-Line--Promo-Monarch-Labelers/1150-Series-Inker.html' WHERE entity_type='custom' AND target_path=(SELECT CONCAT(url_path, '.html') FROM catalog_category_flat_store_1 WHERE entity_id=26);</v>
      </c>
    </row>
    <row r="260" spans="1:4" x14ac:dyDescent="0.25">
      <c r="A260">
        <f>categories!B260</f>
        <v>27</v>
      </c>
      <c r="B260" t="str">
        <f>SUBSTITUTE(SUBSTITUTE(categories!H260,"\","/"),"www.americanretailsupply.com/","")</f>
        <v>64924/173754/3-Line--Promo-Monarch-Labelers/Monarch-1153-Labeler.html</v>
      </c>
      <c r="C260" t="str">
        <f t="shared" si="8"/>
        <v>INSERT INTO url_rewrite (entity_type, entity_id, redirect_type, store_id, request_path, target_path) VALUES ('custom', 0, 301, 1,'64924/173754/3-Line--Promo-Monarch-Labelers/Monarch-1153-Labeler.html',(SELECT CONCAT(url_path, '.html') FROM catalog_category_flat_store_1 WHERE entity_id=27));</v>
      </c>
      <c r="D260" t="str">
        <f t="shared" si="9"/>
        <v>UPDATE url_rewrite SET request_path = '64924/173754/3-Line--Promo-Monarch-Labelers/Monarch-1153-Labeler.html' WHERE entity_type='custom' AND target_path=(SELECT CONCAT(url_path, '.html') FROM catalog_category_flat_store_1 WHERE entity_id=27);</v>
      </c>
    </row>
    <row r="261" spans="1:4" x14ac:dyDescent="0.25">
      <c r="A261">
        <f>categories!B261</f>
        <v>28</v>
      </c>
      <c r="B261" t="str">
        <f>SUBSTITUTE(SUBSTITUTE(categories!H261,"\","/"),"www.americanretailsupply.com/","")</f>
        <v>64924/173755/3-Line--Promo-Monarch-Labelers/Monarch-1153-Labels.html</v>
      </c>
      <c r="C261" t="str">
        <f t="shared" si="8"/>
        <v>INSERT INTO url_rewrite (entity_type, entity_id, redirect_type, store_id, request_path, target_path) VALUES ('custom', 0, 301, 1,'64924/173755/3-Line--Promo-Monarch-Labelers/Monarch-1153-Labels.html',(SELECT CONCAT(url_path, '.html') FROM catalog_category_flat_store_1 WHERE entity_id=28));</v>
      </c>
      <c r="D261" t="str">
        <f t="shared" si="9"/>
        <v>UPDATE url_rewrite SET request_path = '64924/173755/3-Line--Promo-Monarch-Labelers/Monarch-1153-Labels.html' WHERE entity_type='custom' AND target_path=(SELECT CONCAT(url_path, '.html') FROM catalog_category_flat_store_1 WHERE entity_id=28);</v>
      </c>
    </row>
    <row r="262" spans="1:4" x14ac:dyDescent="0.25">
      <c r="A262">
        <f>categories!B262</f>
        <v>32</v>
      </c>
      <c r="B262" t="str">
        <f>SUBSTITUTE(SUBSTITUTE(categories!H262,"\","/"),"www.americanretailsupply.com/","")</f>
        <v>65349/785448/3D-Textured-Slatwall/Heavy-Metal-Textured-Slatwall.html</v>
      </c>
      <c r="C262" t="str">
        <f t="shared" si="8"/>
        <v>INSERT INTO url_rewrite (entity_type, entity_id, redirect_type, store_id, request_path, target_path) VALUES ('custom', 0, 301, 1,'65349/785448/3D-Textured-Slatwall/Heavy-Metal-Textured-Slatwall.html',(SELECT CONCAT(url_path, '.html') FROM catalog_category_flat_store_1 WHERE entity_id=32));</v>
      </c>
      <c r="D262" t="str">
        <f t="shared" si="9"/>
        <v>UPDATE url_rewrite SET request_path = '65349/785448/3D-Textured-Slatwall/Heavy-Metal-Textured-Slatwall.html' WHERE entity_type='custom' AND target_path=(SELECT CONCAT(url_path, '.html') FROM catalog_category_flat_store_1 WHERE entity_id=32);</v>
      </c>
    </row>
    <row r="263" spans="1:4" x14ac:dyDescent="0.25">
      <c r="A263">
        <f>categories!B263</f>
        <v>33</v>
      </c>
      <c r="B263" t="str">
        <f>SUBSTITUTE(SUBSTITUTE(categories!H263,"\","/"),"www.americanretailsupply.com/","")</f>
        <v>65349/785681/3D-Textured-Slatwall/Bricks-Textured-Slatwall.html</v>
      </c>
      <c r="C263" t="str">
        <f t="shared" si="8"/>
        <v>INSERT INTO url_rewrite (entity_type, entity_id, redirect_type, store_id, request_path, target_path) VALUES ('custom', 0, 301, 1,'65349/785681/3D-Textured-Slatwall/Bricks-Textured-Slatwall.html',(SELECT CONCAT(url_path, '.html') FROM catalog_category_flat_store_1 WHERE entity_id=33));</v>
      </c>
      <c r="D263" t="str">
        <f t="shared" si="9"/>
        <v>UPDATE url_rewrite SET request_path = '65349/785681/3D-Textured-Slatwall/Bricks-Textured-Slatwall.html' WHERE entity_type='custom' AND target_path=(SELECT CONCAT(url_path, '.html') FROM catalog_category_flat_store_1 WHERE entity_id=33);</v>
      </c>
    </row>
    <row r="264" spans="1:4" x14ac:dyDescent="0.25">
      <c r="A264">
        <f>categories!B264</f>
        <v>34</v>
      </c>
      <c r="B264" t="str">
        <f>SUBSTITUTE(SUBSTITUTE(categories!H264,"\","/"),"www.americanretailsupply.com/","")</f>
        <v>65349/785682/3D-Textured-Slatwall/Blocks-Textured-Slatwall.html</v>
      </c>
      <c r="C264" t="str">
        <f t="shared" si="8"/>
        <v>INSERT INTO url_rewrite (entity_type, entity_id, redirect_type, store_id, request_path, target_path) VALUES ('custom', 0, 301, 1,'65349/785682/3D-Textured-Slatwall/Blocks-Textured-Slatwall.html',(SELECT CONCAT(url_path, '.html') FROM catalog_category_flat_store_1 WHERE entity_id=34));</v>
      </c>
      <c r="D264" t="str">
        <f t="shared" si="9"/>
        <v>UPDATE url_rewrite SET request_path = '65349/785682/3D-Textured-Slatwall/Blocks-Textured-Slatwall.html' WHERE entity_type='custom' AND target_path=(SELECT CONCAT(url_path, '.html') FROM catalog_category_flat_store_1 WHERE entity_id=34);</v>
      </c>
    </row>
    <row r="265" spans="1:4" x14ac:dyDescent="0.25">
      <c r="A265">
        <f>categories!B265</f>
        <v>35</v>
      </c>
      <c r="B265" t="str">
        <f>SUBSTITUTE(SUBSTITUTE(categories!H265,"\","/"),"www.americanretailsupply.com/","")</f>
        <v>65349/786852/3D-Textured-Slatwall/Barnwood-Textured-Slatwall.html</v>
      </c>
      <c r="C265" t="str">
        <f t="shared" si="8"/>
        <v>INSERT INTO url_rewrite (entity_type, entity_id, redirect_type, store_id, request_path, target_path) VALUES ('custom', 0, 301, 1,'65349/786852/3D-Textured-Slatwall/Barnwood-Textured-Slatwall.html',(SELECT CONCAT(url_path, '.html') FROM catalog_category_flat_store_1 WHERE entity_id=35));</v>
      </c>
      <c r="D265" t="str">
        <f t="shared" si="9"/>
        <v>UPDATE url_rewrite SET request_path = '65349/786852/3D-Textured-Slatwall/Barnwood-Textured-Slatwall.html' WHERE entity_type='custom' AND target_path=(SELECT CONCAT(url_path, '.html') FROM catalog_category_flat_store_1 WHERE entity_id=35);</v>
      </c>
    </row>
    <row r="266" spans="1:4" x14ac:dyDescent="0.25">
      <c r="A266">
        <f>categories!B266</f>
        <v>36</v>
      </c>
      <c r="B266" t="str">
        <f>SUBSTITUTE(SUBSTITUTE(categories!H266,"\","/"),"www.americanretailsupply.com/","")</f>
        <v>65349/786894/3D-Textured-Slatwall/Linear-Wave-Textured-Slatwall.html</v>
      </c>
      <c r="C266" t="str">
        <f t="shared" si="8"/>
        <v>INSERT INTO url_rewrite (entity_type, entity_id, redirect_type, store_id, request_path, target_path) VALUES ('custom', 0, 301, 1,'65349/786894/3D-Textured-Slatwall/Linear-Wave-Textured-Slatwall.html',(SELECT CONCAT(url_path, '.html') FROM catalog_category_flat_store_1 WHERE entity_id=36));</v>
      </c>
      <c r="D266" t="str">
        <f t="shared" si="9"/>
        <v>UPDATE url_rewrite SET request_path = '65349/786894/3D-Textured-Slatwall/Linear-Wave-Textured-Slatwall.html' WHERE entity_type='custom' AND target_path=(SELECT CONCAT(url_path, '.html') FROM catalog_category_flat_store_1 WHERE entity_id=36);</v>
      </c>
    </row>
    <row r="267" spans="1:4" x14ac:dyDescent="0.25">
      <c r="A267">
        <f>categories!B267</f>
        <v>37</v>
      </c>
      <c r="B267" t="str">
        <f>SUBSTITUTE(SUBSTITUTE(categories!H267,"\","/"),"www.americanretailsupply.com/","")</f>
        <v>65349/786902/3D-Textured-Slatwall/Subway-Tile-Textured-Slatwall.html</v>
      </c>
      <c r="C267" t="str">
        <f t="shared" si="8"/>
        <v>INSERT INTO url_rewrite (entity_type, entity_id, redirect_type, store_id, request_path, target_path) VALUES ('custom', 0, 301, 1,'65349/786902/3D-Textured-Slatwall/Subway-Tile-Textured-Slatwall.html',(SELECT CONCAT(url_path, '.html') FROM catalog_category_flat_store_1 WHERE entity_id=37));</v>
      </c>
      <c r="D267" t="str">
        <f t="shared" si="9"/>
        <v>UPDATE url_rewrite SET request_path = '65349/786902/3D-Textured-Slatwall/Subway-Tile-Textured-Slatwall.html' WHERE entity_type='custom' AND target_path=(SELECT CONCAT(url_path, '.html') FROM catalog_category_flat_store_1 WHERE entity_id=37);</v>
      </c>
    </row>
    <row r="268" spans="1:4" x14ac:dyDescent="0.25">
      <c r="A268">
        <f>categories!B268</f>
        <v>38</v>
      </c>
      <c r="B268" t="str">
        <f>SUBSTITUTE(SUBSTITUTE(categories!H268,"\","/"),"www.americanretailsupply.com/","")</f>
        <v>65349/786903/3D-Textured-Slatwall/Cement-Textured-Slatwall.html</v>
      </c>
      <c r="C268" t="str">
        <f t="shared" si="8"/>
        <v>INSERT INTO url_rewrite (entity_type, entity_id, redirect_type, store_id, request_path, target_path) VALUES ('custom', 0, 301, 1,'65349/786903/3D-Textured-Slatwall/Cement-Textured-Slatwall.html',(SELECT CONCAT(url_path, '.html') FROM catalog_category_flat_store_1 WHERE entity_id=38));</v>
      </c>
      <c r="D268" t="str">
        <f t="shared" si="9"/>
        <v>UPDATE url_rewrite SET request_path = '65349/786903/3D-Textured-Slatwall/Cement-Textured-Slatwall.html' WHERE entity_type='custom' AND target_path=(SELECT CONCAT(url_path, '.html') FROM catalog_category_flat_store_1 WHERE entity_id=38);</v>
      </c>
    </row>
    <row r="269" spans="1:4" x14ac:dyDescent="0.25">
      <c r="A269">
        <f>categories!B269</f>
        <v>39</v>
      </c>
      <c r="B269" t="str">
        <f>SUBSTITUTE(SUBSTITUTE(categories!H269,"\","/"),"www.americanretailsupply.com/","")</f>
        <v>65349/786904/3D-Textured-Slatwall/Slate-Textured-Slatwall.html</v>
      </c>
      <c r="C269" t="str">
        <f t="shared" si="8"/>
        <v>INSERT INTO url_rewrite (entity_type, entity_id, redirect_type, store_id, request_path, target_path) VALUES ('custom', 0, 301, 1,'65349/786904/3D-Textured-Slatwall/Slate-Textured-Slatwall.html',(SELECT CONCAT(url_path, '.html') FROM catalog_category_flat_store_1 WHERE entity_id=39));</v>
      </c>
      <c r="D269" t="str">
        <f t="shared" si="9"/>
        <v>UPDATE url_rewrite SET request_path = '65349/786904/3D-Textured-Slatwall/Slate-Textured-Slatwall.html' WHERE entity_type='custom' AND target_path=(SELECT CONCAT(url_path, '.html') FROM catalog_category_flat_store_1 WHERE entity_id=39);</v>
      </c>
    </row>
    <row r="270" spans="1:4" x14ac:dyDescent="0.25">
      <c r="A270">
        <f>categories!B270</f>
        <v>40</v>
      </c>
      <c r="B270" t="str">
        <f>SUBSTITUTE(SUBSTITUTE(categories!H270,"\","/"),"www.americanretailsupply.com/","")</f>
        <v>65349/786905/3D-Textured-Slatwall/Wood-Textured-Slatwall.html</v>
      </c>
      <c r="C270" t="str">
        <f t="shared" si="8"/>
        <v>INSERT INTO url_rewrite (entity_type, entity_id, redirect_type, store_id, request_path, target_path) VALUES ('custom', 0, 301, 1,'65349/786905/3D-Textured-Slatwall/Wood-Textured-Slatwall.html',(SELECT CONCAT(url_path, '.html') FROM catalog_category_flat_store_1 WHERE entity_id=40));</v>
      </c>
      <c r="D270" t="str">
        <f t="shared" si="9"/>
        <v>UPDATE url_rewrite SET request_path = '65349/786905/3D-Textured-Slatwall/Wood-Textured-Slatwall.html' WHERE entity_type='custom' AND target_path=(SELECT CONCAT(url_path, '.html') FROM catalog_category_flat_store_1 WHERE entity_id=40);</v>
      </c>
    </row>
    <row r="271" spans="1:4" x14ac:dyDescent="0.25">
      <c r="A271">
        <f>categories!B271</f>
        <v>41</v>
      </c>
      <c r="B271" t="str">
        <f>SUBSTITUTE(SUBSTITUTE(categories!H271,"\","/"),"www.americanretailsupply.com/","")</f>
        <v>65349/786911/3D-Textured-Slatwall/Tire-Tread-Textured-Slatwall.html</v>
      </c>
      <c r="C271" t="str">
        <f t="shared" si="8"/>
        <v>INSERT INTO url_rewrite (entity_type, entity_id, redirect_type, store_id, request_path, target_path) VALUES ('custom', 0, 301, 1,'65349/786911/3D-Textured-Slatwall/Tire-Tread-Textured-Slatwall.html',(SELECT CONCAT(url_path, '.html') FROM catalog_category_flat_store_1 WHERE entity_id=41));</v>
      </c>
      <c r="D271" t="str">
        <f t="shared" si="9"/>
        <v>UPDATE url_rewrite SET request_path = '65349/786911/3D-Textured-Slatwall/Tire-Tread-Textured-Slatwall.html' WHERE entity_type='custom' AND target_path=(SELECT CONCAT(url_path, '.html') FROM catalog_category_flat_store_1 WHERE entity_id=41);</v>
      </c>
    </row>
    <row r="272" spans="1:4" x14ac:dyDescent="0.25">
      <c r="A272">
        <f>categories!B272</f>
        <v>42</v>
      </c>
      <c r="B272" t="str">
        <f>SUBSTITUTE(SUBSTITUTE(categories!H272,"\","/"),"www.americanretailsupply.com/","")</f>
        <v>65349/786912/3D-Textured-Slatwall/Roadway-Textured-Slatwall.html</v>
      </c>
      <c r="C272" t="str">
        <f t="shared" si="8"/>
        <v>INSERT INTO url_rewrite (entity_type, entity_id, redirect_type, store_id, request_path, target_path) VALUES ('custom', 0, 301, 1,'65349/786912/3D-Textured-Slatwall/Roadway-Textured-Slatwall.html',(SELECT CONCAT(url_path, '.html') FROM catalog_category_flat_store_1 WHERE entity_id=42));</v>
      </c>
      <c r="D272" t="str">
        <f t="shared" si="9"/>
        <v>UPDATE url_rewrite SET request_path = '65349/786912/3D-Textured-Slatwall/Roadway-Textured-Slatwall.html' WHERE entity_type='custom' AND target_path=(SELECT CONCAT(url_path, '.html') FROM catalog_category_flat_store_1 WHERE entity_id=42);</v>
      </c>
    </row>
    <row r="273" spans="1:4" x14ac:dyDescent="0.25">
      <c r="A273">
        <f>categories!B273</f>
        <v>43</v>
      </c>
      <c r="B273" t="str">
        <f>SUBSTITUTE(SUBSTITUTE(categories!H273,"\","/"),"www.americanretailsupply.com/","")</f>
        <v>65349/786913/3D-Textured-Slatwall/Weathered-Wood-Textured-Slatwall.html</v>
      </c>
      <c r="C273" t="str">
        <f t="shared" si="8"/>
        <v>INSERT INTO url_rewrite (entity_type, entity_id, redirect_type, store_id, request_path, target_path) VALUES ('custom', 0, 301, 1,'65349/786913/3D-Textured-Slatwall/Weathered-Wood-Textured-Slatwall.html',(SELECT CONCAT(url_path, '.html') FROM catalog_category_flat_store_1 WHERE entity_id=43));</v>
      </c>
      <c r="D273" t="str">
        <f t="shared" si="9"/>
        <v>UPDATE url_rewrite SET request_path = '65349/786913/3D-Textured-Slatwall/Weathered-Wood-Textured-Slatwall.html' WHERE entity_type='custom' AND target_path=(SELECT CONCAT(url_path, '.html') FROM catalog_category_flat_store_1 WHERE entity_id=43);</v>
      </c>
    </row>
    <row r="274" spans="1:4" x14ac:dyDescent="0.25">
      <c r="A274">
        <f>categories!B274</f>
        <v>44</v>
      </c>
      <c r="B274" t="str">
        <f>SUBSTITUTE(SUBSTITUTE(categories!H274,"\","/"),"www.americanretailsupply.com/","")</f>
        <v>65349/786914/3D-Textured-Slatwall/Diamond-Plate-Textured-Slatwall.html</v>
      </c>
      <c r="C274" t="str">
        <f t="shared" si="8"/>
        <v>INSERT INTO url_rewrite (entity_type, entity_id, redirect_type, store_id, request_path, target_path) VALUES ('custom', 0, 301, 1,'65349/786914/3D-Textured-Slatwall/Diamond-Plate-Textured-Slatwall.html',(SELECT CONCAT(url_path, '.html') FROM catalog_category_flat_store_1 WHERE entity_id=44));</v>
      </c>
      <c r="D274" t="str">
        <f t="shared" si="9"/>
        <v>UPDATE url_rewrite SET request_path = '65349/786914/3D-Textured-Slatwall/Diamond-Plate-Textured-Slatwall.html' WHERE entity_type='custom' AND target_path=(SELECT CONCAT(url_path, '.html') FROM catalog_category_flat_store_1 WHERE entity_id=44);</v>
      </c>
    </row>
    <row r="275" spans="1:4" x14ac:dyDescent="0.25">
      <c r="A275">
        <f>categories!B275</f>
        <v>45</v>
      </c>
      <c r="B275" t="str">
        <f>SUBSTITUTE(SUBSTITUTE(categories!H275,"\","/"),"www.americanretailsupply.com/","")</f>
        <v>65349/786915/3D-Textured-Slatwall/Corrugated-Metal-Textured-Slatwall.html</v>
      </c>
      <c r="C275" t="str">
        <f t="shared" si="8"/>
        <v>INSERT INTO url_rewrite (entity_type, entity_id, redirect_type, store_id, request_path, target_path) VALUES ('custom', 0, 301, 1,'65349/786915/3D-Textured-Slatwall/Corrugated-Metal-Textured-Slatwall.html',(SELECT CONCAT(url_path, '.html') FROM catalog_category_flat_store_1 WHERE entity_id=45));</v>
      </c>
      <c r="D275" t="str">
        <f t="shared" si="9"/>
        <v>UPDATE url_rewrite SET request_path = '65349/786915/3D-Textured-Slatwall/Corrugated-Metal-Textured-Slatwall.html' WHERE entity_type='custom' AND target_path=(SELECT CONCAT(url_path, '.html') FROM catalog_category_flat_store_1 WHERE entity_id=45);</v>
      </c>
    </row>
    <row r="276" spans="1:4" x14ac:dyDescent="0.25">
      <c r="A276">
        <f>categories!B276</f>
        <v>46</v>
      </c>
      <c r="B276" t="str">
        <f>SUBSTITUTE(SUBSTITUTE(categories!H276,"\","/"),"www.americanretailsupply.com/","")</f>
        <v>65349/786917/3D-Textured-Slatwall/Weave-Textured-Slatwall.html</v>
      </c>
      <c r="C276" t="str">
        <f t="shared" si="8"/>
        <v>INSERT INTO url_rewrite (entity_type, entity_id, redirect_type, store_id, request_path, target_path) VALUES ('custom', 0, 301, 1,'65349/786917/3D-Textured-Slatwall/Weave-Textured-Slatwall.html',(SELECT CONCAT(url_path, '.html') FROM catalog_category_flat_store_1 WHERE entity_id=46));</v>
      </c>
      <c r="D276" t="str">
        <f t="shared" si="9"/>
        <v>UPDATE url_rewrite SET request_path = '65349/786917/3D-Textured-Slatwall/Weave-Textured-Slatwall.html' WHERE entity_type='custom' AND target_path=(SELECT CONCAT(url_path, '.html') FROM catalog_category_flat_store_1 WHERE entity_id=46);</v>
      </c>
    </row>
    <row r="277" spans="1:4" x14ac:dyDescent="0.25">
      <c r="A277">
        <f>categories!B277</f>
        <v>47</v>
      </c>
      <c r="B277" t="str">
        <f>SUBSTITUTE(SUBSTITUTE(categories!H277,"\","/"),"www.americanretailsupply.com/","")</f>
        <v>65349/787789/3D-Textured-Slatwall/Old-Paint-Textured-Slatwall.html</v>
      </c>
      <c r="C277" t="str">
        <f t="shared" si="8"/>
        <v>INSERT INTO url_rewrite (entity_type, entity_id, redirect_type, store_id, request_path, target_path) VALUES ('custom', 0, 301, 1,'65349/787789/3D-Textured-Slatwall/Old-Paint-Textured-Slatwall.html',(SELECT CONCAT(url_path, '.html') FROM catalog_category_flat_store_1 WHERE entity_id=47));</v>
      </c>
      <c r="D277" t="str">
        <f t="shared" si="9"/>
        <v>UPDATE url_rewrite SET request_path = '65349/787789/3D-Textured-Slatwall/Old-Paint-Textured-Slatwall.html' WHERE entity_type='custom' AND target_path=(SELECT CONCAT(url_path, '.html') FROM catalog_category_flat_store_1 WHERE entity_id=47);</v>
      </c>
    </row>
    <row r="278" spans="1:4" x14ac:dyDescent="0.25">
      <c r="A278">
        <f>categories!B278</f>
        <v>51</v>
      </c>
      <c r="B278" t="str">
        <f>SUBSTITUTE(SUBSTITUTE(categories!H278,"\","/"),"www.americanretailsupply.com/","")</f>
        <v>64993/48337/A-La-Carte-Bags--Boxes/Forest-Green-Collection-Bags--Boxes.html</v>
      </c>
      <c r="C278" t="str">
        <f t="shared" si="8"/>
        <v>INSERT INTO url_rewrite (entity_type, entity_id, redirect_type, store_id, request_path, target_path) VALUES ('custom', 0, 301, 1,'64993/48337/A-La-Carte-Bags--Boxes/Forest-Green-Collection-Bags--Boxes.html',(SELECT CONCAT(url_path, '.html') FROM catalog_category_flat_store_1 WHERE entity_id=51));</v>
      </c>
      <c r="D278" t="str">
        <f t="shared" si="9"/>
        <v>UPDATE url_rewrite SET request_path = '64993/48337/A-La-Carte-Bags--Boxes/Forest-Green-Collection-Bags--Boxes.html' WHERE entity_type='custom' AND target_path=(SELECT CONCAT(url_path, '.html') FROM catalog_category_flat_store_1 WHERE entity_id=51);</v>
      </c>
    </row>
    <row r="279" spans="1:4" x14ac:dyDescent="0.25">
      <c r="A279">
        <f>categories!B279</f>
        <v>52</v>
      </c>
      <c r="B279" t="str">
        <f>SUBSTITUTE(SUBSTITUTE(categories!H279,"\","/"),"www.americanretailsupply.com/","")</f>
        <v>64993/48338/A-La-Carte-Bags--Boxes/Really-Red-Collection-Bags-and-Boxes.html</v>
      </c>
      <c r="C279" t="str">
        <f t="shared" si="8"/>
        <v>INSERT INTO url_rewrite (entity_type, entity_id, redirect_type, store_id, request_path, target_path) VALUES ('custom', 0, 301, 1,'64993/48338/A-La-Carte-Bags--Boxes/Really-Red-Collection-Bags-and-Boxes.html',(SELECT CONCAT(url_path, '.html') FROM catalog_category_flat_store_1 WHERE entity_id=52));</v>
      </c>
      <c r="D279" t="str">
        <f t="shared" si="9"/>
        <v>UPDATE url_rewrite SET request_path = '64993/48338/A-La-Carte-Bags--Boxes/Really-Red-Collection-Bags-and-Boxes.html' WHERE entity_type='custom' AND target_path=(SELECT CONCAT(url_path, '.html') FROM catalog_category_flat_store_1 WHERE entity_id=52);</v>
      </c>
    </row>
    <row r="280" spans="1:4" x14ac:dyDescent="0.25">
      <c r="A280">
        <f>categories!B280</f>
        <v>53</v>
      </c>
      <c r="B280" t="str">
        <f>SUBSTITUTE(SUBSTITUTE(categories!H280,"\","/"),"www.americanretailsupply.com/","")</f>
        <v>64993/48339/A-La-Carte-Bags--Boxes/White-Kraft-Food-Packaging-Bags-and-Boxes.html</v>
      </c>
      <c r="C280" t="str">
        <f t="shared" si="8"/>
        <v>INSERT INTO url_rewrite (entity_type, entity_id, redirect_type, store_id, request_path, target_path) VALUES ('custom', 0, 301, 1,'64993/48339/A-La-Carte-Bags--Boxes/White-Kraft-Food-Packaging-Bags-and-Boxes.html',(SELECT CONCAT(url_path, '.html') FROM catalog_category_flat_store_1 WHERE entity_id=53));</v>
      </c>
      <c r="D280" t="str">
        <f t="shared" si="9"/>
        <v>UPDATE url_rewrite SET request_path = '64993/48339/A-La-Carte-Bags--Boxes/White-Kraft-Food-Packaging-Bags-and-Boxes.html' WHERE entity_type='custom' AND target_path=(SELECT CONCAT(url_path, '.html') FROM catalog_category_flat_store_1 WHERE entity_id=53);</v>
      </c>
    </row>
    <row r="281" spans="1:4" x14ac:dyDescent="0.25">
      <c r="A281">
        <f>categories!B281</f>
        <v>54</v>
      </c>
      <c r="B281" t="str">
        <f>SUBSTITUTE(SUBSTITUTE(categories!H281,"\","/"),"www.americanretailsupply.com/","")</f>
        <v>64993/48341/A-La-Carte-Bags--Boxes/Grape-Collection-Shopping-Bags-and-Boxes.html</v>
      </c>
      <c r="C281" t="str">
        <f t="shared" si="8"/>
        <v>INSERT INTO url_rewrite (entity_type, entity_id, redirect_type, store_id, request_path, target_path) VALUES ('custom', 0, 301, 1,'64993/48341/A-La-Carte-Bags--Boxes/Grape-Collection-Shopping-Bags-and-Boxes.html',(SELECT CONCAT(url_path, '.html') FROM catalog_category_flat_store_1 WHERE entity_id=54));</v>
      </c>
      <c r="D281" t="str">
        <f t="shared" si="9"/>
        <v>UPDATE url_rewrite SET request_path = '64993/48341/A-La-Carte-Bags--Boxes/Grape-Collection-Shopping-Bags-and-Boxes.html' WHERE entity_type='custom' AND target_path=(SELECT CONCAT(url_path, '.html') FROM catalog_category_flat_store_1 WHERE entity_id=54);</v>
      </c>
    </row>
    <row r="282" spans="1:4" x14ac:dyDescent="0.25">
      <c r="A282">
        <f>categories!B282</f>
        <v>55</v>
      </c>
      <c r="B282" t="str">
        <f>SUBSTITUTE(SUBSTITUTE(categories!H282,"\","/"),"www.americanretailsupply.com/","")</f>
        <v>64993/563425/A-La-Carte-Bags--Boxes/Fruit-Bowl-Wine-Packaging-Bags-and-Boxes.html</v>
      </c>
      <c r="C282" t="str">
        <f t="shared" si="8"/>
        <v>INSERT INTO url_rewrite (entity_type, entity_id, redirect_type, store_id, request_path, target_path) VALUES ('custom', 0, 301, 1,'64993/563425/A-La-Carte-Bags--Boxes/Fruit-Bowl-Wine-Packaging-Bags-and-Boxes.html',(SELECT CONCAT(url_path, '.html') FROM catalog_category_flat_store_1 WHERE entity_id=55));</v>
      </c>
      <c r="D282" t="str">
        <f t="shared" si="9"/>
        <v>UPDATE url_rewrite SET request_path = '64993/563425/A-La-Carte-Bags--Boxes/Fruit-Bowl-Wine-Packaging-Bags-and-Boxes.html' WHERE entity_type='custom' AND target_path=(SELECT CONCAT(url_path, '.html') FROM catalog_category_flat_store_1 WHERE entity_id=55);</v>
      </c>
    </row>
    <row r="283" spans="1:4" x14ac:dyDescent="0.25">
      <c r="A283">
        <f>categories!B283</f>
        <v>56</v>
      </c>
      <c r="B283" t="str">
        <f>SUBSTITUTE(SUBSTITUTE(categories!H283,"\","/"),"www.americanretailsupply.com/","")</f>
        <v>64993/563427/A-La-Carte-Bags--Boxes/Natural-Kraft-Wine-Bags-and-Boxes.html</v>
      </c>
      <c r="C283" t="str">
        <f t="shared" si="8"/>
        <v>INSERT INTO url_rewrite (entity_type, entity_id, redirect_type, store_id, request_path, target_path) VALUES ('custom', 0, 301, 1,'64993/563427/A-La-Carte-Bags--Boxes/Natural-Kraft-Wine-Bags-and-Boxes.html',(SELECT CONCAT(url_path, '.html') FROM catalog_category_flat_store_1 WHERE entity_id=56));</v>
      </c>
      <c r="D283" t="str">
        <f t="shared" si="9"/>
        <v>UPDATE url_rewrite SET request_path = '64993/563427/A-La-Carte-Bags--Boxes/Natural-Kraft-Wine-Bags-and-Boxes.html' WHERE entity_type='custom' AND target_path=(SELECT CONCAT(url_path, '.html') FROM catalog_category_flat_store_1 WHERE entity_id=56);</v>
      </c>
    </row>
    <row r="284" spans="1:4" x14ac:dyDescent="0.25">
      <c r="A284">
        <f>categories!B284</f>
        <v>57</v>
      </c>
      <c r="B284" t="str">
        <f>SUBSTITUTE(SUBSTITUTE(categories!H284,"\","/"),"www.americanretailsupply.com/","")</f>
        <v>64993/582199/A-La-Carte-Bags--Boxes/Reusable-Non-Woven-Wine-Totes.html</v>
      </c>
      <c r="C284" t="str">
        <f t="shared" si="8"/>
        <v>INSERT INTO url_rewrite (entity_type, entity_id, redirect_type, store_id, request_path, target_path) VALUES ('custom', 0, 301, 1,'64993/582199/A-La-Carte-Bags--Boxes/Reusable-Non-Woven-Wine-Totes.html',(SELECT CONCAT(url_path, '.html') FROM catalog_category_flat_store_1 WHERE entity_id=57));</v>
      </c>
      <c r="D284" t="str">
        <f t="shared" si="9"/>
        <v>UPDATE url_rewrite SET request_path = '64993/582199/A-La-Carte-Bags--Boxes/Reusable-Non-Woven-Wine-Totes.html' WHERE entity_type='custom' AND target_path=(SELECT CONCAT(url_path, '.html') FROM catalog_category_flat_store_1 WHERE entity_id=57);</v>
      </c>
    </row>
    <row r="285" spans="1:4" x14ac:dyDescent="0.25">
      <c r="A285">
        <f>categories!B285</f>
        <v>58</v>
      </c>
      <c r="B285" t="str">
        <f>SUBSTITUTE(SUBSTITUTE(categories!H285,"\","/"),"www.americanretailsupply.com/","")</f>
        <v>64993/785423/A-La-Carte-Bags--Boxes/Green-Gardens-Collection-Bags-and-Boxes.html</v>
      </c>
      <c r="C285" t="str">
        <f t="shared" si="8"/>
        <v>INSERT INTO url_rewrite (entity_type, entity_id, redirect_type, store_id, request_path, target_path) VALUES ('custom', 0, 301, 1,'64993/785423/A-La-Carte-Bags--Boxes/Green-Gardens-Collection-Bags-and-Boxes.html',(SELECT CONCAT(url_path, '.html') FROM catalog_category_flat_store_1 WHERE entity_id=58));</v>
      </c>
      <c r="D285" t="str">
        <f t="shared" si="9"/>
        <v>UPDATE url_rewrite SET request_path = '64993/785423/A-La-Carte-Bags--Boxes/Green-Gardens-Collection-Bags-and-Boxes.html' WHERE entity_type='custom' AND target_path=(SELECT CONCAT(url_path, '.html') FROM catalog_category_flat_store_1 WHERE entity_id=58);</v>
      </c>
    </row>
    <row r="286" spans="1:4" x14ac:dyDescent="0.25">
      <c r="A286">
        <f>categories!B286</f>
        <v>59</v>
      </c>
      <c r="B286" t="str">
        <f>SUBSTITUTE(SUBSTITUTE(categories!H286,"\","/"),"www.americanretailsupply.com/","")</f>
        <v>64993/785424/A-La-Carte-Bags--Boxes/Market-Fresh-Collection-Bags-and-Boxes.html</v>
      </c>
      <c r="C286" t="str">
        <f t="shared" si="8"/>
        <v>INSERT INTO url_rewrite (entity_type, entity_id, redirect_type, store_id, request_path, target_path) VALUES ('custom', 0, 301, 1,'64993/785424/A-La-Carte-Bags--Boxes/Market-Fresh-Collection-Bags-and-Boxes.html',(SELECT CONCAT(url_path, '.html') FROM catalog_category_flat_store_1 WHERE entity_id=59));</v>
      </c>
      <c r="D286" t="str">
        <f t="shared" si="9"/>
        <v>UPDATE url_rewrite SET request_path = '64993/785424/A-La-Carte-Bags--Boxes/Market-Fresh-Collection-Bags-and-Boxes.html' WHERE entity_type='custom' AND target_path=(SELECT CONCAT(url_path, '.html') FROM catalog_category_flat_store_1 WHERE entity_id=59);</v>
      </c>
    </row>
    <row r="287" spans="1:4" x14ac:dyDescent="0.25">
      <c r="A287">
        <f>categories!B287</f>
        <v>60</v>
      </c>
      <c r="B287" t="str">
        <f>SUBSTITUTE(SUBSTITUTE(categories!H287,"\","/"),"www.americanretailsupply.com/","")</f>
        <v>64993/785425/A-La-Carte-Bags--Boxes/Geo-Trio-Collection-Bags-and-Boxes.html</v>
      </c>
      <c r="C287" t="str">
        <f t="shared" si="8"/>
        <v>INSERT INTO url_rewrite (entity_type, entity_id, redirect_type, store_id, request_path, target_path) VALUES ('custom', 0, 301, 1,'64993/785425/A-La-Carte-Bags--Boxes/Geo-Trio-Collection-Bags-and-Boxes.html',(SELECT CONCAT(url_path, '.html') FROM catalog_category_flat_store_1 WHERE entity_id=60));</v>
      </c>
      <c r="D287" t="str">
        <f t="shared" si="9"/>
        <v>UPDATE url_rewrite SET request_path = '64993/785425/A-La-Carte-Bags--Boxes/Geo-Trio-Collection-Bags-and-Boxes.html' WHERE entity_type='custom' AND target_path=(SELECT CONCAT(url_path, '.html') FROM catalog_category_flat_store_1 WHERE entity_id=60);</v>
      </c>
    </row>
    <row r="288" spans="1:4" x14ac:dyDescent="0.25">
      <c r="A288">
        <f>categories!B288</f>
        <v>61</v>
      </c>
      <c r="B288" t="str">
        <f>SUBSTITUTE(SUBSTITUTE(categories!H288,"\","/"),"www.americanretailsupply.com/","")</f>
        <v>64993/785426/A-La-Carte-Bags--Boxes/Newsprint-Collection-Bags-and-Boxes.html</v>
      </c>
      <c r="C288" t="str">
        <f t="shared" si="8"/>
        <v>INSERT INTO url_rewrite (entity_type, entity_id, redirect_type, store_id, request_path, target_path) VALUES ('custom', 0, 301, 1,'64993/785426/A-La-Carte-Bags--Boxes/Newsprint-Collection-Bags-and-Boxes.html',(SELECT CONCAT(url_path, '.html') FROM catalog_category_flat_store_1 WHERE entity_id=61));</v>
      </c>
      <c r="D288" t="str">
        <f t="shared" si="9"/>
        <v>UPDATE url_rewrite SET request_path = '64993/785426/A-La-Carte-Bags--Boxes/Newsprint-Collection-Bags-and-Boxes.html' WHERE entity_type='custom' AND target_path=(SELECT CONCAT(url_path, '.html') FROM catalog_category_flat_store_1 WHERE entity_id=61);</v>
      </c>
    </row>
    <row r="289" spans="1:4" x14ac:dyDescent="0.25">
      <c r="A289">
        <f>categories!B289</f>
        <v>65</v>
      </c>
      <c r="B289" t="str">
        <f>SUBSTITUTE(SUBSTITUTE(categories!H289,"\","/"),"www.americanretailsupply.com/","")</f>
        <v>65088/785427/A-La-Carte-Bags--Boxes/Beaujolais-Collection-Bags-and-Boxes.html</v>
      </c>
      <c r="C289" t="str">
        <f t="shared" si="8"/>
        <v>INSERT INTO url_rewrite (entity_type, entity_id, redirect_type, store_id, request_path, target_path) VALUES ('custom', 0, 301, 1,'65088/785427/A-La-Carte-Bags--Boxes/Beaujolais-Collection-Bags-and-Boxes.html',(SELECT CONCAT(url_path, '.html') FROM catalog_category_flat_store_1 WHERE entity_id=65));</v>
      </c>
      <c r="D289" t="str">
        <f t="shared" si="9"/>
        <v>UPDATE url_rewrite SET request_path = '65088/785427/A-La-Carte-Bags--Boxes/Beaujolais-Collection-Bags-and-Boxes.html' WHERE entity_type='custom' AND target_path=(SELECT CONCAT(url_path, '.html') FROM catalog_category_flat_store_1 WHERE entity_id=65);</v>
      </c>
    </row>
    <row r="290" spans="1:4" x14ac:dyDescent="0.25">
      <c r="A290">
        <f>categories!B290</f>
        <v>66</v>
      </c>
      <c r="B290" t="str">
        <f>SUBSTITUTE(SUBSTITUTE(categories!H290,"\","/"),"www.americanretailsupply.com/","")</f>
        <v>64993/785428/A-La-Carte-Bags--Boxes/Noir-Collection-Bags-and-Boxes.html</v>
      </c>
      <c r="C290" t="str">
        <f t="shared" si="8"/>
        <v>INSERT INTO url_rewrite (entity_type, entity_id, redirect_type, store_id, request_path, target_path) VALUES ('custom', 0, 301, 1,'64993/785428/A-La-Carte-Bags--Boxes/Noir-Collection-Bags-and-Boxes.html',(SELECT CONCAT(url_path, '.html') FROM catalog_category_flat_store_1 WHERE entity_id=66));</v>
      </c>
      <c r="D290" t="str">
        <f t="shared" si="9"/>
        <v>UPDATE url_rewrite SET request_path = '64993/785428/A-La-Carte-Bags--Boxes/Noir-Collection-Bags-and-Boxes.html' WHERE entity_type='custom' AND target_path=(SELECT CONCAT(url_path, '.html') FROM catalog_category_flat_store_1 WHERE entity_id=66);</v>
      </c>
    </row>
    <row r="291" spans="1:4" x14ac:dyDescent="0.25">
      <c r="A291">
        <f>categories!B291</f>
        <v>67</v>
      </c>
      <c r="B291" t="str">
        <f>SUBSTITUTE(SUBSTITUTE(categories!H291,"\","/"),"www.americanretailsupply.com/","")</f>
        <v>64993/785446/A-La-Carte-Bags--Boxes/Leaves--Berries-on-Kraft.html</v>
      </c>
      <c r="C291" t="str">
        <f t="shared" si="8"/>
        <v>INSERT INTO url_rewrite (entity_type, entity_id, redirect_type, store_id, request_path, target_path) VALUES ('custom', 0, 301, 1,'64993/785446/A-La-Carte-Bags--Boxes/Leaves--Berries-on-Kraft.html',(SELECT CONCAT(url_path, '.html') FROM catalog_category_flat_store_1 WHERE entity_id=67));</v>
      </c>
      <c r="D291" t="str">
        <f t="shared" si="9"/>
        <v>UPDATE url_rewrite SET request_path = '64993/785446/A-La-Carte-Bags--Boxes/Leaves--Berries-on-Kraft.html' WHERE entity_type='custom' AND target_path=(SELECT CONCAT(url_path, '.html') FROM catalog_category_flat_store_1 WHERE entity_id=67);</v>
      </c>
    </row>
    <row r="292" spans="1:4" x14ac:dyDescent="0.25">
      <c r="A292">
        <f>categories!B292</f>
        <v>71</v>
      </c>
      <c r="B292" t="str">
        <f>SUBSTITUTE(SUBSTITUTE(categories!H292,"\","/"),"www.americanretailsupply.com/","")</f>
        <v>64770/2082/Acrylic-Bins-Trays-Easels/Acrylic-Mini-Easel.html</v>
      </c>
      <c r="C292" t="str">
        <f t="shared" si="8"/>
        <v>INSERT INTO url_rewrite (entity_type, entity_id, redirect_type, store_id, request_path, target_path) VALUES ('custom', 0, 301, 1,'64770/2082/Acrylic-Bins-Trays-Easels/Acrylic-Mini-Easel.html',(SELECT CONCAT(url_path, '.html') FROM catalog_category_flat_store_1 WHERE entity_id=71));</v>
      </c>
      <c r="D292" t="str">
        <f t="shared" si="9"/>
        <v>UPDATE url_rewrite SET request_path = '64770/2082/Acrylic-Bins-Trays-Easels/Acrylic-Mini-Easel.html' WHERE entity_type='custom' AND target_path=(SELECT CONCAT(url_path, '.html') FROM catalog_category_flat_store_1 WHERE entity_id=71);</v>
      </c>
    </row>
    <row r="293" spans="1:4" x14ac:dyDescent="0.25">
      <c r="A293">
        <f>categories!B293</f>
        <v>72</v>
      </c>
      <c r="B293" t="str">
        <f>SUBSTITUTE(SUBSTITUTE(categories!H293,"\","/"),"www.americanretailsupply.com/","")</f>
        <v>64770/33978/Acrylic-Bins-Trays-Easels/Acrylic-Shirt-Easels.html</v>
      </c>
      <c r="C293" t="str">
        <f t="shared" si="8"/>
        <v>INSERT INTO url_rewrite (entity_type, entity_id, redirect_type, store_id, request_path, target_path) VALUES ('custom', 0, 301, 1,'64770/33978/Acrylic-Bins-Trays-Easels/Acrylic-Shirt-Easels.html',(SELECT CONCAT(url_path, '.html') FROM catalog_category_flat_store_1 WHERE entity_id=72));</v>
      </c>
      <c r="D293" t="str">
        <f t="shared" si="9"/>
        <v>UPDATE url_rewrite SET request_path = '64770/33978/Acrylic-Bins-Trays-Easels/Acrylic-Shirt-Easels.html' WHERE entity_type='custom' AND target_path=(SELECT CONCAT(url_path, '.html') FROM catalog_category_flat_store_1 WHERE entity_id=72);</v>
      </c>
    </row>
    <row r="294" spans="1:4" x14ac:dyDescent="0.25">
      <c r="A294">
        <f>categories!B294</f>
        <v>73</v>
      </c>
      <c r="B294" t="str">
        <f>SUBSTITUTE(SUBSTITUTE(categories!H294,"\","/"),"www.americanretailsupply.com/","")</f>
        <v>64770/34051/Acrylic-Bins-Trays-Easels/Easels-with-Acrylic-Base.html</v>
      </c>
      <c r="C294" t="str">
        <f t="shared" si="8"/>
        <v>INSERT INTO url_rewrite (entity_type, entity_id, redirect_type, store_id, request_path, target_path) VALUES ('custom', 0, 301, 1,'64770/34051/Acrylic-Bins-Trays-Easels/Easels-with-Acrylic-Base.html',(SELECT CONCAT(url_path, '.html') FROM catalog_category_flat_store_1 WHERE entity_id=73));</v>
      </c>
      <c r="D294" t="str">
        <f t="shared" si="9"/>
        <v>UPDATE url_rewrite SET request_path = '64770/34051/Acrylic-Bins-Trays-Easels/Easels-with-Acrylic-Base.html' WHERE entity_type='custom' AND target_path=(SELECT CONCAT(url_path, '.html') FROM catalog_category_flat_store_1 WHERE entity_id=73);</v>
      </c>
    </row>
    <row r="295" spans="1:4" x14ac:dyDescent="0.25">
      <c r="A295">
        <f>categories!B295</f>
        <v>74</v>
      </c>
      <c r="B295" t="str">
        <f>SUBSTITUTE(SUBSTITUTE(categories!H295,"\","/"),"www.americanretailsupply.com/","")</f>
        <v>64770/34053/Acrylic-Bins-Trays-Easels/Acrylic-Rounded-Opening-Easels.html</v>
      </c>
      <c r="C295" t="str">
        <f t="shared" si="8"/>
        <v>INSERT INTO url_rewrite (entity_type, entity_id, redirect_type, store_id, request_path, target_path) VALUES ('custom', 0, 301, 1,'64770/34053/Acrylic-Bins-Trays-Easels/Acrylic-Rounded-Opening-Easels.html',(SELECT CONCAT(url_path, '.html') FROM catalog_category_flat_store_1 WHERE entity_id=74));</v>
      </c>
      <c r="D295" t="str">
        <f t="shared" si="9"/>
        <v>UPDATE url_rewrite SET request_path = '64770/34053/Acrylic-Bins-Trays-Easels/Acrylic-Rounded-Opening-Easels.html' WHERE entity_type='custom' AND target_path=(SELECT CONCAT(url_path, '.html') FROM catalog_category_flat_store_1 WHERE entity_id=74);</v>
      </c>
    </row>
    <row r="296" spans="1:4" x14ac:dyDescent="0.25">
      <c r="A296">
        <f>categories!B296</f>
        <v>75</v>
      </c>
      <c r="B296" t="str">
        <f>SUBSTITUTE(SUBSTITUTE(categories!H296,"\","/"),"www.americanretailsupply.com/","")</f>
        <v>64770/34056/Acrylic-Bins-Trays-Easels/Acrylic-Display-Easels.html</v>
      </c>
      <c r="C296" t="str">
        <f t="shared" si="8"/>
        <v>INSERT INTO url_rewrite (entity_type, entity_id, redirect_type, store_id, request_path, target_path) VALUES ('custom', 0, 301, 1,'64770/34056/Acrylic-Bins-Trays-Easels/Acrylic-Display-Easels.html',(SELECT CONCAT(url_path, '.html') FROM catalog_category_flat_store_1 WHERE entity_id=75));</v>
      </c>
      <c r="D296" t="str">
        <f t="shared" si="9"/>
        <v>UPDATE url_rewrite SET request_path = '64770/34056/Acrylic-Bins-Trays-Easels/Acrylic-Display-Easels.html' WHERE entity_type='custom' AND target_path=(SELECT CONCAT(url_path, '.html') FROM catalog_category_flat_store_1 WHERE entity_id=75);</v>
      </c>
    </row>
    <row r="297" spans="1:4" x14ac:dyDescent="0.25">
      <c r="A297">
        <f>categories!B297</f>
        <v>76</v>
      </c>
      <c r="B297" t="str">
        <f>SUBSTITUTE(SUBSTITUTE(categories!H297,"\","/"),"www.americanretailsupply.com/","")</f>
        <v>64770/34057/Acrylic-Bins-Trays-Easels/Acrylic-Molded-Easels.html</v>
      </c>
      <c r="C297" t="str">
        <f t="shared" si="8"/>
        <v>INSERT INTO url_rewrite (entity_type, entity_id, redirect_type, store_id, request_path, target_path) VALUES ('custom', 0, 301, 1,'64770/34057/Acrylic-Bins-Trays-Easels/Acrylic-Molded-Easels.html',(SELECT CONCAT(url_path, '.html') FROM catalog_category_flat_store_1 WHERE entity_id=76));</v>
      </c>
      <c r="D297" t="str">
        <f t="shared" si="9"/>
        <v>UPDATE url_rewrite SET request_path = '64770/34057/Acrylic-Bins-Trays-Easels/Acrylic-Molded-Easels.html' WHERE entity_type='custom' AND target_path=(SELECT CONCAT(url_path, '.html') FROM catalog_category_flat_store_1 WHERE entity_id=76);</v>
      </c>
    </row>
    <row r="298" spans="1:4" x14ac:dyDescent="0.25">
      <c r="A298">
        <f>categories!B298</f>
        <v>77</v>
      </c>
      <c r="B298" t="str">
        <f>SUBSTITUTE(SUBSTITUTE(categories!H298,"\","/"),"www.americanretailsupply.com/","")</f>
        <v>64770/34236/Acrylic-Bins-Trays-Easels/Acrylic-Open-Cubes-316-Clear.html</v>
      </c>
      <c r="C298" t="str">
        <f t="shared" si="8"/>
        <v>INSERT INTO url_rewrite (entity_type, entity_id, redirect_type, store_id, request_path, target_path) VALUES ('custom', 0, 301, 1,'64770/34236/Acrylic-Bins-Trays-Easels/Acrylic-Open-Cubes-316-Clear.html',(SELECT CONCAT(url_path, '.html') FROM catalog_category_flat_store_1 WHERE entity_id=77));</v>
      </c>
      <c r="D298" t="str">
        <f t="shared" si="9"/>
        <v>UPDATE url_rewrite SET request_path = '64770/34236/Acrylic-Bins-Trays-Easels/Acrylic-Open-Cubes-316-Clear.html' WHERE entity_type='custom' AND target_path=(SELECT CONCAT(url_path, '.html') FROM catalog_category_flat_store_1 WHERE entity_id=77);</v>
      </c>
    </row>
    <row r="299" spans="1:4" x14ac:dyDescent="0.25">
      <c r="A299">
        <f>categories!B299</f>
        <v>78</v>
      </c>
      <c r="B299" t="str">
        <f>SUBSTITUTE(SUBSTITUTE(categories!H299,"\","/"),"www.americanretailsupply.com/","")</f>
        <v>64770/231535/Acrylic-Bins-Trays-Easels/Acrylic-Dinnerware-Holder.html</v>
      </c>
      <c r="C299" t="str">
        <f t="shared" si="8"/>
        <v>INSERT INTO url_rewrite (entity_type, entity_id, redirect_type, store_id, request_path, target_path) VALUES ('custom', 0, 301, 1,'64770/231535/Acrylic-Bins-Trays-Easels/Acrylic-Dinnerware-Holder.html',(SELECT CONCAT(url_path, '.html') FROM catalog_category_flat_store_1 WHERE entity_id=78));</v>
      </c>
      <c r="D299" t="str">
        <f t="shared" si="9"/>
        <v>UPDATE url_rewrite SET request_path = '64770/231535/Acrylic-Bins-Trays-Easels/Acrylic-Dinnerware-Holder.html' WHERE entity_type='custom' AND target_path=(SELECT CONCAT(url_path, '.html') FROM catalog_category_flat_store_1 WHERE entity_id=78);</v>
      </c>
    </row>
    <row r="300" spans="1:4" x14ac:dyDescent="0.25">
      <c r="A300">
        <f>categories!B300</f>
        <v>79</v>
      </c>
      <c r="B300" t="str">
        <f>SUBSTITUTE(SUBSTITUTE(categories!H300,"\","/"),"www.americanretailsupply.com/","")</f>
        <v>64770/575748/Acrylic-Bins-Trays-Easels/Cell-Phone-Acrylic-Easels.html</v>
      </c>
      <c r="C300" t="str">
        <f t="shared" si="8"/>
        <v>INSERT INTO url_rewrite (entity_type, entity_id, redirect_type, store_id, request_path, target_path) VALUES ('custom', 0, 301, 1,'64770/575748/Acrylic-Bins-Trays-Easels/Cell-Phone-Acrylic-Easels.html',(SELECT CONCAT(url_path, '.html') FROM catalog_category_flat_store_1 WHERE entity_id=79));</v>
      </c>
      <c r="D300" t="str">
        <f t="shared" si="9"/>
        <v>UPDATE url_rewrite SET request_path = '64770/575748/Acrylic-Bins-Trays-Easels/Cell-Phone-Acrylic-Easels.html' WHERE entity_type='custom' AND target_path=(SELECT CONCAT(url_path, '.html') FROM catalog_category_flat_store_1 WHERE entity_id=79);</v>
      </c>
    </row>
    <row r="301" spans="1:4" x14ac:dyDescent="0.25">
      <c r="A301">
        <f>categories!B301</f>
        <v>80</v>
      </c>
      <c r="B301" t="str">
        <f>SUBSTITUTE(SUBSTITUTE(categories!H301,"\","/"),"www.americanretailsupply.com/","")</f>
        <v>64770/575749/Acrylic-Bins-Trays-Easels/3-Deep-J-Opening-Acrylic-Easels.html</v>
      </c>
      <c r="C301" t="str">
        <f t="shared" si="8"/>
        <v>INSERT INTO url_rewrite (entity_type, entity_id, redirect_type, store_id, request_path, target_path) VALUES ('custom', 0, 301, 1,'64770/575749/Acrylic-Bins-Trays-Easels/3-Deep-J-Opening-Acrylic-Easels.html',(SELECT CONCAT(url_path, '.html') FROM catalog_category_flat_store_1 WHERE entity_id=80));</v>
      </c>
      <c r="D301" t="str">
        <f t="shared" si="9"/>
        <v>UPDATE url_rewrite SET request_path = '64770/575749/Acrylic-Bins-Trays-Easels/3-Deep-J-Opening-Acrylic-Easels.html' WHERE entity_type='custom' AND target_path=(SELECT CONCAT(url_path, '.html') FROM catalog_category_flat_store_1 WHERE entity_id=80);</v>
      </c>
    </row>
    <row r="302" spans="1:4" x14ac:dyDescent="0.25">
      <c r="A302">
        <f>categories!B302</f>
        <v>81</v>
      </c>
      <c r="B302" t="str">
        <f>SUBSTITUTE(SUBSTITUTE(categories!H302,"\","/"),"www.americanretailsupply.com/","")</f>
        <v>64770/576364/Acrylic-Bins-Trays-Easels/Acrylic-Compartment-Bins-for-Countertop.html</v>
      </c>
      <c r="C302" t="str">
        <f t="shared" si="8"/>
        <v>INSERT INTO url_rewrite (entity_type, entity_id, redirect_type, store_id, request_path, target_path) VALUES ('custom', 0, 301, 1,'64770/576364/Acrylic-Bins-Trays-Easels/Acrylic-Compartment-Bins-for-Countertop.html',(SELECT CONCAT(url_path, '.html') FROM catalog_category_flat_store_1 WHERE entity_id=81));</v>
      </c>
      <c r="D302" t="str">
        <f t="shared" si="9"/>
        <v>UPDATE url_rewrite SET request_path = '64770/576364/Acrylic-Bins-Trays-Easels/Acrylic-Compartment-Bins-for-Countertop.html' WHERE entity_type='custom' AND target_path=(SELECT CONCAT(url_path, '.html') FROM catalog_category_flat_store_1 WHERE entity_id=81);</v>
      </c>
    </row>
    <row r="303" spans="1:4" x14ac:dyDescent="0.25">
      <c r="A303">
        <f>categories!B303</f>
        <v>82</v>
      </c>
      <c r="B303" t="str">
        <f>SUBSTITUTE(SUBSTITUTE(categories!H303,"\","/"),"www.americanretailsupply.com/","")</f>
        <v>64770/576365/Acrylic-Bins-Trays-Easels/Acrylic-Display-Trays-for-Countertop.html</v>
      </c>
      <c r="C303" t="str">
        <f t="shared" si="8"/>
        <v>INSERT INTO url_rewrite (entity_type, entity_id, redirect_type, store_id, request_path, target_path) VALUES ('custom', 0, 301, 1,'64770/576365/Acrylic-Bins-Trays-Easels/Acrylic-Display-Trays-for-Countertop.html',(SELECT CONCAT(url_path, '.html') FROM catalog_category_flat_store_1 WHERE entity_id=82));</v>
      </c>
      <c r="D303" t="str">
        <f t="shared" si="9"/>
        <v>UPDATE url_rewrite SET request_path = '64770/576365/Acrylic-Bins-Trays-Easels/Acrylic-Display-Trays-for-Countertop.html' WHERE entity_type='custom' AND target_path=(SELECT CONCAT(url_path, '.html') FROM catalog_category_flat_store_1 WHERE entity_id=82);</v>
      </c>
    </row>
    <row r="304" spans="1:4" x14ac:dyDescent="0.25">
      <c r="A304">
        <f>categories!B304</f>
        <v>83</v>
      </c>
      <c r="B304" t="str">
        <f>SUBSTITUTE(SUBSTITUTE(categories!H304,"\","/"),"www.americanretailsupply.com/","")</f>
        <v>64770/777848/Acrylic-Bins-Trays-Easels/38-Series-Acrylic-Easels.html</v>
      </c>
      <c r="C304" t="str">
        <f t="shared" si="8"/>
        <v>INSERT INTO url_rewrite (entity_type, entity_id, redirect_type, store_id, request_path, target_path) VALUES ('custom', 0, 301, 1,'64770/777848/Acrylic-Bins-Trays-Easels/38-Series-Acrylic-Easels.html',(SELECT CONCAT(url_path, '.html') FROM catalog_category_flat_store_1 WHERE entity_id=83));</v>
      </c>
      <c r="D304" t="str">
        <f t="shared" si="9"/>
        <v>UPDATE url_rewrite SET request_path = '64770/777848/Acrylic-Bins-Trays-Easels/38-Series-Acrylic-Easels.html' WHERE entity_type='custom' AND target_path=(SELECT CONCAT(url_path, '.html') FROM catalog_category_flat_store_1 WHERE entity_id=83);</v>
      </c>
    </row>
    <row r="305" spans="1:4" x14ac:dyDescent="0.25">
      <c r="A305">
        <f>categories!B305</f>
        <v>84</v>
      </c>
      <c r="B305" t="str">
        <f>SUBSTITUTE(SUBSTITUTE(categories!H305,"\","/"),"www.americanretailsupply.com/","")</f>
        <v>64770/777849/Acrylic-Bins-Trays-Easels/37-Series-Acrylic-Easels.html</v>
      </c>
      <c r="C305" t="str">
        <f t="shared" si="8"/>
        <v>INSERT INTO url_rewrite (entity_type, entity_id, redirect_type, store_id, request_path, target_path) VALUES ('custom', 0, 301, 1,'64770/777849/Acrylic-Bins-Trays-Easels/37-Series-Acrylic-Easels.html',(SELECT CONCAT(url_path, '.html') FROM catalog_category_flat_store_1 WHERE entity_id=84));</v>
      </c>
      <c r="D305" t="str">
        <f t="shared" si="9"/>
        <v>UPDATE url_rewrite SET request_path = '64770/777849/Acrylic-Bins-Trays-Easels/37-Series-Acrylic-Easels.html' WHERE entity_type='custom' AND target_path=(SELECT CONCAT(url_path, '.html') FROM catalog_category_flat_store_1 WHERE entity_id=84);</v>
      </c>
    </row>
    <row r="306" spans="1:4" x14ac:dyDescent="0.25">
      <c r="A306">
        <f>categories!B306</f>
        <v>86</v>
      </c>
      <c r="B306" t="str">
        <f>SUBSTITUTE(SUBSTITUTE(categories!H306,"\","/"),"www.americanretailsupply.com/","")</f>
        <v>64779/34240/Acrylic-Countertop-Displays/Acrylic-Glass-Mirror-for-Countertop-High-Style.html</v>
      </c>
      <c r="C306" t="str">
        <f t="shared" si="8"/>
        <v>INSERT INTO url_rewrite (entity_type, entity_id, redirect_type, store_id, request_path, target_path) VALUES ('custom', 0, 301, 1,'64779/34240/Acrylic-Countertop-Displays/Acrylic-Glass-Mirror-for-Countertop-High-Style.html',(SELECT CONCAT(url_path, '.html') FROM catalog_category_flat_store_1 WHERE entity_id=86));</v>
      </c>
      <c r="D306" t="str">
        <f t="shared" si="9"/>
        <v>UPDATE url_rewrite SET request_path = '64779/34240/Acrylic-Countertop-Displays/Acrylic-Glass-Mirror-for-Countertop-High-Style.html' WHERE entity_type='custom' AND target_path=(SELECT CONCAT(url_path, '.html') FROM catalog_category_flat_store_1 WHERE entity_id=86);</v>
      </c>
    </row>
    <row r="307" spans="1:4" x14ac:dyDescent="0.25">
      <c r="A307">
        <f>categories!B307</f>
        <v>87</v>
      </c>
      <c r="B307" t="str">
        <f>SUBSTITUTE(SUBSTITUTE(categories!H307,"\","/"),"www.americanretailsupply.com/","")</f>
        <v>64779/34241/Acrylic-Countertop-Displays/Acrylic-Beveled-Glass-Counter-Mirror.html</v>
      </c>
      <c r="C307" t="str">
        <f t="shared" si="8"/>
        <v>INSERT INTO url_rewrite (entity_type, entity_id, redirect_type, store_id, request_path, target_path) VALUES ('custom', 0, 301, 1,'64779/34241/Acrylic-Countertop-Displays/Acrylic-Beveled-Glass-Counter-Mirror.html',(SELECT CONCAT(url_path, '.html') FROM catalog_category_flat_store_1 WHERE entity_id=87));</v>
      </c>
      <c r="D307" t="str">
        <f t="shared" si="9"/>
        <v>UPDATE url_rewrite SET request_path = '64779/34241/Acrylic-Countertop-Displays/Acrylic-Beveled-Glass-Counter-Mirror.html' WHERE entity_type='custom' AND target_path=(SELECT CONCAT(url_path, '.html') FROM catalog_category_flat_store_1 WHERE entity_id=87);</v>
      </c>
    </row>
    <row r="308" spans="1:4" x14ac:dyDescent="0.25">
      <c r="A308">
        <f>categories!B308</f>
        <v>88</v>
      </c>
      <c r="B308" t="str">
        <f>SUBSTITUTE(SUBSTITUTE(categories!H308,"\","/"),"www.americanretailsupply.com/","")</f>
        <v>64779/34242/Acrylic-Countertop-Displays/Slant-Back-Acrylic-Mirror.html</v>
      </c>
      <c r="C308" t="str">
        <f t="shared" si="8"/>
        <v>INSERT INTO url_rewrite (entity_type, entity_id, redirect_type, store_id, request_path, target_path) VALUES ('custom', 0, 301, 1,'64779/34242/Acrylic-Countertop-Displays/Slant-Back-Acrylic-Mirror.html',(SELECT CONCAT(url_path, '.html') FROM catalog_category_flat_store_1 WHERE entity_id=88));</v>
      </c>
      <c r="D308" t="str">
        <f t="shared" si="9"/>
        <v>UPDATE url_rewrite SET request_path = '64779/34242/Acrylic-Countertop-Displays/Slant-Back-Acrylic-Mirror.html' WHERE entity_type='custom' AND target_path=(SELECT CONCAT(url_path, '.html') FROM catalog_category_flat_store_1 WHERE entity_id=88);</v>
      </c>
    </row>
    <row r="309" spans="1:4" x14ac:dyDescent="0.25">
      <c r="A309">
        <f>categories!B309</f>
        <v>89</v>
      </c>
      <c r="B309" t="str">
        <f>SUBSTITUTE(SUBSTITUTE(categories!H309,"\","/"),"www.americanretailsupply.com/","")</f>
        <v>64779/34243/Acrylic-Countertop-Displays/Gridwall-Acrylic-Mirror.html</v>
      </c>
      <c r="C309" t="str">
        <f t="shared" si="8"/>
        <v>INSERT INTO url_rewrite (entity_type, entity_id, redirect_type, store_id, request_path, target_path) VALUES ('custom', 0, 301, 1,'64779/34243/Acrylic-Countertop-Displays/Gridwall-Acrylic-Mirror.html',(SELECT CONCAT(url_path, '.html') FROM catalog_category_flat_store_1 WHERE entity_id=89));</v>
      </c>
      <c r="D309" t="str">
        <f t="shared" si="9"/>
        <v>UPDATE url_rewrite SET request_path = '64779/34243/Acrylic-Countertop-Displays/Gridwall-Acrylic-Mirror.html' WHERE entity_type='custom' AND target_path=(SELECT CONCAT(url_path, '.html') FROM catalog_category_flat_store_1 WHERE entity_id=89);</v>
      </c>
    </row>
    <row r="310" spans="1:4" x14ac:dyDescent="0.25">
      <c r="A310">
        <f>categories!B310</f>
        <v>90</v>
      </c>
      <c r="B310" t="str">
        <f>SUBSTITUTE(SUBSTITUTE(categories!H310,"\","/"),"www.americanretailsupply.com/","")</f>
        <v>64779/34244/Acrylic-Countertop-Displays/Black-Adjustable-Glass-Counter-Mirror.html</v>
      </c>
      <c r="C310" t="str">
        <f t="shared" si="8"/>
        <v>INSERT INTO url_rewrite (entity_type, entity_id, redirect_type, store_id, request_path, target_path) VALUES ('custom', 0, 301, 1,'64779/34244/Acrylic-Countertop-Displays/Black-Adjustable-Glass-Counter-Mirror.html',(SELECT CONCAT(url_path, '.html') FROM catalog_category_flat_store_1 WHERE entity_id=90));</v>
      </c>
      <c r="D310" t="str">
        <f t="shared" si="9"/>
        <v>UPDATE url_rewrite SET request_path = '64779/34244/Acrylic-Countertop-Displays/Black-Adjustable-Glass-Counter-Mirror.html' WHERE entity_type='custom' AND target_path=(SELECT CONCAT(url_path, '.html') FROM catalog_category_flat_store_1 WHERE entity_id=90);</v>
      </c>
    </row>
    <row r="311" spans="1:4" x14ac:dyDescent="0.25">
      <c r="A311">
        <f>categories!B311</f>
        <v>91</v>
      </c>
      <c r="B311" t="str">
        <f>SUBSTITUTE(SUBSTITUTE(categories!H311,"\","/"),"www.americanretailsupply.com/","")</f>
        <v>64779/34245/Acrylic-Countertop-Displays/Acrylic-Domed-Countertop-Glass-Mirror.html</v>
      </c>
      <c r="C311" t="str">
        <f t="shared" si="8"/>
        <v>INSERT INTO url_rewrite (entity_type, entity_id, redirect_type, store_id, request_path, target_path) VALUES ('custom', 0, 301, 1,'64779/34245/Acrylic-Countertop-Displays/Acrylic-Domed-Countertop-Glass-Mirror.html',(SELECT CONCAT(url_path, '.html') FROM catalog_category_flat_store_1 WHERE entity_id=91));</v>
      </c>
      <c r="D311" t="str">
        <f t="shared" si="9"/>
        <v>UPDATE url_rewrite SET request_path = '64779/34245/Acrylic-Countertop-Displays/Acrylic-Domed-Countertop-Glass-Mirror.html' WHERE entity_type='custom' AND target_path=(SELECT CONCAT(url_path, '.html') FROM catalog_category_flat_store_1 WHERE entity_id=91);</v>
      </c>
    </row>
    <row r="312" spans="1:4" x14ac:dyDescent="0.25">
      <c r="A312">
        <f>categories!B312</f>
        <v>92</v>
      </c>
      <c r="B312" t="str">
        <f>SUBSTITUTE(SUBSTITUTE(categories!H312,"\","/"),"www.americanretailsupply.com/","")</f>
        <v>64779/34246/Acrylic-Countertop-Displays/Acrylic-Economy-Shelf-Display-for-Slatwall.html</v>
      </c>
      <c r="C312" t="str">
        <f t="shared" si="8"/>
        <v>INSERT INTO url_rewrite (entity_type, entity_id, redirect_type, store_id, request_path, target_path) VALUES ('custom', 0, 301, 1,'64779/34246/Acrylic-Countertop-Displays/Acrylic-Economy-Shelf-Display-for-Slatwall.html',(SELECT CONCAT(url_path, '.html') FROM catalog_category_flat_store_1 WHERE entity_id=92));</v>
      </c>
      <c r="D312" t="str">
        <f t="shared" si="9"/>
        <v>UPDATE url_rewrite SET request_path = '64779/34246/Acrylic-Countertop-Displays/Acrylic-Economy-Shelf-Display-for-Slatwall.html' WHERE entity_type='custom' AND target_path=(SELECT CONCAT(url_path, '.html') FROM catalog_category_flat_store_1 WHERE entity_id=92);</v>
      </c>
    </row>
    <row r="313" spans="1:4" x14ac:dyDescent="0.25">
      <c r="A313">
        <f>categories!B313</f>
        <v>93</v>
      </c>
      <c r="B313" t="str">
        <f>SUBSTITUTE(SUBSTITUTE(categories!H313,"\","/"),"www.americanretailsupply.com/","")</f>
        <v>64779/34247/Acrylic-Countertop-Displays/Acrylic-Countertop-Rack.html</v>
      </c>
      <c r="C313" t="str">
        <f t="shared" si="8"/>
        <v>INSERT INTO url_rewrite (entity_type, entity_id, redirect_type, store_id, request_path, target_path) VALUES ('custom', 0, 301, 1,'64779/34247/Acrylic-Countertop-Displays/Acrylic-Countertop-Rack.html',(SELECT CONCAT(url_path, '.html') FROM catalog_category_flat_store_1 WHERE entity_id=93));</v>
      </c>
      <c r="D313" t="str">
        <f t="shared" si="9"/>
        <v>UPDATE url_rewrite SET request_path = '64779/34247/Acrylic-Countertop-Displays/Acrylic-Countertop-Rack.html' WHERE entity_type='custom' AND target_path=(SELECT CONCAT(url_path, '.html') FROM catalog_category_flat_store_1 WHERE entity_id=93);</v>
      </c>
    </row>
    <row r="314" spans="1:4" x14ac:dyDescent="0.25">
      <c r="A314">
        <f>categories!B314</f>
        <v>94</v>
      </c>
      <c r="B314" t="str">
        <f>SUBSTITUTE(SUBSTITUTE(categories!H314,"\","/"),"www.americanretailsupply.com/","")</f>
        <v>64779/34248/Acrylic-Countertop-Displays/Acrylic-Mini-Platform-Stairs.html</v>
      </c>
      <c r="C314" t="str">
        <f t="shared" si="8"/>
        <v>INSERT INTO url_rewrite (entity_type, entity_id, redirect_type, store_id, request_path, target_path) VALUES ('custom', 0, 301, 1,'64779/34248/Acrylic-Countertop-Displays/Acrylic-Mini-Platform-Stairs.html',(SELECT CONCAT(url_path, '.html') FROM catalog_category_flat_store_1 WHERE entity_id=94));</v>
      </c>
      <c r="D314" t="str">
        <f t="shared" si="9"/>
        <v>UPDATE url_rewrite SET request_path = '64779/34248/Acrylic-Countertop-Displays/Acrylic-Mini-Platform-Stairs.html' WHERE entity_type='custom' AND target_path=(SELECT CONCAT(url_path, '.html') FROM catalog_category_flat_store_1 WHERE entity_id=94);</v>
      </c>
    </row>
    <row r="315" spans="1:4" x14ac:dyDescent="0.25">
      <c r="A315">
        <f>categories!B315</f>
        <v>95</v>
      </c>
      <c r="B315" t="str">
        <f>SUBSTITUTE(SUBSTITUTE(categories!H315,"\","/"),"www.americanretailsupply.com/","")</f>
        <v>64779/34249/Acrylic-Countertop-Displays/Acrylic-Clear-Three-Step-Stairs.html</v>
      </c>
      <c r="C315" t="str">
        <f t="shared" si="8"/>
        <v>INSERT INTO url_rewrite (entity_type, entity_id, redirect_type, store_id, request_path, target_path) VALUES ('custom', 0, 301, 1,'64779/34249/Acrylic-Countertop-Displays/Acrylic-Clear-Three-Step-Stairs.html',(SELECT CONCAT(url_path, '.html') FROM catalog_category_flat_store_1 WHERE entity_id=95));</v>
      </c>
      <c r="D315" t="str">
        <f t="shared" si="9"/>
        <v>UPDATE url_rewrite SET request_path = '64779/34249/Acrylic-Countertop-Displays/Acrylic-Clear-Three-Step-Stairs.html' WHERE entity_type='custom' AND target_path=(SELECT CONCAT(url_path, '.html') FROM catalog_category_flat_store_1 WHERE entity_id=95);</v>
      </c>
    </row>
    <row r="316" spans="1:4" x14ac:dyDescent="0.25">
      <c r="A316">
        <f>categories!B316</f>
        <v>96</v>
      </c>
      <c r="B316" t="str">
        <f>SUBSTITUTE(SUBSTITUTE(categories!H316,"\","/"),"www.americanretailsupply.com/","")</f>
        <v>64779/34251/Acrylic-Countertop-Displays/14-Acrylic-3-Tier-Displays.html</v>
      </c>
      <c r="C316" t="str">
        <f t="shared" si="8"/>
        <v>INSERT INTO url_rewrite (entity_type, entity_id, redirect_type, store_id, request_path, target_path) VALUES ('custom', 0, 301, 1,'64779/34251/Acrylic-Countertop-Displays/14-Acrylic-3-Tier-Displays.html',(SELECT CONCAT(url_path, '.html') FROM catalog_category_flat_store_1 WHERE entity_id=96));</v>
      </c>
      <c r="D316" t="str">
        <f t="shared" si="9"/>
        <v>UPDATE url_rewrite SET request_path = '64779/34251/Acrylic-Countertop-Displays/14-Acrylic-3-Tier-Displays.html' WHERE entity_type='custom' AND target_path=(SELECT CONCAT(url_path, '.html') FROM catalog_category_flat_store_1 WHERE entity_id=96);</v>
      </c>
    </row>
    <row r="317" spans="1:4" x14ac:dyDescent="0.25">
      <c r="A317">
        <f>categories!B317</f>
        <v>97</v>
      </c>
      <c r="B317" t="str">
        <f>SUBSTITUTE(SUBSTITUTE(categories!H317,"\","/"),"www.americanretailsupply.com/","")</f>
        <v>64779/34252/Acrylic-Countertop-Displays/Acrylic-Bin-Display.html</v>
      </c>
      <c r="C317" t="str">
        <f t="shared" si="8"/>
        <v>INSERT INTO url_rewrite (entity_type, entity_id, redirect_type, store_id, request_path, target_path) VALUES ('custom', 0, 301, 1,'64779/34252/Acrylic-Countertop-Displays/Acrylic-Bin-Display.html',(SELECT CONCAT(url_path, '.html') FROM catalog_category_flat_store_1 WHERE entity_id=97));</v>
      </c>
      <c r="D317" t="str">
        <f t="shared" si="9"/>
        <v>UPDATE url_rewrite SET request_path = '64779/34252/Acrylic-Countertop-Displays/Acrylic-Bin-Display.html' WHERE entity_type='custom' AND target_path=(SELECT CONCAT(url_path, '.html') FROM catalog_category_flat_store_1 WHERE entity_id=97);</v>
      </c>
    </row>
    <row r="318" spans="1:4" x14ac:dyDescent="0.25">
      <c r="A318">
        <f>categories!B318</f>
        <v>98</v>
      </c>
      <c r="B318" t="str">
        <f>SUBSTITUTE(SUBSTITUTE(categories!H318,"\","/"),"www.americanretailsupply.com/","")</f>
        <v>64779/34253/Acrylic-Countertop-Displays/Acrylic-Clear-Tiered-Stairs.html</v>
      </c>
      <c r="C318" t="str">
        <f t="shared" si="8"/>
        <v>INSERT INTO url_rewrite (entity_type, entity_id, redirect_type, store_id, request_path, target_path) VALUES ('custom', 0, 301, 1,'64779/34253/Acrylic-Countertop-Displays/Acrylic-Clear-Tiered-Stairs.html',(SELECT CONCAT(url_path, '.html') FROM catalog_category_flat_store_1 WHERE entity_id=98));</v>
      </c>
      <c r="D318" t="str">
        <f t="shared" si="9"/>
        <v>UPDATE url_rewrite SET request_path = '64779/34253/Acrylic-Countertop-Displays/Acrylic-Clear-Tiered-Stairs.html' WHERE entity_type='custom' AND target_path=(SELECT CONCAT(url_path, '.html') FROM catalog_category_flat_store_1 WHERE entity_id=98);</v>
      </c>
    </row>
    <row r="319" spans="1:4" x14ac:dyDescent="0.25">
      <c r="A319">
        <f>categories!B319</f>
        <v>99</v>
      </c>
      <c r="B319" t="str">
        <f>SUBSTITUTE(SUBSTITUTE(categories!H319,"\","/"),"www.americanretailsupply.com/","")</f>
        <v>64779/34255/Acrylic-Countertop-Displays/Acrylic-Countertop-Showcases.html</v>
      </c>
      <c r="C319" t="str">
        <f t="shared" si="8"/>
        <v>INSERT INTO url_rewrite (entity_type, entity_id, redirect_type, store_id, request_path, target_path) VALUES ('custom', 0, 301, 1,'64779/34255/Acrylic-Countertop-Displays/Acrylic-Countertop-Showcases.html',(SELECT CONCAT(url_path, '.html') FROM catalog_category_flat_store_1 WHERE entity_id=99));</v>
      </c>
      <c r="D319" t="str">
        <f t="shared" si="9"/>
        <v>UPDATE url_rewrite SET request_path = '64779/34255/Acrylic-Countertop-Displays/Acrylic-Countertop-Showcases.html' WHERE entity_type='custom' AND target_path=(SELECT CONCAT(url_path, '.html') FROM catalog_category_flat_store_1 WHERE entity_id=99);</v>
      </c>
    </row>
    <row r="320" spans="1:4" x14ac:dyDescent="0.25">
      <c r="A320">
        <f>categories!B320</f>
        <v>100</v>
      </c>
      <c r="B320" t="str">
        <f>SUBSTITUTE(SUBSTITUTE(categories!H320,"\","/"),"www.americanretailsupply.com/","")</f>
        <v>64779/34256/Acrylic-Countertop-Displays/Flat-Locking-Acrylic-Showcases.html</v>
      </c>
      <c r="C320" t="str">
        <f t="shared" si="8"/>
        <v>INSERT INTO url_rewrite (entity_type, entity_id, redirect_type, store_id, request_path, target_path) VALUES ('custom', 0, 301, 1,'64779/34256/Acrylic-Countertop-Displays/Flat-Locking-Acrylic-Showcases.html',(SELECT CONCAT(url_path, '.html') FROM catalog_category_flat_store_1 WHERE entity_id=100));</v>
      </c>
      <c r="D320" t="str">
        <f t="shared" si="9"/>
        <v>UPDATE url_rewrite SET request_path = '64779/34256/Acrylic-Countertop-Displays/Flat-Locking-Acrylic-Showcases.html' WHERE entity_type='custom' AND target_path=(SELECT CONCAT(url_path, '.html') FROM catalog_category_flat_store_1 WHERE entity_id=100);</v>
      </c>
    </row>
    <row r="321" spans="1:4" x14ac:dyDescent="0.25">
      <c r="A321">
        <f>categories!B321</f>
        <v>101</v>
      </c>
      <c r="B321" t="str">
        <f>SUBSTITUTE(SUBSTITUTE(categories!H321,"\","/"),"www.americanretailsupply.com/","")</f>
        <v>64779/34257/Acrylic-Countertop-Displays/Acrylic-Locking-Showcases-for-Slatwall.html</v>
      </c>
      <c r="C321" t="str">
        <f t="shared" si="8"/>
        <v>INSERT INTO url_rewrite (entity_type, entity_id, redirect_type, store_id, request_path, target_path) VALUES ('custom', 0, 301, 1,'64779/34257/Acrylic-Countertop-Displays/Acrylic-Locking-Showcases-for-Slatwall.html',(SELECT CONCAT(url_path, '.html') FROM catalog_category_flat_store_1 WHERE entity_id=101));</v>
      </c>
      <c r="D321" t="str">
        <f t="shared" si="9"/>
        <v>UPDATE url_rewrite SET request_path = '64779/34257/Acrylic-Countertop-Displays/Acrylic-Locking-Showcases-for-Slatwall.html' WHERE entity_type='custom' AND target_path=(SELECT CONCAT(url_path, '.html') FROM catalog_category_flat_store_1 WHERE entity_id=101);</v>
      </c>
    </row>
    <row r="322" spans="1:4" x14ac:dyDescent="0.25">
      <c r="A322">
        <f>categories!B322</f>
        <v>102</v>
      </c>
      <c r="B322" t="str">
        <f>SUBSTITUTE(SUBSTITUTE(categories!H322,"\","/"),"www.americanretailsupply.com/","")</f>
        <v>64779/576088/Acrylic-Countertop-Displays/Acrylic-4-Tier-Displays.html</v>
      </c>
      <c r="C322" t="str">
        <f t="shared" si="8"/>
        <v>INSERT INTO url_rewrite (entity_type, entity_id, redirect_type, store_id, request_path, target_path) VALUES ('custom', 0, 301, 1,'64779/576088/Acrylic-Countertop-Displays/Acrylic-4-Tier-Displays.html',(SELECT CONCAT(url_path, '.html') FROM catalog_category_flat_store_1 WHERE entity_id=102));</v>
      </c>
      <c r="D322" t="str">
        <f t="shared" si="9"/>
        <v>UPDATE url_rewrite SET request_path = '64779/576088/Acrylic-Countertop-Displays/Acrylic-4-Tier-Displays.html' WHERE entity_type='custom' AND target_path=(SELECT CONCAT(url_path, '.html') FROM catalog_category_flat_store_1 WHERE entity_id=102);</v>
      </c>
    </row>
    <row r="323" spans="1:4" x14ac:dyDescent="0.25">
      <c r="A323">
        <f>categories!B323</f>
        <v>103</v>
      </c>
      <c r="B323" t="str">
        <f>SUBSTITUTE(SUBSTITUTE(categories!H323,"\","/"),"www.americanretailsupply.com/","")</f>
        <v>64779/576089/Acrylic-Countertop-Displays/Acrylic-CD-or-DVD-Shelf-Display-Rack.html</v>
      </c>
      <c r="C323" t="str">
        <f t="shared" ref="C323:C386" si="10">"INSERT INTO url_rewrite (entity_type, entity_id, redirect_type, store_id, request_path, target_path) VALUES ('custom', 0, 301, 1,'"&amp;B323&amp;"',(SELECT CONCAT(url_path, '.html') FROM catalog_category_flat_store_1 WHERE entity_id="&amp;A323&amp;"));"</f>
        <v>INSERT INTO url_rewrite (entity_type, entity_id, redirect_type, store_id, request_path, target_path) VALUES ('custom', 0, 301, 1,'64779/576089/Acrylic-Countertop-Displays/Acrylic-CD-or-DVD-Shelf-Display-Rack.html',(SELECT CONCAT(url_path, '.html') FROM catalog_category_flat_store_1 WHERE entity_id=103));</v>
      </c>
      <c r="D323" t="str">
        <f t="shared" ref="D323:D386" si="11">"UPDATE url_rewrite SET request_path = '"&amp;B323&amp;"' WHERE entity_type='custom' AND target_path=(SELECT CONCAT(url_path, '.html') FROM catalog_category_flat_store_1 WHERE entity_id="&amp;A323&amp;");"</f>
        <v>UPDATE url_rewrite SET request_path = '64779/576089/Acrylic-Countertop-Displays/Acrylic-CD-or-DVD-Shelf-Display-Rack.html' WHERE entity_type='custom' AND target_path=(SELECT CONCAT(url_path, '.html') FROM catalog_category_flat_store_1 WHERE entity_id=103);</v>
      </c>
    </row>
    <row r="324" spans="1:4" x14ac:dyDescent="0.25">
      <c r="A324">
        <f>categories!B324</f>
        <v>105</v>
      </c>
      <c r="B324" t="str">
        <f>SUBSTITUTE(SUBSTITUTE(categories!H324,"\","/"),"www.americanretailsupply.com/","")</f>
        <v>64768/782120/Acrylic-E--Cig-Displays/E--Cig-Acrylic-Displays.html</v>
      </c>
      <c r="C324" t="str">
        <f t="shared" si="10"/>
        <v>INSERT INTO url_rewrite (entity_type, entity_id, redirect_type, store_id, request_path, target_path) VALUES ('custom', 0, 301, 1,'64768/782120/Acrylic-E--Cig-Displays/E--Cig-Acrylic-Displays.html',(SELECT CONCAT(url_path, '.html') FROM catalog_category_flat_store_1 WHERE entity_id=105));</v>
      </c>
      <c r="D324" t="str">
        <f t="shared" si="11"/>
        <v>UPDATE url_rewrite SET request_path = '64768/782120/Acrylic-E--Cig-Displays/E--Cig-Acrylic-Displays.html' WHERE entity_type='custom' AND target_path=(SELECT CONCAT(url_path, '.html') FROM catalog_category_flat_store_1 WHERE entity_id=105);</v>
      </c>
    </row>
    <row r="325" spans="1:4" x14ac:dyDescent="0.25">
      <c r="A325">
        <f>categories!B325</f>
        <v>108</v>
      </c>
      <c r="B325" t="str">
        <f>SUBSTITUTE(SUBSTITUTE(categories!H325,"\","/"),"www.americanretailsupply.com/","")</f>
        <v>64949/3986/Acrylic-for-Gridwall/Gridwall-Acrylic-Sign-Holders.html</v>
      </c>
      <c r="C325" t="str">
        <f t="shared" si="10"/>
        <v>INSERT INTO url_rewrite (entity_type, entity_id, redirect_type, store_id, request_path, target_path) VALUES ('custom', 0, 301, 1,'64949/3986/Acrylic-for-Gridwall/Gridwall-Acrylic-Sign-Holders.html',(SELECT CONCAT(url_path, '.html') FROM catalog_category_flat_store_1 WHERE entity_id=108));</v>
      </c>
      <c r="D325" t="str">
        <f t="shared" si="11"/>
        <v>UPDATE url_rewrite SET request_path = '64949/3986/Acrylic-for-Gridwall/Gridwall-Acrylic-Sign-Holders.html' WHERE entity_type='custom' AND target_path=(SELECT CONCAT(url_path, '.html') FROM catalog_category_flat_store_1 WHERE entity_id=108);</v>
      </c>
    </row>
    <row r="326" spans="1:4" x14ac:dyDescent="0.25">
      <c r="A326">
        <f>categories!B326</f>
        <v>109</v>
      </c>
      <c r="B326" t="str">
        <f>SUBSTITUTE(SUBSTITUTE(categories!H326,"\","/"),"www.americanretailsupply.com/","")</f>
        <v>64949/3987/Acrylic-for-Gridwall/Gridwall-Acrylic-Hosiery-Bin.html</v>
      </c>
      <c r="C326" t="str">
        <f t="shared" si="10"/>
        <v>INSERT INTO url_rewrite (entity_type, entity_id, redirect_type, store_id, request_path, target_path) VALUES ('custom', 0, 301, 1,'64949/3987/Acrylic-for-Gridwall/Gridwall-Acrylic-Hosiery-Bin.html',(SELECT CONCAT(url_path, '.html') FROM catalog_category_flat_store_1 WHERE entity_id=109));</v>
      </c>
      <c r="D326" t="str">
        <f t="shared" si="11"/>
        <v>UPDATE url_rewrite SET request_path = '64949/3987/Acrylic-for-Gridwall/Gridwall-Acrylic-Hosiery-Bin.html' WHERE entity_type='custom' AND target_path=(SELECT CONCAT(url_path, '.html') FROM catalog_category_flat_store_1 WHERE entity_id=109);</v>
      </c>
    </row>
    <row r="327" spans="1:4" x14ac:dyDescent="0.25">
      <c r="A327">
        <f>categories!B327</f>
        <v>110</v>
      </c>
      <c r="B327" t="str">
        <f>SUBSTITUTE(SUBSTITUTE(categories!H327,"\","/"),"www.americanretailsupply.com/","")</f>
        <v>64949/33435/Acrylic-for-Gridwall/Acrylic-Compact-Disc-Display-for-Slatwall-Gridwall-Pegboard-or-Wallmount.html</v>
      </c>
      <c r="C327" t="str">
        <f t="shared" si="10"/>
        <v>INSERT INTO url_rewrite (entity_type, entity_id, redirect_type, store_id, request_path, target_path) VALUES ('custom', 0, 301, 1,'64949/33435/Acrylic-for-Gridwall/Acrylic-Compact-Disc-Display-for-Slatwall-Gridwall-Pegboard-or-Wallmount.html',(SELECT CONCAT(url_path, '.html') FROM catalog_category_flat_store_1 WHERE entity_id=110));</v>
      </c>
      <c r="D327" t="str">
        <f t="shared" si="11"/>
        <v>UPDATE url_rewrite SET request_path = '64949/33435/Acrylic-for-Gridwall/Acrylic-Compact-Disc-Display-for-Slatwall-Gridwall-Pegboard-or-Wallmount.html' WHERE entity_type='custom' AND target_path=(SELECT CONCAT(url_path, '.html') FROM catalog_category_flat_store_1 WHERE entity_id=110);</v>
      </c>
    </row>
    <row r="328" spans="1:4" x14ac:dyDescent="0.25">
      <c r="A328">
        <f>categories!B328</f>
        <v>111</v>
      </c>
      <c r="B328" t="str">
        <f>SUBSTITUTE(SUBSTITUTE(categories!H328,"\","/"),"www.americanretailsupply.com/","")</f>
        <v>64949/34010/Acrylic-for-Gridwall/Acrylic-Brochure-Holders-for-Slatwall-Gridwall-or-Wallmount-for-123-Pocket.html</v>
      </c>
      <c r="C328" t="str">
        <f t="shared" si="10"/>
        <v>INSERT INTO url_rewrite (entity_type, entity_id, redirect_type, store_id, request_path, target_path) VALUES ('custom', 0, 301, 1,'64949/34010/Acrylic-for-Gridwall/Acrylic-Brochure-Holders-for-Slatwall-Gridwall-or-Wallmount-for-123-Pocket.html',(SELECT CONCAT(url_path, '.html') FROM catalog_category_flat_store_1 WHERE entity_id=111));</v>
      </c>
      <c r="D328" t="str">
        <f t="shared" si="11"/>
        <v>UPDATE url_rewrite SET request_path = '64949/34010/Acrylic-for-Gridwall/Acrylic-Brochure-Holders-for-Slatwall-Gridwall-or-Wallmount-for-123-Pocket.html' WHERE entity_type='custom' AND target_path=(SELECT CONCAT(url_path, '.html') FROM catalog_category_flat_store_1 WHERE entity_id=111);</v>
      </c>
    </row>
    <row r="329" spans="1:4" x14ac:dyDescent="0.25">
      <c r="A329">
        <f>categories!B329</f>
        <v>112</v>
      </c>
      <c r="B329" t="str">
        <f>SUBSTITUTE(SUBSTITUTE(categories!H329,"\","/"),"www.americanretailsupply.com/","")</f>
        <v>64949/34126/Acrylic-for-Gridwall/Acrylic-Shelves-for-Slatwall-Gridwall-or-Pegboard-Deluxe-14.html</v>
      </c>
      <c r="C329" t="str">
        <f t="shared" si="10"/>
        <v>INSERT INTO url_rewrite (entity_type, entity_id, redirect_type, store_id, request_path, target_path) VALUES ('custom', 0, 301, 1,'64949/34126/Acrylic-for-Gridwall/Acrylic-Shelves-for-Slatwall-Gridwall-or-Pegboard-Deluxe-14.html',(SELECT CONCAT(url_path, '.html') FROM catalog_category_flat_store_1 WHERE entity_id=112));</v>
      </c>
      <c r="D329" t="str">
        <f t="shared" si="11"/>
        <v>UPDATE url_rewrite SET request_path = '64949/34126/Acrylic-for-Gridwall/Acrylic-Shelves-for-Slatwall-Gridwall-or-Pegboard-Deluxe-14.html' WHERE entity_type='custom' AND target_path=(SELECT CONCAT(url_path, '.html') FROM catalog_category_flat_store_1 WHERE entity_id=112);</v>
      </c>
    </row>
    <row r="330" spans="1:4" x14ac:dyDescent="0.25">
      <c r="A330">
        <f>categories!B330</f>
        <v>113</v>
      </c>
      <c r="B330" t="str">
        <f>SUBSTITUTE(SUBSTITUTE(categories!H330,"\","/"),"www.americanretailsupply.com/","")</f>
        <v>64949/34157/Acrylic-for-Gridwall/Acrylic-Display-Trays-for-Slatwall-or-Gridwall.html</v>
      </c>
      <c r="C330" t="str">
        <f t="shared" si="10"/>
        <v>INSERT INTO url_rewrite (entity_type, entity_id, redirect_type, store_id, request_path, target_path) VALUES ('custom', 0, 301, 1,'64949/34157/Acrylic-for-Gridwall/Acrylic-Display-Trays-for-Slatwall-or-Gridwall.html',(SELECT CONCAT(url_path, '.html') FROM catalog_category_flat_store_1 WHERE entity_id=113));</v>
      </c>
      <c r="D330" t="str">
        <f t="shared" si="11"/>
        <v>UPDATE url_rewrite SET request_path = '64949/34157/Acrylic-for-Gridwall/Acrylic-Display-Trays-for-Slatwall-or-Gridwall.html' WHERE entity_type='custom' AND target_path=(SELECT CONCAT(url_path, '.html') FROM catalog_category_flat_store_1 WHERE entity_id=113);</v>
      </c>
    </row>
    <row r="331" spans="1:4" x14ac:dyDescent="0.25">
      <c r="A331">
        <f>categories!B331</f>
        <v>114</v>
      </c>
      <c r="B331" t="str">
        <f>SUBSTITUTE(SUBSTITUTE(categories!H331,"\","/"),"www.americanretailsupply.com/","")</f>
        <v>64949/173810/Acrylic-for-Gridwall/Acrylic-J-Rack-Divider-Molded.html</v>
      </c>
      <c r="C331" t="str">
        <f t="shared" si="10"/>
        <v>INSERT INTO url_rewrite (entity_type, entity_id, redirect_type, store_id, request_path, target_path) VALUES ('custom', 0, 301, 1,'64949/173810/Acrylic-for-Gridwall/Acrylic-J-Rack-Divider-Molded.html',(SELECT CONCAT(url_path, '.html') FROM catalog_category_flat_store_1 WHERE entity_id=114));</v>
      </c>
      <c r="D331" t="str">
        <f t="shared" si="11"/>
        <v>UPDATE url_rewrite SET request_path = '64949/173810/Acrylic-for-Gridwall/Acrylic-J-Rack-Divider-Molded.html' WHERE entity_type='custom' AND target_path=(SELECT CONCAT(url_path, '.html') FROM catalog_category_flat_store_1 WHERE entity_id=114);</v>
      </c>
    </row>
    <row r="332" spans="1:4" x14ac:dyDescent="0.25">
      <c r="A332">
        <f>categories!B332</f>
        <v>115</v>
      </c>
      <c r="B332" t="str">
        <f>SUBSTITUTE(SUBSTITUTE(categories!H332,"\","/"),"www.americanretailsupply.com/","")</f>
        <v>64949/774184/Acrylic-for-Gridwall/Gridwall-Acrylic-Sloping-Bins.html</v>
      </c>
      <c r="C332" t="str">
        <f t="shared" si="10"/>
        <v>INSERT INTO url_rewrite (entity_type, entity_id, redirect_type, store_id, request_path, target_path) VALUES ('custom', 0, 301, 1,'64949/774184/Acrylic-for-Gridwall/Gridwall-Acrylic-Sloping-Bins.html',(SELECT CONCAT(url_path, '.html') FROM catalog_category_flat_store_1 WHERE entity_id=115));</v>
      </c>
      <c r="D332" t="str">
        <f t="shared" si="11"/>
        <v>UPDATE url_rewrite SET request_path = '64949/774184/Acrylic-for-Gridwall/Gridwall-Acrylic-Sloping-Bins.html' WHERE entity_type='custom' AND target_path=(SELECT CONCAT(url_path, '.html') FROM catalog_category_flat_store_1 WHERE entity_id=115);</v>
      </c>
    </row>
    <row r="333" spans="1:4" x14ac:dyDescent="0.25">
      <c r="A333">
        <f>categories!B333</f>
        <v>117</v>
      </c>
      <c r="B333" t="str">
        <f>SUBSTITUTE(SUBSTITUTE(categories!H333,"\","/"),"www.americanretailsupply.com/","")</f>
        <v>64944/33862/Acrylic-for-Slatwall/Acrylic-Literature-Holder-for-Wallmount-Double-Pocket.html</v>
      </c>
      <c r="C333" t="str">
        <f t="shared" si="10"/>
        <v>INSERT INTO url_rewrite (entity_type, entity_id, redirect_type, store_id, request_path, target_path) VALUES ('custom', 0, 301, 1,'64944/33862/Acrylic-for-Slatwall/Acrylic-Literature-Holder-for-Wallmount-Double-Pocket.html',(SELECT CONCAT(url_path, '.html') FROM catalog_category_flat_store_1 WHERE entity_id=117));</v>
      </c>
      <c r="D333" t="str">
        <f t="shared" si="11"/>
        <v>UPDATE url_rewrite SET request_path = '64944/33862/Acrylic-for-Slatwall/Acrylic-Literature-Holder-for-Wallmount-Double-Pocket.html' WHERE entity_type='custom' AND target_path=(SELECT CONCAT(url_path, '.html') FROM catalog_category_flat_store_1 WHERE entity_id=117);</v>
      </c>
    </row>
    <row r="334" spans="1:4" x14ac:dyDescent="0.25">
      <c r="A334">
        <f>categories!B334</f>
        <v>118</v>
      </c>
      <c r="B334" t="str">
        <f>SUBSTITUTE(SUBSTITUTE(categories!H334,"\","/"),"www.americanretailsupply.com/","")</f>
        <v>64944/33972/Acrylic-for-Slatwall/Acrylic-Apparel-Hangers-for-Slatwall-or-Slatgrid.html</v>
      </c>
      <c r="C334" t="str">
        <f t="shared" si="10"/>
        <v>INSERT INTO url_rewrite (entity_type, entity_id, redirect_type, store_id, request_path, target_path) VALUES ('custom', 0, 301, 1,'64944/33972/Acrylic-for-Slatwall/Acrylic-Apparel-Hangers-for-Slatwall-or-Slatgrid.html',(SELECT CONCAT(url_path, '.html') FROM catalog_category_flat_store_1 WHERE entity_id=118));</v>
      </c>
      <c r="D334" t="str">
        <f t="shared" si="11"/>
        <v>UPDATE url_rewrite SET request_path = '64944/33972/Acrylic-for-Slatwall/Acrylic-Apparel-Hangers-for-Slatwall-or-Slatgrid.html' WHERE entity_type='custom' AND target_path=(SELECT CONCAT(url_path, '.html') FROM catalog_category_flat_store_1 WHERE entity_id=118);</v>
      </c>
    </row>
    <row r="335" spans="1:4" x14ac:dyDescent="0.25">
      <c r="A335">
        <f>categories!B335</f>
        <v>119</v>
      </c>
      <c r="B335" t="str">
        <f>SUBSTITUTE(SUBSTITUTE(categories!H335,"\","/"),"www.americanretailsupply.com/","")</f>
        <v>64944/34009/Acrylic-for-Slatwall/Acrylic-Literature-Holder-for-Counter-Slatwall-Gridwall-Economy.html</v>
      </c>
      <c r="C335" t="str">
        <f t="shared" si="10"/>
        <v>INSERT INTO url_rewrite (entity_type, entity_id, redirect_type, store_id, request_path, target_path) VALUES ('custom', 0, 301, 1,'64944/34009/Acrylic-for-Slatwall/Acrylic-Literature-Holder-for-Counter-Slatwall-Gridwall-Economy.html',(SELECT CONCAT(url_path, '.html') FROM catalog_category_flat_store_1 WHERE entity_id=119));</v>
      </c>
      <c r="D335" t="str">
        <f t="shared" si="11"/>
        <v>UPDATE url_rewrite SET request_path = '64944/34009/Acrylic-for-Slatwall/Acrylic-Literature-Holder-for-Counter-Slatwall-Gridwall-Economy.html' WHERE entity_type='custom' AND target_path=(SELECT CONCAT(url_path, '.html') FROM catalog_category_flat_store_1 WHERE entity_id=119);</v>
      </c>
    </row>
    <row r="336" spans="1:4" x14ac:dyDescent="0.25">
      <c r="A336">
        <f>categories!B336</f>
        <v>120</v>
      </c>
      <c r="B336" t="str">
        <f>SUBSTITUTE(SUBSTITUTE(categories!H336,"\","/"),"www.americanretailsupply.com/","")</f>
        <v>64944/34018/Acrylic-for-Slatwall/Acrylic-Book-Displayer-for-Slatwall.html</v>
      </c>
      <c r="C336" t="str">
        <f t="shared" si="10"/>
        <v>INSERT INTO url_rewrite (entity_type, entity_id, redirect_type, store_id, request_path, target_path) VALUES ('custom', 0, 301, 1,'64944/34018/Acrylic-for-Slatwall/Acrylic-Book-Displayer-for-Slatwall.html',(SELECT CONCAT(url_path, '.html') FROM catalog_category_flat_store_1 WHERE entity_id=120));</v>
      </c>
      <c r="D336" t="str">
        <f t="shared" si="11"/>
        <v>UPDATE url_rewrite SET request_path = '64944/34018/Acrylic-for-Slatwall/Acrylic-Book-Displayer-for-Slatwall.html' WHERE entity_type='custom' AND target_path=(SELECT CONCAT(url_path, '.html') FROM catalog_category_flat_store_1 WHERE entity_id=120);</v>
      </c>
    </row>
    <row r="337" spans="1:4" x14ac:dyDescent="0.25">
      <c r="A337">
        <f>categories!B337</f>
        <v>121</v>
      </c>
      <c r="B337" t="str">
        <f>SUBSTITUTE(SUBSTITUTE(categories!H337,"\","/"),"www.americanretailsupply.com/","")</f>
        <v>64944/34054/Acrylic-for-Slatwall/Acrylic-Easel-with-50-Tilt-for-Slatwall.html</v>
      </c>
      <c r="C337" t="str">
        <f t="shared" si="10"/>
        <v>INSERT INTO url_rewrite (entity_type, entity_id, redirect_type, store_id, request_path, target_path) VALUES ('custom', 0, 301, 1,'64944/34054/Acrylic-for-Slatwall/Acrylic-Easel-with-50-Tilt-for-Slatwall.html',(SELECT CONCAT(url_path, '.html') FROM catalog_category_flat_store_1 WHERE entity_id=121));</v>
      </c>
      <c r="D337" t="str">
        <f t="shared" si="11"/>
        <v>UPDATE url_rewrite SET request_path = '64944/34054/Acrylic-for-Slatwall/Acrylic-Easel-with-50-Tilt-for-Slatwall.html' WHERE entity_type='custom' AND target_path=(SELECT CONCAT(url_path, '.html') FROM catalog_category_flat_store_1 WHERE entity_id=121);</v>
      </c>
    </row>
    <row r="338" spans="1:4" x14ac:dyDescent="0.25">
      <c r="A338">
        <f>categories!B338</f>
        <v>122</v>
      </c>
      <c r="B338" t="str">
        <f>SUBSTITUTE(SUBSTITUTE(categories!H338,"\","/"),"www.americanretailsupply.com/","")</f>
        <v>64944/34071/Acrylic-for-Slatwall/Acrylic-Single-Watch-Display-for-Slatwall-or-Slatgrid.html</v>
      </c>
      <c r="C338" t="str">
        <f t="shared" si="10"/>
        <v>INSERT INTO url_rewrite (entity_type, entity_id, redirect_type, store_id, request_path, target_path) VALUES ('custom', 0, 301, 1,'64944/34071/Acrylic-for-Slatwall/Acrylic-Single-Watch-Display-for-Slatwall-or-Slatgrid.html',(SELECT CONCAT(url_path, '.html') FROM catalog_category_flat_store_1 WHERE entity_id=122));</v>
      </c>
      <c r="D338" t="str">
        <f t="shared" si="11"/>
        <v>UPDATE url_rewrite SET request_path = '64944/34071/Acrylic-for-Slatwall/Acrylic-Single-Watch-Display-for-Slatwall-or-Slatgrid.html' WHERE entity_type='custom' AND target_path=(SELECT CONCAT(url_path, '.html') FROM catalog_category_flat_store_1 WHERE entity_id=122);</v>
      </c>
    </row>
    <row r="339" spans="1:4" x14ac:dyDescent="0.25">
      <c r="A339">
        <f>categories!B339</f>
        <v>123</v>
      </c>
      <c r="B339" t="str">
        <f>SUBSTITUTE(SUBSTITUTE(categories!H339,"\","/"),"www.americanretailsupply.com/","")</f>
        <v>64944/34076/Acrylic-for-Slatwall/Acrylic-Eyeglass-Holder-for-Slatwall-or-Slatgrid.html</v>
      </c>
      <c r="C339" t="str">
        <f t="shared" si="10"/>
        <v>INSERT INTO url_rewrite (entity_type, entity_id, redirect_type, store_id, request_path, target_path) VALUES ('custom', 0, 301, 1,'64944/34076/Acrylic-for-Slatwall/Acrylic-Eyeglass-Holder-for-Slatwall-or-Slatgrid.html',(SELECT CONCAT(url_path, '.html') FROM catalog_category_flat_store_1 WHERE entity_id=123));</v>
      </c>
      <c r="D339" t="str">
        <f t="shared" si="11"/>
        <v>UPDATE url_rewrite SET request_path = '64944/34076/Acrylic-for-Slatwall/Acrylic-Eyeglass-Holder-for-Slatwall-or-Slatgrid.html' WHERE entity_type='custom' AND target_path=(SELECT CONCAT(url_path, '.html') FROM catalog_category_flat_store_1 WHERE entity_id=123);</v>
      </c>
    </row>
    <row r="340" spans="1:4" x14ac:dyDescent="0.25">
      <c r="A340">
        <f>categories!B340</f>
        <v>124</v>
      </c>
      <c r="B340" t="str">
        <f>SUBSTITUTE(SUBSTITUTE(categories!H340,"\","/"),"www.americanretailsupply.com/","")</f>
        <v>64944/34124/Acrylic-for-Slatwall/Economy-18-Acrylic-Shelves-for-Slatwall-or-Slatgrid.html</v>
      </c>
      <c r="C340" t="str">
        <f t="shared" si="10"/>
        <v>INSERT INTO url_rewrite (entity_type, entity_id, redirect_type, store_id, request_path, target_path) VALUES ('custom', 0, 301, 1,'64944/34124/Acrylic-for-Slatwall/Economy-18-Acrylic-Shelves-for-Slatwall-or-Slatgrid.html',(SELECT CONCAT(url_path, '.html') FROM catalog_category_flat_store_1 WHERE entity_id=124));</v>
      </c>
      <c r="D340" t="str">
        <f t="shared" si="11"/>
        <v>UPDATE url_rewrite SET request_path = '64944/34124/Acrylic-for-Slatwall/Economy-18-Acrylic-Shelves-for-Slatwall-or-Slatgrid.html' WHERE entity_type='custom' AND target_path=(SELECT CONCAT(url_path, '.html') FROM catalog_category_flat_store_1 WHERE entity_id=124);</v>
      </c>
    </row>
    <row r="341" spans="1:4" x14ac:dyDescent="0.25">
      <c r="A341">
        <f>categories!B341</f>
        <v>125</v>
      </c>
      <c r="B341" t="str">
        <f>SUBSTITUTE(SUBSTITUTE(categories!H341,"\","/"),"www.americanretailsupply.com/","")</f>
        <v>64944/34127/Acrylic-for-Slatwall/Acrylic-Flat-Braced-Shelves-for-Slatwall-Slatgrid.html</v>
      </c>
      <c r="C341" t="str">
        <f t="shared" si="10"/>
        <v>INSERT INTO url_rewrite (entity_type, entity_id, redirect_type, store_id, request_path, target_path) VALUES ('custom', 0, 301, 1,'64944/34127/Acrylic-for-Slatwall/Acrylic-Flat-Braced-Shelves-for-Slatwall-Slatgrid.html',(SELECT CONCAT(url_path, '.html') FROM catalog_category_flat_store_1 WHERE entity_id=125));</v>
      </c>
      <c r="D341" t="str">
        <f t="shared" si="11"/>
        <v>UPDATE url_rewrite SET request_path = '64944/34127/Acrylic-for-Slatwall/Acrylic-Flat-Braced-Shelves-for-Slatwall-Slatgrid.html' WHERE entity_type='custom' AND target_path=(SELECT CONCAT(url_path, '.html') FROM catalog_category_flat_store_1 WHERE entity_id=125);</v>
      </c>
    </row>
    <row r="342" spans="1:4" x14ac:dyDescent="0.25">
      <c r="A342">
        <f>categories!B342</f>
        <v>126</v>
      </c>
      <c r="B342" t="str">
        <f>SUBSTITUTE(SUBSTITUTE(categories!H342,"\","/"),"www.americanretailsupply.com/","")</f>
        <v>64944/34133/Acrylic-for-Slatwall/Acrylic-Shelves-for-Slatwall-316-thick.html</v>
      </c>
      <c r="C342" t="str">
        <f t="shared" si="10"/>
        <v>INSERT INTO url_rewrite (entity_type, entity_id, redirect_type, store_id, request_path, target_path) VALUES ('custom', 0, 301, 1,'64944/34133/Acrylic-for-Slatwall/Acrylic-Shelves-for-Slatwall-316-thick.html',(SELECT CONCAT(url_path, '.html') FROM catalog_category_flat_store_1 WHERE entity_id=126));</v>
      </c>
      <c r="D342" t="str">
        <f t="shared" si="11"/>
        <v>UPDATE url_rewrite SET request_path = '64944/34133/Acrylic-for-Slatwall/Acrylic-Shelves-for-Slatwall-316-thick.html' WHERE entity_type='custom' AND target_path=(SELECT CONCAT(url_path, '.html') FROM catalog_category_flat_store_1 WHERE entity_id=126);</v>
      </c>
    </row>
    <row r="343" spans="1:4" x14ac:dyDescent="0.25">
      <c r="A343">
        <f>categories!B343</f>
        <v>127</v>
      </c>
      <c r="B343" t="str">
        <f>SUBSTITUTE(SUBSTITUTE(categories!H343,"\","/"),"www.americanretailsupply.com/","")</f>
        <v>64944/34135/Acrylic-for-Slatwall/Acrylic-Slatwall-Maxi-Length-Shelves.html</v>
      </c>
      <c r="C343" t="str">
        <f t="shared" si="10"/>
        <v>INSERT INTO url_rewrite (entity_type, entity_id, redirect_type, store_id, request_path, target_path) VALUES ('custom', 0, 301, 1,'64944/34135/Acrylic-for-Slatwall/Acrylic-Slatwall-Maxi-Length-Shelves.html',(SELECT CONCAT(url_path, '.html') FROM catalog_category_flat_store_1 WHERE entity_id=127));</v>
      </c>
      <c r="D343" t="str">
        <f t="shared" si="11"/>
        <v>UPDATE url_rewrite SET request_path = '64944/34135/Acrylic-for-Slatwall/Acrylic-Slatwall-Maxi-Length-Shelves.html' WHERE entity_type='custom' AND target_path=(SELECT CONCAT(url_path, '.html') FROM catalog_category_flat_store_1 WHERE entity_id=127);</v>
      </c>
    </row>
    <row r="344" spans="1:4" x14ac:dyDescent="0.25">
      <c r="A344">
        <f>categories!B344</f>
        <v>128</v>
      </c>
      <c r="B344" t="str">
        <f>SUBSTITUTE(SUBSTITUTE(categories!H344,"\","/"),"www.americanretailsupply.com/","")</f>
        <v>64944/34136/Acrylic-for-Slatwall/Acrylic-Shelves-for-Slatwall-Slatgrid-with-sides.html</v>
      </c>
      <c r="C344" t="str">
        <f t="shared" si="10"/>
        <v>INSERT INTO url_rewrite (entity_type, entity_id, redirect_type, store_id, request_path, target_path) VALUES ('custom', 0, 301, 1,'64944/34136/Acrylic-for-Slatwall/Acrylic-Shelves-for-Slatwall-Slatgrid-with-sides.html',(SELECT CONCAT(url_path, '.html') FROM catalog_category_flat_store_1 WHERE entity_id=128));</v>
      </c>
      <c r="D344" t="str">
        <f t="shared" si="11"/>
        <v>UPDATE url_rewrite SET request_path = '64944/34136/Acrylic-for-Slatwall/Acrylic-Shelves-for-Slatwall-Slatgrid-with-sides.html' WHERE entity_type='custom' AND target_path=(SELECT CONCAT(url_path, '.html') FROM catalog_category_flat_store_1 WHERE entity_id=128);</v>
      </c>
    </row>
    <row r="345" spans="1:4" x14ac:dyDescent="0.25">
      <c r="A345">
        <f>categories!B345</f>
        <v>129</v>
      </c>
      <c r="B345" t="str">
        <f>SUBSTITUTE(SUBSTITUTE(categories!H345,"\","/"),"www.americanretailsupply.com/","")</f>
        <v>64944/34137/Acrylic-for-Slatwall/Molded-Slatwall-Acrylic-Shelves.html</v>
      </c>
      <c r="C345" t="str">
        <f t="shared" si="10"/>
        <v>INSERT INTO url_rewrite (entity_type, entity_id, redirect_type, store_id, request_path, target_path) VALUES ('custom', 0, 301, 1,'64944/34137/Acrylic-for-Slatwall/Molded-Slatwall-Acrylic-Shelves.html',(SELECT CONCAT(url_path, '.html') FROM catalog_category_flat_store_1 WHERE entity_id=129));</v>
      </c>
      <c r="D345" t="str">
        <f t="shared" si="11"/>
        <v>UPDATE url_rewrite SET request_path = '64944/34137/Acrylic-for-Slatwall/Molded-Slatwall-Acrylic-Shelves.html' WHERE entity_type='custom' AND target_path=(SELECT CONCAT(url_path, '.html') FROM catalog_category_flat_store_1 WHERE entity_id=129);</v>
      </c>
    </row>
    <row r="346" spans="1:4" x14ac:dyDescent="0.25">
      <c r="A346">
        <f>categories!B346</f>
        <v>130</v>
      </c>
      <c r="B346" t="str">
        <f>SUBSTITUTE(SUBSTITUTE(categories!H346,"\","/"),"www.americanretailsupply.com/","")</f>
        <v>64944/34138/Acrylic-for-Slatwall/Acrylic-Slatwall-Flat-Braced-Shelves-with-Front-Lip.html</v>
      </c>
      <c r="C346" t="str">
        <f t="shared" si="10"/>
        <v>INSERT INTO url_rewrite (entity_type, entity_id, redirect_type, store_id, request_path, target_path) VALUES ('custom', 0, 301, 1,'64944/34138/Acrylic-for-Slatwall/Acrylic-Slatwall-Flat-Braced-Shelves-with-Front-Lip.html',(SELECT CONCAT(url_path, '.html') FROM catalog_category_flat_store_1 WHERE entity_id=130));</v>
      </c>
      <c r="D346" t="str">
        <f t="shared" si="11"/>
        <v>UPDATE url_rewrite SET request_path = '64944/34138/Acrylic-for-Slatwall/Acrylic-Slatwall-Flat-Braced-Shelves-with-Front-Lip.html' WHERE entity_type='custom' AND target_path=(SELECT CONCAT(url_path, '.html') FROM catalog_category_flat_store_1 WHERE entity_id=130);</v>
      </c>
    </row>
    <row r="347" spans="1:4" x14ac:dyDescent="0.25">
      <c r="A347">
        <f>categories!B347</f>
        <v>131</v>
      </c>
      <c r="B347" t="str">
        <f>SUBSTITUTE(SUBSTITUTE(categories!H347,"\","/"),"www.americanretailsupply.com/","")</f>
        <v>64944/34145/Acrylic-for-Slatwall/Acrylic-Display-Holders-for-Packaged-Items-for-Slatwall-Open-Sided.html</v>
      </c>
      <c r="C347" t="str">
        <f t="shared" si="10"/>
        <v>INSERT INTO url_rewrite (entity_type, entity_id, redirect_type, store_id, request_path, target_path) VALUES ('custom', 0, 301, 1,'64944/34145/Acrylic-for-Slatwall/Acrylic-Display-Holders-for-Packaged-Items-for-Slatwall-Open-Sided.html',(SELECT CONCAT(url_path, '.html') FROM catalog_category_flat_store_1 WHERE entity_id=131));</v>
      </c>
      <c r="D347" t="str">
        <f t="shared" si="11"/>
        <v>UPDATE url_rewrite SET request_path = '64944/34145/Acrylic-for-Slatwall/Acrylic-Display-Holders-for-Packaged-Items-for-Slatwall-Open-Sided.html' WHERE entity_type='custom' AND target_path=(SELECT CONCAT(url_path, '.html') FROM catalog_category_flat_store_1 WHERE entity_id=131);</v>
      </c>
    </row>
    <row r="348" spans="1:4" x14ac:dyDescent="0.25">
      <c r="A348">
        <f>categories!B348</f>
        <v>132</v>
      </c>
      <c r="B348" t="str">
        <f>SUBSTITUTE(SUBSTITUTE(categories!H348,"\","/"),"www.americanretailsupply.com/","")</f>
        <v>64944/34146/Acrylic-for-Slatwall/Acrylic-Shelves-for-Slatwall-with-Lip-Slanted-or-Braced-Slanted.html</v>
      </c>
      <c r="C348" t="str">
        <f t="shared" si="10"/>
        <v>INSERT INTO url_rewrite (entity_type, entity_id, redirect_type, store_id, request_path, target_path) VALUES ('custom', 0, 301, 1,'64944/34146/Acrylic-for-Slatwall/Acrylic-Shelves-for-Slatwall-with-Lip-Slanted-or-Braced-Slanted.html',(SELECT CONCAT(url_path, '.html') FROM catalog_category_flat_store_1 WHERE entity_id=132));</v>
      </c>
      <c r="D348" t="str">
        <f t="shared" si="11"/>
        <v>UPDATE url_rewrite SET request_path = '64944/34146/Acrylic-for-Slatwall/Acrylic-Shelves-for-Slatwall-with-Lip-Slanted-or-Braced-Slanted.html' WHERE entity_type='custom' AND target_path=(SELECT CONCAT(url_path, '.html') FROM catalog_category_flat_store_1 WHERE entity_id=132);</v>
      </c>
    </row>
    <row r="349" spans="1:4" x14ac:dyDescent="0.25">
      <c r="A349">
        <f>categories!B349</f>
        <v>133</v>
      </c>
      <c r="B349" t="str">
        <f>SUBSTITUTE(SUBSTITUTE(categories!H349,"\","/"),"www.americanretailsupply.com/","")</f>
        <v>64944/34152/Acrylic-for-Slatwall/Acrylic-J-Rack-20-Tilt-Back-for-Slatwall-or-Gridwall.html</v>
      </c>
      <c r="C349" t="str">
        <f t="shared" si="10"/>
        <v>INSERT INTO url_rewrite (entity_type, entity_id, redirect_type, store_id, request_path, target_path) VALUES ('custom', 0, 301, 1,'64944/34152/Acrylic-for-Slatwall/Acrylic-J-Rack-20-Tilt-Back-for-Slatwall-or-Gridwall.html',(SELECT CONCAT(url_path, '.html') FROM catalog_category_flat_store_1 WHERE entity_id=133));</v>
      </c>
      <c r="D349" t="str">
        <f t="shared" si="11"/>
        <v>UPDATE url_rewrite SET request_path = '64944/34152/Acrylic-for-Slatwall/Acrylic-J-Rack-20-Tilt-Back-for-Slatwall-or-Gridwall.html' WHERE entity_type='custom' AND target_path=(SELECT CONCAT(url_path, '.html') FROM catalog_category_flat_store_1 WHERE entity_id=133);</v>
      </c>
    </row>
    <row r="350" spans="1:4" x14ac:dyDescent="0.25">
      <c r="A350">
        <f>categories!B350</f>
        <v>134</v>
      </c>
      <c r="B350" t="str">
        <f>SUBSTITUTE(SUBSTITUTE(categories!H350,"\","/"),"www.americanretailsupply.com/","")</f>
        <v>64944/34153/Acrylic-for-Slatwall/Acrylic-J-Racks-Large-for-Slatwall.html</v>
      </c>
      <c r="C350" t="str">
        <f t="shared" si="10"/>
        <v>INSERT INTO url_rewrite (entity_type, entity_id, redirect_type, store_id, request_path, target_path) VALUES ('custom', 0, 301, 1,'64944/34153/Acrylic-for-Slatwall/Acrylic-J-Racks-Large-for-Slatwall.html',(SELECT CONCAT(url_path, '.html') FROM catalog_category_flat_store_1 WHERE entity_id=134));</v>
      </c>
      <c r="D350" t="str">
        <f t="shared" si="11"/>
        <v>UPDATE url_rewrite SET request_path = '64944/34153/Acrylic-for-Slatwall/Acrylic-J-Racks-Large-for-Slatwall.html' WHERE entity_type='custom' AND target_path=(SELECT CONCAT(url_path, '.html') FROM catalog_category_flat_store_1 WHERE entity_id=134);</v>
      </c>
    </row>
    <row r="351" spans="1:4" x14ac:dyDescent="0.25">
      <c r="A351">
        <f>categories!B351</f>
        <v>135</v>
      </c>
      <c r="B351" t="str">
        <f>SUBSTITUTE(SUBSTITUTE(categories!H351,"\","/"),"www.americanretailsupply.com/","")</f>
        <v>64944/34262/Acrylic-for-Slatwall/Acrylic-Hook-for-Slatwall-or-Slatgrid.html</v>
      </c>
      <c r="C351" t="str">
        <f t="shared" si="10"/>
        <v>INSERT INTO url_rewrite (entity_type, entity_id, redirect_type, store_id, request_path, target_path) VALUES ('custom', 0, 301, 1,'64944/34262/Acrylic-for-Slatwall/Acrylic-Hook-for-Slatwall-or-Slatgrid.html',(SELECT CONCAT(url_path, '.html') FROM catalog_category_flat_store_1 WHERE entity_id=135));</v>
      </c>
      <c r="D351" t="str">
        <f t="shared" si="11"/>
        <v>UPDATE url_rewrite SET request_path = '64944/34262/Acrylic-for-Slatwall/Acrylic-Hook-for-Slatwall-or-Slatgrid.html' WHERE entity_type='custom' AND target_path=(SELECT CONCAT(url_path, '.html') FROM catalog_category_flat_store_1 WHERE entity_id=135);</v>
      </c>
    </row>
    <row r="352" spans="1:4" x14ac:dyDescent="0.25">
      <c r="A352">
        <f>categories!B352</f>
        <v>136</v>
      </c>
      <c r="B352" t="str">
        <f>SUBSTITUTE(SUBSTITUTE(categories!H352,"\","/"),"www.americanretailsupply.com/","")</f>
        <v>64944/34269/Acrylic-for-Slatwall/Acrylic-Faceout-Hook-for-Slatwall-or-Slatgrid.html</v>
      </c>
      <c r="C352" t="str">
        <f t="shared" si="10"/>
        <v>INSERT INTO url_rewrite (entity_type, entity_id, redirect_type, store_id, request_path, target_path) VALUES ('custom', 0, 301, 1,'64944/34269/Acrylic-for-Slatwall/Acrylic-Faceout-Hook-for-Slatwall-or-Slatgrid.html',(SELECT CONCAT(url_path, '.html') FROM catalog_category_flat_store_1 WHERE entity_id=136));</v>
      </c>
      <c r="D352" t="str">
        <f t="shared" si="11"/>
        <v>UPDATE url_rewrite SET request_path = '64944/34269/Acrylic-for-Slatwall/Acrylic-Faceout-Hook-for-Slatwall-or-Slatgrid.html' WHERE entity_type='custom' AND target_path=(SELECT CONCAT(url_path, '.html') FROM catalog_category_flat_store_1 WHERE entity_id=136);</v>
      </c>
    </row>
    <row r="353" spans="1:4" x14ac:dyDescent="0.25">
      <c r="A353">
        <f>categories!B353</f>
        <v>137</v>
      </c>
      <c r="B353" t="str">
        <f>SUBSTITUTE(SUBSTITUTE(categories!H353,"\","/"),"www.americanretailsupply.com/","")</f>
        <v>64944/34270/Acrylic-for-Slatwall/Acrylic-Molded-Hooks-for-Slatwall.html</v>
      </c>
      <c r="C353" t="str">
        <f t="shared" si="10"/>
        <v>INSERT INTO url_rewrite (entity_type, entity_id, redirect_type, store_id, request_path, target_path) VALUES ('custom', 0, 301, 1,'64944/34270/Acrylic-for-Slatwall/Acrylic-Molded-Hooks-for-Slatwall.html',(SELECT CONCAT(url_path, '.html') FROM catalog_category_flat_store_1 WHERE entity_id=137));</v>
      </c>
      <c r="D353" t="str">
        <f t="shared" si="11"/>
        <v>UPDATE url_rewrite SET request_path = '64944/34270/Acrylic-for-Slatwall/Acrylic-Molded-Hooks-for-Slatwall.html' WHERE entity_type='custom' AND target_path=(SELECT CONCAT(url_path, '.html') FROM catalog_category_flat_store_1 WHERE entity_id=137);</v>
      </c>
    </row>
    <row r="354" spans="1:4" x14ac:dyDescent="0.25">
      <c r="A354">
        <f>categories!B354</f>
        <v>138</v>
      </c>
      <c r="B354" t="str">
        <f>SUBSTITUTE(SUBSTITUTE(categories!H354,"\","/"),"www.americanretailsupply.com/","")</f>
        <v>64944/34272/Acrylic-for-Slatwall/Acrylic-Small-Bar-for-Slatwall.html</v>
      </c>
      <c r="C354" t="str">
        <f t="shared" si="10"/>
        <v>INSERT INTO url_rewrite (entity_type, entity_id, redirect_type, store_id, request_path, target_path) VALUES ('custom', 0, 301, 1,'64944/34272/Acrylic-for-Slatwall/Acrylic-Small-Bar-for-Slatwall.html',(SELECT CONCAT(url_path, '.html') FROM catalog_category_flat_store_1 WHERE entity_id=138));</v>
      </c>
      <c r="D354" t="str">
        <f t="shared" si="11"/>
        <v>UPDATE url_rewrite SET request_path = '64944/34272/Acrylic-for-Slatwall/Acrylic-Small-Bar-for-Slatwall.html' WHERE entity_type='custom' AND target_path=(SELECT CONCAT(url_path, '.html') FROM catalog_category_flat_store_1 WHERE entity_id=138);</v>
      </c>
    </row>
    <row r="355" spans="1:4" x14ac:dyDescent="0.25">
      <c r="A355">
        <f>categories!B355</f>
        <v>139</v>
      </c>
      <c r="B355" t="str">
        <f>SUBSTITUTE(SUBSTITUTE(categories!H355,"\","/"),"www.americanretailsupply.com/","")</f>
        <v>64944/34303/Acrylic-for-Slatwall/Acrylic-Polycarbonate-Brackets-for-Slatwall-or-Slatgrid.html</v>
      </c>
      <c r="C355" t="str">
        <f t="shared" si="10"/>
        <v>INSERT INTO url_rewrite (entity_type, entity_id, redirect_type, store_id, request_path, target_path) VALUES ('custom', 0, 301, 1,'64944/34303/Acrylic-for-Slatwall/Acrylic-Polycarbonate-Brackets-for-Slatwall-or-Slatgrid.html',(SELECT CONCAT(url_path, '.html') FROM catalog_category_flat_store_1 WHERE entity_id=139));</v>
      </c>
      <c r="D355" t="str">
        <f t="shared" si="11"/>
        <v>UPDATE url_rewrite SET request_path = '64944/34303/Acrylic-for-Slatwall/Acrylic-Polycarbonate-Brackets-for-Slatwall-or-Slatgrid.html' WHERE entity_type='custom' AND target_path=(SELECT CONCAT(url_path, '.html') FROM catalog_category_flat_store_1 WHERE entity_id=139);</v>
      </c>
    </row>
    <row r="356" spans="1:4" x14ac:dyDescent="0.25">
      <c r="A356">
        <f>categories!B356</f>
        <v>140</v>
      </c>
      <c r="B356" t="str">
        <f>SUBSTITUTE(SUBSTITUTE(categories!H356,"\","/"),"www.americanretailsupply.com/","")</f>
        <v>64944/173756/Acrylic-for-Slatwall/Acrylic-J-Rack-Economy-with-10-Tilt-for-Slatwall.html</v>
      </c>
      <c r="C356" t="str">
        <f t="shared" si="10"/>
        <v>INSERT INTO url_rewrite (entity_type, entity_id, redirect_type, store_id, request_path, target_path) VALUES ('custom', 0, 301, 1,'64944/173756/Acrylic-for-Slatwall/Acrylic-J-Rack-Economy-with-10-Tilt-for-Slatwall.html',(SELECT CONCAT(url_path, '.html') FROM catalog_category_flat_store_1 WHERE entity_id=140));</v>
      </c>
      <c r="D356" t="str">
        <f t="shared" si="11"/>
        <v>UPDATE url_rewrite SET request_path = '64944/173756/Acrylic-for-Slatwall/Acrylic-J-Rack-Economy-with-10-Tilt-for-Slatwall.html' WHERE entity_type='custom' AND target_path=(SELECT CONCAT(url_path, '.html') FROM catalog_category_flat_store_1 WHERE entity_id=140);</v>
      </c>
    </row>
    <row r="357" spans="1:4" x14ac:dyDescent="0.25">
      <c r="A357">
        <f>categories!B357</f>
        <v>141</v>
      </c>
      <c r="B357" t="str">
        <f>SUBSTITUTE(SUBSTITUTE(categories!H357,"\","/"),"www.americanretailsupply.com/","")</f>
        <v>64944/173759/Acrylic-for-Slatwall/Acrylic-Tray-for-Packaged-Items-for-Slatwall-or-Slatgrid.html</v>
      </c>
      <c r="C357" t="str">
        <f t="shared" si="10"/>
        <v>INSERT INTO url_rewrite (entity_type, entity_id, redirect_type, store_id, request_path, target_path) VALUES ('custom', 0, 301, 1,'64944/173759/Acrylic-for-Slatwall/Acrylic-Tray-for-Packaged-Items-for-Slatwall-or-Slatgrid.html',(SELECT CONCAT(url_path, '.html') FROM catalog_category_flat_store_1 WHERE entity_id=141));</v>
      </c>
      <c r="D357" t="str">
        <f t="shared" si="11"/>
        <v>UPDATE url_rewrite SET request_path = '64944/173759/Acrylic-for-Slatwall/Acrylic-Tray-for-Packaged-Items-for-Slatwall-or-Slatgrid.html' WHERE entity_type='custom' AND target_path=(SELECT CONCAT(url_path, '.html') FROM catalog_category_flat_store_1 WHERE entity_id=141);</v>
      </c>
    </row>
    <row r="358" spans="1:4" x14ac:dyDescent="0.25">
      <c r="A358">
        <f>categories!B358</f>
        <v>142</v>
      </c>
      <c r="B358" t="str">
        <f>SUBSTITUTE(SUBSTITUTE(categories!H358,"\","/"),"www.americanretailsupply.com/","")</f>
        <v>64944/228539/Acrylic-for-Slatwall/Acrylic-Molded-Economy-Shelves-for-Slatwall.html</v>
      </c>
      <c r="C358" t="str">
        <f t="shared" si="10"/>
        <v>INSERT INTO url_rewrite (entity_type, entity_id, redirect_type, store_id, request_path, target_path) VALUES ('custom', 0, 301, 1,'64944/228539/Acrylic-for-Slatwall/Acrylic-Molded-Economy-Shelves-for-Slatwall.html',(SELECT CONCAT(url_path, '.html') FROM catalog_category_flat_store_1 WHERE entity_id=142));</v>
      </c>
      <c r="D358" t="str">
        <f t="shared" si="11"/>
        <v>UPDATE url_rewrite SET request_path = '64944/228539/Acrylic-for-Slatwall/Acrylic-Molded-Economy-Shelves-for-Slatwall.html' WHERE entity_type='custom' AND target_path=(SELECT CONCAT(url_path, '.html') FROM catalog_category_flat_store_1 WHERE entity_id=142);</v>
      </c>
    </row>
    <row r="359" spans="1:4" x14ac:dyDescent="0.25">
      <c r="A359">
        <f>categories!B359</f>
        <v>143</v>
      </c>
      <c r="B359" t="str">
        <f>SUBSTITUTE(SUBSTITUTE(categories!H359,"\","/"),"www.americanretailsupply.com/","")</f>
        <v>64944/228551/Acrylic-for-Slatwall/Acrylic-45-Slanted-Shelf-for-Slatwall-or-Slatgrid.html</v>
      </c>
      <c r="C359" t="str">
        <f t="shared" si="10"/>
        <v>INSERT INTO url_rewrite (entity_type, entity_id, redirect_type, store_id, request_path, target_path) VALUES ('custom', 0, 301, 1,'64944/228551/Acrylic-for-Slatwall/Acrylic-45-Slanted-Shelf-for-Slatwall-or-Slatgrid.html',(SELECT CONCAT(url_path, '.html') FROM catalog_category_flat_store_1 WHERE entity_id=143));</v>
      </c>
      <c r="D359" t="str">
        <f t="shared" si="11"/>
        <v>UPDATE url_rewrite SET request_path = '64944/228551/Acrylic-for-Slatwall/Acrylic-45-Slanted-Shelf-for-Slatwall-or-Slatgrid.html' WHERE entity_type='custom' AND target_path=(SELECT CONCAT(url_path, '.html') FROM catalog_category_flat_store_1 WHERE entity_id=143);</v>
      </c>
    </row>
    <row r="360" spans="1:4" x14ac:dyDescent="0.25">
      <c r="A360">
        <f>categories!B360</f>
        <v>144</v>
      </c>
      <c r="B360" t="str">
        <f>SUBSTITUTE(SUBSTITUTE(categories!H360,"\","/"),"www.americanretailsupply.com/","")</f>
        <v>64944/576368/Acrylic-for-Slatwall/Acrylic-J-Racks-Shelves-for-Slatwall.html</v>
      </c>
      <c r="C360" t="str">
        <f t="shared" si="10"/>
        <v>INSERT INTO url_rewrite (entity_type, entity_id, redirect_type, store_id, request_path, target_path) VALUES ('custom', 0, 301, 1,'64944/576368/Acrylic-for-Slatwall/Acrylic-J-Racks-Shelves-for-Slatwall.html',(SELECT CONCAT(url_path, '.html') FROM catalog_category_flat_store_1 WHERE entity_id=144));</v>
      </c>
      <c r="D360" t="str">
        <f t="shared" si="11"/>
        <v>UPDATE url_rewrite SET request_path = '64944/576368/Acrylic-for-Slatwall/Acrylic-J-Racks-Shelves-for-Slatwall.html' WHERE entity_type='custom' AND target_path=(SELECT CONCAT(url_path, '.html') FROM catalog_category_flat_store_1 WHERE entity_id=144);</v>
      </c>
    </row>
    <row r="361" spans="1:4" x14ac:dyDescent="0.25">
      <c r="A361">
        <f>categories!B361</f>
        <v>145</v>
      </c>
      <c r="B361" t="str">
        <f>SUBSTITUTE(SUBSTITUTE(categories!H361,"\","/"),"www.americanretailsupply.com/","")</f>
        <v>64944/577223/Acrylic-for-Slatwall/Acrylic-J-Racks-for-Slatwall-Economy.html</v>
      </c>
      <c r="C361" t="str">
        <f t="shared" si="10"/>
        <v>INSERT INTO url_rewrite (entity_type, entity_id, redirect_type, store_id, request_path, target_path) VALUES ('custom', 0, 301, 1,'64944/577223/Acrylic-for-Slatwall/Acrylic-J-Racks-for-Slatwall-Economy.html',(SELECT CONCAT(url_path, '.html') FROM catalog_category_flat_store_1 WHERE entity_id=145));</v>
      </c>
      <c r="D361" t="str">
        <f t="shared" si="11"/>
        <v>UPDATE url_rewrite SET request_path = '64944/577223/Acrylic-for-Slatwall/Acrylic-J-Racks-for-Slatwall-Economy.html' WHERE entity_type='custom' AND target_path=(SELECT CONCAT(url_path, '.html') FROM catalog_category_flat_store_1 WHERE entity_id=145);</v>
      </c>
    </row>
    <row r="362" spans="1:4" x14ac:dyDescent="0.25">
      <c r="A362">
        <f>categories!B362</f>
        <v>146</v>
      </c>
      <c r="B362" t="str">
        <f>SUBSTITUTE(SUBSTITUTE(categories!H362,"\","/"),"www.americanretailsupply.com/","")</f>
        <v>64944/577354/Acrylic-for-Slatwall/Acrylic-Business-Card-Holders-for-Slatwall-or-Slatgrid.html</v>
      </c>
      <c r="C362" t="str">
        <f t="shared" si="10"/>
        <v>INSERT INTO url_rewrite (entity_type, entity_id, redirect_type, store_id, request_path, target_path) VALUES ('custom', 0, 301, 1,'64944/577354/Acrylic-for-Slatwall/Acrylic-Business-Card-Holders-for-Slatwall-or-Slatgrid.html',(SELECT CONCAT(url_path, '.html') FROM catalog_category_flat_store_1 WHERE entity_id=146));</v>
      </c>
      <c r="D362" t="str">
        <f t="shared" si="11"/>
        <v>UPDATE url_rewrite SET request_path = '64944/577354/Acrylic-for-Slatwall/Acrylic-Business-Card-Holders-for-Slatwall-or-Slatgrid.html' WHERE entity_type='custom' AND target_path=(SELECT CONCAT(url_path, '.html') FROM catalog_category_flat_store_1 WHERE entity_id=146);</v>
      </c>
    </row>
    <row r="363" spans="1:4" x14ac:dyDescent="0.25">
      <c r="A363">
        <f>categories!B363</f>
        <v>147</v>
      </c>
      <c r="B363" t="str">
        <f>SUBSTITUTE(SUBSTITUTE(categories!H363,"\","/"),"www.americanretailsupply.com/","")</f>
        <v>64944/579426/Acrylic-for-Slatwall/Acrylic-Shelves-for-Slatwall-Deluxe-Slanted-1-Lip.html</v>
      </c>
      <c r="C363" t="str">
        <f t="shared" si="10"/>
        <v>INSERT INTO url_rewrite (entity_type, entity_id, redirect_type, store_id, request_path, target_path) VALUES ('custom', 0, 301, 1,'64944/579426/Acrylic-for-Slatwall/Acrylic-Shelves-for-Slatwall-Deluxe-Slanted-1-Lip.html',(SELECT CONCAT(url_path, '.html') FROM catalog_category_flat_store_1 WHERE entity_id=147));</v>
      </c>
      <c r="D363" t="str">
        <f t="shared" si="11"/>
        <v>UPDATE url_rewrite SET request_path = '64944/579426/Acrylic-for-Slatwall/Acrylic-Shelves-for-Slatwall-Deluxe-Slanted-1-Lip.html' WHERE entity_type='custom' AND target_path=(SELECT CONCAT(url_path, '.html') FROM catalog_category_flat_store_1 WHERE entity_id=147);</v>
      </c>
    </row>
    <row r="364" spans="1:4" x14ac:dyDescent="0.25">
      <c r="A364">
        <f>categories!B364</f>
        <v>148</v>
      </c>
      <c r="B364" t="str">
        <f>SUBSTITUTE(SUBSTITUTE(categories!H364,"\","/"),"www.americanretailsupply.com/","")</f>
        <v>64944/773223/Acrylic-for-Slatwall/Acrylic-Mirrors-for-Slatwall.html</v>
      </c>
      <c r="C364" t="str">
        <f t="shared" si="10"/>
        <v>INSERT INTO url_rewrite (entity_type, entity_id, redirect_type, store_id, request_path, target_path) VALUES ('custom', 0, 301, 1,'64944/773223/Acrylic-for-Slatwall/Acrylic-Mirrors-for-Slatwall.html',(SELECT CONCAT(url_path, '.html') FROM catalog_category_flat_store_1 WHERE entity_id=148));</v>
      </c>
      <c r="D364" t="str">
        <f t="shared" si="11"/>
        <v>UPDATE url_rewrite SET request_path = '64944/773223/Acrylic-for-Slatwall/Acrylic-Mirrors-for-Slatwall.html' WHERE entity_type='custom' AND target_path=(SELECT CONCAT(url_path, '.html') FROM catalog_category_flat_store_1 WHERE entity_id=148);</v>
      </c>
    </row>
    <row r="365" spans="1:4" x14ac:dyDescent="0.25">
      <c r="A365">
        <f>categories!B365</f>
        <v>149</v>
      </c>
      <c r="B365" t="str">
        <f>SUBSTITUTE(SUBSTITUTE(categories!H365,"\","/"),"www.americanretailsupply.com/","")</f>
        <v>64944/782982/Acrylic-for-Slatwall/Slatwall-or-Slatgrid-Acrylic-Sign-Holders.html</v>
      </c>
      <c r="C365" t="str">
        <f t="shared" si="10"/>
        <v>INSERT INTO url_rewrite (entity_type, entity_id, redirect_type, store_id, request_path, target_path) VALUES ('custom', 0, 301, 1,'64944/782982/Acrylic-for-Slatwall/Slatwall-or-Slatgrid-Acrylic-Sign-Holders.html',(SELECT CONCAT(url_path, '.html') FROM catalog_category_flat_store_1 WHERE entity_id=149));</v>
      </c>
      <c r="D365" t="str">
        <f t="shared" si="11"/>
        <v>UPDATE url_rewrite SET request_path = '64944/782982/Acrylic-for-Slatwall/Slatwall-or-Slatgrid-Acrylic-Sign-Holders.html' WHERE entity_type='custom' AND target_path=(SELECT CONCAT(url_path, '.html') FROM catalog_category_flat_store_1 WHERE entity_id=149);</v>
      </c>
    </row>
    <row r="366" spans="1:4" x14ac:dyDescent="0.25">
      <c r="A366">
        <f>categories!B366</f>
        <v>151</v>
      </c>
      <c r="B366" t="str">
        <f>SUBSTITUTE(SUBSTITUTE(categories!H366,"\","/"),"www.americanretailsupply.com/","")</f>
        <v>64774/34011/Acrylic-Literature-Displays/Acrylic-Brochure-Holders-for-Countertop-Deluxe.html</v>
      </c>
      <c r="C366" t="str">
        <f t="shared" si="10"/>
        <v>INSERT INTO url_rewrite (entity_type, entity_id, redirect_type, store_id, request_path, target_path) VALUES ('custom', 0, 301, 1,'64774/34011/Acrylic-Literature-Displays/Acrylic-Brochure-Holders-for-Countertop-Deluxe.html',(SELECT CONCAT(url_path, '.html') FROM catalog_category_flat_store_1 WHERE entity_id=151));</v>
      </c>
      <c r="D366" t="str">
        <f t="shared" si="11"/>
        <v>UPDATE url_rewrite SET request_path = '64774/34011/Acrylic-Literature-Displays/Acrylic-Brochure-Holders-for-Countertop-Deluxe.html' WHERE entity_type='custom' AND target_path=(SELECT CONCAT(url_path, '.html') FROM catalog_category_flat_store_1 WHERE entity_id=151);</v>
      </c>
    </row>
    <row r="367" spans="1:4" x14ac:dyDescent="0.25">
      <c r="A367">
        <f>categories!B367</f>
        <v>152</v>
      </c>
      <c r="B367" t="str">
        <f>SUBSTITUTE(SUBSTITUTE(categories!H367,"\","/"),"www.americanretailsupply.com/","")</f>
        <v>64774/34012/Acrylic-Literature-Displays/Acrylic-Literature-Holder-for-Countertop-Double-Pocket.html</v>
      </c>
      <c r="C367" t="str">
        <f t="shared" si="10"/>
        <v>INSERT INTO url_rewrite (entity_type, entity_id, redirect_type, store_id, request_path, target_path) VALUES ('custom', 0, 301, 1,'64774/34012/Acrylic-Literature-Displays/Acrylic-Literature-Holder-for-Countertop-Double-Pocket.html',(SELECT CONCAT(url_path, '.html') FROM catalog_category_flat_store_1 WHERE entity_id=152));</v>
      </c>
      <c r="D367" t="str">
        <f t="shared" si="11"/>
        <v>UPDATE url_rewrite SET request_path = '64774/34012/Acrylic-Literature-Displays/Acrylic-Literature-Holder-for-Countertop-Double-Pocket.html' WHERE entity_type='custom' AND target_path=(SELECT CONCAT(url_path, '.html') FROM catalog_category_flat_store_1 WHERE entity_id=152);</v>
      </c>
    </row>
    <row r="368" spans="1:4" x14ac:dyDescent="0.25">
      <c r="A368">
        <f>categories!B368</f>
        <v>153</v>
      </c>
      <c r="B368" t="str">
        <f>SUBSTITUTE(SUBSTITUTE(categories!H368,"\","/"),"www.americanretailsupply.com/","")</f>
        <v>64774/34022/Acrylic-Literature-Displays/Acrylic-Literature-Holder-3-Sided-Revolving-Display.html</v>
      </c>
      <c r="C368" t="str">
        <f t="shared" si="10"/>
        <v>INSERT INTO url_rewrite (entity_type, entity_id, redirect_type, store_id, request_path, target_path) VALUES ('custom', 0, 301, 1,'64774/34022/Acrylic-Literature-Displays/Acrylic-Literature-Holder-3-Sided-Revolving-Display.html',(SELECT CONCAT(url_path, '.html') FROM catalog_category_flat_store_1 WHERE entity_id=153));</v>
      </c>
      <c r="D368" t="str">
        <f t="shared" si="11"/>
        <v>UPDATE url_rewrite SET request_path = '64774/34022/Acrylic-Literature-Displays/Acrylic-Literature-Holder-3-Sided-Revolving-Display.html' WHERE entity_type='custom' AND target_path=(SELECT CONCAT(url_path, '.html') FROM catalog_category_flat_store_1 WHERE entity_id=153);</v>
      </c>
    </row>
    <row r="369" spans="1:4" x14ac:dyDescent="0.25">
      <c r="A369">
        <f>categories!B369</f>
        <v>154</v>
      </c>
      <c r="B369" t="str">
        <f>SUBSTITUTE(SUBSTITUTE(categories!H369,"\","/"),"www.americanretailsupply.com/","")</f>
        <v>64774/34023/Acrylic-Literature-Displays/Acrylic-Business-Card-Holders.html</v>
      </c>
      <c r="C369" t="str">
        <f t="shared" si="10"/>
        <v>INSERT INTO url_rewrite (entity_type, entity_id, redirect_type, store_id, request_path, target_path) VALUES ('custom', 0, 301, 1,'64774/34023/Acrylic-Literature-Displays/Acrylic-Business-Card-Holders.html',(SELECT CONCAT(url_path, '.html') FROM catalog_category_flat_store_1 WHERE entity_id=154));</v>
      </c>
      <c r="D369" t="str">
        <f t="shared" si="11"/>
        <v>UPDATE url_rewrite SET request_path = '64774/34023/Acrylic-Literature-Displays/Acrylic-Business-Card-Holders.html' WHERE entity_type='custom' AND target_path=(SELECT CONCAT(url_path, '.html') FROM catalog_category_flat_store_1 WHERE entity_id=154);</v>
      </c>
    </row>
    <row r="370" spans="1:4" x14ac:dyDescent="0.25">
      <c r="A370">
        <f>categories!B370</f>
        <v>155</v>
      </c>
      <c r="B370" t="str">
        <f>SUBSTITUTE(SUBSTITUTE(categories!H370,"\","/"),"www.americanretailsupply.com/","")</f>
        <v>64774/174055/Acrylic-Literature-Displays/Sign-Card--Ticket-Holders.html</v>
      </c>
      <c r="C370" t="str">
        <f t="shared" si="10"/>
        <v>INSERT INTO url_rewrite (entity_type, entity_id, redirect_type, store_id, request_path, target_path) VALUES ('custom', 0, 301, 1,'64774/174055/Acrylic-Literature-Displays/Sign-Card--Ticket-Holders.html',(SELECT CONCAT(url_path, '.html') FROM catalog_category_flat_store_1 WHERE entity_id=155));</v>
      </c>
      <c r="D370" t="str">
        <f t="shared" si="11"/>
        <v>UPDATE url_rewrite SET request_path = '64774/174055/Acrylic-Literature-Displays/Sign-Card--Ticket-Holders.html' WHERE entity_type='custom' AND target_path=(SELECT CONCAT(url_path, '.html') FROM catalog_category_flat_store_1 WHERE entity_id=155);</v>
      </c>
    </row>
    <row r="371" spans="1:4" x14ac:dyDescent="0.25">
      <c r="A371">
        <f>categories!B371</f>
        <v>156</v>
      </c>
      <c r="B371" t="str">
        <f>SUBSTITUTE(SUBSTITUTE(categories!H371,"\","/"),"www.americanretailsupply.com/","")</f>
        <v>64774/174062/Acrylic-Literature-Displays/Acrylic-Brochure-Holder-Economy.html</v>
      </c>
      <c r="C371" t="str">
        <f t="shared" si="10"/>
        <v>INSERT INTO url_rewrite (entity_type, entity_id, redirect_type, store_id, request_path, target_path) VALUES ('custom', 0, 301, 1,'64774/174062/Acrylic-Literature-Displays/Acrylic-Brochure-Holder-Economy.html',(SELECT CONCAT(url_path, '.html') FROM catalog_category_flat_store_1 WHERE entity_id=156));</v>
      </c>
      <c r="D371" t="str">
        <f t="shared" si="11"/>
        <v>UPDATE url_rewrite SET request_path = '64774/174062/Acrylic-Literature-Displays/Acrylic-Brochure-Holder-Economy.html' WHERE entity_type='custom' AND target_path=(SELECT CONCAT(url_path, '.html') FROM catalog_category_flat_store_1 WHERE entity_id=156);</v>
      </c>
    </row>
    <row r="372" spans="1:4" x14ac:dyDescent="0.25">
      <c r="A372">
        <f>categories!B372</f>
        <v>157</v>
      </c>
      <c r="B372" t="str">
        <f>SUBSTITUTE(SUBSTITUTE(categories!H372,"\","/"),"www.americanretailsupply.com/","")</f>
        <v>64774/575618/Acrylic-Literature-Displays/Acrylic-Add-A-Pocket-to-Sign-Holders.html</v>
      </c>
      <c r="C372" t="str">
        <f t="shared" si="10"/>
        <v>INSERT INTO url_rewrite (entity_type, entity_id, redirect_type, store_id, request_path, target_path) VALUES ('custom', 0, 301, 1,'64774/575618/Acrylic-Literature-Displays/Acrylic-Add-A-Pocket-to-Sign-Holders.html',(SELECT CONCAT(url_path, '.html') FROM catalog_category_flat_store_1 WHERE entity_id=157));</v>
      </c>
      <c r="D372" t="str">
        <f t="shared" si="11"/>
        <v>UPDATE url_rewrite SET request_path = '64774/575618/Acrylic-Literature-Displays/Acrylic-Add-A-Pocket-to-Sign-Holders.html' WHERE entity_type='custom' AND target_path=(SELECT CONCAT(url_path, '.html') FROM catalog_category_flat_store_1 WHERE entity_id=157);</v>
      </c>
    </row>
    <row r="373" spans="1:4" x14ac:dyDescent="0.25">
      <c r="A373">
        <f>categories!B373</f>
        <v>158</v>
      </c>
      <c r="B373" t="str">
        <f>SUBSTITUTE(SUBSTITUTE(categories!H373,"\","/"),"www.americanretailsupply.com/","")</f>
        <v>64774/575658/Acrylic-Literature-Displays/Acrylic-Literature-Holder-for-Walls-or-Slatwall-Deluxe-Hold-It.html</v>
      </c>
      <c r="C373" t="str">
        <f t="shared" si="10"/>
        <v>INSERT INTO url_rewrite (entity_type, entity_id, redirect_type, store_id, request_path, target_path) VALUES ('custom', 0, 301, 1,'64774/575658/Acrylic-Literature-Displays/Acrylic-Literature-Holder-for-Walls-or-Slatwall-Deluxe-Hold-It.html',(SELECT CONCAT(url_path, '.html') FROM catalog_category_flat_store_1 WHERE entity_id=158));</v>
      </c>
      <c r="D373" t="str">
        <f t="shared" si="11"/>
        <v>UPDATE url_rewrite SET request_path = '64774/575658/Acrylic-Literature-Displays/Acrylic-Literature-Holder-for-Walls-or-Slatwall-Deluxe-Hold-It.html' WHERE entity_type='custom' AND target_path=(SELECT CONCAT(url_path, '.html') FROM catalog_category_flat_store_1 WHERE entity_id=158);</v>
      </c>
    </row>
    <row r="374" spans="1:4" x14ac:dyDescent="0.25">
      <c r="A374">
        <f>categories!B374</f>
        <v>159</v>
      </c>
      <c r="B374" t="str">
        <f>SUBSTITUTE(SUBSTITUTE(categories!H374,"\","/"),"www.americanretailsupply.com/","")</f>
        <v>64774/575696/Acrylic-Literature-Displays/Acrylic-Literature-Holders-for-Walls-or-Slatwall-Large.html</v>
      </c>
      <c r="C374" t="str">
        <f t="shared" si="10"/>
        <v>INSERT INTO url_rewrite (entity_type, entity_id, redirect_type, store_id, request_path, target_path) VALUES ('custom', 0, 301, 1,'64774/575696/Acrylic-Literature-Displays/Acrylic-Literature-Holders-for-Walls-or-Slatwall-Large.html',(SELECT CONCAT(url_path, '.html') FROM catalog_category_flat_store_1 WHERE entity_id=159));</v>
      </c>
      <c r="D374" t="str">
        <f t="shared" si="11"/>
        <v>UPDATE url_rewrite SET request_path = '64774/575696/Acrylic-Literature-Displays/Acrylic-Literature-Holders-for-Walls-or-Slatwall-Large.html' WHERE entity_type='custom' AND target_path=(SELECT CONCAT(url_path, '.html') FROM catalog_category_flat_store_1 WHERE entity_id=159);</v>
      </c>
    </row>
    <row r="375" spans="1:4" x14ac:dyDescent="0.25">
      <c r="A375">
        <f>categories!B375</f>
        <v>160</v>
      </c>
      <c r="B375" t="str">
        <f>SUBSTITUTE(SUBSTITUTE(categories!H375,"\","/"),"www.americanretailsupply.com/","")</f>
        <v>64774/576367/Acrylic-Literature-Displays/Wallmount-Acrylic-J-Racks-Shelves.html</v>
      </c>
      <c r="C375" t="str">
        <f t="shared" si="10"/>
        <v>INSERT INTO url_rewrite (entity_type, entity_id, redirect_type, store_id, request_path, target_path) VALUES ('custom', 0, 301, 1,'64774/576367/Acrylic-Literature-Displays/Wallmount-Acrylic-J-Racks-Shelves.html',(SELECT CONCAT(url_path, '.html') FROM catalog_category_flat_store_1 WHERE entity_id=160));</v>
      </c>
      <c r="D375" t="str">
        <f t="shared" si="11"/>
        <v>UPDATE url_rewrite SET request_path = '64774/576367/Acrylic-Literature-Displays/Wallmount-Acrylic-J-Racks-Shelves.html' WHERE entity_type='custom' AND target_path=(SELECT CONCAT(url_path, '.html') FROM catalog_category_flat_store_1 WHERE entity_id=160);</v>
      </c>
    </row>
    <row r="376" spans="1:4" x14ac:dyDescent="0.25">
      <c r="A376">
        <f>categories!B376</f>
        <v>161</v>
      </c>
      <c r="B376" t="str">
        <f>SUBSTITUTE(SUBSTITUTE(categories!H376,"\","/"),"www.americanretailsupply.com/","")</f>
        <v>64774/576848/Acrylic-Literature-Displays/Acrylic-J-Racks-For-Gridwall.html</v>
      </c>
      <c r="C376" t="str">
        <f t="shared" si="10"/>
        <v>INSERT INTO url_rewrite (entity_type, entity_id, redirect_type, store_id, request_path, target_path) VALUES ('custom', 0, 301, 1,'64774/576848/Acrylic-Literature-Displays/Acrylic-J-Racks-For-Gridwall.html',(SELECT CONCAT(url_path, '.html') FROM catalog_category_flat_store_1 WHERE entity_id=161));</v>
      </c>
      <c r="D376" t="str">
        <f t="shared" si="11"/>
        <v>UPDATE url_rewrite SET request_path = '64774/576848/Acrylic-Literature-Displays/Acrylic-J-Racks-For-Gridwall.html' WHERE entity_type='custom' AND target_path=(SELECT CONCAT(url_path, '.html') FROM catalog_category_flat_store_1 WHERE entity_id=161);</v>
      </c>
    </row>
    <row r="377" spans="1:4" x14ac:dyDescent="0.25">
      <c r="A377">
        <f>categories!B377</f>
        <v>162</v>
      </c>
      <c r="B377" t="str">
        <f>SUBSTITUTE(SUBSTITUTE(categories!H377,"\","/"),"www.americanretailsupply.com/","")</f>
        <v>64774/576849/Acrylic-Literature-Displays/Acrylic-Outdoor-Literature-Box.html</v>
      </c>
      <c r="C377" t="str">
        <f t="shared" si="10"/>
        <v>INSERT INTO url_rewrite (entity_type, entity_id, redirect_type, store_id, request_path, target_path) VALUES ('custom', 0, 301, 1,'64774/576849/Acrylic-Literature-Displays/Acrylic-Outdoor-Literature-Box.html',(SELECT CONCAT(url_path, '.html') FROM catalog_category_flat_store_1 WHERE entity_id=162));</v>
      </c>
      <c r="D377" t="str">
        <f t="shared" si="11"/>
        <v>UPDATE url_rewrite SET request_path = '64774/576849/Acrylic-Literature-Displays/Acrylic-Outdoor-Literature-Box.html' WHERE entity_type='custom' AND target_path=(SELECT CONCAT(url_path, '.html') FROM catalog_category_flat_store_1 WHERE entity_id=162);</v>
      </c>
    </row>
    <row r="378" spans="1:4" x14ac:dyDescent="0.25">
      <c r="A378">
        <f>categories!B378</f>
        <v>163</v>
      </c>
      <c r="B378" t="str">
        <f>SUBSTITUTE(SUBSTITUTE(categories!H378,"\","/"),"www.americanretailsupply.com/","")</f>
        <v>64774/576850/Acrylic-Literature-Displays/Acrylic-Literature-Holder-Multi-Tier.html</v>
      </c>
      <c r="C378" t="str">
        <f t="shared" si="10"/>
        <v>INSERT INTO url_rewrite (entity_type, entity_id, redirect_type, store_id, request_path, target_path) VALUES ('custom', 0, 301, 1,'64774/576850/Acrylic-Literature-Displays/Acrylic-Literature-Holder-Multi-Tier.html',(SELECT CONCAT(url_path, '.html') FROM catalog_category_flat_store_1 WHERE entity_id=163));</v>
      </c>
      <c r="D378" t="str">
        <f t="shared" si="11"/>
        <v>UPDATE url_rewrite SET request_path = '64774/576850/Acrylic-Literature-Displays/Acrylic-Literature-Holder-Multi-Tier.html' WHERE entity_type='custom' AND target_path=(SELECT CONCAT(url_path, '.html') FROM catalog_category_flat_store_1 WHERE entity_id=163);</v>
      </c>
    </row>
    <row r="379" spans="1:4" x14ac:dyDescent="0.25">
      <c r="A379">
        <f>categories!B379</f>
        <v>164</v>
      </c>
      <c r="B379" t="str">
        <f>SUBSTITUTE(SUBSTITUTE(categories!H379,"\","/"),"www.americanretailsupply.com/","")</f>
        <v>64774/579425/Acrylic-Literature-Displays/Acrylic-Brochure-Holders-for-Slatwall-Deluxe.html</v>
      </c>
      <c r="C379" t="str">
        <f t="shared" si="10"/>
        <v>INSERT INTO url_rewrite (entity_type, entity_id, redirect_type, store_id, request_path, target_path) VALUES ('custom', 0, 301, 1,'64774/579425/Acrylic-Literature-Displays/Acrylic-Brochure-Holders-for-Slatwall-Deluxe.html',(SELECT CONCAT(url_path, '.html') FROM catalog_category_flat_store_1 WHERE entity_id=164));</v>
      </c>
      <c r="D379" t="str">
        <f t="shared" si="11"/>
        <v>UPDATE url_rewrite SET request_path = '64774/579425/Acrylic-Literature-Displays/Acrylic-Brochure-Holders-for-Slatwall-Deluxe.html' WHERE entity_type='custom' AND target_path=(SELECT CONCAT(url_path, '.html') FROM catalog_category_flat_store_1 WHERE entity_id=164);</v>
      </c>
    </row>
    <row r="380" spans="1:4" x14ac:dyDescent="0.25">
      <c r="A380">
        <f>categories!B380</f>
        <v>166</v>
      </c>
      <c r="B380" t="str">
        <f>SUBSTITUTE(SUBSTITUTE(categories!H380,"\","/"),"www.americanretailsupply.com/","")</f>
        <v>64769/2290/Acrylic-Risers--Cubes/Mirrored-Acrylic-Open-Cubes.html</v>
      </c>
      <c r="C380" t="str">
        <f t="shared" si="10"/>
        <v>INSERT INTO url_rewrite (entity_type, entity_id, redirect_type, store_id, request_path, target_path) VALUES ('custom', 0, 301, 1,'64769/2290/Acrylic-Risers--Cubes/Mirrored-Acrylic-Open-Cubes.html',(SELECT CONCAT(url_path, '.html') FROM catalog_category_flat_store_1 WHERE entity_id=166));</v>
      </c>
      <c r="D380" t="str">
        <f t="shared" si="11"/>
        <v>UPDATE url_rewrite SET request_path = '64769/2290/Acrylic-Risers--Cubes/Mirrored-Acrylic-Open-Cubes.html' WHERE entity_type='custom' AND target_path=(SELECT CONCAT(url_path, '.html') FROM catalog_category_flat_store_1 WHERE entity_id=166);</v>
      </c>
    </row>
    <row r="381" spans="1:4" x14ac:dyDescent="0.25">
      <c r="A381">
        <f>categories!B381</f>
        <v>167</v>
      </c>
      <c r="B381" t="str">
        <f>SUBSTITUTE(SUBSTITUTE(categories!H381,"\","/"),"www.americanretailsupply.com/","")</f>
        <v>64769/33865/Acrylic-Risers--Cubes/14-Beveled-Edge-Acrylic-Risers.html</v>
      </c>
      <c r="C381" t="str">
        <f t="shared" si="10"/>
        <v>INSERT INTO url_rewrite (entity_type, entity_id, redirect_type, store_id, request_path, target_path) VALUES ('custom', 0, 301, 1,'64769/33865/Acrylic-Risers--Cubes/14-Beveled-Edge-Acrylic-Risers.html',(SELECT CONCAT(url_path, '.html') FROM catalog_category_flat_store_1 WHERE entity_id=167));</v>
      </c>
      <c r="D381" t="str">
        <f t="shared" si="11"/>
        <v>UPDATE url_rewrite SET request_path = '64769/33865/Acrylic-Risers--Cubes/14-Beveled-Edge-Acrylic-Risers.html' WHERE entity_type='custom' AND target_path=(SELECT CONCAT(url_path, '.html') FROM catalog_category_flat_store_1 WHERE entity_id=167);</v>
      </c>
    </row>
    <row r="382" spans="1:4" x14ac:dyDescent="0.25">
      <c r="A382">
        <f>categories!B382</f>
        <v>168</v>
      </c>
      <c r="B382" t="str">
        <f>SUBSTITUTE(SUBSTITUTE(categories!H382,"\","/"),"www.americanretailsupply.com/","")</f>
        <v>64769/33965/Acrylic-Risers--Cubes/18-Acrylic-Risers-Sets--Individual.html</v>
      </c>
      <c r="C382" t="str">
        <f t="shared" si="10"/>
        <v>INSERT INTO url_rewrite (entity_type, entity_id, redirect_type, store_id, request_path, target_path) VALUES ('custom', 0, 301, 1,'64769/33965/Acrylic-Risers--Cubes/18-Acrylic-Risers-Sets--Individual.html',(SELECT CONCAT(url_path, '.html') FROM catalog_category_flat_store_1 WHERE entity_id=168));</v>
      </c>
      <c r="D382" t="str">
        <f t="shared" si="11"/>
        <v>UPDATE url_rewrite SET request_path = '64769/33965/Acrylic-Risers--Cubes/18-Acrylic-Risers-Sets--Individual.html' WHERE entity_type='custom' AND target_path=(SELECT CONCAT(url_path, '.html') FROM catalog_category_flat_store_1 WHERE entity_id=168);</v>
      </c>
    </row>
    <row r="383" spans="1:4" x14ac:dyDescent="0.25">
      <c r="A383">
        <f>categories!B383</f>
        <v>169</v>
      </c>
      <c r="B383" t="str">
        <f>SUBSTITUTE(SUBSTITUTE(categories!H383,"\","/"),"www.americanretailsupply.com/","")</f>
        <v>64769/34005/Acrylic-Risers--Cubes/14-Acrylic-Risers-Sets--Individual.html</v>
      </c>
      <c r="C383" t="str">
        <f t="shared" si="10"/>
        <v>INSERT INTO url_rewrite (entity_type, entity_id, redirect_type, store_id, request_path, target_path) VALUES ('custom', 0, 301, 1,'64769/34005/Acrylic-Risers--Cubes/14-Acrylic-Risers-Sets--Individual.html',(SELECT CONCAT(url_path, '.html') FROM catalog_category_flat_store_1 WHERE entity_id=169));</v>
      </c>
      <c r="D383" t="str">
        <f t="shared" si="11"/>
        <v>UPDATE url_rewrite SET request_path = '64769/34005/Acrylic-Risers--Cubes/14-Acrylic-Risers-Sets--Individual.html' WHERE entity_type='custom' AND target_path=(SELECT CONCAT(url_path, '.html') FROM catalog_category_flat_store_1 WHERE entity_id=169);</v>
      </c>
    </row>
    <row r="384" spans="1:4" x14ac:dyDescent="0.25">
      <c r="A384">
        <f>categories!B384</f>
        <v>170</v>
      </c>
      <c r="B384" t="str">
        <f>SUBSTITUTE(SUBSTITUTE(categories!H384,"\","/"),"www.americanretailsupply.com/","")</f>
        <v>64769/34231/Acrylic-Risers--Cubes/Solid-Acrylic-Pedestals.html</v>
      </c>
      <c r="C384" t="str">
        <f t="shared" si="10"/>
        <v>INSERT INTO url_rewrite (entity_type, entity_id, redirect_type, store_id, request_path, target_path) VALUES ('custom', 0, 301, 1,'64769/34231/Acrylic-Risers--Cubes/Solid-Acrylic-Pedestals.html',(SELECT CONCAT(url_path, '.html') FROM catalog_category_flat_store_1 WHERE entity_id=170));</v>
      </c>
      <c r="D384" t="str">
        <f t="shared" si="11"/>
        <v>UPDATE url_rewrite SET request_path = '64769/34231/Acrylic-Risers--Cubes/Solid-Acrylic-Pedestals.html' WHERE entity_type='custom' AND target_path=(SELECT CONCAT(url_path, '.html') FROM catalog_category_flat_store_1 WHERE entity_id=170);</v>
      </c>
    </row>
    <row r="385" spans="1:4" x14ac:dyDescent="0.25">
      <c r="A385">
        <f>categories!B385</f>
        <v>171</v>
      </c>
      <c r="B385" t="str">
        <f>SUBSTITUTE(SUBSTITUTE(categories!H385,"\","/"),"www.americanretailsupply.com/","")</f>
        <v>64769/34233/Acrylic-Risers--Cubes/Acrylic-Economy-Molded-3-Piece-Riser-Set.html</v>
      </c>
      <c r="C385" t="str">
        <f t="shared" si="10"/>
        <v>INSERT INTO url_rewrite (entity_type, entity_id, redirect_type, store_id, request_path, target_path) VALUES ('custom', 0, 301, 1,'64769/34233/Acrylic-Risers--Cubes/Acrylic-Economy-Molded-3-Piece-Riser-Set.html',(SELECT CONCAT(url_path, '.html') FROM catalog_category_flat_store_1 WHERE entity_id=171));</v>
      </c>
      <c r="D385" t="str">
        <f t="shared" si="11"/>
        <v>UPDATE url_rewrite SET request_path = '64769/34233/Acrylic-Risers--Cubes/Acrylic-Economy-Molded-3-Piece-Riser-Set.html' WHERE entity_type='custom' AND target_path=(SELECT CONCAT(url_path, '.html') FROM catalog_category_flat_store_1 WHERE entity_id=171);</v>
      </c>
    </row>
    <row r="386" spans="1:4" x14ac:dyDescent="0.25">
      <c r="A386">
        <f>categories!B386</f>
        <v>172</v>
      </c>
      <c r="B386" t="str">
        <f>SUBSTITUTE(SUBSTITUTE(categories!H386,"\","/"),"www.americanretailsupply.com/","")</f>
        <v>64769/34234/Acrylic-Risers--Cubes/18-Acrylic-Mirrored-Riser-Set.html</v>
      </c>
      <c r="C386" t="str">
        <f t="shared" si="10"/>
        <v>INSERT INTO url_rewrite (entity_type, entity_id, redirect_type, store_id, request_path, target_path) VALUES ('custom', 0, 301, 1,'64769/34234/Acrylic-Risers--Cubes/18-Acrylic-Mirrored-Riser-Set.html',(SELECT CONCAT(url_path, '.html') FROM catalog_category_flat_store_1 WHERE entity_id=172));</v>
      </c>
      <c r="D386" t="str">
        <f t="shared" si="11"/>
        <v>UPDATE url_rewrite SET request_path = '64769/34234/Acrylic-Risers--Cubes/18-Acrylic-Mirrored-Riser-Set.html' WHERE entity_type='custom' AND target_path=(SELECT CONCAT(url_path, '.html') FROM catalog_category_flat_store_1 WHERE entity_id=172);</v>
      </c>
    </row>
    <row r="387" spans="1:4" x14ac:dyDescent="0.25">
      <c r="A387">
        <f>categories!B387</f>
        <v>173</v>
      </c>
      <c r="B387" t="str">
        <f>SUBSTITUTE(SUBSTITUTE(categories!H387,"\","/"),"www.americanretailsupply.com/","")</f>
        <v>64769/34235/Acrylic-Risers--Cubes/14-Acrylic-Mirrored-Riser-with-Beveled-Edge.html</v>
      </c>
      <c r="C387" t="str">
        <f t="shared" ref="C387:C450" si="12">"INSERT INTO url_rewrite (entity_type, entity_id, redirect_type, store_id, request_path, target_path) VALUES ('custom', 0, 301, 1,'"&amp;B387&amp;"',(SELECT CONCAT(url_path, '.html') FROM catalog_category_flat_store_1 WHERE entity_id="&amp;A387&amp;"));"</f>
        <v>INSERT INTO url_rewrite (entity_type, entity_id, redirect_type, store_id, request_path, target_path) VALUES ('custom', 0, 301, 1,'64769/34235/Acrylic-Risers--Cubes/14-Acrylic-Mirrored-Riser-with-Beveled-Edge.html',(SELECT CONCAT(url_path, '.html') FROM catalog_category_flat_store_1 WHERE entity_id=173));</v>
      </c>
      <c r="D387" t="str">
        <f t="shared" ref="D387:D450" si="13">"UPDATE url_rewrite SET request_path = '"&amp;B387&amp;"' WHERE entity_type='custom' AND target_path=(SELECT CONCAT(url_path, '.html') FROM catalog_category_flat_store_1 WHERE entity_id="&amp;A387&amp;");"</f>
        <v>UPDATE url_rewrite SET request_path = '64769/34235/Acrylic-Risers--Cubes/14-Acrylic-Mirrored-Riser-with-Beveled-Edge.html' WHERE entity_type='custom' AND target_path=(SELECT CONCAT(url_path, '.html') FROM catalog_category_flat_store_1 WHERE entity_id=173);</v>
      </c>
    </row>
    <row r="388" spans="1:4" x14ac:dyDescent="0.25">
      <c r="A388">
        <f>categories!B388</f>
        <v>174</v>
      </c>
      <c r="B388" t="str">
        <f>SUBSTITUTE(SUBSTITUTE(categories!H388,"\","/"),"www.americanretailsupply.com/","")</f>
        <v>64769/34238/Acrylic-Risers--Cubes/12-Beveled-Edge-Acrylic-Risers.html</v>
      </c>
      <c r="C388" t="str">
        <f t="shared" si="12"/>
        <v>INSERT INTO url_rewrite (entity_type, entity_id, redirect_type, store_id, request_path, target_path) VALUES ('custom', 0, 301, 1,'64769/34238/Acrylic-Risers--Cubes/12-Beveled-Edge-Acrylic-Risers.html',(SELECT CONCAT(url_path, '.html') FROM catalog_category_flat_store_1 WHERE entity_id=174));</v>
      </c>
      <c r="D388" t="str">
        <f t="shared" si="13"/>
        <v>UPDATE url_rewrite SET request_path = '64769/34238/Acrylic-Risers--Cubes/12-Beveled-Edge-Acrylic-Risers.html' WHERE entity_type='custom' AND target_path=(SELECT CONCAT(url_path, '.html') FROM catalog_category_flat_store_1 WHERE entity_id=174);</v>
      </c>
    </row>
    <row r="389" spans="1:4" x14ac:dyDescent="0.25">
      <c r="A389">
        <f>categories!B389</f>
        <v>175</v>
      </c>
      <c r="B389" t="str">
        <f>SUBSTITUTE(SUBSTITUTE(categories!H389,"\","/"),"www.americanretailsupply.com/","")</f>
        <v>64769/34239/Acrylic-Risers--Cubes/316-Acrylic-Beveled-Edge-6-Piece-Riser-Set.html</v>
      </c>
      <c r="C389" t="str">
        <f t="shared" si="12"/>
        <v>INSERT INTO url_rewrite (entity_type, entity_id, redirect_type, store_id, request_path, target_path) VALUES ('custom', 0, 301, 1,'64769/34239/Acrylic-Risers--Cubes/316-Acrylic-Beveled-Edge-6-Piece-Riser-Set.html',(SELECT CONCAT(url_path, '.html') FROM catalog_category_flat_store_1 WHERE entity_id=175));</v>
      </c>
      <c r="D389" t="str">
        <f t="shared" si="13"/>
        <v>UPDATE url_rewrite SET request_path = '64769/34239/Acrylic-Risers--Cubes/316-Acrylic-Beveled-Edge-6-Piece-Riser-Set.html' WHERE entity_type='custom' AND target_path=(SELECT CONCAT(url_path, '.html') FROM catalog_category_flat_store_1 WHERE entity_id=175);</v>
      </c>
    </row>
    <row r="390" spans="1:4" x14ac:dyDescent="0.25">
      <c r="A390">
        <f>categories!B390</f>
        <v>176</v>
      </c>
      <c r="B390" t="str">
        <f>SUBSTITUTE(SUBSTITUTE(categories!H390,"\","/"),"www.americanretailsupply.com/","")</f>
        <v>64769/575750/Acrylic-Risers--Cubes/14-Beveled-Edge-Frosted-Acrylic-Risers.html</v>
      </c>
      <c r="C390" t="str">
        <f t="shared" si="12"/>
        <v>INSERT INTO url_rewrite (entity_type, entity_id, redirect_type, store_id, request_path, target_path) VALUES ('custom', 0, 301, 1,'64769/575750/Acrylic-Risers--Cubes/14-Beveled-Edge-Frosted-Acrylic-Risers.html',(SELECT CONCAT(url_path, '.html') FROM catalog_category_flat_store_1 WHERE entity_id=176));</v>
      </c>
      <c r="D390" t="str">
        <f t="shared" si="13"/>
        <v>UPDATE url_rewrite SET request_path = '64769/575750/Acrylic-Risers--Cubes/14-Beveled-Edge-Frosted-Acrylic-Risers.html' WHERE entity_type='custom' AND target_path=(SELECT CONCAT(url_path, '.html') FROM catalog_category_flat_store_1 WHERE entity_id=176);</v>
      </c>
    </row>
    <row r="391" spans="1:4" x14ac:dyDescent="0.25">
      <c r="A391">
        <f>categories!B391</f>
        <v>177</v>
      </c>
      <c r="B391" t="str">
        <f>SUBSTITUTE(SUBSTITUTE(categories!H391,"\","/"),"www.americanretailsupply.com/","")</f>
        <v>64769/575980/Acrylic-Risers--Cubes/12-Beveled-Edge-Frosted-Acrylic-Risers.html</v>
      </c>
      <c r="C391" t="str">
        <f t="shared" si="12"/>
        <v>INSERT INTO url_rewrite (entity_type, entity_id, redirect_type, store_id, request_path, target_path) VALUES ('custom', 0, 301, 1,'64769/575980/Acrylic-Risers--Cubes/12-Beveled-Edge-Frosted-Acrylic-Risers.html',(SELECT CONCAT(url_path, '.html') FROM catalog_category_flat_store_1 WHERE entity_id=177));</v>
      </c>
      <c r="D391" t="str">
        <f t="shared" si="13"/>
        <v>UPDATE url_rewrite SET request_path = '64769/575980/Acrylic-Risers--Cubes/12-Beveled-Edge-Frosted-Acrylic-Risers.html' WHERE entity_type='custom' AND target_path=(SELECT CONCAT(url_path, '.html') FROM catalog_category_flat_store_1 WHERE entity_id=177);</v>
      </c>
    </row>
    <row r="392" spans="1:4" x14ac:dyDescent="0.25">
      <c r="A392">
        <f>categories!B392</f>
        <v>178</v>
      </c>
      <c r="B392" t="str">
        <f>SUBSTITUTE(SUBSTITUTE(categories!H392,"\","/"),"www.americanretailsupply.com/","")</f>
        <v>64769/576066/Acrylic-Risers--Cubes/Acrylic-4-Tier-Spiral-Display.html</v>
      </c>
      <c r="C392" t="str">
        <f t="shared" si="12"/>
        <v>INSERT INTO url_rewrite (entity_type, entity_id, redirect_type, store_id, request_path, target_path) VALUES ('custom', 0, 301, 1,'64769/576066/Acrylic-Risers--Cubes/Acrylic-4-Tier-Spiral-Display.html',(SELECT CONCAT(url_path, '.html') FROM catalog_category_flat_store_1 WHERE entity_id=178));</v>
      </c>
      <c r="D392" t="str">
        <f t="shared" si="13"/>
        <v>UPDATE url_rewrite SET request_path = '64769/576066/Acrylic-Risers--Cubes/Acrylic-4-Tier-Spiral-Display.html' WHERE entity_type='custom' AND target_path=(SELECT CONCAT(url_path, '.html') FROM catalog_category_flat_store_1 WHERE entity_id=178);</v>
      </c>
    </row>
    <row r="393" spans="1:4" x14ac:dyDescent="0.25">
      <c r="A393">
        <f>categories!B393</f>
        <v>179</v>
      </c>
      <c r="B393" t="str">
        <f>SUBSTITUTE(SUBSTITUTE(categories!H393,"\","/"),"www.americanretailsupply.com/","")</f>
        <v>64769/576067/Acrylic-Risers--Cubes/Acrylic-Interlocking-Four-Way-Riser.html</v>
      </c>
      <c r="C393" t="str">
        <f t="shared" si="12"/>
        <v>INSERT INTO url_rewrite (entity_type, entity_id, redirect_type, store_id, request_path, target_path) VALUES ('custom', 0, 301, 1,'64769/576067/Acrylic-Risers--Cubes/Acrylic-Interlocking-Four-Way-Riser.html',(SELECT CONCAT(url_path, '.html') FROM catalog_category_flat_store_1 WHERE entity_id=179));</v>
      </c>
      <c r="D393" t="str">
        <f t="shared" si="13"/>
        <v>UPDATE url_rewrite SET request_path = '64769/576067/Acrylic-Risers--Cubes/Acrylic-Interlocking-Four-Way-Riser.html' WHERE entity_type='custom' AND target_path=(SELECT CONCAT(url_path, '.html') FROM catalog_category_flat_store_1 WHERE entity_id=179);</v>
      </c>
    </row>
    <row r="394" spans="1:4" x14ac:dyDescent="0.25">
      <c r="A394">
        <f>categories!B394</f>
        <v>180</v>
      </c>
      <c r="B394" t="str">
        <f>SUBSTITUTE(SUBSTITUTE(categories!H394,"\","/"),"www.americanretailsupply.com/","")</f>
        <v>64769/576068/Acrylic-Risers--Cubes/Vertical-Acrylic-Tower-with-5-Platforms.html</v>
      </c>
      <c r="C394" t="str">
        <f t="shared" si="12"/>
        <v>INSERT INTO url_rewrite (entity_type, entity_id, redirect_type, store_id, request_path, target_path) VALUES ('custom', 0, 301, 1,'64769/576068/Acrylic-Risers--Cubes/Vertical-Acrylic-Tower-with-5-Platforms.html',(SELECT CONCAT(url_path, '.html') FROM catalog_category_flat_store_1 WHERE entity_id=180));</v>
      </c>
      <c r="D394" t="str">
        <f t="shared" si="13"/>
        <v>UPDATE url_rewrite SET request_path = '64769/576068/Acrylic-Risers--Cubes/Vertical-Acrylic-Tower-with-5-Platforms.html' WHERE entity_type='custom' AND target_path=(SELECT CONCAT(url_path, '.html') FROM catalog_category_flat_store_1 WHERE entity_id=180);</v>
      </c>
    </row>
    <row r="395" spans="1:4" x14ac:dyDescent="0.25">
      <c r="A395">
        <f>categories!B395</f>
        <v>184</v>
      </c>
      <c r="B395" t="str">
        <f>SUBSTITUTE(SUBSTITUTE(categories!H395,"\","/"),"www.americanretailsupply.com/","")</f>
        <v>64983/575655/Acrylic-Sign-Card-Frames/Acrylic-Sign-Holders-for-Wallmount-Extra-Large.html</v>
      </c>
      <c r="C395" t="str">
        <f t="shared" si="12"/>
        <v>INSERT INTO url_rewrite (entity_type, entity_id, redirect_type, store_id, request_path, target_path) VALUES ('custom', 0, 301, 1,'64983/575655/Acrylic-Sign-Card-Frames/Acrylic-Sign-Holders-for-Wallmount-Extra-Large.html',(SELECT CONCAT(url_path, '.html') FROM catalog_category_flat_store_1 WHERE entity_id=184));</v>
      </c>
      <c r="D395" t="str">
        <f t="shared" si="13"/>
        <v>UPDATE url_rewrite SET request_path = '64983/575655/Acrylic-Sign-Card-Frames/Acrylic-Sign-Holders-for-Wallmount-Extra-Large.html' WHERE entity_type='custom' AND target_path=(SELECT CONCAT(url_path, '.html') FROM catalog_category_flat_store_1 WHERE entity_id=184);</v>
      </c>
    </row>
    <row r="396" spans="1:4" x14ac:dyDescent="0.25">
      <c r="A396">
        <f>categories!B396</f>
        <v>185</v>
      </c>
      <c r="B396" t="str">
        <f>SUBSTITUTE(SUBSTITUTE(categories!H396,"\","/"),"www.americanretailsupply.com/","")</f>
        <v>64983/575694/Acrylic-Sign-Card-Frames/Acrylic-Sign-Holders-for-Countertop-Economy-Slant-Back.html</v>
      </c>
      <c r="C396" t="str">
        <f t="shared" si="12"/>
        <v>INSERT INTO url_rewrite (entity_type, entity_id, redirect_type, store_id, request_path, target_path) VALUES ('custom', 0, 301, 1,'64983/575694/Acrylic-Sign-Card-Frames/Acrylic-Sign-Holders-for-Countertop-Economy-Slant-Back.html',(SELECT CONCAT(url_path, '.html') FROM catalog_category_flat_store_1 WHERE entity_id=185));</v>
      </c>
      <c r="D396" t="str">
        <f t="shared" si="13"/>
        <v>UPDATE url_rewrite SET request_path = '64983/575694/Acrylic-Sign-Card-Frames/Acrylic-Sign-Holders-for-Countertop-Economy-Slant-Back.html' WHERE entity_type='custom' AND target_path=(SELECT CONCAT(url_path, '.html') FROM catalog_category_flat_store_1 WHERE entity_id=185);</v>
      </c>
    </row>
    <row r="397" spans="1:4" x14ac:dyDescent="0.25">
      <c r="A397">
        <f>categories!B397</f>
        <v>186</v>
      </c>
      <c r="B397" t="str">
        <f>SUBSTITUTE(SUBSTITUTE(categories!H397,"\","/"),"www.americanretailsupply.com/","")</f>
        <v>64983/575695/Acrylic-Sign-Card-Frames/Acrylic-Sign-Holders-with-Chrome-Channel.html</v>
      </c>
      <c r="C397" t="str">
        <f t="shared" si="12"/>
        <v>INSERT INTO url_rewrite (entity_type, entity_id, redirect_type, store_id, request_path, target_path) VALUES ('custom', 0, 301, 1,'64983/575695/Acrylic-Sign-Card-Frames/Acrylic-Sign-Holders-with-Chrome-Channel.html',(SELECT CONCAT(url_path, '.html') FROM catalog_category_flat_store_1 WHERE entity_id=186));</v>
      </c>
      <c r="D397" t="str">
        <f t="shared" si="13"/>
        <v>UPDATE url_rewrite SET request_path = '64983/575695/Acrylic-Sign-Card-Frames/Acrylic-Sign-Holders-with-Chrome-Channel.html' WHERE entity_type='custom' AND target_path=(SELECT CONCAT(url_path, '.html') FROM catalog_category_flat_store_1 WHERE entity_id=186);</v>
      </c>
    </row>
    <row r="398" spans="1:4" x14ac:dyDescent="0.25">
      <c r="A398">
        <f>categories!B398</f>
        <v>187</v>
      </c>
      <c r="B398" t="str">
        <f>SUBSTITUTE(SUBSTITUTE(categories!H398,"\","/"),"www.americanretailsupply.com/","")</f>
        <v>64983/576366/Acrylic-Sign-Card-Frames/Acrylic-Sign-Holders-Special-with-Holes-to-Attach-to-Shelves-etc.html</v>
      </c>
      <c r="C398" t="str">
        <f t="shared" si="12"/>
        <v>INSERT INTO url_rewrite (entity_type, entity_id, redirect_type, store_id, request_path, target_path) VALUES ('custom', 0, 301, 1,'64983/576366/Acrylic-Sign-Card-Frames/Acrylic-Sign-Holders-Special-with-Holes-to-Attach-to-Shelves-etc.html',(SELECT CONCAT(url_path, '.html') FROM catalog_category_flat_store_1 WHERE entity_id=187));</v>
      </c>
      <c r="D398" t="str">
        <f t="shared" si="13"/>
        <v>UPDATE url_rewrite SET request_path = '64983/576366/Acrylic-Sign-Card-Frames/Acrylic-Sign-Holders-Special-with-Holes-to-Attach-to-Shelves-etc.html' WHERE entity_type='custom' AND target_path=(SELECT CONCAT(url_path, '.html') FROM catalog_category_flat_store_1 WHERE entity_id=187);</v>
      </c>
    </row>
    <row r="399" spans="1:4" x14ac:dyDescent="0.25">
      <c r="A399">
        <f>categories!B399</f>
        <v>188</v>
      </c>
      <c r="B399" t="str">
        <f>SUBSTITUTE(SUBSTITUTE(categories!H399,"\","/"),"www.americanretailsupply.com/","")</f>
        <v>64983/782978/Acrylic-Sign-Card-Frames/Acrylic-Specialty-Sign-Holders.html</v>
      </c>
      <c r="C399" t="str">
        <f t="shared" si="12"/>
        <v>INSERT INTO url_rewrite (entity_type, entity_id, redirect_type, store_id, request_path, target_path) VALUES ('custom', 0, 301, 1,'64983/782978/Acrylic-Sign-Card-Frames/Acrylic-Specialty-Sign-Holders.html',(SELECT CONCAT(url_path, '.html') FROM catalog_category_flat_store_1 WHERE entity_id=188));</v>
      </c>
      <c r="D399" t="str">
        <f t="shared" si="13"/>
        <v>UPDATE url_rewrite SET request_path = '64983/782978/Acrylic-Sign-Card-Frames/Acrylic-Specialty-Sign-Holders.html' WHERE entity_type='custom' AND target_path=(SELECT CONCAT(url_path, '.html') FROM catalog_category_flat_store_1 WHERE entity_id=188);</v>
      </c>
    </row>
    <row r="400" spans="1:4" x14ac:dyDescent="0.25">
      <c r="A400">
        <f>categories!B400</f>
        <v>189</v>
      </c>
      <c r="B400" t="str">
        <f>SUBSTITUTE(SUBSTITUTE(categories!H400,"\","/"),"www.americanretailsupply.com/","")</f>
        <v>64983/782979/Acrylic-Sign-Card-Frames/Acrylic-Sign-Holder-with-Literature-Pocket.html</v>
      </c>
      <c r="C400" t="str">
        <f t="shared" si="12"/>
        <v>INSERT INTO url_rewrite (entity_type, entity_id, redirect_type, store_id, request_path, target_path) VALUES ('custom', 0, 301, 1,'64983/782979/Acrylic-Sign-Card-Frames/Acrylic-Sign-Holder-with-Literature-Pocket.html',(SELECT CONCAT(url_path, '.html') FROM catalog_category_flat_store_1 WHERE entity_id=189));</v>
      </c>
      <c r="D400" t="str">
        <f t="shared" si="13"/>
        <v>UPDATE url_rewrite SET request_path = '64983/782979/Acrylic-Sign-Card-Frames/Acrylic-Sign-Holder-with-Literature-Pocket.html' WHERE entity_type='custom' AND target_path=(SELECT CONCAT(url_path, '.html') FROM catalog_category_flat_store_1 WHERE entity_id=189);</v>
      </c>
    </row>
    <row r="401" spans="1:4" x14ac:dyDescent="0.25">
      <c r="A401">
        <f>categories!B401</f>
        <v>190</v>
      </c>
      <c r="B401" t="str">
        <f>SUBSTITUTE(SUBSTITUTE(categories!H401,"\","/"),"www.americanretailsupply.com/","")</f>
        <v>64983/783312/Acrylic-Sign-Card-Frames/Acrylic-Slant-Back-Countertop-Sign-Holders.html</v>
      </c>
      <c r="C401" t="str">
        <f t="shared" si="12"/>
        <v>INSERT INTO url_rewrite (entity_type, entity_id, redirect_type, store_id, request_path, target_path) VALUES ('custom', 0, 301, 1,'64983/783312/Acrylic-Sign-Card-Frames/Acrylic-Slant-Back-Countertop-Sign-Holders.html',(SELECT CONCAT(url_path, '.html') FROM catalog_category_flat_store_1 WHERE entity_id=190));</v>
      </c>
      <c r="D401" t="str">
        <f t="shared" si="13"/>
        <v>UPDATE url_rewrite SET request_path = '64983/783312/Acrylic-Sign-Card-Frames/Acrylic-Slant-Back-Countertop-Sign-Holders.html' WHERE entity_type='custom' AND target_path=(SELECT CONCAT(url_path, '.html') FROM catalog_category_flat_store_1 WHERE entity_id=190);</v>
      </c>
    </row>
    <row r="402" spans="1:4" x14ac:dyDescent="0.25">
      <c r="A402">
        <f>categories!B402</f>
        <v>191</v>
      </c>
      <c r="B402" t="str">
        <f>SUBSTITUTE(SUBSTITUTE(categories!H402,"\","/"),"www.americanretailsupply.com/","")</f>
        <v>64983/783313/Acrylic-Sign-Card-Frames/Acrylic-Two-Sided-Top-Loading-Sign-Holders.html</v>
      </c>
      <c r="C402" t="str">
        <f t="shared" si="12"/>
        <v>INSERT INTO url_rewrite (entity_type, entity_id, redirect_type, store_id, request_path, target_path) VALUES ('custom', 0, 301, 1,'64983/783313/Acrylic-Sign-Card-Frames/Acrylic-Two-Sided-Top-Loading-Sign-Holders.html',(SELECT CONCAT(url_path, '.html') FROM catalog_category_flat_store_1 WHERE entity_id=191));</v>
      </c>
      <c r="D402" t="str">
        <f t="shared" si="13"/>
        <v>UPDATE url_rewrite SET request_path = '64983/783313/Acrylic-Sign-Card-Frames/Acrylic-Two-Sided-Top-Loading-Sign-Holders.html' WHERE entity_type='custom' AND target_path=(SELECT CONCAT(url_path, '.html') FROM catalog_category_flat_store_1 WHERE entity_id=191);</v>
      </c>
    </row>
    <row r="403" spans="1:4" x14ac:dyDescent="0.25">
      <c r="A403">
        <f>categories!B403</f>
        <v>192</v>
      </c>
      <c r="B403" t="str">
        <f>SUBSTITUTE(SUBSTITUTE(categories!H403,"\","/"),"www.americanretailsupply.com/","")</f>
        <v>64983/783363/Acrylic-Sign-Card-Frames/Acrylic-Two-Sided-Bottom-Loading-Sign-Holders.html</v>
      </c>
      <c r="C403" t="str">
        <f t="shared" si="12"/>
        <v>INSERT INTO url_rewrite (entity_type, entity_id, redirect_type, store_id, request_path, target_path) VALUES ('custom', 0, 301, 1,'64983/783363/Acrylic-Sign-Card-Frames/Acrylic-Two-Sided-Bottom-Loading-Sign-Holders.html',(SELECT CONCAT(url_path, '.html') FROM catalog_category_flat_store_1 WHERE entity_id=192));</v>
      </c>
      <c r="D403" t="str">
        <f t="shared" si="13"/>
        <v>UPDATE url_rewrite SET request_path = '64983/783363/Acrylic-Sign-Card-Frames/Acrylic-Two-Sided-Bottom-Loading-Sign-Holders.html' WHERE entity_type='custom' AND target_path=(SELECT CONCAT(url_path, '.html') FROM catalog_category_flat_store_1 WHERE entity_id=192);</v>
      </c>
    </row>
    <row r="404" spans="1:4" x14ac:dyDescent="0.25">
      <c r="A404">
        <f>categories!B404</f>
        <v>193</v>
      </c>
      <c r="B404" t="str">
        <f>SUBSTITUTE(SUBSTITUTE(categories!H404,"\","/"),"www.americanretailsupply.com/","")</f>
        <v>64983/783366/Acrylic-Sign-Card-Frames/Economy-Acrylic-Two-Sided-Bottom-Loading-Sign-Holders.html</v>
      </c>
      <c r="C404" t="str">
        <f t="shared" si="12"/>
        <v>INSERT INTO url_rewrite (entity_type, entity_id, redirect_type, store_id, request_path, target_path) VALUES ('custom', 0, 301, 1,'64983/783366/Acrylic-Sign-Card-Frames/Economy-Acrylic-Two-Sided-Bottom-Loading-Sign-Holders.html',(SELECT CONCAT(url_path, '.html') FROM catalog_category_flat_store_1 WHERE entity_id=193));</v>
      </c>
      <c r="D404" t="str">
        <f t="shared" si="13"/>
        <v>UPDATE url_rewrite SET request_path = '64983/783366/Acrylic-Sign-Card-Frames/Economy-Acrylic-Two-Sided-Bottom-Loading-Sign-Holders.html' WHERE entity_type='custom' AND target_path=(SELECT CONCAT(url_path, '.html') FROM catalog_category_flat_store_1 WHERE entity_id=193);</v>
      </c>
    </row>
    <row r="405" spans="1:4" x14ac:dyDescent="0.25">
      <c r="A405">
        <f>categories!B405</f>
        <v>196</v>
      </c>
      <c r="B405" t="str">
        <f>SUBSTITUTE(SUBSTITUTE(categories!H405,"\","/"),"www.americanretailsupply.com/","")</f>
        <v>65161/154763/Apollo--Athena-Forms/Athena-Miss-Size-Full-Torso-Form.html</v>
      </c>
      <c r="C405" t="str">
        <f t="shared" si="12"/>
        <v>INSERT INTO url_rewrite (entity_type, entity_id, redirect_type, store_id, request_path, target_path) VALUES ('custom', 0, 301, 1,'65161/154763/Apollo--Athena-Forms/Athena-Miss-Size-Full-Torso-Form.html',(SELECT CONCAT(url_path, '.html') FROM catalog_category_flat_store_1 WHERE entity_id=196));</v>
      </c>
      <c r="D405" t="str">
        <f t="shared" si="13"/>
        <v>UPDATE url_rewrite SET request_path = '65161/154763/Apollo--Athena-Forms/Athena-Miss-Size-Full-Torso-Form.html' WHERE entity_type='custom' AND target_path=(SELECT CONCAT(url_path, '.html') FROM catalog_category_flat_store_1 WHERE entity_id=196);</v>
      </c>
    </row>
    <row r="406" spans="1:4" x14ac:dyDescent="0.25">
      <c r="A406">
        <f>categories!B406</f>
        <v>197</v>
      </c>
      <c r="B406" t="str">
        <f>SUBSTITUTE(SUBSTITUTE(categories!H406,"\","/"),"www.americanretailsupply.com/","")</f>
        <v>65161/154765/Apollo--Athena-Forms/Athena-Ladies-Blouse-Form.html</v>
      </c>
      <c r="C406" t="str">
        <f t="shared" si="12"/>
        <v>INSERT INTO url_rewrite (entity_type, entity_id, redirect_type, store_id, request_path, target_path) VALUES ('custom', 0, 301, 1,'65161/154765/Apollo--Athena-Forms/Athena-Ladies-Blouse-Form.html',(SELECT CONCAT(url_path, '.html') FROM catalog_category_flat_store_1 WHERE entity_id=197));</v>
      </c>
      <c r="D406" t="str">
        <f t="shared" si="13"/>
        <v>UPDATE url_rewrite SET request_path = '65161/154765/Apollo--Athena-Forms/Athena-Ladies-Blouse-Form.html' WHERE entity_type='custom' AND target_path=(SELECT CONCAT(url_path, '.html') FROM catalog_category_flat_store_1 WHERE entity_id=197);</v>
      </c>
    </row>
    <row r="407" spans="1:4" x14ac:dyDescent="0.25">
      <c r="A407">
        <f>categories!B407</f>
        <v>198</v>
      </c>
      <c r="B407" t="str">
        <f>SUBSTITUTE(SUBSTITUTE(categories!H407,"\","/"),"www.americanretailsupply.com/","")</f>
        <v>65161/154768/Apollo--Athena-Forms/Apollo-Torso-Form-wMatching-Painted-Wooden-Snap--on-Base.html</v>
      </c>
      <c r="C407" t="str">
        <f t="shared" si="12"/>
        <v>INSERT INTO url_rewrite (entity_type, entity_id, redirect_type, store_id, request_path, target_path) VALUES ('custom', 0, 301, 1,'65161/154768/Apollo--Athena-Forms/Apollo-Torso-Form-wMatching-Painted-Wooden-Snap--on-Base.html',(SELECT CONCAT(url_path, '.html') FROM catalog_category_flat_store_1 WHERE entity_id=198));</v>
      </c>
      <c r="D407" t="str">
        <f t="shared" si="13"/>
        <v>UPDATE url_rewrite SET request_path = '65161/154768/Apollo--Athena-Forms/Apollo-Torso-Form-wMatching-Painted-Wooden-Snap--on-Base.html' WHERE entity_type='custom' AND target_path=(SELECT CONCAT(url_path, '.html') FROM catalog_category_flat_store_1 WHERE entity_id=198);</v>
      </c>
    </row>
    <row r="408" spans="1:4" x14ac:dyDescent="0.25">
      <c r="A408">
        <f>categories!B408</f>
        <v>199</v>
      </c>
      <c r="B408" t="str">
        <f>SUBSTITUTE(SUBSTITUTE(categories!H408,"\","/"),"www.americanretailsupply.com/","")</f>
        <v>65161/154769/Apollo--Athena-Forms/Apollo-Muscular-Shirt-Form.html</v>
      </c>
      <c r="C408" t="str">
        <f t="shared" si="12"/>
        <v>INSERT INTO url_rewrite (entity_type, entity_id, redirect_type, store_id, request_path, target_path) VALUES ('custom', 0, 301, 1,'65161/154769/Apollo--Athena-Forms/Apollo-Muscular-Shirt-Form.html',(SELECT CONCAT(url_path, '.html') FROM catalog_category_flat_store_1 WHERE entity_id=199));</v>
      </c>
      <c r="D408" t="str">
        <f t="shared" si="13"/>
        <v>UPDATE url_rewrite SET request_path = '65161/154769/Apollo--Athena-Forms/Apollo-Muscular-Shirt-Form.html' WHERE entity_type='custom' AND target_path=(SELECT CONCAT(url_path, '.html') FROM catalog_category_flat_store_1 WHERE entity_id=199);</v>
      </c>
    </row>
    <row r="409" spans="1:4" x14ac:dyDescent="0.25">
      <c r="A409">
        <f>categories!B409</f>
        <v>200</v>
      </c>
      <c r="B409" t="str">
        <f>SUBSTITUTE(SUBSTITUTE(categories!H409,"\","/"),"www.americanretailsupply.com/","")</f>
        <v>65161/154771/Apollo--Athena-Forms/Adjustable-Sweater-and-Jacket-Form.html</v>
      </c>
      <c r="C409" t="str">
        <f t="shared" si="12"/>
        <v>INSERT INTO url_rewrite (entity_type, entity_id, redirect_type, store_id, request_path, target_path) VALUES ('custom', 0, 301, 1,'65161/154771/Apollo--Athena-Forms/Adjustable-Sweater-and-Jacket-Form.html',(SELECT CONCAT(url_path, '.html') FROM catalog_category_flat_store_1 WHERE entity_id=200));</v>
      </c>
      <c r="D409" t="str">
        <f t="shared" si="13"/>
        <v>UPDATE url_rewrite SET request_path = '65161/154771/Apollo--Athena-Forms/Adjustable-Sweater-and-Jacket-Form.html' WHERE entity_type='custom' AND target_path=(SELECT CONCAT(url_path, '.html') FROM catalog_category_flat_store_1 WHERE entity_id=200);</v>
      </c>
    </row>
    <row r="410" spans="1:4" x14ac:dyDescent="0.25">
      <c r="A410">
        <f>categories!B410</f>
        <v>201</v>
      </c>
      <c r="B410" t="str">
        <f>SUBSTITUTE(SUBSTITUTE(categories!H410,"\","/"),"www.americanretailsupply.com/","")</f>
        <v>65161/741160/Apollo--Athena-Forms/Apollo-Torso-Form-with-Wood-Pin-Base.html</v>
      </c>
      <c r="C410" t="str">
        <f t="shared" si="12"/>
        <v>INSERT INTO url_rewrite (entity_type, entity_id, redirect_type, store_id, request_path, target_path) VALUES ('custom', 0, 301, 1,'65161/741160/Apollo--Athena-Forms/Apollo-Torso-Form-with-Wood-Pin-Base.html',(SELECT CONCAT(url_path, '.html') FROM catalog_category_flat_store_1 WHERE entity_id=201));</v>
      </c>
      <c r="D410" t="str">
        <f t="shared" si="13"/>
        <v>UPDATE url_rewrite SET request_path = '65161/741160/Apollo--Athena-Forms/Apollo-Torso-Form-with-Wood-Pin-Base.html' WHERE entity_type='custom' AND target_path=(SELECT CONCAT(url_path, '.html') FROM catalog_category_flat_store_1 WHERE entity_id=201);</v>
      </c>
    </row>
    <row r="411" spans="1:4" x14ac:dyDescent="0.25">
      <c r="A411">
        <f>categories!B411</f>
        <v>203</v>
      </c>
      <c r="B411" t="str">
        <f>SUBSTITUTE(SUBSTITUTE(categories!H411,"\","/"),"www.americanretailsupply.com/","")</f>
        <v>25490/235905/Apollo-and-Athena-Series-Mannequins/Base-for-Apollo--Athena-Forms.html</v>
      </c>
      <c r="C411" t="str">
        <f t="shared" si="12"/>
        <v>INSERT INTO url_rewrite (entity_type, entity_id, redirect_type, store_id, request_path, target_path) VALUES ('custom', 0, 301, 1,'25490/235905/Apollo-and-Athena-Series-Mannequins/Base-for-Apollo--Athena-Forms.html',(SELECT CONCAT(url_path, '.html') FROM catalog_category_flat_store_1 WHERE entity_id=203));</v>
      </c>
      <c r="D411" t="str">
        <f t="shared" si="13"/>
        <v>UPDATE url_rewrite SET request_path = '25490/235905/Apollo-and-Athena-Series-Mannequins/Base-for-Apollo--Athena-Forms.html' WHERE entity_type='custom' AND target_path=(SELECT CONCAT(url_path, '.html') FROM catalog_category_flat_store_1 WHERE entity_id=203);</v>
      </c>
    </row>
    <row r="412" spans="1:4" x14ac:dyDescent="0.25">
      <c r="A412">
        <f>categories!B412</f>
        <v>204</v>
      </c>
      <c r="B412" t="str">
        <f>SUBSTITUTE(SUBSTITUTE(categories!H412,"\","/"),"www.americanretailsupply.com/","")</f>
        <v>25490/235906/Apollo-and-Athena-Series-Mannequins/Upright-for-Apollo--Athena-Forms.html</v>
      </c>
      <c r="C412" t="str">
        <f t="shared" si="12"/>
        <v>INSERT INTO url_rewrite (entity_type, entity_id, redirect_type, store_id, request_path, target_path) VALUES ('custom', 0, 301, 1,'25490/235906/Apollo-and-Athena-Series-Mannequins/Upright-for-Apollo--Athena-Forms.html',(SELECT CONCAT(url_path, '.html') FROM catalog_category_flat_store_1 WHERE entity_id=204));</v>
      </c>
      <c r="D412" t="str">
        <f t="shared" si="13"/>
        <v>UPDATE url_rewrite SET request_path = '25490/235906/Apollo-and-Athena-Series-Mannequins/Upright-for-Apollo--Athena-Forms.html' WHERE entity_type='custom' AND target_path=(SELECT CONCAT(url_path, '.html') FROM catalog_category_flat_store_1 WHERE entity_id=204);</v>
      </c>
    </row>
    <row r="413" spans="1:4" x14ac:dyDescent="0.25">
      <c r="A413">
        <f>categories!B413</f>
        <v>207</v>
      </c>
      <c r="B413" t="str">
        <f>SUBSTITUTE(SUBSTITUTE(categories!H413,"\","/"),"www.americanretailsupply.com/","")</f>
        <v>65197/36353/Apparel-Accessories--Apparel-Store-Supplies/Display-It-Hooks.html</v>
      </c>
      <c r="C413" t="str">
        <f t="shared" si="12"/>
        <v>INSERT INTO url_rewrite (entity_type, entity_id, redirect_type, store_id, request_path, target_path) VALUES ('custom', 0, 301, 1,'65197/36353/Apparel-Accessories--Apparel-Store-Supplies/Display-It-Hooks.html',(SELECT CONCAT(url_path, '.html') FROM catalog_category_flat_store_1 WHERE entity_id=207));</v>
      </c>
      <c r="D413" t="str">
        <f t="shared" si="13"/>
        <v>UPDATE url_rewrite SET request_path = '65197/36353/Apparel-Accessories--Apparel-Store-Supplies/Display-It-Hooks.html' WHERE entity_type='custom' AND target_path=(SELECT CONCAT(url_path, '.html') FROM catalog_category_flat_store_1 WHERE entity_id=207);</v>
      </c>
    </row>
    <row r="414" spans="1:4" x14ac:dyDescent="0.25">
      <c r="A414">
        <f>categories!B414</f>
        <v>208</v>
      </c>
      <c r="B414" t="str">
        <f>SUBSTITUTE(SUBSTITUTE(categories!H414,"\","/"),"www.americanretailsupply.com/","")</f>
        <v>65197/36356/Apparel-Accessories--Apparel-Store-Supplies/Safety-Pins.html</v>
      </c>
      <c r="C414" t="str">
        <f t="shared" si="12"/>
        <v>INSERT INTO url_rewrite (entity_type, entity_id, redirect_type, store_id, request_path, target_path) VALUES ('custom', 0, 301, 1,'65197/36356/Apparel-Accessories--Apparel-Store-Supplies/Safety-Pins.html',(SELECT CONCAT(url_path, '.html') FROM catalog_category_flat_store_1 WHERE entity_id=208));</v>
      </c>
      <c r="D414" t="str">
        <f t="shared" si="13"/>
        <v>UPDATE url_rewrite SET request_path = '65197/36356/Apparel-Accessories--Apparel-Store-Supplies/Safety-Pins.html' WHERE entity_type='custom' AND target_path=(SELECT CONCAT(url_path, '.html') FROM catalog_category_flat_store_1 WHERE entity_id=208);</v>
      </c>
    </row>
    <row r="415" spans="1:4" x14ac:dyDescent="0.25">
      <c r="A415">
        <f>categories!B415</f>
        <v>209</v>
      </c>
      <c r="B415" t="str">
        <f>SUBSTITUTE(SUBSTITUTE(categories!H415,"\","/"),"www.americanretailsupply.com/","")</f>
        <v>65197/36372/Apparel-Accessories--Apparel-Store-Supplies/Cosmetic-Stain-Remover.html</v>
      </c>
      <c r="C415" t="str">
        <f t="shared" si="12"/>
        <v>INSERT INTO url_rewrite (entity_type, entity_id, redirect_type, store_id, request_path, target_path) VALUES ('custom', 0, 301, 1,'65197/36372/Apparel-Accessories--Apparel-Store-Supplies/Cosmetic-Stain-Remover.html',(SELECT CONCAT(url_path, '.html') FROM catalog_category_flat_store_1 WHERE entity_id=209));</v>
      </c>
      <c r="D415" t="str">
        <f t="shared" si="13"/>
        <v>UPDATE url_rewrite SET request_path = '65197/36372/Apparel-Accessories--Apparel-Store-Supplies/Cosmetic-Stain-Remover.html' WHERE entity_type='custom' AND target_path=(SELECT CONCAT(url_path, '.html') FROM catalog_category_flat_store_1 WHERE entity_id=209);</v>
      </c>
    </row>
    <row r="416" spans="1:4" x14ac:dyDescent="0.25">
      <c r="A416">
        <f>categories!B416</f>
        <v>210</v>
      </c>
      <c r="B416" t="str">
        <f>SUBSTITUTE(SUBSTITUTE(categories!H416,"\","/"),"www.americanretailsupply.com/","")</f>
        <v>65197/36373/Apparel-Accessories--Apparel-Store-Supplies/Lint-Pickup-Roller.html</v>
      </c>
      <c r="C416" t="str">
        <f t="shared" si="12"/>
        <v>INSERT INTO url_rewrite (entity_type, entity_id, redirect_type, store_id, request_path, target_path) VALUES ('custom', 0, 301, 1,'65197/36373/Apparel-Accessories--Apparel-Store-Supplies/Lint-Pickup-Roller.html',(SELECT CONCAT(url_path, '.html') FROM catalog_category_flat_store_1 WHERE entity_id=210));</v>
      </c>
      <c r="D416" t="str">
        <f t="shared" si="13"/>
        <v>UPDATE url_rewrite SET request_path = '65197/36373/Apparel-Accessories--Apparel-Store-Supplies/Lint-Pickup-Roller.html' WHERE entity_type='custom' AND target_path=(SELECT CONCAT(url_path, '.html') FROM catalog_category_flat_store_1 WHERE entity_id=210);</v>
      </c>
    </row>
    <row r="417" spans="1:4" x14ac:dyDescent="0.25">
      <c r="A417">
        <f>categories!B417</f>
        <v>211</v>
      </c>
      <c r="B417" t="str">
        <f>SUBSTITUTE(SUBSTITUTE(categories!H417,"\","/"),"www.americanretailsupply.com/","")</f>
        <v>65197/36374/Apparel-Accessories--Apparel-Store-Supplies/Try--Ons.html</v>
      </c>
      <c r="C417" t="str">
        <f t="shared" si="12"/>
        <v>INSERT INTO url_rewrite (entity_type, entity_id, redirect_type, store_id, request_path, target_path) VALUES ('custom', 0, 301, 1,'65197/36374/Apparel-Accessories--Apparel-Store-Supplies/Try--Ons.html',(SELECT CONCAT(url_path, '.html') FROM catalog_category_flat_store_1 WHERE entity_id=211));</v>
      </c>
      <c r="D417" t="str">
        <f t="shared" si="13"/>
        <v>UPDATE url_rewrite SET request_path = '65197/36374/Apparel-Accessories--Apparel-Store-Supplies/Try--Ons.html' WHERE entity_type='custom' AND target_path=(SELECT CONCAT(url_path, '.html') FROM catalog_category_flat_store_1 WHERE entity_id=211);</v>
      </c>
    </row>
    <row r="418" spans="1:4" x14ac:dyDescent="0.25">
      <c r="A418">
        <f>categories!B418</f>
        <v>212</v>
      </c>
      <c r="B418" t="str">
        <f>SUBSTITUTE(SUBSTITUTE(categories!H418,"\","/"),"www.americanretailsupply.com/","")</f>
        <v>65197/47174/Apparel-Accessories--Apparel-Store-Supplies/Neck-Tie-Holders.html</v>
      </c>
      <c r="C418" t="str">
        <f t="shared" si="12"/>
        <v>INSERT INTO url_rewrite (entity_type, entity_id, redirect_type, store_id, request_path, target_path) VALUES ('custom', 0, 301, 1,'65197/47174/Apparel-Accessories--Apparel-Store-Supplies/Neck-Tie-Holders.html',(SELECT CONCAT(url_path, '.html') FROM catalog_category_flat_store_1 WHERE entity_id=212));</v>
      </c>
      <c r="D418" t="str">
        <f t="shared" si="13"/>
        <v>UPDATE url_rewrite SET request_path = '65197/47174/Apparel-Accessories--Apparel-Store-Supplies/Neck-Tie-Holders.html' WHERE entity_type='custom' AND target_path=(SELECT CONCAT(url_path, '.html') FROM catalog_category_flat_store_1 WHERE entity_id=212);</v>
      </c>
    </row>
    <row r="419" spans="1:4" x14ac:dyDescent="0.25">
      <c r="A419">
        <f>categories!B419</f>
        <v>213</v>
      </c>
      <c r="B419" t="str">
        <f>SUBSTITUTE(SUBSTITUTE(categories!H419,"\","/"),"www.americanretailsupply.com/","")</f>
        <v>65197/48245/Apparel-Accessories--Apparel-Store-Supplies/Lift-Off-Gum-and-Adhesive-Remover.html</v>
      </c>
      <c r="C419" t="str">
        <f t="shared" si="12"/>
        <v>INSERT INTO url_rewrite (entity_type, entity_id, redirect_type, store_id, request_path, target_path) VALUES ('custom', 0, 301, 1,'65197/48245/Apparel-Accessories--Apparel-Store-Supplies/Lift-Off-Gum-and-Adhesive-Remover.html',(SELECT CONCAT(url_path, '.html') FROM catalog_category_flat_store_1 WHERE entity_id=213));</v>
      </c>
      <c r="D419" t="str">
        <f t="shared" si="13"/>
        <v>UPDATE url_rewrite SET request_path = '65197/48245/Apparel-Accessories--Apparel-Store-Supplies/Lift-Off-Gum-and-Adhesive-Remover.html' WHERE entity_type='custom' AND target_path=(SELECT CONCAT(url_path, '.html') FROM catalog_category_flat_store_1 WHERE entity_id=213);</v>
      </c>
    </row>
    <row r="420" spans="1:4" x14ac:dyDescent="0.25">
      <c r="A420">
        <f>categories!B420</f>
        <v>214</v>
      </c>
      <c r="B420" t="str">
        <f>SUBSTITUTE(SUBSTITUTE(categories!H420,"\","/"),"www.americanretailsupply.com/","")</f>
        <v>65197/48279/Apparel-Accessories--Apparel-Store-Supplies/Silicone-Lubricant-5oz.html</v>
      </c>
      <c r="C420" t="str">
        <f t="shared" si="12"/>
        <v>INSERT INTO url_rewrite (entity_type, entity_id, redirect_type, store_id, request_path, target_path) VALUES ('custom', 0, 301, 1,'65197/48279/Apparel-Accessories--Apparel-Store-Supplies/Silicone-Lubricant-5oz.html',(SELECT CONCAT(url_path, '.html') FROM catalog_category_flat_store_1 WHERE entity_id=214));</v>
      </c>
      <c r="D420" t="str">
        <f t="shared" si="13"/>
        <v>UPDATE url_rewrite SET request_path = '65197/48279/Apparel-Accessories--Apparel-Store-Supplies/Silicone-Lubricant-5oz.html' WHERE entity_type='custom' AND target_path=(SELECT CONCAT(url_path, '.html') FROM catalog_category_flat_store_1 WHERE entity_id=214);</v>
      </c>
    </row>
    <row r="421" spans="1:4" x14ac:dyDescent="0.25">
      <c r="A421">
        <f>categories!B421</f>
        <v>215</v>
      </c>
      <c r="B421" t="str">
        <f>SUBSTITUTE(SUBSTITUTE(categories!H421,"\","/"),"www.americanretailsupply.com/","")</f>
        <v>65197/48281/Apparel-Accessories--Apparel-Store-Supplies/Plastic-Label-Scrapers.html</v>
      </c>
      <c r="C421" t="str">
        <f t="shared" si="12"/>
        <v>INSERT INTO url_rewrite (entity_type, entity_id, redirect_type, store_id, request_path, target_path) VALUES ('custom', 0, 301, 1,'65197/48281/Apparel-Accessories--Apparel-Store-Supplies/Plastic-Label-Scrapers.html',(SELECT CONCAT(url_path, '.html') FROM catalog_category_flat_store_1 WHERE entity_id=215));</v>
      </c>
      <c r="D421" t="str">
        <f t="shared" si="13"/>
        <v>UPDATE url_rewrite SET request_path = '65197/48281/Apparel-Accessories--Apparel-Store-Supplies/Plastic-Label-Scrapers.html' WHERE entity_type='custom' AND target_path=(SELECT CONCAT(url_path, '.html') FROM catalog_category_flat_store_1 WHERE entity_id=215);</v>
      </c>
    </row>
    <row r="422" spans="1:4" x14ac:dyDescent="0.25">
      <c r="A422">
        <f>categories!B422</f>
        <v>216</v>
      </c>
      <c r="B422" t="str">
        <f>SUBSTITUTE(SUBSTITUTE(categories!H422,"\","/"),"www.americanretailsupply.com/","")</f>
        <v>65197/48282/Apparel-Accessories--Apparel-Store-Supplies/Metal-Label-Scrapers.html</v>
      </c>
      <c r="C422" t="str">
        <f t="shared" si="12"/>
        <v>INSERT INTO url_rewrite (entity_type, entity_id, redirect_type, store_id, request_path, target_path) VALUES ('custom', 0, 301, 1,'65197/48282/Apparel-Accessories--Apparel-Store-Supplies/Metal-Label-Scrapers.html',(SELECT CONCAT(url_path, '.html') FROM catalog_category_flat_store_1 WHERE entity_id=216));</v>
      </c>
      <c r="D422" t="str">
        <f t="shared" si="13"/>
        <v>UPDATE url_rewrite SET request_path = '65197/48282/Apparel-Accessories--Apparel-Store-Supplies/Metal-Label-Scrapers.html' WHERE entity_type='custom' AND target_path=(SELECT CONCAT(url_path, '.html') FROM catalog_category_flat_store_1 WHERE entity_id=216);</v>
      </c>
    </row>
    <row r="423" spans="1:4" x14ac:dyDescent="0.25">
      <c r="A423">
        <f>categories!B423</f>
        <v>217</v>
      </c>
      <c r="B423" t="str">
        <f>SUBSTITUTE(SUBSTITUTE(categories!H423,"\","/"),"www.americanretailsupply.com/","")</f>
        <v>65197/244287/Apparel-Accessories--Apparel-Store-Supplies/Steel-Bank-Pins.html</v>
      </c>
      <c r="C423" t="str">
        <f t="shared" si="12"/>
        <v>INSERT INTO url_rewrite (entity_type, entity_id, redirect_type, store_id, request_path, target_path) VALUES ('custom', 0, 301, 1,'65197/244287/Apparel-Accessories--Apparel-Store-Supplies/Steel-Bank-Pins.html',(SELECT CONCAT(url_path, '.html') FROM catalog_category_flat_store_1 WHERE entity_id=217));</v>
      </c>
      <c r="D423" t="str">
        <f t="shared" si="13"/>
        <v>UPDATE url_rewrite SET request_path = '65197/244287/Apparel-Accessories--Apparel-Store-Supplies/Steel-Bank-Pins.html' WHERE entity_type='custom' AND target_path=(SELECT CONCAT(url_path, '.html') FROM catalog_category_flat_store_1 WHERE entity_id=217);</v>
      </c>
    </row>
    <row r="424" spans="1:4" x14ac:dyDescent="0.25">
      <c r="A424">
        <f>categories!B424</f>
        <v>220</v>
      </c>
      <c r="B424" t="str">
        <f>SUBSTITUTE(SUBSTITUTE(categories!H424,"\","/"),"www.americanretailsupply.com/","")</f>
        <v>64707/780383/Apparel-Boxes/White-2-Piece-Pop-Up-Apparel-Boxes.html</v>
      </c>
      <c r="C424" t="str">
        <f t="shared" si="12"/>
        <v>INSERT INTO url_rewrite (entity_type, entity_id, redirect_type, store_id, request_path, target_path) VALUES ('custom', 0, 301, 1,'64707/780383/Apparel-Boxes/White-2-Piece-Pop-Up-Apparel-Boxes.html',(SELECT CONCAT(url_path, '.html') FROM catalog_category_flat_store_1 WHERE entity_id=220));</v>
      </c>
      <c r="D424" t="str">
        <f t="shared" si="13"/>
        <v>UPDATE url_rewrite SET request_path = '64707/780383/Apparel-Boxes/White-2-Piece-Pop-Up-Apparel-Boxes.html' WHERE entity_type='custom' AND target_path=(SELECT CONCAT(url_path, '.html') FROM catalog_category_flat_store_1 WHERE entity_id=220);</v>
      </c>
    </row>
    <row r="425" spans="1:4" x14ac:dyDescent="0.25">
      <c r="A425">
        <f>categories!B425</f>
        <v>221</v>
      </c>
      <c r="B425" t="str">
        <f>SUBSTITUTE(SUBSTITUTE(categories!H425,"\","/"),"www.americanretailsupply.com/","")</f>
        <v>64707/780384/Apparel-Boxes/Kraft-2-Piece-Pop-Up-Apparel-Boxes.html</v>
      </c>
      <c r="C425" t="str">
        <f t="shared" si="12"/>
        <v>INSERT INTO url_rewrite (entity_type, entity_id, redirect_type, store_id, request_path, target_path) VALUES ('custom', 0, 301, 1,'64707/780384/Apparel-Boxes/Kraft-2-Piece-Pop-Up-Apparel-Boxes.html',(SELECT CONCAT(url_path, '.html') FROM catalog_category_flat_store_1 WHERE entity_id=221));</v>
      </c>
      <c r="D425" t="str">
        <f t="shared" si="13"/>
        <v>UPDATE url_rewrite SET request_path = '64707/780384/Apparel-Boxes/Kraft-2-Piece-Pop-Up-Apparel-Boxes.html' WHERE entity_type='custom' AND target_path=(SELECT CONCAT(url_path, '.html') FROM catalog_category_flat_store_1 WHERE entity_id=221);</v>
      </c>
    </row>
    <row r="426" spans="1:4" x14ac:dyDescent="0.25">
      <c r="A426">
        <f>categories!B426</f>
        <v>224</v>
      </c>
      <c r="B426" t="str">
        <f>SUBSTITUTE(SUBSTITUTE(categories!H426,"\","/"),"www.americanretailsupply.com/","")</f>
        <v>64967/37848/Aristocrat-Extra-HD-Brackets/Aristocrat-Heavy-Duty-Bracket.html</v>
      </c>
      <c r="C426" t="str">
        <f t="shared" si="12"/>
        <v>INSERT INTO url_rewrite (entity_type, entity_id, redirect_type, store_id, request_path, target_path) VALUES ('custom', 0, 301, 1,'64967/37848/Aristocrat-Extra-HD-Brackets/Aristocrat-Heavy-Duty-Bracket.html',(SELECT CONCAT(url_path, '.html') FROM catalog_category_flat_store_1 WHERE entity_id=224));</v>
      </c>
      <c r="D426" t="str">
        <f t="shared" si="13"/>
        <v>UPDATE url_rewrite SET request_path = '64967/37848/Aristocrat-Extra-HD-Brackets/Aristocrat-Heavy-Duty-Bracket.html' WHERE entity_type='custom' AND target_path=(SELECT CONCAT(url_path, '.html') FROM catalog_category_flat_store_1 WHERE entity_id=224);</v>
      </c>
    </row>
    <row r="427" spans="1:4" x14ac:dyDescent="0.25">
      <c r="A427">
        <f>categories!B427</f>
        <v>225</v>
      </c>
      <c r="B427" t="str">
        <f>SUBSTITUTE(SUBSTITUTE(categories!H427,"\","/"),"www.americanretailsupply.com/","")</f>
        <v>64967/37849/Aristocrat-Extra-HD-Brackets/Aristocrat-Bracket-with-Upturn-Standard.html</v>
      </c>
      <c r="C427" t="str">
        <f t="shared" si="12"/>
        <v>INSERT INTO url_rewrite (entity_type, entity_id, redirect_type, store_id, request_path, target_path) VALUES ('custom', 0, 301, 1,'64967/37849/Aristocrat-Extra-HD-Brackets/Aristocrat-Bracket-with-Upturn-Standard.html',(SELECT CONCAT(url_path, '.html') FROM catalog_category_flat_store_1 WHERE entity_id=225));</v>
      </c>
      <c r="D427" t="str">
        <f t="shared" si="13"/>
        <v>UPDATE url_rewrite SET request_path = '64967/37849/Aristocrat-Extra-HD-Brackets/Aristocrat-Bracket-with-Upturn-Standard.html' WHERE entity_type='custom' AND target_path=(SELECT CONCAT(url_path, '.html') FROM catalog_category_flat_store_1 WHERE entity_id=225);</v>
      </c>
    </row>
    <row r="428" spans="1:4" x14ac:dyDescent="0.25">
      <c r="A428">
        <f>categories!B428</f>
        <v>226</v>
      </c>
      <c r="B428" t="str">
        <f>SUBSTITUTE(SUBSTITUTE(categories!H428,"\","/"),"www.americanretailsupply.com/","")</f>
        <v>64967/37852/Aristocrat-Extra-HD-Brackets/Aristocrat-Standard-Bracket.html</v>
      </c>
      <c r="C428" t="str">
        <f t="shared" si="12"/>
        <v>INSERT INTO url_rewrite (entity_type, entity_id, redirect_type, store_id, request_path, target_path) VALUES ('custom', 0, 301, 1,'64967/37852/Aristocrat-Extra-HD-Brackets/Aristocrat-Standard-Bracket.html',(SELECT CONCAT(url_path, '.html') FROM catalog_category_flat_store_1 WHERE entity_id=226));</v>
      </c>
      <c r="D428" t="str">
        <f t="shared" si="13"/>
        <v>UPDATE url_rewrite SET request_path = '64967/37852/Aristocrat-Extra-HD-Brackets/Aristocrat-Standard-Bracket.html' WHERE entity_type='custom' AND target_path=(SELECT CONCAT(url_path, '.html') FROM catalog_category_flat_store_1 WHERE entity_id=226);</v>
      </c>
    </row>
    <row r="429" spans="1:4" x14ac:dyDescent="0.25">
      <c r="A429">
        <f>categories!B429</f>
        <v>227</v>
      </c>
      <c r="B429" t="str">
        <f>SUBSTITUTE(SUBSTITUTE(categories!H429,"\","/"),"www.americanretailsupply.com/","")</f>
        <v>64967/37853/Aristocrat-Extra-HD-Brackets/Shelf-Rest-with-Rubber-Buttons.html</v>
      </c>
      <c r="C429" t="str">
        <f t="shared" si="12"/>
        <v>INSERT INTO url_rewrite (entity_type, entity_id, redirect_type, store_id, request_path, target_path) VALUES ('custom', 0, 301, 1,'64967/37853/Aristocrat-Extra-HD-Brackets/Shelf-Rest-with-Rubber-Buttons.html',(SELECT CONCAT(url_path, '.html') FROM catalog_category_flat_store_1 WHERE entity_id=227));</v>
      </c>
      <c r="D429" t="str">
        <f t="shared" si="13"/>
        <v>UPDATE url_rewrite SET request_path = '64967/37853/Aristocrat-Extra-HD-Brackets/Shelf-Rest-with-Rubber-Buttons.html' WHERE entity_type='custom' AND target_path=(SELECT CONCAT(url_path, '.html') FROM catalog_category_flat_store_1 WHERE entity_id=227);</v>
      </c>
    </row>
    <row r="430" spans="1:4" x14ac:dyDescent="0.25">
      <c r="A430">
        <f>categories!B430</f>
        <v>228</v>
      </c>
      <c r="B430" t="str">
        <f>SUBSTITUTE(SUBSTITUTE(categories!H430,"\","/"),"www.americanretailsupply.com/","")</f>
        <v>64967/37855/Aristocrat-Extra-HD-Brackets/Adjustable-Bracket.html</v>
      </c>
      <c r="C430" t="str">
        <f t="shared" si="12"/>
        <v>INSERT INTO url_rewrite (entity_type, entity_id, redirect_type, store_id, request_path, target_path) VALUES ('custom', 0, 301, 1,'64967/37855/Aristocrat-Extra-HD-Brackets/Adjustable-Bracket.html',(SELECT CONCAT(url_path, '.html') FROM catalog_category_flat_store_1 WHERE entity_id=228));</v>
      </c>
      <c r="D430" t="str">
        <f t="shared" si="13"/>
        <v>UPDATE url_rewrite SET request_path = '64967/37855/Aristocrat-Extra-HD-Brackets/Adjustable-Bracket.html' WHERE entity_type='custom' AND target_path=(SELECT CONCAT(url_path, '.html') FROM catalog_category_flat_store_1 WHERE entity_id=228);</v>
      </c>
    </row>
    <row r="431" spans="1:4" x14ac:dyDescent="0.25">
      <c r="A431">
        <f>categories!B431</f>
        <v>229</v>
      </c>
      <c r="B431" t="str">
        <f>SUBSTITUTE(SUBSTITUTE(categories!H431,"\","/"),"www.americanretailsupply.com/","")</f>
        <v>64967/37856/Aristocrat-Extra-HD-Brackets/Aristocrat-Facia-Bracket.html</v>
      </c>
      <c r="C431" t="str">
        <f t="shared" si="12"/>
        <v>INSERT INTO url_rewrite (entity_type, entity_id, redirect_type, store_id, request_path, target_path) VALUES ('custom', 0, 301, 1,'64967/37856/Aristocrat-Extra-HD-Brackets/Aristocrat-Facia-Bracket.html',(SELECT CONCAT(url_path, '.html') FROM catalog_category_flat_store_1 WHERE entity_id=229));</v>
      </c>
      <c r="D431" t="str">
        <f t="shared" si="13"/>
        <v>UPDATE url_rewrite SET request_path = '64967/37856/Aristocrat-Extra-HD-Brackets/Aristocrat-Facia-Bracket.html' WHERE entity_type='custom' AND target_path=(SELECT CONCAT(url_path, '.html') FROM catalog_category_flat_store_1 WHERE entity_id=229);</v>
      </c>
    </row>
    <row r="432" spans="1:4" x14ac:dyDescent="0.25">
      <c r="A432">
        <f>categories!B432</f>
        <v>230</v>
      </c>
      <c r="B432" t="str">
        <f>SUBSTITUTE(SUBSTITUTE(categories!H432,"\","/"),"www.americanretailsupply.com/","")</f>
        <v>64967/37857/Aristocrat-Extra-HD-Brackets/Aristocrat-Straight-Faceout.html</v>
      </c>
      <c r="C432" t="str">
        <f t="shared" si="12"/>
        <v>INSERT INTO url_rewrite (entity_type, entity_id, redirect_type, store_id, request_path, target_path) VALUES ('custom', 0, 301, 1,'64967/37857/Aristocrat-Extra-HD-Brackets/Aristocrat-Straight-Faceout.html',(SELECT CONCAT(url_path, '.html') FROM catalog_category_flat_store_1 WHERE entity_id=230));</v>
      </c>
      <c r="D432" t="str">
        <f t="shared" si="13"/>
        <v>UPDATE url_rewrite SET request_path = '64967/37857/Aristocrat-Extra-HD-Brackets/Aristocrat-Straight-Faceout.html' WHERE entity_type='custom' AND target_path=(SELECT CONCAT(url_path, '.html') FROM catalog_category_flat_store_1 WHERE entity_id=230);</v>
      </c>
    </row>
    <row r="433" spans="1:4" x14ac:dyDescent="0.25">
      <c r="A433">
        <f>categories!B433</f>
        <v>231</v>
      </c>
      <c r="B433" t="str">
        <f>SUBSTITUTE(SUBSTITUTE(categories!H433,"\","/"),"www.americanretailsupply.com/","")</f>
        <v>64967/37859/Aristocrat-Extra-HD-Brackets/Aristocrat-Waterfall.html</v>
      </c>
      <c r="C433" t="str">
        <f t="shared" si="12"/>
        <v>INSERT INTO url_rewrite (entity_type, entity_id, redirect_type, store_id, request_path, target_path) VALUES ('custom', 0, 301, 1,'64967/37859/Aristocrat-Extra-HD-Brackets/Aristocrat-Waterfall.html',(SELECT CONCAT(url_path, '.html') FROM catalog_category_flat_store_1 WHERE entity_id=231));</v>
      </c>
      <c r="D433" t="str">
        <f t="shared" si="13"/>
        <v>UPDATE url_rewrite SET request_path = '64967/37859/Aristocrat-Extra-HD-Brackets/Aristocrat-Waterfall.html' WHERE entity_type='custom' AND target_path=(SELECT CONCAT(url_path, '.html') FROM catalog_category_flat_store_1 WHERE entity_id=231);</v>
      </c>
    </row>
    <row r="434" spans="1:4" x14ac:dyDescent="0.25">
      <c r="A434">
        <f>categories!B434</f>
        <v>232</v>
      </c>
      <c r="B434" t="str">
        <f>SUBSTITUTE(SUBSTITUTE(categories!H434,"\","/"),"www.americanretailsupply.com/","")</f>
        <v>64967/37862/Aristocrat-Extra-HD-Brackets/Aristocrat-Heavy-Duty-Brackets-Upturn-at-Standard.html</v>
      </c>
      <c r="C434" t="str">
        <f t="shared" si="12"/>
        <v>INSERT INTO url_rewrite (entity_type, entity_id, redirect_type, store_id, request_path, target_path) VALUES ('custom', 0, 301, 1,'64967/37862/Aristocrat-Extra-HD-Brackets/Aristocrat-Heavy-Duty-Brackets-Upturn-at-Standard.html',(SELECT CONCAT(url_path, '.html') FROM catalog_category_flat_store_1 WHERE entity_id=232));</v>
      </c>
      <c r="D434" t="str">
        <f t="shared" si="13"/>
        <v>UPDATE url_rewrite SET request_path = '64967/37862/Aristocrat-Extra-HD-Brackets/Aristocrat-Heavy-Duty-Brackets-Upturn-at-Standard.html' WHERE entity_type='custom' AND target_path=(SELECT CONCAT(url_path, '.html') FROM catalog_category_flat_store_1 WHERE entity_id=232);</v>
      </c>
    </row>
    <row r="435" spans="1:4" x14ac:dyDescent="0.25">
      <c r="A435">
        <f>categories!B435</f>
        <v>233</v>
      </c>
      <c r="B435" t="str">
        <f>SUBSTITUTE(SUBSTITUTE(categories!H435,"\","/"),"www.americanretailsupply.com/","")</f>
        <v>64967/37863/Aristocrat-Extra-HD-Brackets/Aristocrat-Merchandising-Bar-Brackets.html</v>
      </c>
      <c r="C435" t="str">
        <f t="shared" si="12"/>
        <v>INSERT INTO url_rewrite (entity_type, entity_id, redirect_type, store_id, request_path, target_path) VALUES ('custom', 0, 301, 1,'64967/37863/Aristocrat-Extra-HD-Brackets/Aristocrat-Merchandising-Bar-Brackets.html',(SELECT CONCAT(url_path, '.html') FROM catalog_category_flat_store_1 WHERE entity_id=233));</v>
      </c>
      <c r="D435" t="str">
        <f t="shared" si="13"/>
        <v>UPDATE url_rewrite SET request_path = '64967/37863/Aristocrat-Extra-HD-Brackets/Aristocrat-Merchandising-Bar-Brackets.html' WHERE entity_type='custom' AND target_path=(SELECT CONCAT(url_path, '.html') FROM catalog_category_flat_store_1 WHERE entity_id=233);</v>
      </c>
    </row>
    <row r="436" spans="1:4" x14ac:dyDescent="0.25">
      <c r="A436">
        <f>categories!B436</f>
        <v>235</v>
      </c>
      <c r="B436" t="str">
        <f>SUBSTITUTE(SUBSTITUTE(categories!H436,"\","/"),"www.americanretailsupply.com/","")</f>
        <v>64968/41121/Aristocrat-Extra-HD-Standards/Mounting-Screws-for-Mounting-Standards.html</v>
      </c>
      <c r="C436" t="str">
        <f t="shared" si="12"/>
        <v>INSERT INTO url_rewrite (entity_type, entity_id, redirect_type, store_id, request_path, target_path) VALUES ('custom', 0, 301, 1,'64968/41121/Aristocrat-Extra-HD-Standards/Mounting-Screws-for-Mounting-Standards.html',(SELECT CONCAT(url_path, '.html') FROM catalog_category_flat_store_1 WHERE entity_id=235));</v>
      </c>
      <c r="D436" t="str">
        <f t="shared" si="13"/>
        <v>UPDATE url_rewrite SET request_path = '64968/41121/Aristocrat-Extra-HD-Standards/Mounting-Screws-for-Mounting-Standards.html' WHERE entity_type='custom' AND target_path=(SELECT CONCAT(url_path, '.html') FROM catalog_category_flat_store_1 WHERE entity_id=235);</v>
      </c>
    </row>
    <row r="437" spans="1:4" x14ac:dyDescent="0.25">
      <c r="A437">
        <f>categories!B437</f>
        <v>236</v>
      </c>
      <c r="B437" t="str">
        <f>SUBSTITUTE(SUBSTITUTE(categories!H437,"\","/"),"www.americanretailsupply.com/","")</f>
        <v>64968/784378/Aristocrat-Extra-HD-Standards/Aristocrat-Extra-Heavy-T--Concealed-Standard.html</v>
      </c>
      <c r="C437" t="str">
        <f t="shared" si="12"/>
        <v>INSERT INTO url_rewrite (entity_type, entity_id, redirect_type, store_id, request_path, target_path) VALUES ('custom', 0, 301, 1,'64968/784378/Aristocrat-Extra-HD-Standards/Aristocrat-Extra-Heavy-T--Concealed-Standard.html',(SELECT CONCAT(url_path, '.html') FROM catalog_category_flat_store_1 WHERE entity_id=236));</v>
      </c>
      <c r="D437" t="str">
        <f t="shared" si="13"/>
        <v>UPDATE url_rewrite SET request_path = '64968/784378/Aristocrat-Extra-HD-Standards/Aristocrat-Extra-Heavy-T--Concealed-Standard.html' WHERE entity_type='custom' AND target_path=(SELECT CONCAT(url_path, '.html') FROM catalog_category_flat_store_1 WHERE entity_id=236);</v>
      </c>
    </row>
    <row r="438" spans="1:4" x14ac:dyDescent="0.25">
      <c r="A438">
        <f>categories!B438</f>
        <v>237</v>
      </c>
      <c r="B438" t="str">
        <f>SUBSTITUTE(SUBSTITUTE(categories!H438,"\","/"),"www.americanretailsupply.com/","")</f>
        <v>64968/784380/Aristocrat-Extra-HD-Standards/Aristocrat-Extra-Heavy-Duty-Standards.html</v>
      </c>
      <c r="C438" t="str">
        <f t="shared" si="12"/>
        <v>INSERT INTO url_rewrite (entity_type, entity_id, redirect_type, store_id, request_path, target_path) VALUES ('custom', 0, 301, 1,'64968/784380/Aristocrat-Extra-HD-Standards/Aristocrat-Extra-Heavy-Duty-Standards.html',(SELECT CONCAT(url_path, '.html') FROM catalog_category_flat_store_1 WHERE entity_id=237));</v>
      </c>
      <c r="D438" t="str">
        <f t="shared" si="13"/>
        <v>UPDATE url_rewrite SET request_path = '64968/784380/Aristocrat-Extra-HD-Standards/Aristocrat-Extra-Heavy-Duty-Standards.html' WHERE entity_type='custom' AND target_path=(SELECT CONCAT(url_path, '.html') FROM catalog_category_flat_store_1 WHERE entity_id=237);</v>
      </c>
    </row>
    <row r="439" spans="1:4" x14ac:dyDescent="0.25">
      <c r="A439">
        <f>categories!B439</f>
        <v>238</v>
      </c>
      <c r="B439" t="str">
        <f>SUBSTITUTE(SUBSTITUTE(categories!H439,"\","/"),"www.americanretailsupply.com/","")</f>
        <v>64968/784381/Aristocrat-Extra-HD-Standards/Aristocrat-Extra-Heavy-Duty-Concealed-Standards.html</v>
      </c>
      <c r="C439" t="str">
        <f t="shared" si="12"/>
        <v>INSERT INTO url_rewrite (entity_type, entity_id, redirect_type, store_id, request_path, target_path) VALUES ('custom', 0, 301, 1,'64968/784381/Aristocrat-Extra-HD-Standards/Aristocrat-Extra-Heavy-Duty-Concealed-Standards.html',(SELECT CONCAT(url_path, '.html') FROM catalog_category_flat_store_1 WHERE entity_id=238));</v>
      </c>
      <c r="D439" t="str">
        <f t="shared" si="13"/>
        <v>UPDATE url_rewrite SET request_path = '64968/784381/Aristocrat-Extra-HD-Standards/Aristocrat-Extra-Heavy-Duty-Concealed-Standards.html' WHERE entity_type='custom' AND target_path=(SELECT CONCAT(url_path, '.html') FROM catalog_category_flat_store_1 WHERE entity_id=238);</v>
      </c>
    </row>
    <row r="440" spans="1:4" x14ac:dyDescent="0.25">
      <c r="A440">
        <f>categories!B440</f>
        <v>240</v>
      </c>
      <c r="B440" t="str">
        <f>SUBSTITUTE(SUBSTITUTE(categories!H440,"\","/"),"www.americanretailsupply.com/","")</f>
        <v>64679/1443/Avery-Dennison-Labelers--Labels/PB-210-Labeler.html</v>
      </c>
      <c r="C440" t="str">
        <f t="shared" si="12"/>
        <v>INSERT INTO url_rewrite (entity_type, entity_id, redirect_type, store_id, request_path, target_path) VALUES ('custom', 0, 301, 1,'64679/1443/Avery-Dennison-Labelers--Labels/PB-210-Labeler.html',(SELECT CONCAT(url_path, '.html') FROM catalog_category_flat_store_1 WHERE entity_id=240));</v>
      </c>
      <c r="D440" t="str">
        <f t="shared" si="13"/>
        <v>UPDATE url_rewrite SET request_path = '64679/1443/Avery-Dennison-Labelers--Labels/PB-210-Labeler.html' WHERE entity_type='custom' AND target_path=(SELECT CONCAT(url_path, '.html') FROM catalog_category_flat_store_1 WHERE entity_id=240);</v>
      </c>
    </row>
    <row r="441" spans="1:4" x14ac:dyDescent="0.25">
      <c r="A441">
        <f>categories!B441</f>
        <v>241</v>
      </c>
      <c r="B441" t="str">
        <f>SUBSTITUTE(SUBSTITUTE(categories!H441,"\","/"),"www.americanretailsupply.com/","")</f>
        <v>64679/1533/Avery-Dennison-Labelers--Labels/PB-1-Labels.html</v>
      </c>
      <c r="C441" t="str">
        <f t="shared" si="12"/>
        <v>INSERT INTO url_rewrite (entity_type, entity_id, redirect_type, store_id, request_path, target_path) VALUES ('custom', 0, 301, 1,'64679/1533/Avery-Dennison-Labelers--Labels/PB-1-Labels.html',(SELECT CONCAT(url_path, '.html') FROM catalog_category_flat_store_1 WHERE entity_id=241));</v>
      </c>
      <c r="D441" t="str">
        <f t="shared" si="13"/>
        <v>UPDATE url_rewrite SET request_path = '64679/1533/Avery-Dennison-Labelers--Labels/PB-1-Labels.html' WHERE entity_type='custom' AND target_path=(SELECT CONCAT(url_path, '.html') FROM catalog_category_flat_store_1 WHERE entity_id=241);</v>
      </c>
    </row>
    <row r="442" spans="1:4" x14ac:dyDescent="0.25">
      <c r="A442">
        <f>categories!B442</f>
        <v>242</v>
      </c>
      <c r="B442" t="str">
        <f>SUBSTITUTE(SUBSTITUTE(categories!H442,"\","/"),"www.americanretailsupply.com/","")</f>
        <v>64679/1545/Avery-Dennison-Labelers--Labels/PB216-Labels.html</v>
      </c>
      <c r="C442" t="str">
        <f t="shared" si="12"/>
        <v>INSERT INTO url_rewrite (entity_type, entity_id, redirect_type, store_id, request_path, target_path) VALUES ('custom', 0, 301, 1,'64679/1545/Avery-Dennison-Labelers--Labels/PB216-Labels.html',(SELECT CONCAT(url_path, '.html') FROM catalog_category_flat_store_1 WHERE entity_id=242));</v>
      </c>
      <c r="D442" t="str">
        <f t="shared" si="13"/>
        <v>UPDATE url_rewrite SET request_path = '64679/1545/Avery-Dennison-Labelers--Labels/PB216-Labels.html' WHERE entity_type='custom' AND target_path=(SELECT CONCAT(url_path, '.html') FROM catalog_category_flat_store_1 WHERE entity_id=242);</v>
      </c>
    </row>
    <row r="443" spans="1:4" x14ac:dyDescent="0.25">
      <c r="A443">
        <f>categories!B443</f>
        <v>243</v>
      </c>
      <c r="B443" t="str">
        <f>SUBSTITUTE(SUBSTITUTE(categories!H443,"\","/"),"www.americanretailsupply.com/","")</f>
        <v>64679/1552/Avery-Dennison-Labelers--Labels/PB210-Labels.html</v>
      </c>
      <c r="C443" t="str">
        <f t="shared" si="12"/>
        <v>INSERT INTO url_rewrite (entity_type, entity_id, redirect_type, store_id, request_path, target_path) VALUES ('custom', 0, 301, 1,'64679/1552/Avery-Dennison-Labelers--Labels/PB210-Labels.html',(SELECT CONCAT(url_path, '.html') FROM catalog_category_flat_store_1 WHERE entity_id=243));</v>
      </c>
      <c r="D443" t="str">
        <f t="shared" si="13"/>
        <v>UPDATE url_rewrite SET request_path = '64679/1552/Avery-Dennison-Labelers--Labels/PB210-Labels.html' WHERE entity_type='custom' AND target_path=(SELECT CONCAT(url_path, '.html') FROM catalog_category_flat_store_1 WHERE entity_id=243);</v>
      </c>
    </row>
    <row r="444" spans="1:4" x14ac:dyDescent="0.25">
      <c r="A444">
        <f>categories!B444</f>
        <v>244</v>
      </c>
      <c r="B444" t="str">
        <f>SUBSTITUTE(SUBSTITUTE(categories!H444,"\","/"),"www.americanretailsupply.com/","")</f>
        <v>64679/1553/Avery-Dennison-Labelers--Labels/PB-Inkers.html</v>
      </c>
      <c r="C444" t="str">
        <f t="shared" si="12"/>
        <v>INSERT INTO url_rewrite (entity_type, entity_id, redirect_type, store_id, request_path, target_path) VALUES ('custom', 0, 301, 1,'64679/1553/Avery-Dennison-Labelers--Labels/PB-Inkers.html',(SELECT CONCAT(url_path, '.html') FROM catalog_category_flat_store_1 WHERE entity_id=244));</v>
      </c>
      <c r="D444" t="str">
        <f t="shared" si="13"/>
        <v>UPDATE url_rewrite SET request_path = '64679/1553/Avery-Dennison-Labelers--Labels/PB-Inkers.html' WHERE entity_type='custom' AND target_path=(SELECT CONCAT(url_path, '.html') FROM catalog_category_flat_store_1 WHERE entity_id=244);</v>
      </c>
    </row>
    <row r="445" spans="1:4" x14ac:dyDescent="0.25">
      <c r="A445">
        <f>categories!B445</f>
        <v>245</v>
      </c>
      <c r="B445" t="str">
        <f>SUBSTITUTE(SUBSTITUTE(categories!H445,"\","/"),"www.americanretailsupply.com/","")</f>
        <v>64679/48182/Avery-Dennison-Labelers--Labels/PB-1-Line-Labelers.html</v>
      </c>
      <c r="C445" t="str">
        <f t="shared" si="12"/>
        <v>INSERT INTO url_rewrite (entity_type, entity_id, redirect_type, store_id, request_path, target_path) VALUES ('custom', 0, 301, 1,'64679/48182/Avery-Dennison-Labelers--Labels/PB-1-Line-Labelers.html',(SELECT CONCAT(url_path, '.html') FROM catalog_category_flat_store_1 WHERE entity_id=245));</v>
      </c>
      <c r="D445" t="str">
        <f t="shared" si="13"/>
        <v>UPDATE url_rewrite SET request_path = '64679/48182/Avery-Dennison-Labelers--Labels/PB-1-Line-Labelers.html' WHERE entity_type='custom' AND target_path=(SELECT CONCAT(url_path, '.html') FROM catalog_category_flat_store_1 WHERE entity_id=245);</v>
      </c>
    </row>
    <row r="446" spans="1:4" x14ac:dyDescent="0.25">
      <c r="A446">
        <f>categories!B446</f>
        <v>246</v>
      </c>
      <c r="B446" t="str">
        <f>SUBSTITUTE(SUBSTITUTE(categories!H446,"\","/"),"www.americanretailsupply.com/","")</f>
        <v>64679/48183/Avery-Dennison-Labelers--Labels/PB-216-Labelers.html</v>
      </c>
      <c r="C446" t="str">
        <f t="shared" si="12"/>
        <v>INSERT INTO url_rewrite (entity_type, entity_id, redirect_type, store_id, request_path, target_path) VALUES ('custom', 0, 301, 1,'64679/48183/Avery-Dennison-Labelers--Labels/PB-216-Labelers.html',(SELECT CONCAT(url_path, '.html') FROM catalog_category_flat_store_1 WHERE entity_id=246));</v>
      </c>
      <c r="D446" t="str">
        <f t="shared" si="13"/>
        <v>UPDATE url_rewrite SET request_path = '64679/48183/Avery-Dennison-Labelers--Labels/PB-216-Labelers.html' WHERE entity_type='custom' AND target_path=(SELECT CONCAT(url_path, '.html') FROM catalog_category_flat_store_1 WHERE entity_id=246);</v>
      </c>
    </row>
    <row r="447" spans="1:4" x14ac:dyDescent="0.25">
      <c r="A447">
        <f>categories!B447</f>
        <v>247</v>
      </c>
      <c r="B447" t="str">
        <f>SUBSTITUTE(SUBSTITUTE(categories!H447,"\","/"),"www.americanretailsupply.com/","")</f>
        <v>64679/48287/Avery-Dennison-Labelers--Labels/PB-210-or-216-Inkers.html</v>
      </c>
      <c r="C447" t="str">
        <f t="shared" si="12"/>
        <v>INSERT INTO url_rewrite (entity_type, entity_id, redirect_type, store_id, request_path, target_path) VALUES ('custom', 0, 301, 1,'64679/48287/Avery-Dennison-Labelers--Labels/PB-210-or-216-Inkers.html',(SELECT CONCAT(url_path, '.html') FROM catalog_category_flat_store_1 WHERE entity_id=247));</v>
      </c>
      <c r="D447" t="str">
        <f t="shared" si="13"/>
        <v>UPDATE url_rewrite SET request_path = '64679/48287/Avery-Dennison-Labelers--Labels/PB-210-or-216-Inkers.html' WHERE entity_type='custom' AND target_path=(SELECT CONCAT(url_path, '.html') FROM catalog_category_flat_store_1 WHERE entity_id=247);</v>
      </c>
    </row>
    <row r="448" spans="1:4" x14ac:dyDescent="0.25">
      <c r="A448">
        <f>categories!B448</f>
        <v>248</v>
      </c>
      <c r="B448" t="str">
        <f>SUBSTITUTE(SUBSTITUTE(categories!H448,"\","/"),"www.americanretailsupply.com/","")</f>
        <v>64679/234585/Avery-Dennison-Labelers--Labels/Replacement-Inker-Assembly.html</v>
      </c>
      <c r="C448" t="str">
        <f t="shared" si="12"/>
        <v>INSERT INTO url_rewrite (entity_type, entity_id, redirect_type, store_id, request_path, target_path) VALUES ('custom', 0, 301, 1,'64679/234585/Avery-Dennison-Labelers--Labels/Replacement-Inker-Assembly.html',(SELECT CONCAT(url_path, '.html') FROM catalog_category_flat_store_1 WHERE entity_id=248));</v>
      </c>
      <c r="D448" t="str">
        <f t="shared" si="13"/>
        <v>UPDATE url_rewrite SET request_path = '64679/234585/Avery-Dennison-Labelers--Labels/Replacement-Inker-Assembly.html' WHERE entity_type='custom' AND target_path=(SELECT CONCAT(url_path, '.html') FROM catalog_category_flat_store_1 WHERE entity_id=248);</v>
      </c>
    </row>
    <row r="449" spans="1:4" x14ac:dyDescent="0.25">
      <c r="A449">
        <f>categories!B449</f>
        <v>250</v>
      </c>
      <c r="B449" t="str">
        <f>SUBSTITUTE(SUBSTITUTE(categories!H449,"\","/"),"www.americanretailsupply.com/","")</f>
        <v>64683/48297/Avery-Dennison-Taggers/Needles-for-Taggers.html</v>
      </c>
      <c r="C449" t="str">
        <f t="shared" si="12"/>
        <v>INSERT INTO url_rewrite (entity_type, entity_id, redirect_type, store_id, request_path, target_path) VALUES ('custom', 0, 301, 1,'64683/48297/Avery-Dennison-Taggers/Needles-for-Taggers.html',(SELECT CONCAT(url_path, '.html') FROM catalog_category_flat_store_1 WHERE entity_id=250));</v>
      </c>
      <c r="D449" t="str">
        <f t="shared" si="13"/>
        <v>UPDATE url_rewrite SET request_path = '64683/48297/Avery-Dennison-Taggers/Needles-for-Taggers.html' WHERE entity_type='custom' AND target_path=(SELECT CONCAT(url_path, '.html') FROM catalog_category_flat_store_1 WHERE entity_id=250);</v>
      </c>
    </row>
    <row r="450" spans="1:4" x14ac:dyDescent="0.25">
      <c r="A450">
        <f>categories!B450</f>
        <v>251</v>
      </c>
      <c r="B450" t="str">
        <f>SUBSTITUTE(SUBSTITUTE(categories!H450,"\","/"),"www.americanretailsupply.com/","")</f>
        <v>64683/784098/Avery-Dennison-Taggers/Avery-Dennison-Taggers.html</v>
      </c>
      <c r="C450" t="str">
        <f t="shared" si="12"/>
        <v>INSERT INTO url_rewrite (entity_type, entity_id, redirect_type, store_id, request_path, target_path) VALUES ('custom', 0, 301, 1,'64683/784098/Avery-Dennison-Taggers/Avery-Dennison-Taggers.html',(SELECT CONCAT(url_path, '.html') FROM catalog_category_flat_store_1 WHERE entity_id=251));</v>
      </c>
      <c r="D450" t="str">
        <f t="shared" si="13"/>
        <v>UPDATE url_rewrite SET request_path = '64683/784098/Avery-Dennison-Taggers/Avery-Dennison-Taggers.html' WHERE entity_type='custom' AND target_path=(SELECT CONCAT(url_path, '.html') FROM catalog_category_flat_store_1 WHERE entity_id=251);</v>
      </c>
    </row>
    <row r="451" spans="1:4" x14ac:dyDescent="0.25">
      <c r="A451">
        <f>categories!B451</f>
        <v>252</v>
      </c>
      <c r="B451" t="str">
        <f>SUBSTITUTE(SUBSTITUTE(categories!H451,"\","/"),"www.americanretailsupply.com/","")</f>
        <v>64683/784103/Avery-Dennison-Taggers/Fasteners-for-Avery-Dennison-Taggers.html</v>
      </c>
      <c r="C451" t="str">
        <f t="shared" ref="C451:C514" si="14">"INSERT INTO url_rewrite (entity_type, entity_id, redirect_type, store_id, request_path, target_path) VALUES ('custom', 0, 301, 1,'"&amp;B451&amp;"',(SELECT CONCAT(url_path, '.html') FROM catalog_category_flat_store_1 WHERE entity_id="&amp;A451&amp;"));"</f>
        <v>INSERT INTO url_rewrite (entity_type, entity_id, redirect_type, store_id, request_path, target_path) VALUES ('custom', 0, 301, 1,'64683/784103/Avery-Dennison-Taggers/Fasteners-for-Avery-Dennison-Taggers.html',(SELECT CONCAT(url_path, '.html') FROM catalog_category_flat_store_1 WHERE entity_id=252));</v>
      </c>
      <c r="D451" t="str">
        <f t="shared" ref="D451:D514" si="15">"UPDATE url_rewrite SET request_path = '"&amp;B451&amp;"' WHERE entity_type='custom' AND target_path=(SELECT CONCAT(url_path, '.html') FROM catalog_category_flat_store_1 WHERE entity_id="&amp;A451&amp;");"</f>
        <v>UPDATE url_rewrite SET request_path = '64683/784103/Avery-Dennison-Taggers/Fasteners-for-Avery-Dennison-Taggers.html' WHERE entity_type='custom' AND target_path=(SELECT CONCAT(url_path, '.html') FROM catalog_category_flat_store_1 WHERE entity_id=252);</v>
      </c>
    </row>
    <row r="452" spans="1:4" x14ac:dyDescent="0.25">
      <c r="A452">
        <f>categories!B452</f>
        <v>255</v>
      </c>
      <c r="B452" t="str">
        <f>SUBSTITUTE(SUBSTITUTE(categories!H452,"\","/"),"www.americanretailsupply.com/","")</f>
        <v>65008/741329/Bags-in-Animal-Prints/Zebra--Leopard-Paper-Shopping-Bags.html</v>
      </c>
      <c r="C452" t="str">
        <f t="shared" si="14"/>
        <v>INSERT INTO url_rewrite (entity_type, entity_id, redirect_type, store_id, request_path, target_path) VALUES ('custom', 0, 301, 1,'65008/741329/Bags-in-Animal-Prints/Zebra--Leopard-Paper-Shopping-Bags.html',(SELECT CONCAT(url_path, '.html') FROM catalog_category_flat_store_1 WHERE entity_id=255));</v>
      </c>
      <c r="D452" t="str">
        <f t="shared" si="15"/>
        <v>UPDATE url_rewrite SET request_path = '65008/741329/Bags-in-Animal-Prints/Zebra--Leopard-Paper-Shopping-Bags.html' WHERE entity_type='custom' AND target_path=(SELECT CONCAT(url_path, '.html') FROM catalog_category_flat_store_1 WHERE entity_id=255);</v>
      </c>
    </row>
    <row r="453" spans="1:4" x14ac:dyDescent="0.25">
      <c r="A453">
        <f>categories!B453</f>
        <v>256</v>
      </c>
      <c r="B453" t="str">
        <f>SUBSTITUTE(SUBSTITUTE(categories!H453,"\","/"),"www.americanretailsupply.com/","")</f>
        <v>65008/742786/Bags-in-Animal-Prints/Frosted-Animal-Print-Shoppers-with-Tri-Fold-Handles.html</v>
      </c>
      <c r="C453" t="str">
        <f t="shared" si="14"/>
        <v>INSERT INTO url_rewrite (entity_type, entity_id, redirect_type, store_id, request_path, target_path) VALUES ('custom', 0, 301, 1,'65008/742786/Bags-in-Animal-Prints/Frosted-Animal-Print-Shoppers-with-Tri-Fold-Handles.html',(SELECT CONCAT(url_path, '.html') FROM catalog_category_flat_store_1 WHERE entity_id=256));</v>
      </c>
      <c r="D453" t="str">
        <f t="shared" si="15"/>
        <v>UPDATE url_rewrite SET request_path = '65008/742786/Bags-in-Animal-Prints/Frosted-Animal-Print-Shoppers-with-Tri-Fold-Handles.html' WHERE entity_type='custom' AND target_path=(SELECT CONCAT(url_path, '.html') FROM catalog_category_flat_store_1 WHERE entity_id=256);</v>
      </c>
    </row>
    <row r="454" spans="1:4" x14ac:dyDescent="0.25">
      <c r="A454">
        <f>categories!B454</f>
        <v>258</v>
      </c>
      <c r="B454" t="str">
        <f>SUBSTITUTE(SUBSTITUTE(categories!H454,"\","/"),"www.americanretailsupply.com/","")</f>
        <v>64690/730878/Banners--Posters/Seasonal-Posters.html</v>
      </c>
      <c r="C454" t="str">
        <f t="shared" si="14"/>
        <v>INSERT INTO url_rewrite (entity_type, entity_id, redirect_type, store_id, request_path, target_path) VALUES ('custom', 0, 301, 1,'64690/730878/Banners--Posters/Seasonal-Posters.html',(SELECT CONCAT(url_path, '.html') FROM catalog_category_flat_store_1 WHERE entity_id=258));</v>
      </c>
      <c r="D454" t="str">
        <f t="shared" si="15"/>
        <v>UPDATE url_rewrite SET request_path = '64690/730878/Banners--Posters/Seasonal-Posters.html' WHERE entity_type='custom' AND target_path=(SELECT CONCAT(url_path, '.html') FROM catalog_category_flat_store_1 WHERE entity_id=258);</v>
      </c>
    </row>
    <row r="455" spans="1:4" x14ac:dyDescent="0.25">
      <c r="A455">
        <f>categories!B455</f>
        <v>259</v>
      </c>
      <c r="B455" t="str">
        <f>SUBSTITUTE(SUBSTITUTE(categories!H455,"\","/"),"www.americanretailsupply.com/","")</f>
        <v>64690/777694/Banners--Posters/Miracle-Sticks.html</v>
      </c>
      <c r="C455" t="str">
        <f t="shared" si="14"/>
        <v>INSERT INTO url_rewrite (entity_type, entity_id, redirect_type, store_id, request_path, target_path) VALUES ('custom', 0, 301, 1,'64690/777694/Banners--Posters/Miracle-Sticks.html',(SELECT CONCAT(url_path, '.html') FROM catalog_category_flat_store_1 WHERE entity_id=259));</v>
      </c>
      <c r="D455" t="str">
        <f t="shared" si="15"/>
        <v>UPDATE url_rewrite SET request_path = '64690/777694/Banners--Posters/Miracle-Sticks.html' WHERE entity_type='custom' AND target_path=(SELECT CONCAT(url_path, '.html') FROM catalog_category_flat_store_1 WHERE entity_id=259);</v>
      </c>
    </row>
    <row r="456" spans="1:4" x14ac:dyDescent="0.25">
      <c r="A456">
        <f>categories!B456</f>
        <v>260</v>
      </c>
      <c r="B456" t="str">
        <f>SUBSTITUTE(SUBSTITUTE(categories!H456,"\","/"),"www.americanretailsupply.com/","")</f>
        <v>64690/778759/Banners--Posters/Posters-and-Pennants.html</v>
      </c>
      <c r="C456" t="str">
        <f t="shared" si="14"/>
        <v>INSERT INTO url_rewrite (entity_type, entity_id, redirect_type, store_id, request_path, target_path) VALUES ('custom', 0, 301, 1,'64690/778759/Banners--Posters/Posters-and-Pennants.html',(SELECT CONCAT(url_path, '.html') FROM catalog_category_flat_store_1 WHERE entity_id=260));</v>
      </c>
      <c r="D456" t="str">
        <f t="shared" si="15"/>
        <v>UPDATE url_rewrite SET request_path = '64690/778759/Banners--Posters/Posters-and-Pennants.html' WHERE entity_type='custom' AND target_path=(SELECT CONCAT(url_path, '.html') FROM catalog_category_flat_store_1 WHERE entity_id=260);</v>
      </c>
    </row>
    <row r="457" spans="1:4" x14ac:dyDescent="0.25">
      <c r="A457">
        <f>categories!B457</f>
        <v>261</v>
      </c>
      <c r="B457" t="str">
        <f>SUBSTITUTE(SUBSTITUTE(categories!H457,"\","/"),"www.americanretailsupply.com/","")</f>
        <v>64690/778760/Banners--Posters/Ceiling-Danglers.html</v>
      </c>
      <c r="C457" t="str">
        <f t="shared" si="14"/>
        <v>INSERT INTO url_rewrite (entity_type, entity_id, redirect_type, store_id, request_path, target_path) VALUES ('custom', 0, 301, 1,'64690/778760/Banners--Posters/Ceiling-Danglers.html',(SELECT CONCAT(url_path, '.html') FROM catalog_category_flat_store_1 WHERE entity_id=261));</v>
      </c>
      <c r="D457" t="str">
        <f t="shared" si="15"/>
        <v>UPDATE url_rewrite SET request_path = '64690/778760/Banners--Posters/Ceiling-Danglers.html' WHERE entity_type='custom' AND target_path=(SELECT CONCAT(url_path, '.html') FROM catalog_category_flat_store_1 WHERE entity_id=261);</v>
      </c>
    </row>
    <row r="458" spans="1:4" x14ac:dyDescent="0.25">
      <c r="A458">
        <f>categories!B458</f>
        <v>264</v>
      </c>
      <c r="B458" t="str">
        <f>SUBSTITUTE(SUBSTITUTE(categories!H458,"\","/"),"www.americanretailsupply.com/","")</f>
        <v>64725/716279/BARGAIN-In-Stock-Giftwrap/Everyday-Patterns-100-Rolls.html</v>
      </c>
      <c r="C458" t="str">
        <f t="shared" si="14"/>
        <v>INSERT INTO url_rewrite (entity_type, entity_id, redirect_type, store_id, request_path, target_path) VALUES ('custom', 0, 301, 1,'64725/716279/BARGAIN-In-Stock-Giftwrap/Everyday-Patterns-100-Rolls.html',(SELECT CONCAT(url_path, '.html') FROM catalog_category_flat_store_1 WHERE entity_id=264));</v>
      </c>
      <c r="D458" t="str">
        <f t="shared" si="15"/>
        <v>UPDATE url_rewrite SET request_path = '64725/716279/BARGAIN-In-Stock-Giftwrap/Everyday-Patterns-100-Rolls.html' WHERE entity_type='custom' AND target_path=(SELECT CONCAT(url_path, '.html') FROM catalog_category_flat_store_1 WHERE entity_id=264);</v>
      </c>
    </row>
    <row r="459" spans="1:4" x14ac:dyDescent="0.25">
      <c r="A459">
        <f>categories!B459</f>
        <v>265</v>
      </c>
      <c r="B459" t="str">
        <f>SUBSTITUTE(SUBSTITUTE(categories!H459,"\","/"),"www.americanretailsupply.com/","")</f>
        <v>64725/716286/BARGAIN-In-Stock-Giftwrap/Everyday-Patterns-II-100-rolls.html</v>
      </c>
      <c r="C459" t="str">
        <f t="shared" si="14"/>
        <v>INSERT INTO url_rewrite (entity_type, entity_id, redirect_type, store_id, request_path, target_path) VALUES ('custom', 0, 301, 1,'64725/716286/BARGAIN-In-Stock-Giftwrap/Everyday-Patterns-II-100-rolls.html',(SELECT CONCAT(url_path, '.html') FROM catalog_category_flat_store_1 WHERE entity_id=265));</v>
      </c>
      <c r="D459" t="str">
        <f t="shared" si="15"/>
        <v>UPDATE url_rewrite SET request_path = '64725/716286/BARGAIN-In-Stock-Giftwrap/Everyday-Patterns-II-100-rolls.html' WHERE entity_type='custom' AND target_path=(SELECT CONCAT(url_path, '.html') FROM catalog_category_flat_store_1 WHERE entity_id=265);</v>
      </c>
    </row>
    <row r="460" spans="1:4" x14ac:dyDescent="0.25">
      <c r="A460">
        <f>categories!B460</f>
        <v>266</v>
      </c>
      <c r="B460" t="str">
        <f>SUBSTITUTE(SUBSTITUTE(categories!H460,"\","/"),"www.americanretailsupply.com/","")</f>
        <v>64725/716785/BARGAIN-In-Stock-Giftwrap/Christmas--Holiday-Patterns-100-Rolls.html</v>
      </c>
      <c r="C460" t="str">
        <f t="shared" si="14"/>
        <v>INSERT INTO url_rewrite (entity_type, entity_id, redirect_type, store_id, request_path, target_path) VALUES ('custom', 0, 301, 1,'64725/716785/BARGAIN-In-Stock-Giftwrap/Christmas--Holiday-Patterns-100-Rolls.html',(SELECT CONCAT(url_path, '.html') FROM catalog_category_flat_store_1 WHERE entity_id=266));</v>
      </c>
      <c r="D460" t="str">
        <f t="shared" si="15"/>
        <v>UPDATE url_rewrite SET request_path = '64725/716785/BARGAIN-In-Stock-Giftwrap/Christmas--Holiday-Patterns-100-Rolls.html' WHERE entity_type='custom' AND target_path=(SELECT CONCAT(url_path, '.html') FROM catalog_category_flat_store_1 WHERE entity_id=266);</v>
      </c>
    </row>
    <row r="461" spans="1:4" x14ac:dyDescent="0.25">
      <c r="A461">
        <f>categories!B461</f>
        <v>267</v>
      </c>
      <c r="B461" t="str">
        <f>SUBSTITUTE(SUBSTITUTE(categories!H461,"\","/"),"www.americanretailsupply.com/","")</f>
        <v>64725/781063/BARGAIN-In-Stock-Giftwrap/Everyday--Giftwrap-24-x-50-Rolls.html</v>
      </c>
      <c r="C461" t="str">
        <f t="shared" si="14"/>
        <v>INSERT INTO url_rewrite (entity_type, entity_id, redirect_type, store_id, request_path, target_path) VALUES ('custom', 0, 301, 1,'64725/781063/BARGAIN-In-Stock-Giftwrap/Everyday--Giftwrap-24-x-50-Rolls.html',(SELECT CONCAT(url_path, '.html') FROM catalog_category_flat_store_1 WHERE entity_id=267));</v>
      </c>
      <c r="D461" t="str">
        <f t="shared" si="15"/>
        <v>UPDATE url_rewrite SET request_path = '64725/781063/BARGAIN-In-Stock-Giftwrap/Everyday--Giftwrap-24-x-50-Rolls.html' WHERE entity_type='custom' AND target_path=(SELECT CONCAT(url_path, '.html') FROM catalog_category_flat_store_1 WHERE entity_id=267);</v>
      </c>
    </row>
    <row r="462" spans="1:4" x14ac:dyDescent="0.25">
      <c r="A462">
        <f>categories!B462</f>
        <v>268</v>
      </c>
      <c r="B462" t="str">
        <f>SUBSTITUTE(SUBSTITUTE(categories!H462,"\","/"),"www.americanretailsupply.com/","")</f>
        <v>64725/781065/BARGAIN-In-Stock-Giftwrap/Christmas-Giftwrap-24-x--50-Rolls.html</v>
      </c>
      <c r="C462" t="str">
        <f t="shared" si="14"/>
        <v>INSERT INTO url_rewrite (entity_type, entity_id, redirect_type, store_id, request_path, target_path) VALUES ('custom', 0, 301, 1,'64725/781065/BARGAIN-In-Stock-Giftwrap/Christmas-Giftwrap-24-x--50-Rolls.html',(SELECT CONCAT(url_path, '.html') FROM catalog_category_flat_store_1 WHERE entity_id=268));</v>
      </c>
      <c r="D462" t="str">
        <f t="shared" si="15"/>
        <v>UPDATE url_rewrite SET request_path = '64725/781065/BARGAIN-In-Stock-Giftwrap/Christmas-Giftwrap-24-x--50-Rolls.html' WHERE entity_type='custom' AND target_path=(SELECT CONCAT(url_path, '.html') FROM catalog_category_flat_store_1 WHERE entity_id=268);</v>
      </c>
    </row>
    <row r="463" spans="1:4" x14ac:dyDescent="0.25">
      <c r="A463">
        <f>categories!B463</f>
        <v>271</v>
      </c>
      <c r="B463" t="str">
        <f>SUBSTITUTE(SUBSTITUTE(categories!H463,"\","/"),"www.americanretailsupply.com/","")</f>
        <v>65039/41125/Baskets-BracketsDouble-Hooks/Hooks-for-Pegboard.html</v>
      </c>
      <c r="C463" t="str">
        <f t="shared" si="14"/>
        <v>INSERT INTO url_rewrite (entity_type, entity_id, redirect_type, store_id, request_path, target_path) VALUES ('custom', 0, 301, 1,'65039/41125/Baskets-BracketsDouble-Hooks/Hooks-for-Pegboard.html',(SELECT CONCAT(url_path, '.html') FROM catalog_category_flat_store_1 WHERE entity_id=271));</v>
      </c>
      <c r="D463" t="str">
        <f t="shared" si="15"/>
        <v>UPDATE url_rewrite SET request_path = '65039/41125/Baskets-BracketsDouble-Hooks/Hooks-for-Pegboard.html' WHERE entity_type='custom' AND target_path=(SELECT CONCAT(url_path, '.html') FROM catalog_category_flat_store_1 WHERE entity_id=271);</v>
      </c>
    </row>
    <row r="464" spans="1:4" x14ac:dyDescent="0.25">
      <c r="A464">
        <f>categories!B464</f>
        <v>272</v>
      </c>
      <c r="B464" t="str">
        <f>SUBSTITUTE(SUBSTITUTE(categories!H464,"\","/"),"www.americanretailsupply.com/","")</f>
        <v>65039/41126/Baskets-BracketsDouble-Hooks/Molded-Inventory-Control-Clip.html</v>
      </c>
      <c r="C464" t="str">
        <f t="shared" si="14"/>
        <v>INSERT INTO url_rewrite (entity_type, entity_id, redirect_type, store_id, request_path, target_path) VALUES ('custom', 0, 301, 1,'65039/41126/Baskets-BracketsDouble-Hooks/Molded-Inventory-Control-Clip.html',(SELECT CONCAT(url_path, '.html') FROM catalog_category_flat_store_1 WHERE entity_id=272));</v>
      </c>
      <c r="D464" t="str">
        <f t="shared" si="15"/>
        <v>UPDATE url_rewrite SET request_path = '65039/41126/Baskets-BracketsDouble-Hooks/Molded-Inventory-Control-Clip.html' WHERE entity_type='custom' AND target_path=(SELECT CONCAT(url_path, '.html') FROM catalog_category_flat_store_1 WHERE entity_id=272);</v>
      </c>
    </row>
    <row r="465" spans="1:4" x14ac:dyDescent="0.25">
      <c r="A465">
        <f>categories!B465</f>
        <v>273</v>
      </c>
      <c r="B465" t="str">
        <f>SUBSTITUTE(SUBSTITUTE(categories!H465,"\","/"),"www.americanretailsupply.com/","")</f>
        <v>65039/41127/Baskets-BracketsDouble-Hooks/Loop-Hooks-Standard-Duty.html</v>
      </c>
      <c r="C465" t="str">
        <f t="shared" si="14"/>
        <v>INSERT INTO url_rewrite (entity_type, entity_id, redirect_type, store_id, request_path, target_path) VALUES ('custom', 0, 301, 1,'65039/41127/Baskets-BracketsDouble-Hooks/Loop-Hooks-Standard-Duty.html',(SELECT CONCAT(url_path, '.html') FROM catalog_category_flat_store_1 WHERE entity_id=273));</v>
      </c>
      <c r="D465" t="str">
        <f t="shared" si="15"/>
        <v>UPDATE url_rewrite SET request_path = '65039/41127/Baskets-BracketsDouble-Hooks/Loop-Hooks-Standard-Duty.html' WHERE entity_type='custom' AND target_path=(SELECT CONCAT(url_path, '.html') FROM catalog_category_flat_store_1 WHERE entity_id=273);</v>
      </c>
    </row>
    <row r="466" spans="1:4" x14ac:dyDescent="0.25">
      <c r="A466">
        <f>categories!B466</f>
        <v>274</v>
      </c>
      <c r="B466" t="str">
        <f>SUBSTITUTE(SUBSTITUTE(categories!H466,"\","/"),"www.americanretailsupply.com/","")</f>
        <v>65039/41135/Baskets-BracketsDouble-Hooks/Multi-Wire-Basket-White.html</v>
      </c>
      <c r="C466" t="str">
        <f t="shared" si="14"/>
        <v>INSERT INTO url_rewrite (entity_type, entity_id, redirect_type, store_id, request_path, target_path) VALUES ('custom', 0, 301, 1,'65039/41135/Baskets-BracketsDouble-Hooks/Multi-Wire-Basket-White.html',(SELECT CONCAT(url_path, '.html') FROM catalog_category_flat_store_1 WHERE entity_id=274));</v>
      </c>
      <c r="D466" t="str">
        <f t="shared" si="15"/>
        <v>UPDATE url_rewrite SET request_path = '65039/41135/Baskets-BracketsDouble-Hooks/Multi-Wire-Basket-White.html' WHERE entity_type='custom' AND target_path=(SELECT CONCAT(url_path, '.html') FROM catalog_category_flat_store_1 WHERE entity_id=274);</v>
      </c>
    </row>
    <row r="467" spans="1:4" x14ac:dyDescent="0.25">
      <c r="A467">
        <f>categories!B467</f>
        <v>275</v>
      </c>
      <c r="B467" t="str">
        <f>SUBSTITUTE(SUBSTITUTE(categories!H467,"\","/"),"www.americanretailsupply.com/","")</f>
        <v>65039/41136/Baskets-BracketsDouble-Hooks/Pegboard-Waterfall-Bracket.html</v>
      </c>
      <c r="C467" t="str">
        <f t="shared" si="14"/>
        <v>INSERT INTO url_rewrite (entity_type, entity_id, redirect_type, store_id, request_path, target_path) VALUES ('custom', 0, 301, 1,'65039/41136/Baskets-BracketsDouble-Hooks/Pegboard-Waterfall-Bracket.html',(SELECT CONCAT(url_path, '.html') FROM catalog_category_flat_store_1 WHERE entity_id=275));</v>
      </c>
      <c r="D467" t="str">
        <f t="shared" si="15"/>
        <v>UPDATE url_rewrite SET request_path = '65039/41136/Baskets-BracketsDouble-Hooks/Pegboard-Waterfall-Bracket.html' WHERE entity_type='custom' AND target_path=(SELECT CONCAT(url_path, '.html') FROM catalog_category_flat_store_1 WHERE entity_id=275);</v>
      </c>
    </row>
    <row r="468" spans="1:4" x14ac:dyDescent="0.25">
      <c r="A468">
        <f>categories!B468</f>
        <v>276</v>
      </c>
      <c r="B468" t="str">
        <f>SUBSTITUTE(SUBSTITUTE(categories!H468,"\","/"),"www.americanretailsupply.com/","")</f>
        <v>65039/41137/Baskets-BracketsDouble-Hooks/Knife-Edge-Brackets.html</v>
      </c>
      <c r="C468" t="str">
        <f t="shared" si="14"/>
        <v>INSERT INTO url_rewrite (entity_type, entity_id, redirect_type, store_id, request_path, target_path) VALUES ('custom', 0, 301, 1,'65039/41137/Baskets-BracketsDouble-Hooks/Knife-Edge-Brackets.html',(SELECT CONCAT(url_path, '.html') FROM catalog_category_flat_store_1 WHERE entity_id=276));</v>
      </c>
      <c r="D468" t="str">
        <f t="shared" si="15"/>
        <v>UPDATE url_rewrite SET request_path = '65039/41137/Baskets-BracketsDouble-Hooks/Knife-Edge-Brackets.html' WHERE entity_type='custom' AND target_path=(SELECT CONCAT(url_path, '.html') FROM catalog_category_flat_store_1 WHERE entity_id=276);</v>
      </c>
    </row>
    <row r="469" spans="1:4" x14ac:dyDescent="0.25">
      <c r="A469">
        <f>categories!B469</f>
        <v>279</v>
      </c>
      <c r="B469" t="str">
        <f>SUBSTITUTE(SUBSTITUTE(categories!H469,"\","/"),"www.americanretailsupply.com/","")</f>
        <v>64788/586415/Birch-Jewelry-Displays/Modular-Countertop-Displays.html</v>
      </c>
      <c r="C469" t="str">
        <f t="shared" si="14"/>
        <v>INSERT INTO url_rewrite (entity_type, entity_id, redirect_type, store_id, request_path, target_path) VALUES ('custom', 0, 301, 1,'64788/586415/Birch-Jewelry-Displays/Modular-Countertop-Displays.html',(SELECT CONCAT(url_path, '.html') FROM catalog_category_flat_store_1 WHERE entity_id=279));</v>
      </c>
      <c r="D469" t="str">
        <f t="shared" si="15"/>
        <v>UPDATE url_rewrite SET request_path = '64788/586415/Birch-Jewelry-Displays/Modular-Countertop-Displays.html' WHERE entity_type='custom' AND target_path=(SELECT CONCAT(url_path, '.html') FROM catalog_category_flat_store_1 WHERE entity_id=279);</v>
      </c>
    </row>
    <row r="470" spans="1:4" x14ac:dyDescent="0.25">
      <c r="A470">
        <f>categories!B470</f>
        <v>282</v>
      </c>
      <c r="B470" t="str">
        <f>SUBSTITUTE(SUBSTITUTE(categories!H470,"\","/"),"www.americanretailsupply.com/","")</f>
        <v>65124/777488/BookHANGERS--Sample-Rings/Sample-Display-Rings.html</v>
      </c>
      <c r="C470" t="str">
        <f t="shared" si="14"/>
        <v>INSERT INTO url_rewrite (entity_type, entity_id, redirect_type, store_id, request_path, target_path) VALUES ('custom', 0, 301, 1,'65124/777488/BookHANGERS--Sample-Rings/Sample-Display-Rings.html',(SELECT CONCAT(url_path, '.html') FROM catalog_category_flat_store_1 WHERE entity_id=282));</v>
      </c>
      <c r="D470" t="str">
        <f t="shared" si="15"/>
        <v>UPDATE url_rewrite SET request_path = '65124/777488/BookHANGERS--Sample-Rings/Sample-Display-Rings.html' WHERE entity_type='custom' AND target_path=(SELECT CONCAT(url_path, '.html') FROM catalog_category_flat_store_1 WHERE entity_id=282);</v>
      </c>
    </row>
    <row r="471" spans="1:4" x14ac:dyDescent="0.25">
      <c r="A471">
        <f>categories!B471</f>
        <v>283</v>
      </c>
      <c r="B471" t="str">
        <f>SUBSTITUTE(SUBSTITUTE(categories!H471,"\","/"),"www.americanretailsupply.com/","")</f>
        <v>65124/777490/BookHANGERS--Sample-Rings/Book-Hangers.html</v>
      </c>
      <c r="C471" t="str">
        <f t="shared" si="14"/>
        <v>INSERT INTO url_rewrite (entity_type, entity_id, redirect_type, store_id, request_path, target_path) VALUES ('custom', 0, 301, 1,'65124/777490/BookHANGERS--Sample-Rings/Book-Hangers.html',(SELECT CONCAT(url_path, '.html') FROM catalog_category_flat_store_1 WHERE entity_id=283));</v>
      </c>
      <c r="D471" t="str">
        <f t="shared" si="15"/>
        <v>UPDATE url_rewrite SET request_path = '65124/777490/BookHANGERS--Sample-Rings/Book-Hangers.html' WHERE entity_type='custom' AND target_path=(SELECT CONCAT(url_path, '.html') FROM catalog_category_flat_store_1 WHERE entity_id=283);</v>
      </c>
    </row>
    <row r="472" spans="1:4" x14ac:dyDescent="0.25">
      <c r="A472">
        <f>categories!B472</f>
        <v>285</v>
      </c>
      <c r="B472" t="str">
        <f>SUBSTITUTE(SUBSTITUTE(categories!H472,"\","/"),"www.americanretailsupply.com/","")</f>
        <v>64848/48277/Box-Cutters/Box-Cutters.html</v>
      </c>
      <c r="C472" t="str">
        <f t="shared" si="14"/>
        <v>INSERT INTO url_rewrite (entity_type, entity_id, redirect_type, store_id, request_path, target_path) VALUES ('custom', 0, 301, 1,'64848/48277/Box-Cutters/Box-Cutters.html',(SELECT CONCAT(url_path, '.html') FROM catalog_category_flat_store_1 WHERE entity_id=285));</v>
      </c>
      <c r="D472" t="str">
        <f t="shared" si="15"/>
        <v>UPDATE url_rewrite SET request_path = '64848/48277/Box-Cutters/Box-Cutters.html' WHERE entity_type='custom' AND target_path=(SELECT CONCAT(url_path, '.html') FROM catalog_category_flat_store_1 WHERE entity_id=285);</v>
      </c>
    </row>
    <row r="473" spans="1:4" x14ac:dyDescent="0.25">
      <c r="A473">
        <f>categories!B473</f>
        <v>286</v>
      </c>
      <c r="B473" t="str">
        <f>SUBSTITUTE(SUBSTITUTE(categories!H473,"\","/"),"www.americanretailsupply.com/","")</f>
        <v>64848/48278/Box-Cutters/Box-Cutter-Blades.html</v>
      </c>
      <c r="C473" t="str">
        <f t="shared" si="14"/>
        <v>INSERT INTO url_rewrite (entity_type, entity_id, redirect_type, store_id, request_path, target_path) VALUES ('custom', 0, 301, 1,'64848/48278/Box-Cutters/Box-Cutter-Blades.html',(SELECT CONCAT(url_path, '.html') FROM catalog_category_flat_store_1 WHERE entity_id=286));</v>
      </c>
      <c r="D473" t="str">
        <f t="shared" si="15"/>
        <v>UPDATE url_rewrite SET request_path = '64848/48278/Box-Cutters/Box-Cutter-Blades.html' WHERE entity_type='custom' AND target_path=(SELECT CONCAT(url_path, '.html') FROM catalog_category_flat_store_1 WHERE entity_id=286);</v>
      </c>
    </row>
    <row r="474" spans="1:4" x14ac:dyDescent="0.25">
      <c r="A474">
        <f>categories!B474</f>
        <v>288</v>
      </c>
      <c r="B474" t="str">
        <f>SUBSTITUTE(SUBSTITUTE(categories!H474,"\","/"),"www.americanretailsupply.com/","")</f>
        <v>65009/741334/Boxes-in-Animal-Prints/Zebra-Gable-Boxes.html</v>
      </c>
      <c r="C474" t="str">
        <f t="shared" si="14"/>
        <v>INSERT INTO url_rewrite (entity_type, entity_id, redirect_type, store_id, request_path, target_path) VALUES ('custom', 0, 301, 1,'65009/741334/Boxes-in-Animal-Prints/Zebra-Gable-Boxes.html',(SELECT CONCAT(url_path, '.html') FROM catalog_category_flat_store_1 WHERE entity_id=288));</v>
      </c>
      <c r="D474" t="str">
        <f t="shared" si="15"/>
        <v>UPDATE url_rewrite SET request_path = '65009/741334/Boxes-in-Animal-Prints/Zebra-Gable-Boxes.html' WHERE entity_type='custom' AND target_path=(SELECT CONCAT(url_path, '.html') FROM catalog_category_flat_store_1 WHERE entity_id=288);</v>
      </c>
    </row>
    <row r="475" spans="1:4" x14ac:dyDescent="0.25">
      <c r="A475">
        <f>categories!B475</f>
        <v>289</v>
      </c>
      <c r="B475" t="str">
        <f>SUBSTITUTE(SUBSTITUTE(categories!H475,"\","/"),"www.americanretailsupply.com/","")</f>
        <v>65009/742307/Boxes-in-Animal-Prints/Gift-Card-Folders--Holders.html</v>
      </c>
      <c r="C475" t="str">
        <f t="shared" si="14"/>
        <v>INSERT INTO url_rewrite (entity_type, entity_id, redirect_type, store_id, request_path, target_path) VALUES ('custom', 0, 301, 1,'65009/742307/Boxes-in-Animal-Prints/Gift-Card-Folders--Holders.html',(SELECT CONCAT(url_path, '.html') FROM catalog_category_flat_store_1 WHERE entity_id=289));</v>
      </c>
      <c r="D475" t="str">
        <f t="shared" si="15"/>
        <v>UPDATE url_rewrite SET request_path = '65009/742307/Boxes-in-Animal-Prints/Gift-Card-Folders--Holders.html' WHERE entity_type='custom' AND target_path=(SELECT CONCAT(url_path, '.html') FROM catalog_category_flat_store_1 WHERE entity_id=289);</v>
      </c>
    </row>
    <row r="476" spans="1:4" x14ac:dyDescent="0.25">
      <c r="A476">
        <f>categories!B476</f>
        <v>291</v>
      </c>
      <c r="B476" t="str">
        <f>SUBSTITUTE(SUBSTITUTE(categories!H476,"\","/"),"www.americanretailsupply.com/","")</f>
        <v>64964/47629/CalHANGERS/Molded-Plastic-Clip-on-Hangers.html</v>
      </c>
      <c r="C476" t="str">
        <f t="shared" si="14"/>
        <v>INSERT INTO url_rewrite (entity_type, entity_id, redirect_type, store_id, request_path, target_path) VALUES ('custom', 0, 301, 1,'64964/47629/CalHANGERS/Molded-Plastic-Clip-on-Hangers.html',(SELECT CONCAT(url_path, '.html') FROM catalog_category_flat_store_1 WHERE entity_id=291));</v>
      </c>
      <c r="D476" t="str">
        <f t="shared" si="15"/>
        <v>UPDATE url_rewrite SET request_path = '64964/47629/CalHANGERS/Molded-Plastic-Clip-on-Hangers.html' WHERE entity_type='custom' AND target_path=(SELECT CONCAT(url_path, '.html') FROM catalog_category_flat_store_1 WHERE entity_id=291);</v>
      </c>
    </row>
    <row r="477" spans="1:4" x14ac:dyDescent="0.25">
      <c r="A477">
        <f>categories!B477</f>
        <v>292</v>
      </c>
      <c r="B477" t="str">
        <f>SUBSTITUTE(SUBSTITUTE(categories!H477,"\","/"),"www.americanretailsupply.com/","")</f>
        <v>64964/784157/CalHANGERS/CalClips.html</v>
      </c>
      <c r="C477" t="str">
        <f t="shared" si="14"/>
        <v>INSERT INTO url_rewrite (entity_type, entity_id, redirect_type, store_id, request_path, target_path) VALUES ('custom', 0, 301, 1,'64964/784157/CalHANGERS/CalClips.html',(SELECT CONCAT(url_path, '.html') FROM catalog_category_flat_store_1 WHERE entity_id=292));</v>
      </c>
      <c r="D477" t="str">
        <f t="shared" si="15"/>
        <v>UPDATE url_rewrite SET request_path = '64964/784157/CalHANGERS/CalClips.html' WHERE entity_type='custom' AND target_path=(SELECT CONCAT(url_path, '.html') FROM catalog_category_flat_store_1 WHERE entity_id=292);</v>
      </c>
    </row>
    <row r="478" spans="1:4" x14ac:dyDescent="0.25">
      <c r="A478">
        <f>categories!B478</f>
        <v>294</v>
      </c>
      <c r="B478" t="str">
        <f>SUBSTITUTE(SUBSTITUTE(categories!H478,"\","/"),"www.americanretailsupply.com/","")</f>
        <v>64962/780196/CalHOOK-Brackets/CalHook-Brackets.html</v>
      </c>
      <c r="C478" t="str">
        <f t="shared" si="14"/>
        <v>INSERT INTO url_rewrite (entity_type, entity_id, redirect_type, store_id, request_path, target_path) VALUES ('custom', 0, 301, 1,'64962/780196/CalHOOK-Brackets/CalHook-Brackets.html',(SELECT CONCAT(url_path, '.html') FROM catalog_category_flat_store_1 WHERE entity_id=294));</v>
      </c>
      <c r="D478" t="str">
        <f t="shared" si="15"/>
        <v>UPDATE url_rewrite SET request_path = '64962/780196/CalHOOK-Brackets/CalHook-Brackets.html' WHERE entity_type='custom' AND target_path=(SELECT CONCAT(url_path, '.html') FROM catalog_category_flat_store_1 WHERE entity_id=294);</v>
      </c>
    </row>
    <row r="479" spans="1:4" x14ac:dyDescent="0.25">
      <c r="A479">
        <f>categories!B479</f>
        <v>296</v>
      </c>
      <c r="B479" t="str">
        <f>SUBSTITUTE(SUBSTITUTE(categories!H479,"\","/"),"www.americanretailsupply.com/","")</f>
        <v>64963/781655/CalTRACK--SlatTRACK/Caltrack.html</v>
      </c>
      <c r="C479" t="str">
        <f t="shared" si="14"/>
        <v>INSERT INTO url_rewrite (entity_type, entity_id, redirect_type, store_id, request_path, target_path) VALUES ('custom', 0, 301, 1,'64963/781655/CalTRACK--SlatTRACK/Caltrack.html',(SELECT CONCAT(url_path, '.html') FROM catalog_category_flat_store_1 WHERE entity_id=296));</v>
      </c>
      <c r="D479" t="str">
        <f t="shared" si="15"/>
        <v>UPDATE url_rewrite SET request_path = '64963/781655/CalTRACK--SlatTRACK/Caltrack.html' WHERE entity_type='custom' AND target_path=(SELECT CONCAT(url_path, '.html') FROM catalog_category_flat_store_1 WHERE entity_id=296);</v>
      </c>
    </row>
    <row r="480" spans="1:4" x14ac:dyDescent="0.25">
      <c r="A480">
        <f>categories!B480</f>
        <v>297</v>
      </c>
      <c r="B480" t="str">
        <f>SUBSTITUTE(SUBSTITUTE(categories!H480,"\","/"),"www.americanretailsupply.com/","")</f>
        <v>64963/784158/CalTRACK--SlatTRACK/SlatTRACK.html</v>
      </c>
      <c r="C480" t="str">
        <f t="shared" si="14"/>
        <v>INSERT INTO url_rewrite (entity_type, entity_id, redirect_type, store_id, request_path, target_path) VALUES ('custom', 0, 301, 1,'64963/784158/CalTRACK--SlatTRACK/SlatTRACK.html',(SELECT CONCAT(url_path, '.html') FROM catalog_category_flat_store_1 WHERE entity_id=297));</v>
      </c>
      <c r="D480" t="str">
        <f t="shared" si="15"/>
        <v>UPDATE url_rewrite SET request_path = '64963/784158/CalTRACK--SlatTRACK/SlatTRACK.html' WHERE entity_type='custom' AND target_path=(SELECT CONCAT(url_path, '.html') FROM catalog_category_flat_store_1 WHERE entity_id=297);</v>
      </c>
    </row>
    <row r="481" spans="1:4" x14ac:dyDescent="0.25">
      <c r="A481">
        <f>categories!B481</f>
        <v>299</v>
      </c>
      <c r="B481" t="str">
        <f>SUBSTITUTE(SUBSTITUTE(categories!H481,"\","/"),"www.americanretailsupply.com/","")</f>
        <v>64850/560207/Carts/EZ-Move-Hand-Truck.html</v>
      </c>
      <c r="C481" t="str">
        <f t="shared" si="14"/>
        <v>INSERT INTO url_rewrite (entity_type, entity_id, redirect_type, store_id, request_path, target_path) VALUES ('custom', 0, 301, 1,'64850/560207/Carts/EZ-Move-Hand-Truck.html',(SELECT CONCAT(url_path, '.html') FROM catalog_category_flat_store_1 WHERE entity_id=299));</v>
      </c>
      <c r="D481" t="str">
        <f t="shared" si="15"/>
        <v>UPDATE url_rewrite SET request_path = '64850/560207/Carts/EZ-Move-Hand-Truck.html' WHERE entity_type='custom' AND target_path=(SELECT CONCAT(url_path, '.html') FROM catalog_category_flat_store_1 WHERE entity_id=299);</v>
      </c>
    </row>
    <row r="482" spans="1:4" x14ac:dyDescent="0.25">
      <c r="A482">
        <f>categories!B482</f>
        <v>300</v>
      </c>
      <c r="B482" t="str">
        <f>SUBSTITUTE(SUBSTITUTE(categories!H482,"\","/"),"www.americanretailsupply.com/","")</f>
        <v>64850/560208/Carts/Inventory-Return-Cart.html</v>
      </c>
      <c r="C482" t="str">
        <f t="shared" si="14"/>
        <v>INSERT INTO url_rewrite (entity_type, entity_id, redirect_type, store_id, request_path, target_path) VALUES ('custom', 0, 301, 1,'64850/560208/Carts/Inventory-Return-Cart.html',(SELECT CONCAT(url_path, '.html') FROM catalog_category_flat_store_1 WHERE entity_id=300));</v>
      </c>
      <c r="D482" t="str">
        <f t="shared" si="15"/>
        <v>UPDATE url_rewrite SET request_path = '64850/560208/Carts/Inventory-Return-Cart.html' WHERE entity_type='custom' AND target_path=(SELECT CONCAT(url_path, '.html') FROM catalog_category_flat_store_1 WHERE entity_id=300);</v>
      </c>
    </row>
    <row r="483" spans="1:4" x14ac:dyDescent="0.25">
      <c r="A483">
        <f>categories!B483</f>
        <v>301</v>
      </c>
      <c r="B483" t="str">
        <f>SUBSTITUTE(SUBSTITUTE(categories!H483,"\","/"),"www.americanretailsupply.com/","")</f>
        <v>64850/560209/Carts/Two-Level-Gravity-Fed-Truck.html</v>
      </c>
      <c r="C483" t="str">
        <f t="shared" si="14"/>
        <v>INSERT INTO url_rewrite (entity_type, entity_id, redirect_type, store_id, request_path, target_path) VALUES ('custom', 0, 301, 1,'64850/560209/Carts/Two-Level-Gravity-Fed-Truck.html',(SELECT CONCAT(url_path, '.html') FROM catalog_category_flat_store_1 WHERE entity_id=301));</v>
      </c>
      <c r="D483" t="str">
        <f t="shared" si="15"/>
        <v>UPDATE url_rewrite SET request_path = '64850/560209/Carts/Two-Level-Gravity-Fed-Truck.html' WHERE entity_type='custom' AND target_path=(SELECT CONCAT(url_path, '.html') FROM catalog_category_flat_store_1 WHERE entity_id=301);</v>
      </c>
    </row>
    <row r="484" spans="1:4" x14ac:dyDescent="0.25">
      <c r="A484">
        <f>categories!B484</f>
        <v>302</v>
      </c>
      <c r="B484" t="str">
        <f>SUBSTITUTE(SUBSTITUTE(categories!H484,"\","/"),"www.americanretailsupply.com/","")</f>
        <v>64850/560210/Carts/Utility-Cart.html</v>
      </c>
      <c r="C484" t="str">
        <f t="shared" si="14"/>
        <v>INSERT INTO url_rewrite (entity_type, entity_id, redirect_type, store_id, request_path, target_path) VALUES ('custom', 0, 301, 1,'64850/560210/Carts/Utility-Cart.html',(SELECT CONCAT(url_path, '.html') FROM catalog_category_flat_store_1 WHERE entity_id=302));</v>
      </c>
      <c r="D484" t="str">
        <f t="shared" si="15"/>
        <v>UPDATE url_rewrite SET request_path = '64850/560210/Carts/Utility-Cart.html' WHERE entity_type='custom' AND target_path=(SELECT CONCAT(url_path, '.html') FROM catalog_category_flat_store_1 WHERE entity_id=302);</v>
      </c>
    </row>
    <row r="485" spans="1:4" x14ac:dyDescent="0.25">
      <c r="A485">
        <f>categories!B485</f>
        <v>303</v>
      </c>
      <c r="B485" t="str">
        <f>SUBSTITUTE(SUBSTITUTE(categories!H485,"\","/"),"www.americanretailsupply.com/","")</f>
        <v>64850/560411/Carts/Stack-n-Stock-Hand-Truck.html</v>
      </c>
      <c r="C485" t="str">
        <f t="shared" si="14"/>
        <v>INSERT INTO url_rewrite (entity_type, entity_id, redirect_type, store_id, request_path, target_path) VALUES ('custom', 0, 301, 1,'64850/560411/Carts/Stack-n-Stock-Hand-Truck.html',(SELECT CONCAT(url_path, '.html') FROM catalog_category_flat_store_1 WHERE entity_id=303));</v>
      </c>
      <c r="D485" t="str">
        <f t="shared" si="15"/>
        <v>UPDATE url_rewrite SET request_path = '64850/560411/Carts/Stack-n-Stock-Hand-Truck.html' WHERE entity_type='custom' AND target_path=(SELECT CONCAT(url_path, '.html') FROM catalog_category_flat_store_1 WHERE entity_id=303);</v>
      </c>
    </row>
    <row r="486" spans="1:4" x14ac:dyDescent="0.25">
      <c r="A486">
        <f>categories!B486</f>
        <v>304</v>
      </c>
      <c r="B486" t="str">
        <f>SUBSTITUTE(SUBSTITUTE(categories!H486,"\","/"),"www.americanretailsupply.com/","")</f>
        <v>64850/560412/Carts/Sloping-Shelf-Mobile-Cart.html</v>
      </c>
      <c r="C486" t="str">
        <f t="shared" si="14"/>
        <v>INSERT INTO url_rewrite (entity_type, entity_id, redirect_type, store_id, request_path, target_path) VALUES ('custom', 0, 301, 1,'64850/560412/Carts/Sloping-Shelf-Mobile-Cart.html',(SELECT CONCAT(url_path, '.html') FROM catalog_category_flat_store_1 WHERE entity_id=304));</v>
      </c>
      <c r="D486" t="str">
        <f t="shared" si="15"/>
        <v>UPDATE url_rewrite SET request_path = '64850/560412/Carts/Sloping-Shelf-Mobile-Cart.html' WHERE entity_type='custom' AND target_path=(SELECT CONCAT(url_path, '.html') FROM catalog_category_flat_store_1 WHERE entity_id=304);</v>
      </c>
    </row>
    <row r="487" spans="1:4" x14ac:dyDescent="0.25">
      <c r="A487">
        <f>categories!B487</f>
        <v>305</v>
      </c>
      <c r="B487" t="str">
        <f>SUBSTITUTE(SUBSTITUTE(categories!H487,"\","/"),"www.americanretailsupply.com/","")</f>
        <v>64850/560413/Carts/Mobile-Storage-Drawer-Caddy.html</v>
      </c>
      <c r="C487" t="str">
        <f t="shared" si="14"/>
        <v>INSERT INTO url_rewrite (entity_type, entity_id, redirect_type, store_id, request_path, target_path) VALUES ('custom', 0, 301, 1,'64850/560413/Carts/Mobile-Storage-Drawer-Caddy.html',(SELECT CONCAT(url_path, '.html') FROM catalog_category_flat_store_1 WHERE entity_id=305));</v>
      </c>
      <c r="D487" t="str">
        <f t="shared" si="15"/>
        <v>UPDATE url_rewrite SET request_path = '64850/560413/Carts/Mobile-Storage-Drawer-Caddy.html' WHERE entity_type='custom' AND target_path=(SELECT CONCAT(url_path, '.html') FROM catalog_category_flat_store_1 WHERE entity_id=305);</v>
      </c>
    </row>
    <row r="488" spans="1:4" x14ac:dyDescent="0.25">
      <c r="A488">
        <f>categories!B488</f>
        <v>307</v>
      </c>
      <c r="B488" t="str">
        <f>SUBSTITUTE(SUBSTITUTE(categories!H488,"\","/"),"www.americanretailsupply.com/","")</f>
        <v>64857/22350/Cash-Register-Paper/Cash-Register-Paper.html</v>
      </c>
      <c r="C488" t="str">
        <f t="shared" si="14"/>
        <v>INSERT INTO url_rewrite (entity_type, entity_id, redirect_type, store_id, request_path, target_path) VALUES ('custom', 0, 301, 1,'64857/22350/Cash-Register-Paper/Cash-Register-Paper.html',(SELECT CONCAT(url_path, '.html') FROM catalog_category_flat_store_1 WHERE entity_id=307));</v>
      </c>
      <c r="D488" t="str">
        <f t="shared" si="15"/>
        <v>UPDATE url_rewrite SET request_path = '64857/22350/Cash-Register-Paper/Cash-Register-Paper.html' WHERE entity_type='custom' AND target_path=(SELECT CONCAT(url_path, '.html') FROM catalog_category_flat_store_1 WHERE entity_id=307);</v>
      </c>
    </row>
    <row r="489" spans="1:4" x14ac:dyDescent="0.25">
      <c r="A489">
        <f>categories!B489</f>
        <v>308</v>
      </c>
      <c r="B489" t="str">
        <f>SUBSTITUTE(SUBSTITUTE(categories!H489,"\","/"),"www.americanretailsupply.com/","")</f>
        <v>64857/48232/Cash-Register-Paper/Adding-Machine-Paper.html</v>
      </c>
      <c r="C489" t="str">
        <f t="shared" si="14"/>
        <v>INSERT INTO url_rewrite (entity_type, entity_id, redirect_type, store_id, request_path, target_path) VALUES ('custom', 0, 301, 1,'64857/48232/Cash-Register-Paper/Adding-Machine-Paper.html',(SELECT CONCAT(url_path, '.html') FROM catalog_category_flat_store_1 WHERE entity_id=308));</v>
      </c>
      <c r="D489" t="str">
        <f t="shared" si="15"/>
        <v>UPDATE url_rewrite SET request_path = '64857/48232/Cash-Register-Paper/Adding-Machine-Paper.html' WHERE entity_type='custom' AND target_path=(SELECT CONCAT(url_path, '.html') FROM catalog_category_flat_store_1 WHERE entity_id=308);</v>
      </c>
    </row>
    <row r="490" spans="1:4" x14ac:dyDescent="0.25">
      <c r="A490">
        <f>categories!B490</f>
        <v>311</v>
      </c>
      <c r="B490" t="str">
        <f>SUBSTITUTE(SUBSTITUTE(categories!H490,"\","/"),"www.americanretailsupply.com/","")</f>
        <v>65182/560539/CD-Video--Eyeware-Displays/74-Pair-Eyewear-Floor-Spinner.html</v>
      </c>
      <c r="C490" t="str">
        <f t="shared" si="14"/>
        <v>INSERT INTO url_rewrite (entity_type, entity_id, redirect_type, store_id, request_path, target_path) VALUES ('custom', 0, 301, 1,'65182/560539/CD-Video--Eyeware-Displays/74-Pair-Eyewear-Floor-Spinner.html',(SELECT CONCAT(url_path, '.html') FROM catalog_category_flat_store_1 WHERE entity_id=311));</v>
      </c>
      <c r="D490" t="str">
        <f t="shared" si="15"/>
        <v>UPDATE url_rewrite SET request_path = '65182/560539/CD-Video--Eyeware-Displays/74-Pair-Eyewear-Floor-Spinner.html' WHERE entity_type='custom' AND target_path=(SELECT CONCAT(url_path, '.html') FROM catalog_category_flat_store_1 WHERE entity_id=311);</v>
      </c>
    </row>
    <row r="491" spans="1:4" x14ac:dyDescent="0.25">
      <c r="A491">
        <f>categories!B491</f>
        <v>312</v>
      </c>
      <c r="B491" t="str">
        <f>SUBSTITUTE(SUBSTITUTE(categories!H491,"\","/"),"www.americanretailsupply.com/","")</f>
        <v>65182/560540/CD-Video--Eyeware-Displays/38-Pair-Eyewear-Countertop-Spinner.html</v>
      </c>
      <c r="C491" t="str">
        <f t="shared" si="14"/>
        <v>INSERT INTO url_rewrite (entity_type, entity_id, redirect_type, store_id, request_path, target_path) VALUES ('custom', 0, 301, 1,'65182/560540/CD-Video--Eyeware-Displays/38-Pair-Eyewear-Countertop-Spinner.html',(SELECT CONCAT(url_path, '.html') FROM catalog_category_flat_store_1 WHERE entity_id=312));</v>
      </c>
      <c r="D491" t="str">
        <f t="shared" si="15"/>
        <v>UPDATE url_rewrite SET request_path = '65182/560540/CD-Video--Eyeware-Displays/38-Pair-Eyewear-Countertop-Spinner.html' WHERE entity_type='custom' AND target_path=(SELECT CONCAT(url_path, '.html') FROM catalog_category_flat_store_1 WHERE entity_id=312);</v>
      </c>
    </row>
    <row r="492" spans="1:4" x14ac:dyDescent="0.25">
      <c r="A492">
        <f>categories!B492</f>
        <v>313</v>
      </c>
      <c r="B492" t="str">
        <f>SUBSTITUTE(SUBSTITUTE(categories!H492,"\","/"),"www.americanretailsupply.com/","")</f>
        <v>65182/560543/CD-Video--Eyeware-Displays/CD-Browser-System.html</v>
      </c>
      <c r="C492" t="str">
        <f t="shared" si="14"/>
        <v>INSERT INTO url_rewrite (entity_type, entity_id, redirect_type, store_id, request_path, target_path) VALUES ('custom', 0, 301, 1,'65182/560543/CD-Video--Eyeware-Displays/CD-Browser-System.html',(SELECT CONCAT(url_path, '.html') FROM catalog_category_flat_store_1 WHERE entity_id=313));</v>
      </c>
      <c r="D492" t="str">
        <f t="shared" si="15"/>
        <v>UPDATE url_rewrite SET request_path = '65182/560543/CD-Video--Eyeware-Displays/CD-Browser-System.html' WHERE entity_type='custom' AND target_path=(SELECT CONCAT(url_path, '.html') FROM catalog_category_flat_store_1 WHERE entity_id=313);</v>
      </c>
    </row>
    <row r="493" spans="1:4" x14ac:dyDescent="0.25">
      <c r="A493">
        <f>categories!B493</f>
        <v>314</v>
      </c>
      <c r="B493" t="str">
        <f>SUBSTITUTE(SUBSTITUTE(categories!H493,"\","/"),"www.americanretailsupply.com/","")</f>
        <v>65182/561662/CD-Video--Eyeware-Displays/Flip-View-Browser-Bin.html</v>
      </c>
      <c r="C493" t="str">
        <f t="shared" si="14"/>
        <v>INSERT INTO url_rewrite (entity_type, entity_id, redirect_type, store_id, request_path, target_path) VALUES ('custom', 0, 301, 1,'65182/561662/CD-Video--Eyeware-Displays/Flip-View-Browser-Bin.html',(SELECT CONCAT(url_path, '.html') FROM catalog_category_flat_store_1 WHERE entity_id=314));</v>
      </c>
      <c r="D493" t="str">
        <f t="shared" si="15"/>
        <v>UPDATE url_rewrite SET request_path = '65182/561662/CD-Video--Eyeware-Displays/Flip-View-Browser-Bin.html' WHERE entity_type='custom' AND target_path=(SELECT CONCAT(url_path, '.html') FROM catalog_category_flat_store_1 WHERE entity_id=314);</v>
      </c>
    </row>
    <row r="494" spans="1:4" x14ac:dyDescent="0.25">
      <c r="A494">
        <f>categories!B494</f>
        <v>315</v>
      </c>
      <c r="B494" t="str">
        <f>SUBSTITUTE(SUBSTITUTE(categories!H494,"\","/"),"www.americanretailsupply.com/","")</f>
        <v>65182/561833/CD-Video--Eyeware-Displays/30-Pocket-DVD-Floor-Display.html</v>
      </c>
      <c r="C494" t="str">
        <f t="shared" si="14"/>
        <v>INSERT INTO url_rewrite (entity_type, entity_id, redirect_type, store_id, request_path, target_path) VALUES ('custom', 0, 301, 1,'65182/561833/CD-Video--Eyeware-Displays/30-Pocket-DVD-Floor-Display.html',(SELECT CONCAT(url_path, '.html') FROM catalog_category_flat_store_1 WHERE entity_id=315));</v>
      </c>
      <c r="D494" t="str">
        <f t="shared" si="15"/>
        <v>UPDATE url_rewrite SET request_path = '65182/561833/CD-Video--Eyeware-Displays/30-Pocket-DVD-Floor-Display.html' WHERE entity_type='custom' AND target_path=(SELECT CONCAT(url_path, '.html') FROM catalog_category_flat_store_1 WHERE entity_id=315);</v>
      </c>
    </row>
    <row r="495" spans="1:4" x14ac:dyDescent="0.25">
      <c r="A495">
        <f>categories!B495</f>
        <v>318</v>
      </c>
      <c r="B495" t="str">
        <f>SUBSTITUTE(SUBSTITUTE(categories!H495,"\","/"),"www.americanretailsupply.com/","")</f>
        <v>65000/709420/Christmas-Giftwrap/Vantage-Christmas-Giftwrap.html</v>
      </c>
      <c r="C495" t="str">
        <f t="shared" si="14"/>
        <v>INSERT INTO url_rewrite (entity_type, entity_id, redirect_type, store_id, request_path, target_path) VALUES ('custom', 0, 301, 1,'65000/709420/Christmas-Giftwrap/Vantage-Christmas-Giftwrap.html',(SELECT CONCAT(url_path, '.html') FROM catalog_category_flat_store_1 WHERE entity_id=318));</v>
      </c>
      <c r="D495" t="str">
        <f t="shared" si="15"/>
        <v>UPDATE url_rewrite SET request_path = '65000/709420/Christmas-Giftwrap/Vantage-Christmas-Giftwrap.html' WHERE entity_type='custom' AND target_path=(SELECT CONCAT(url_path, '.html') FROM catalog_category_flat_store_1 WHERE entity_id=318);</v>
      </c>
    </row>
    <row r="496" spans="1:4" x14ac:dyDescent="0.25">
      <c r="A496">
        <f>categories!B496</f>
        <v>319</v>
      </c>
      <c r="B496" t="str">
        <f>SUBSTITUTE(SUBSTITUTE(categories!H496,"\","/"),"www.americanretailsupply.com/","")</f>
        <v>65000/780724/Christmas-Giftwrap/JR-Holiday-and-Christmas.html</v>
      </c>
      <c r="C496" t="str">
        <f t="shared" si="14"/>
        <v>INSERT INTO url_rewrite (entity_type, entity_id, redirect_type, store_id, request_path, target_path) VALUES ('custom', 0, 301, 1,'65000/780724/Christmas-Giftwrap/JR-Holiday-and-Christmas.html',(SELECT CONCAT(url_path, '.html') FROM catalog_category_flat_store_1 WHERE entity_id=319));</v>
      </c>
      <c r="D496" t="str">
        <f t="shared" si="15"/>
        <v>UPDATE url_rewrite SET request_path = '65000/780724/Christmas-Giftwrap/JR-Holiday-and-Christmas.html' WHERE entity_type='custom' AND target_path=(SELECT CONCAT(url_path, '.html') FROM catalog_category_flat_store_1 WHERE entity_id=319);</v>
      </c>
    </row>
    <row r="497" spans="1:4" x14ac:dyDescent="0.25">
      <c r="A497">
        <f>categories!B497</f>
        <v>321</v>
      </c>
      <c r="B497" t="str">
        <f>SUBSTITUTE(SUBSTITUTE(categories!H497,"\","/"),"www.americanretailsupply.com/","")</f>
        <v>64984/782376/Chrome-Sign-Card-Frames/Card-Frame-Components.html</v>
      </c>
      <c r="C497" t="str">
        <f t="shared" si="14"/>
        <v>INSERT INTO url_rewrite (entity_type, entity_id, redirect_type, store_id, request_path, target_path) VALUES ('custom', 0, 301, 1,'64984/782376/Chrome-Sign-Card-Frames/Card-Frame-Components.html',(SELECT CONCAT(url_path, '.html') FROM catalog_category_flat_store_1 WHERE entity_id=321));</v>
      </c>
      <c r="D497" t="str">
        <f t="shared" si="15"/>
        <v>UPDATE url_rewrite SET request_path = '64984/782376/Chrome-Sign-Card-Frames/Card-Frame-Components.html' WHERE entity_type='custom' AND target_path=(SELECT CONCAT(url_path, '.html') FROM catalog_category_flat_store_1 WHERE entity_id=321);</v>
      </c>
    </row>
    <row r="498" spans="1:4" x14ac:dyDescent="0.25">
      <c r="A498">
        <f>categories!B498</f>
        <v>322</v>
      </c>
      <c r="B498" t="str">
        <f>SUBSTITUTE(SUBSTITUTE(categories!H498,"\","/"),"www.americanretailsupply.com/","")</f>
        <v>64984/782377/Chrome-Sign-Card-Frames/Counter-Top-Metal-Card-Frames.html</v>
      </c>
      <c r="C498" t="str">
        <f t="shared" si="14"/>
        <v>INSERT INTO url_rewrite (entity_type, entity_id, redirect_type, store_id, request_path, target_path) VALUES ('custom', 0, 301, 1,'64984/782377/Chrome-Sign-Card-Frames/Counter-Top-Metal-Card-Frames.html',(SELECT CONCAT(url_path, '.html') FROM catalog_category_flat_store_1 WHERE entity_id=322));</v>
      </c>
      <c r="D498" t="str">
        <f t="shared" si="15"/>
        <v>UPDATE url_rewrite SET request_path = '64984/782377/Chrome-Sign-Card-Frames/Counter-Top-Metal-Card-Frames.html' WHERE entity_type='custom' AND target_path=(SELECT CONCAT(url_path, '.html') FROM catalog_category_flat_store_1 WHERE entity_id=322);</v>
      </c>
    </row>
    <row r="499" spans="1:4" x14ac:dyDescent="0.25">
      <c r="A499">
        <f>categories!B499</f>
        <v>323</v>
      </c>
      <c r="B499" t="str">
        <f>SUBSTITUTE(SUBSTITUTE(categories!H499,"\","/"),"www.americanretailsupply.com/","")</f>
        <v>64984/782378/Chrome-Sign-Card-Frames/Floor-Standing-Sign-Frame.html</v>
      </c>
      <c r="C499" t="str">
        <f t="shared" si="14"/>
        <v>INSERT INTO url_rewrite (entity_type, entity_id, redirect_type, store_id, request_path, target_path) VALUES ('custom', 0, 301, 1,'64984/782378/Chrome-Sign-Card-Frames/Floor-Standing-Sign-Frame.html',(SELECT CONCAT(url_path, '.html') FROM catalog_category_flat_store_1 WHERE entity_id=323));</v>
      </c>
      <c r="D499" t="str">
        <f t="shared" si="15"/>
        <v>UPDATE url_rewrite SET request_path = '64984/782378/Chrome-Sign-Card-Frames/Floor-Standing-Sign-Frame.html' WHERE entity_type='custom' AND target_path=(SELECT CONCAT(url_path, '.html') FROM catalog_category_flat_store_1 WHERE entity_id=323);</v>
      </c>
    </row>
    <row r="500" spans="1:4" x14ac:dyDescent="0.25">
      <c r="A500">
        <f>categories!B500</f>
        <v>326</v>
      </c>
      <c r="B500" t="str">
        <f>SUBSTITUTE(SUBSTITUTE(categories!H500,"\","/"),"www.americanretailsupply.com/","")</f>
        <v>65080/20583/Clear-Poly-Bags/Clear-Gusseted-15-Mil-Poly-Bags.html</v>
      </c>
      <c r="C500" t="str">
        <f t="shared" si="14"/>
        <v>INSERT INTO url_rewrite (entity_type, entity_id, redirect_type, store_id, request_path, target_path) VALUES ('custom', 0, 301, 1,'65080/20583/Clear-Poly-Bags/Clear-Gusseted-15-Mil-Poly-Bags.html',(SELECT CONCAT(url_path, '.html') FROM catalog_category_flat_store_1 WHERE entity_id=326));</v>
      </c>
      <c r="D500" t="str">
        <f t="shared" si="15"/>
        <v>UPDATE url_rewrite SET request_path = '65080/20583/Clear-Poly-Bags/Clear-Gusseted-15-Mil-Poly-Bags.html' WHERE entity_type='custom' AND target_path=(SELECT CONCAT(url_path, '.html') FROM catalog_category_flat_store_1 WHERE entity_id=326);</v>
      </c>
    </row>
    <row r="501" spans="1:4" x14ac:dyDescent="0.25">
      <c r="A501">
        <f>categories!B501</f>
        <v>327</v>
      </c>
      <c r="B501" t="str">
        <f>SUBSTITUTE(SUBSTITUTE(categories!H501,"\","/"),"www.americanretailsupply.com/","")</f>
        <v>65080/48815/Clear-Poly-Bags/Clear-Zipper-Reclosable-Poly-Bags.html</v>
      </c>
      <c r="C501" t="str">
        <f t="shared" si="14"/>
        <v>INSERT INTO url_rewrite (entity_type, entity_id, redirect_type, store_id, request_path, target_path) VALUES ('custom', 0, 301, 1,'65080/48815/Clear-Poly-Bags/Clear-Zipper-Reclosable-Poly-Bags.html',(SELECT CONCAT(url_path, '.html') FROM catalog_category_flat_store_1 WHERE entity_id=327));</v>
      </c>
      <c r="D501" t="str">
        <f t="shared" si="15"/>
        <v>UPDATE url_rewrite SET request_path = '65080/48815/Clear-Poly-Bags/Clear-Zipper-Reclosable-Poly-Bags.html' WHERE entity_type='custom' AND target_path=(SELECT CONCAT(url_path, '.html') FROM catalog_category_flat_store_1 WHERE entity_id=327);</v>
      </c>
    </row>
    <row r="502" spans="1:4" x14ac:dyDescent="0.25">
      <c r="A502">
        <f>categories!B502</f>
        <v>328</v>
      </c>
      <c r="B502" t="str">
        <f>SUBSTITUTE(SUBSTITUTE(categories!H502,"\","/"),"www.americanretailsupply.com/","")</f>
        <v>65080/48818/Clear-Poly-Bags/Clear-Poly-Door-Knob-Bags.html</v>
      </c>
      <c r="C502" t="str">
        <f t="shared" si="14"/>
        <v>INSERT INTO url_rewrite (entity_type, entity_id, redirect_type, store_id, request_path, target_path) VALUES ('custom', 0, 301, 1,'65080/48818/Clear-Poly-Bags/Clear-Poly-Door-Knob-Bags.html',(SELECT CONCAT(url_path, '.html') FROM catalog_category_flat_store_1 WHERE entity_id=328));</v>
      </c>
      <c r="D502" t="str">
        <f t="shared" si="15"/>
        <v>UPDATE url_rewrite SET request_path = '65080/48818/Clear-Poly-Bags/Clear-Poly-Door-Knob-Bags.html' WHERE entity_type='custom' AND target_path=(SELECT CONCAT(url_path, '.html') FROM catalog_category_flat_store_1 WHERE entity_id=328);</v>
      </c>
    </row>
    <row r="503" spans="1:4" x14ac:dyDescent="0.25">
      <c r="A503">
        <f>categories!B503</f>
        <v>329</v>
      </c>
      <c r="B503" t="str">
        <f>SUBSTITUTE(SUBSTITUTE(categories!H503,"\","/"),"www.americanretailsupply.com/","")</f>
        <v>65080/48819/Clear-Poly-Bags/Clear-Flat-15-Mil-Poly-Bags.html</v>
      </c>
      <c r="C503" t="str">
        <f t="shared" si="14"/>
        <v>INSERT INTO url_rewrite (entity_type, entity_id, redirect_type, store_id, request_path, target_path) VALUES ('custom', 0, 301, 1,'65080/48819/Clear-Poly-Bags/Clear-Flat-15-Mil-Poly-Bags.html',(SELECT CONCAT(url_path, '.html') FROM catalog_category_flat_store_1 WHERE entity_id=329));</v>
      </c>
      <c r="D503" t="str">
        <f t="shared" si="15"/>
        <v>UPDATE url_rewrite SET request_path = '65080/48819/Clear-Poly-Bags/Clear-Flat-15-Mil-Poly-Bags.html' WHERE entity_type='custom' AND target_path=(SELECT CONCAT(url_path, '.html') FROM catalog_category_flat_store_1 WHERE entity_id=329);</v>
      </c>
    </row>
    <row r="504" spans="1:4" x14ac:dyDescent="0.25">
      <c r="A504">
        <f>categories!B504</f>
        <v>330</v>
      </c>
      <c r="B504" t="str">
        <f>SUBSTITUTE(SUBSTITUTE(categories!H504,"\","/"),"www.americanretailsupply.com/","")</f>
        <v>65080/778262/Clear-Poly-Bags/Clear-Zipper-2-Mil-Reclosable-Poly-Bags-with-Hanger-Hole.html</v>
      </c>
      <c r="C504" t="str">
        <f t="shared" si="14"/>
        <v>INSERT INTO url_rewrite (entity_type, entity_id, redirect_type, store_id, request_path, target_path) VALUES ('custom', 0, 301, 1,'65080/778262/Clear-Poly-Bags/Clear-Zipper-2-Mil-Reclosable-Poly-Bags-with-Hanger-Hole.html',(SELECT CONCAT(url_path, '.html') FROM catalog_category_flat_store_1 WHERE entity_id=330));</v>
      </c>
      <c r="D504" t="str">
        <f t="shared" si="15"/>
        <v>UPDATE url_rewrite SET request_path = '65080/778262/Clear-Poly-Bags/Clear-Zipper-2-Mil-Reclosable-Poly-Bags-with-Hanger-Hole.html' WHERE entity_type='custom' AND target_path=(SELECT CONCAT(url_path, '.html') FROM catalog_category_flat_store_1 WHERE entity_id=330);</v>
      </c>
    </row>
    <row r="505" spans="1:4" x14ac:dyDescent="0.25">
      <c r="A505">
        <f>categories!B505</f>
        <v>331</v>
      </c>
      <c r="B505" t="str">
        <f>SUBSTITUTE(SUBSTITUTE(categories!H505,"\","/"),"www.americanretailsupply.com/","")</f>
        <v>65080/778263/Clear-Poly-Bags/Clear-Zipper-2-Mil-Reclosable-Poly-Bags-with-Writing-Block.html</v>
      </c>
      <c r="C505" t="str">
        <f t="shared" si="14"/>
        <v>INSERT INTO url_rewrite (entity_type, entity_id, redirect_type, store_id, request_path, target_path) VALUES ('custom', 0, 301, 1,'65080/778263/Clear-Poly-Bags/Clear-Zipper-2-Mil-Reclosable-Poly-Bags-with-Writing-Block.html',(SELECT CONCAT(url_path, '.html') FROM catalog_category_flat_store_1 WHERE entity_id=331));</v>
      </c>
      <c r="D505" t="str">
        <f t="shared" si="15"/>
        <v>UPDATE url_rewrite SET request_path = '65080/778263/Clear-Poly-Bags/Clear-Zipper-2-Mil-Reclosable-Poly-Bags-with-Writing-Block.html' WHERE entity_type='custom' AND target_path=(SELECT CONCAT(url_path, '.html') FROM catalog_category_flat_store_1 WHERE entity_id=331);</v>
      </c>
    </row>
    <row r="506" spans="1:4" x14ac:dyDescent="0.25">
      <c r="A506">
        <f>categories!B506</f>
        <v>334</v>
      </c>
      <c r="B506" t="str">
        <f>SUBSTITUTE(SUBSTITUTE(categories!H506,"\","/"),"www.americanretailsupply.com/","")</f>
        <v>64900/241276/Closeout-Acrylic-Glass-Jewelry-Displays/Jewelry-Tray-Liner-Flocked-White-32-compartment.html</v>
      </c>
      <c r="C506" t="str">
        <f t="shared" si="14"/>
        <v>INSERT INTO url_rewrite (entity_type, entity_id, redirect_type, store_id, request_path, target_path) VALUES ('custom', 0, 301, 1,'64900/241276/Closeout-Acrylic-Glass-Jewelry-Displays/Jewelry-Tray-Liner-Flocked-White-32-compartment.html',(SELECT CONCAT(url_path, '.html') FROM catalog_category_flat_store_1 WHERE entity_id=334));</v>
      </c>
      <c r="D506" t="str">
        <f t="shared" si="15"/>
        <v>UPDATE url_rewrite SET request_path = '64900/241276/Closeout-Acrylic-Glass-Jewelry-Displays/Jewelry-Tray-Liner-Flocked-White-32-compartment.html' WHERE entity_type='custom' AND target_path=(SELECT CONCAT(url_path, '.html') FROM catalog_category_flat_store_1 WHERE entity_id=334);</v>
      </c>
    </row>
    <row r="507" spans="1:4" x14ac:dyDescent="0.25">
      <c r="A507">
        <f>categories!B507</f>
        <v>335</v>
      </c>
      <c r="B507" t="str">
        <f>SUBSTITUTE(SUBSTITUTE(categories!H507,"\","/"),"www.americanretailsupply.com/","")</f>
        <v>64900/243711/Closeout-Acrylic-Glass-Jewelry-Displays/Tempered-9-x-16-Glass-Shelf.html</v>
      </c>
      <c r="C507" t="str">
        <f t="shared" si="14"/>
        <v>INSERT INTO url_rewrite (entity_type, entity_id, redirect_type, store_id, request_path, target_path) VALUES ('custom', 0, 301, 1,'64900/243711/Closeout-Acrylic-Glass-Jewelry-Displays/Tempered-9-x-16-Glass-Shelf.html',(SELECT CONCAT(url_path, '.html') FROM catalog_category_flat_store_1 WHERE entity_id=335));</v>
      </c>
      <c r="D507" t="str">
        <f t="shared" si="15"/>
        <v>UPDATE url_rewrite SET request_path = '64900/243711/Closeout-Acrylic-Glass-Jewelry-Displays/Tempered-9-x-16-Glass-Shelf.html' WHERE entity_type='custom' AND target_path=(SELECT CONCAT(url_path, '.html') FROM catalog_category_flat_store_1 WHERE entity_id=335);</v>
      </c>
    </row>
    <row r="508" spans="1:4" x14ac:dyDescent="0.25">
      <c r="A508">
        <f>categories!B508</f>
        <v>336</v>
      </c>
      <c r="B508" t="str">
        <f>SUBSTITUTE(SUBSTITUTE(categories!H508,"\","/"),"www.americanretailsupply.com/","")</f>
        <v>64900/246273/Closeout-Acrylic-Glass-Jewelry-Displays/Jewelry-Pouch-Leatherette-White.html</v>
      </c>
      <c r="C508" t="str">
        <f t="shared" si="14"/>
        <v>INSERT INTO url_rewrite (entity_type, entity_id, redirect_type, store_id, request_path, target_path) VALUES ('custom', 0, 301, 1,'64900/246273/Closeout-Acrylic-Glass-Jewelry-Displays/Jewelry-Pouch-Leatherette-White.html',(SELECT CONCAT(url_path, '.html') FROM catalog_category_flat_store_1 WHERE entity_id=336));</v>
      </c>
      <c r="D508" t="str">
        <f t="shared" si="15"/>
        <v>UPDATE url_rewrite SET request_path = '64900/246273/Closeout-Acrylic-Glass-Jewelry-Displays/Jewelry-Pouch-Leatherette-White.html' WHERE entity_type='custom' AND target_path=(SELECT CONCAT(url_path, '.html') FROM catalog_category_flat_store_1 WHERE entity_id=336);</v>
      </c>
    </row>
    <row r="509" spans="1:4" x14ac:dyDescent="0.25">
      <c r="A509">
        <f>categories!B509</f>
        <v>337</v>
      </c>
      <c r="B509" t="str">
        <f>SUBSTITUTE(SUBSTITUTE(categories!H509,"\","/"),"www.americanretailsupply.com/","")</f>
        <v>64900/246274/Closeout-Acrylic-Glass-Jewelry-Displays/Jewelry-Tray-Liner-Plastic-15-comp.html</v>
      </c>
      <c r="C509" t="str">
        <f t="shared" si="14"/>
        <v>INSERT INTO url_rewrite (entity_type, entity_id, redirect_type, store_id, request_path, target_path) VALUES ('custom', 0, 301, 1,'64900/246274/Closeout-Acrylic-Glass-Jewelry-Displays/Jewelry-Tray-Liner-Plastic-15-comp.html',(SELECT CONCAT(url_path, '.html') FROM catalog_category_flat_store_1 WHERE entity_id=337));</v>
      </c>
      <c r="D509" t="str">
        <f t="shared" si="15"/>
        <v>UPDATE url_rewrite SET request_path = '64900/246274/Closeout-Acrylic-Glass-Jewelry-Displays/Jewelry-Tray-Liner-Plastic-15-comp.html' WHERE entity_type='custom' AND target_path=(SELECT CONCAT(url_path, '.html') FROM catalog_category_flat_store_1 WHERE entity_id=337);</v>
      </c>
    </row>
    <row r="510" spans="1:4" x14ac:dyDescent="0.25">
      <c r="A510">
        <f>categories!B510</f>
        <v>338</v>
      </c>
      <c r="B510" t="str">
        <f>SUBSTITUTE(SUBSTITUTE(categories!H510,"\","/"),"www.americanretailsupply.com/","")</f>
        <v>64900/434069/Closeout-Acrylic-Glass-Jewelry-Displays/38-Tempered-Dime-Radius-Corners.html</v>
      </c>
      <c r="C510" t="str">
        <f t="shared" si="14"/>
        <v>INSERT INTO url_rewrite (entity_type, entity_id, redirect_type, store_id, request_path, target_path) VALUES ('custom', 0, 301, 1,'64900/434069/Closeout-Acrylic-Glass-Jewelry-Displays/38-Tempered-Dime-Radius-Corners.html',(SELECT CONCAT(url_path, '.html') FROM catalog_category_flat_store_1 WHERE entity_id=338));</v>
      </c>
      <c r="D510" t="str">
        <f t="shared" si="15"/>
        <v>UPDATE url_rewrite SET request_path = '64900/434069/Closeout-Acrylic-Glass-Jewelry-Displays/38-Tempered-Dime-Radius-Corners.html' WHERE entity_type='custom' AND target_path=(SELECT CONCAT(url_path, '.html') FROM catalog_category_flat_store_1 WHERE entity_id=338);</v>
      </c>
    </row>
    <row r="511" spans="1:4" x14ac:dyDescent="0.25">
      <c r="A511">
        <f>categories!B511</f>
        <v>339</v>
      </c>
      <c r="B511" t="str">
        <f>SUBSTITUTE(SUBSTITUTE(categories!H511,"\","/"),"www.americanretailsupply.com/","")</f>
        <v>64900/434650/Closeout-Acrylic-Glass-Jewelry-Displays/3-Way-Glass-Connector-Black-Matte.html</v>
      </c>
      <c r="C511" t="str">
        <f t="shared" si="14"/>
        <v>INSERT INTO url_rewrite (entity_type, entity_id, redirect_type, store_id, request_path, target_path) VALUES ('custom', 0, 301, 1,'64900/434650/Closeout-Acrylic-Glass-Jewelry-Displays/3-Way-Glass-Connector-Black-Matte.html',(SELECT CONCAT(url_path, '.html') FROM catalog_category_flat_store_1 WHERE entity_id=339));</v>
      </c>
      <c r="D511" t="str">
        <f t="shared" si="15"/>
        <v>UPDATE url_rewrite SET request_path = '64900/434650/Closeout-Acrylic-Glass-Jewelry-Displays/3-Way-Glass-Connector-Black-Matte.html' WHERE entity_type='custom' AND target_path=(SELECT CONCAT(url_path, '.html') FROM catalog_category_flat_store_1 WHERE entity_id=339);</v>
      </c>
    </row>
    <row r="512" spans="1:4" x14ac:dyDescent="0.25">
      <c r="A512">
        <f>categories!B512</f>
        <v>340</v>
      </c>
      <c r="B512" t="str">
        <f>SUBSTITUTE(SUBSTITUTE(categories!H512,"\","/"),"www.americanretailsupply.com/","")</f>
        <v>64900/477339/Closeout-Acrylic-Glass-Jewelry-Displays/316-Glass-Tempered-12x16-Pencil-Polished-Edges.html</v>
      </c>
      <c r="C512" t="str">
        <f t="shared" si="14"/>
        <v>INSERT INTO url_rewrite (entity_type, entity_id, redirect_type, store_id, request_path, target_path) VALUES ('custom', 0, 301, 1,'64900/477339/Closeout-Acrylic-Glass-Jewelry-Displays/316-Glass-Tempered-12x16-Pencil-Polished-Edges.html',(SELECT CONCAT(url_path, '.html') FROM catalog_category_flat_store_1 WHERE entity_id=340));</v>
      </c>
      <c r="D512" t="str">
        <f t="shared" si="15"/>
        <v>UPDATE url_rewrite SET request_path = '64900/477339/Closeout-Acrylic-Glass-Jewelry-Displays/316-Glass-Tempered-12x16-Pencil-Polished-Edges.html' WHERE entity_type='custom' AND target_path=(SELECT CONCAT(url_path, '.html') FROM catalog_category_flat_store_1 WHERE entity_id=340);</v>
      </c>
    </row>
    <row r="513" spans="1:4" x14ac:dyDescent="0.25">
      <c r="A513">
        <f>categories!B513</f>
        <v>341</v>
      </c>
      <c r="B513" t="str">
        <f>SUBSTITUTE(SUBSTITUTE(categories!H513,"\","/"),"www.americanretailsupply.com/","")</f>
        <v>64900/634210/Closeout-Acrylic-Glass-Jewelry-Displays/Acrylic-Sign-Holders.html</v>
      </c>
      <c r="C513" t="str">
        <f t="shared" si="14"/>
        <v>INSERT INTO url_rewrite (entity_type, entity_id, redirect_type, store_id, request_path, target_path) VALUES ('custom', 0, 301, 1,'64900/634210/Closeout-Acrylic-Glass-Jewelry-Displays/Acrylic-Sign-Holders.html',(SELECT CONCAT(url_path, '.html') FROM catalog_category_flat_store_1 WHERE entity_id=341));</v>
      </c>
      <c r="D513" t="str">
        <f t="shared" si="15"/>
        <v>UPDATE url_rewrite SET request_path = '64900/634210/Closeout-Acrylic-Glass-Jewelry-Displays/Acrylic-Sign-Holders.html' WHERE entity_type='custom' AND target_path=(SELECT CONCAT(url_path, '.html') FROM catalog_category_flat_store_1 WHERE entity_id=341);</v>
      </c>
    </row>
    <row r="514" spans="1:4" x14ac:dyDescent="0.25">
      <c r="A514">
        <f>categories!B514</f>
        <v>343</v>
      </c>
      <c r="B514" t="str">
        <f>SUBSTITUTE(SUBSTITUTE(categories!H514,"\","/"),"www.americanretailsupply.com/","")</f>
        <v>64904/236826/Closeout-Apparel-Accessories/Sizer-Round-White-and-or-Black.html</v>
      </c>
      <c r="C514" t="str">
        <f t="shared" si="14"/>
        <v>INSERT INTO url_rewrite (entity_type, entity_id, redirect_type, store_id, request_path, target_path) VALUES ('custom', 0, 301, 1,'64904/236826/Closeout-Apparel-Accessories/Sizer-Round-White-and-or-Black.html',(SELECT CONCAT(url_path, '.html') FROM catalog_category_flat_store_1 WHERE entity_id=343));</v>
      </c>
      <c r="D514" t="str">
        <f t="shared" si="15"/>
        <v>UPDATE url_rewrite SET request_path = '64904/236826/Closeout-Apparel-Accessories/Sizer-Round-White-and-or-Black.html' WHERE entity_type='custom' AND target_path=(SELECT CONCAT(url_path, '.html') FROM catalog_category_flat_store_1 WHERE entity_id=343);</v>
      </c>
    </row>
    <row r="515" spans="1:4" x14ac:dyDescent="0.25">
      <c r="A515">
        <f>categories!B515</f>
        <v>344</v>
      </c>
      <c r="B515" t="str">
        <f>SUBSTITUTE(SUBSTITUTE(categories!H515,"\","/"),"www.americanretailsupply.com/","")</f>
        <v>64904/236827/Closeout-Apparel-Accessories/Sizer-Oblong-White-and-or-Gray.html</v>
      </c>
      <c r="C515" t="str">
        <f t="shared" ref="C515:C578" si="16">"INSERT INTO url_rewrite (entity_type, entity_id, redirect_type, store_id, request_path, target_path) VALUES ('custom', 0, 301, 1,'"&amp;B515&amp;"',(SELECT CONCAT(url_path, '.html') FROM catalog_category_flat_store_1 WHERE entity_id="&amp;A515&amp;"));"</f>
        <v>INSERT INTO url_rewrite (entity_type, entity_id, redirect_type, store_id, request_path, target_path) VALUES ('custom', 0, 301, 1,'64904/236827/Closeout-Apparel-Accessories/Sizer-Oblong-White-and-or-Gray.html',(SELECT CONCAT(url_path, '.html') FROM catalog_category_flat_store_1 WHERE entity_id=344));</v>
      </c>
      <c r="D515" t="str">
        <f t="shared" ref="D515:D578" si="17">"UPDATE url_rewrite SET request_path = '"&amp;B515&amp;"' WHERE entity_type='custom' AND target_path=(SELECT CONCAT(url_path, '.html') FROM catalog_category_flat_store_1 WHERE entity_id="&amp;A515&amp;");"</f>
        <v>UPDATE url_rewrite SET request_path = '64904/236827/Closeout-Apparel-Accessories/Sizer-Oblong-White-and-or-Gray.html' WHERE entity_type='custom' AND target_path=(SELECT CONCAT(url_path, '.html') FROM catalog_category_flat_store_1 WHERE entity_id=344);</v>
      </c>
    </row>
    <row r="516" spans="1:4" x14ac:dyDescent="0.25">
      <c r="A516">
        <f>categories!B516</f>
        <v>345</v>
      </c>
      <c r="B516" t="str">
        <f>SUBSTITUTE(SUBSTITUTE(categories!H516,"\","/"),"www.americanretailsupply.com/","")</f>
        <v>64904/239632/Closeout-Apparel-Accessories/Velveteen-Draw-String-Pouches.html</v>
      </c>
      <c r="C516" t="str">
        <f t="shared" si="16"/>
        <v>INSERT INTO url_rewrite (entity_type, entity_id, redirect_type, store_id, request_path, target_path) VALUES ('custom', 0, 301, 1,'64904/239632/Closeout-Apparel-Accessories/Velveteen-Draw-String-Pouches.html',(SELECT CONCAT(url_path, '.html') FROM catalog_category_flat_store_1 WHERE entity_id=345));</v>
      </c>
      <c r="D516" t="str">
        <f t="shared" si="17"/>
        <v>UPDATE url_rewrite SET request_path = '64904/239632/Closeout-Apparel-Accessories/Velveteen-Draw-String-Pouches.html' WHERE entity_type='custom' AND target_path=(SELECT CONCAT(url_path, '.html') FROM catalog_category_flat_store_1 WHERE entity_id=345);</v>
      </c>
    </row>
    <row r="517" spans="1:4" x14ac:dyDescent="0.25">
      <c r="A517">
        <f>categories!B517</f>
        <v>347</v>
      </c>
      <c r="B517" t="str">
        <f>SUBSTITUTE(SUBSTITUTE(categories!H517,"\","/"),"www.americanretailsupply.com/","")</f>
        <v>64901/37820/Closeout-Brackets-Hooks-Standards/Crossbars.html</v>
      </c>
      <c r="C517" t="str">
        <f t="shared" si="16"/>
        <v>INSERT INTO url_rewrite (entity_type, entity_id, redirect_type, store_id, request_path, target_path) VALUES ('custom', 0, 301, 1,'64901/37820/Closeout-Brackets-Hooks-Standards/Crossbars.html',(SELECT CONCAT(url_path, '.html') FROM catalog_category_flat_store_1 WHERE entity_id=347));</v>
      </c>
      <c r="D517" t="str">
        <f t="shared" si="17"/>
        <v>UPDATE url_rewrite SET request_path = '64901/37820/Closeout-Brackets-Hooks-Standards/Crossbars.html' WHERE entity_type='custom' AND target_path=(SELECT CONCAT(url_path, '.html') FROM catalog_category_flat_store_1 WHERE entity_id=347);</v>
      </c>
    </row>
    <row r="518" spans="1:4" x14ac:dyDescent="0.25">
      <c r="A518">
        <f>categories!B518</f>
        <v>348</v>
      </c>
      <c r="B518" t="str">
        <f>SUBSTITUTE(SUBSTITUTE(categories!H518,"\","/"),"www.americanretailsupply.com/","")</f>
        <v>64901/37823/Closeout-Brackets-Hooks-Standards/Cross-Bar-Waterfall.html</v>
      </c>
      <c r="C518" t="str">
        <f t="shared" si="16"/>
        <v>INSERT INTO url_rewrite (entity_type, entity_id, redirect_type, store_id, request_path, target_path) VALUES ('custom', 0, 301, 1,'64901/37823/Closeout-Brackets-Hooks-Standards/Cross-Bar-Waterfall.html',(SELECT CONCAT(url_path, '.html') FROM catalog_category_flat_store_1 WHERE entity_id=348));</v>
      </c>
      <c r="D518" t="str">
        <f t="shared" si="17"/>
        <v>UPDATE url_rewrite SET request_path = '64901/37823/Closeout-Brackets-Hooks-Standards/Cross-Bar-Waterfall.html' WHERE entity_type='custom' AND target_path=(SELECT CONCAT(url_path, '.html') FROM catalog_category_flat_store_1 WHERE entity_id=348);</v>
      </c>
    </row>
    <row r="519" spans="1:4" x14ac:dyDescent="0.25">
      <c r="A519">
        <f>categories!B519</f>
        <v>349</v>
      </c>
      <c r="B519" t="str">
        <f>SUBSTITUTE(SUBSTITUTE(categories!H519,"\","/"),"www.americanretailsupply.com/","")</f>
        <v>64901/37836/Closeout-Brackets-Hooks-Standards/Merchandise-Bar-Round-Faceout.html</v>
      </c>
      <c r="C519" t="str">
        <f t="shared" si="16"/>
        <v>INSERT INTO url_rewrite (entity_type, entity_id, redirect_type, store_id, request_path, target_path) VALUES ('custom', 0, 301, 1,'64901/37836/Closeout-Brackets-Hooks-Standards/Merchandise-Bar-Round-Faceout.html',(SELECT CONCAT(url_path, '.html') FROM catalog_category_flat_store_1 WHERE entity_id=349));</v>
      </c>
      <c r="D519" t="str">
        <f t="shared" si="17"/>
        <v>UPDATE url_rewrite SET request_path = '64901/37836/Closeout-Brackets-Hooks-Standards/Merchandise-Bar-Round-Faceout.html' WHERE entity_type='custom' AND target_path=(SELECT CONCAT(url_path, '.html') FROM catalog_category_flat_store_1 WHERE entity_id=349);</v>
      </c>
    </row>
    <row r="520" spans="1:4" x14ac:dyDescent="0.25">
      <c r="A520">
        <f>categories!B520</f>
        <v>350</v>
      </c>
      <c r="B520" t="str">
        <f>SUBSTITUTE(SUBSTITUTE(categories!H520,"\","/"),"www.americanretailsupply.com/","")</f>
        <v>64901/149593/Closeout-Brackets-Hooks-Standards/Hangrod-1-516-x-6.html</v>
      </c>
      <c r="C520" t="str">
        <f t="shared" si="16"/>
        <v>INSERT INTO url_rewrite (entity_type, entity_id, redirect_type, store_id, request_path, target_path) VALUES ('custom', 0, 301, 1,'64901/149593/Closeout-Brackets-Hooks-Standards/Hangrod-1-516-x-6.html',(SELECT CONCAT(url_path, '.html') FROM catalog_category_flat_store_1 WHERE entity_id=350));</v>
      </c>
      <c r="D520" t="str">
        <f t="shared" si="17"/>
        <v>UPDATE url_rewrite SET request_path = '64901/149593/Closeout-Brackets-Hooks-Standards/Hangrod-1-516-x-6.html' WHERE entity_type='custom' AND target_path=(SELECT CONCAT(url_path, '.html') FROM catalog_category_flat_store_1 WHERE entity_id=350);</v>
      </c>
    </row>
    <row r="521" spans="1:4" x14ac:dyDescent="0.25">
      <c r="A521">
        <f>categories!B521</f>
        <v>351</v>
      </c>
      <c r="B521" t="str">
        <f>SUBSTITUTE(SUBSTITUTE(categories!H521,"\","/"),"www.americanretailsupply.com/","")</f>
        <v>64901/236817/Closeout-Brackets-Hooks-Standards/Peghook-Heavy-8-x-212-dia-Ball-End-Tip.html</v>
      </c>
      <c r="C521" t="str">
        <f t="shared" si="16"/>
        <v>INSERT INTO url_rewrite (entity_type, entity_id, redirect_type, store_id, request_path, target_path) VALUES ('custom', 0, 301, 1,'64901/236817/Closeout-Brackets-Hooks-Standards/Peghook-Heavy-8-x-212-dia-Ball-End-Tip.html',(SELECT CONCAT(url_path, '.html') FROM catalog_category_flat_store_1 WHERE entity_id=351));</v>
      </c>
      <c r="D521" t="str">
        <f t="shared" si="17"/>
        <v>UPDATE url_rewrite SET request_path = '64901/236817/Closeout-Brackets-Hooks-Standards/Peghook-Heavy-8-x-212-dia-Ball-End-Tip.html' WHERE entity_type='custom' AND target_path=(SELECT CONCAT(url_path, '.html') FROM catalog_category_flat_store_1 WHERE entity_id=351);</v>
      </c>
    </row>
    <row r="522" spans="1:4" x14ac:dyDescent="0.25">
      <c r="A522">
        <f>categories!B522</f>
        <v>352</v>
      </c>
      <c r="B522" t="str">
        <f>SUBSTITUTE(SUBSTITUTE(categories!H522,"\","/"),"www.americanretailsupply.com/","")</f>
        <v>64901/239206/Closeout-Brackets-Hooks-Standards/Quantum-Bracket-14-Adjustable-Knife-Edge.html</v>
      </c>
      <c r="C522" t="str">
        <f t="shared" si="16"/>
        <v>INSERT INTO url_rewrite (entity_type, entity_id, redirect_type, store_id, request_path, target_path) VALUES ('custom', 0, 301, 1,'64901/239206/Closeout-Brackets-Hooks-Standards/Quantum-Bracket-14-Adjustable-Knife-Edge.html',(SELECT CONCAT(url_path, '.html') FROM catalog_category_flat_store_1 WHERE entity_id=352));</v>
      </c>
      <c r="D522" t="str">
        <f t="shared" si="17"/>
        <v>UPDATE url_rewrite SET request_path = '64901/239206/Closeout-Brackets-Hooks-Standards/Quantum-Bracket-14-Adjustable-Knife-Edge.html' WHERE entity_type='custom' AND target_path=(SELECT CONCAT(url_path, '.html') FROM catalog_category_flat_store_1 WHERE entity_id=352);</v>
      </c>
    </row>
    <row r="523" spans="1:4" x14ac:dyDescent="0.25">
      <c r="A523">
        <f>categories!B523</f>
        <v>353</v>
      </c>
      <c r="B523" t="str">
        <f>SUBSTITUTE(SUBSTITUTE(categories!H523,"\","/"),"www.americanretailsupply.com/","")</f>
        <v>64901/239209/Closeout-Brackets-Hooks-Standards/Aristocrat-Bracket-Knife-Edge-14.html</v>
      </c>
      <c r="C523" t="str">
        <f t="shared" si="16"/>
        <v>INSERT INTO url_rewrite (entity_type, entity_id, redirect_type, store_id, request_path, target_path) VALUES ('custom', 0, 301, 1,'64901/239209/Closeout-Brackets-Hooks-Standards/Aristocrat-Bracket-Knife-Edge-14.html',(SELECT CONCAT(url_path, '.html') FROM catalog_category_flat_store_1 WHERE entity_id=353));</v>
      </c>
      <c r="D523" t="str">
        <f t="shared" si="17"/>
        <v>UPDATE url_rewrite SET request_path = '64901/239209/Closeout-Brackets-Hooks-Standards/Aristocrat-Bracket-Knife-Edge-14.html' WHERE entity_type='custom' AND target_path=(SELECT CONCAT(url_path, '.html') FROM catalog_category_flat_store_1 WHERE entity_id=353);</v>
      </c>
    </row>
    <row r="524" spans="1:4" x14ac:dyDescent="0.25">
      <c r="A524">
        <f>categories!B524</f>
        <v>354</v>
      </c>
      <c r="B524" t="str">
        <f>SUBSTITUTE(SUBSTITUTE(categories!H524,"\","/"),"www.americanretailsupply.com/","")</f>
        <v>64901/239214/Closeout-Brackets-Hooks-Standards/Cross-Bar-Safety-Hook.html</v>
      </c>
      <c r="C524" t="str">
        <f t="shared" si="16"/>
        <v>INSERT INTO url_rewrite (entity_type, entity_id, redirect_type, store_id, request_path, target_path) VALUES ('custom', 0, 301, 1,'64901/239214/Closeout-Brackets-Hooks-Standards/Cross-Bar-Safety-Hook.html',(SELECT CONCAT(url_path, '.html') FROM catalog_category_flat_store_1 WHERE entity_id=354));</v>
      </c>
      <c r="D524" t="str">
        <f t="shared" si="17"/>
        <v>UPDATE url_rewrite SET request_path = '64901/239214/Closeout-Brackets-Hooks-Standards/Cross-Bar-Safety-Hook.html' WHERE entity_type='custom' AND target_path=(SELECT CONCAT(url_path, '.html') FROM catalog_category_flat_store_1 WHERE entity_id=354);</v>
      </c>
    </row>
    <row r="525" spans="1:4" x14ac:dyDescent="0.25">
      <c r="A525">
        <f>categories!B525</f>
        <v>355</v>
      </c>
      <c r="B525" t="str">
        <f>SUBSTITUTE(SUBSTITUTE(categories!H525,"\","/"),"www.americanretailsupply.com/","")</f>
        <v>64901/239216/Closeout-Brackets-Hooks-Standards/Hangrod-Wall-Mount-Brackets-fits-1-or-1-116-U.html</v>
      </c>
      <c r="C525" t="str">
        <f t="shared" si="16"/>
        <v>INSERT INTO url_rewrite (entity_type, entity_id, redirect_type, store_id, request_path, target_path) VALUES ('custom', 0, 301, 1,'64901/239216/Closeout-Brackets-Hooks-Standards/Hangrod-Wall-Mount-Brackets-fits-1-or-1-116-U.html',(SELECT CONCAT(url_path, '.html') FROM catalog_category_flat_store_1 WHERE entity_id=355));</v>
      </c>
      <c r="D525" t="str">
        <f t="shared" si="17"/>
        <v>UPDATE url_rewrite SET request_path = '64901/239216/Closeout-Brackets-Hooks-Standards/Hangrod-Wall-Mount-Brackets-fits-1-or-1-116-U.html' WHERE entity_type='custom' AND target_path=(SELECT CONCAT(url_path, '.html') FROM catalog_category_flat_store_1 WHERE entity_id=355);</v>
      </c>
    </row>
    <row r="526" spans="1:4" x14ac:dyDescent="0.25">
      <c r="A526">
        <f>categories!B526</f>
        <v>356</v>
      </c>
      <c r="B526" t="str">
        <f>SUBSTITUTE(SUBSTITUTE(categories!H526,"\","/"),"www.americanretailsupply.com/","")</f>
        <v>64901/239220/Closeout-Brackets-Hooks-Standards/Pegboard-17-12-6-Ball-Waterfall-Chrome.html</v>
      </c>
      <c r="C526" t="str">
        <f t="shared" si="16"/>
        <v>INSERT INTO url_rewrite (entity_type, entity_id, redirect_type, store_id, request_path, target_path) VALUES ('custom', 0, 301, 1,'64901/239220/Closeout-Brackets-Hooks-Standards/Pegboard-17-12-6-Ball-Waterfall-Chrome.html',(SELECT CONCAT(url_path, '.html') FROM catalog_category_flat_store_1 WHERE entity_id=356));</v>
      </c>
      <c r="D526" t="str">
        <f t="shared" si="17"/>
        <v>UPDATE url_rewrite SET request_path = '64901/239220/Closeout-Brackets-Hooks-Standards/Pegboard-17-12-6-Ball-Waterfall-Chrome.html' WHERE entity_type='custom' AND target_path=(SELECT CONCAT(url_path, '.html') FROM catalog_category_flat_store_1 WHERE entity_id=356);</v>
      </c>
    </row>
    <row r="527" spans="1:4" x14ac:dyDescent="0.25">
      <c r="A527">
        <f>categories!B527</f>
        <v>357</v>
      </c>
      <c r="B527" t="str">
        <f>SUBSTITUTE(SUBSTITUTE(categories!H527,"\","/"),"www.americanretailsupply.com/","")</f>
        <v>64901/239483/Closeout-Brackets-Hooks-Standards/Merchandise-Bar-Waterfall--Ball.html</v>
      </c>
      <c r="C527" t="str">
        <f t="shared" si="16"/>
        <v>INSERT INTO url_rewrite (entity_type, entity_id, redirect_type, store_id, request_path, target_path) VALUES ('custom', 0, 301, 1,'64901/239483/Closeout-Brackets-Hooks-Standards/Merchandise-Bar-Waterfall--Ball.html',(SELECT CONCAT(url_path, '.html') FROM catalog_category_flat_store_1 WHERE entity_id=357));</v>
      </c>
      <c r="D527" t="str">
        <f t="shared" si="17"/>
        <v>UPDATE url_rewrite SET request_path = '64901/239483/Closeout-Brackets-Hooks-Standards/Merchandise-Bar-Waterfall--Ball.html' WHERE entity_type='custom' AND target_path=(SELECT CONCAT(url_path, '.html') FROM catalog_category_flat_store_1 WHERE entity_id=357);</v>
      </c>
    </row>
    <row r="528" spans="1:4" x14ac:dyDescent="0.25">
      <c r="A528">
        <f>categories!B528</f>
        <v>358</v>
      </c>
      <c r="B528" t="str">
        <f>SUBSTITUTE(SUBSTITUTE(categories!H528,"\","/"),"www.americanretailsupply.com/","")</f>
        <v>64901/245429/Closeout-Brackets-Hooks-Standards/Quantum-18-Left-Bracket-Flange.html</v>
      </c>
      <c r="C528" t="str">
        <f t="shared" si="16"/>
        <v>INSERT INTO url_rewrite (entity_type, entity_id, redirect_type, store_id, request_path, target_path) VALUES ('custom', 0, 301, 1,'64901/245429/Closeout-Brackets-Hooks-Standards/Quantum-18-Left-Bracket-Flange.html',(SELECT CONCAT(url_path, '.html') FROM catalog_category_flat_store_1 WHERE entity_id=358));</v>
      </c>
      <c r="D528" t="str">
        <f t="shared" si="17"/>
        <v>UPDATE url_rewrite SET request_path = '64901/245429/Closeout-Brackets-Hooks-Standards/Quantum-18-Left-Bracket-Flange.html' WHERE entity_type='custom' AND target_path=(SELECT CONCAT(url_path, '.html') FROM catalog_category_flat_store_1 WHERE entity_id=358);</v>
      </c>
    </row>
    <row r="529" spans="1:4" x14ac:dyDescent="0.25">
      <c r="A529">
        <f>categories!B529</f>
        <v>359</v>
      </c>
      <c r="B529" t="str">
        <f>SUBSTITUTE(SUBSTITUTE(categories!H529,"\","/"),"www.americanretailsupply.com/","")</f>
        <v>64901/245432/Closeout-Brackets-Hooks-Standards/Aristocrat-14-Merchandise-Bar-Bracket.html</v>
      </c>
      <c r="C529" t="str">
        <f t="shared" si="16"/>
        <v>INSERT INTO url_rewrite (entity_type, entity_id, redirect_type, store_id, request_path, target_path) VALUES ('custom', 0, 301, 1,'64901/245432/Closeout-Brackets-Hooks-Standards/Aristocrat-14-Merchandise-Bar-Bracket.html',(SELECT CONCAT(url_path, '.html') FROM catalog_category_flat_store_1 WHERE entity_id=359));</v>
      </c>
      <c r="D529" t="str">
        <f t="shared" si="17"/>
        <v>UPDATE url_rewrite SET request_path = '64901/245432/Closeout-Brackets-Hooks-Standards/Aristocrat-14-Merchandise-Bar-Bracket.html' WHERE entity_type='custom' AND target_path=(SELECT CONCAT(url_path, '.html') FROM catalog_category_flat_store_1 WHERE entity_id=359);</v>
      </c>
    </row>
    <row r="530" spans="1:4" x14ac:dyDescent="0.25">
      <c r="A530">
        <f>categories!B530</f>
        <v>360</v>
      </c>
      <c r="B530" t="str">
        <f>SUBSTITUTE(SUBSTITUTE(categories!H530,"\","/"),"www.americanretailsupply.com/","")</f>
        <v>64901/245471/Closeout-Brackets-Hooks-Standards/Hangrod-Snap-on-Brackets.html</v>
      </c>
      <c r="C530" t="str">
        <f t="shared" si="16"/>
        <v>INSERT INTO url_rewrite (entity_type, entity_id, redirect_type, store_id, request_path, target_path) VALUES ('custom', 0, 301, 1,'64901/245471/Closeout-Brackets-Hooks-Standards/Hangrod-Snap-on-Brackets.html',(SELECT CONCAT(url_path, '.html') FROM catalog_category_flat_store_1 WHERE entity_id=360));</v>
      </c>
      <c r="D530" t="str">
        <f t="shared" si="17"/>
        <v>UPDATE url_rewrite SET request_path = '64901/245471/Closeout-Brackets-Hooks-Standards/Hangrod-Snap-on-Brackets.html' WHERE entity_type='custom' AND target_path=(SELECT CONCAT(url_path, '.html') FROM catalog_category_flat_store_1 WHERE entity_id=360);</v>
      </c>
    </row>
    <row r="531" spans="1:4" x14ac:dyDescent="0.25">
      <c r="A531">
        <f>categories!B531</f>
        <v>361</v>
      </c>
      <c r="B531" t="str">
        <f>SUBSTITUTE(SUBSTITUTE(categories!H531,"\","/"),"www.americanretailsupply.com/","")</f>
        <v>64901/245623/Closeout-Brackets-Hooks-Standards/Gridwall-Hook-12-x-316-White-45-Degree-Tip.html</v>
      </c>
      <c r="C531" t="str">
        <f t="shared" si="16"/>
        <v>INSERT INTO url_rewrite (entity_type, entity_id, redirect_type, store_id, request_path, target_path) VALUES ('custom', 0, 301, 1,'64901/245623/Closeout-Brackets-Hooks-Standards/Gridwall-Hook-12-x-316-White-45-Degree-Tip.html',(SELECT CONCAT(url_path, '.html') FROM catalog_category_flat_store_1 WHERE entity_id=361));</v>
      </c>
      <c r="D531" t="str">
        <f t="shared" si="17"/>
        <v>UPDATE url_rewrite SET request_path = '64901/245623/Closeout-Brackets-Hooks-Standards/Gridwall-Hook-12-x-316-White-45-Degree-Tip.html' WHERE entity_type='custom' AND target_path=(SELECT CONCAT(url_path, '.html') FROM catalog_category_flat_store_1 WHERE entity_id=361);</v>
      </c>
    </row>
    <row r="532" spans="1:4" x14ac:dyDescent="0.25">
      <c r="A532">
        <f>categories!B532</f>
        <v>362</v>
      </c>
      <c r="B532" t="str">
        <f>SUBSTITUTE(SUBSTITUTE(categories!H532,"\","/"),"www.americanretailsupply.com/","")</f>
        <v>64901/245625/Closeout-Brackets-Hooks-Standards/Mini-Grid-White-12-WAY-Connector.html</v>
      </c>
      <c r="C532" t="str">
        <f t="shared" si="16"/>
        <v>INSERT INTO url_rewrite (entity_type, entity_id, redirect_type, store_id, request_path, target_path) VALUES ('custom', 0, 301, 1,'64901/245625/Closeout-Brackets-Hooks-Standards/Mini-Grid-White-12-WAY-Connector.html',(SELECT CONCAT(url_path, '.html') FROM catalog_category_flat_store_1 WHERE entity_id=362));</v>
      </c>
      <c r="D532" t="str">
        <f t="shared" si="17"/>
        <v>UPDATE url_rewrite SET request_path = '64901/245625/Closeout-Brackets-Hooks-Standards/Mini-Grid-White-12-WAY-Connector.html' WHERE entity_type='custom' AND target_path=(SELECT CONCAT(url_path, '.html') FROM catalog_category_flat_store_1 WHERE entity_id=362);</v>
      </c>
    </row>
    <row r="533" spans="1:4" x14ac:dyDescent="0.25">
      <c r="A533">
        <f>categories!B533</f>
        <v>363</v>
      </c>
      <c r="B533" t="str">
        <f>SUBSTITUTE(SUBSTITUTE(categories!H533,"\","/"),"www.americanretailsupply.com/","")</f>
        <v>64901/434814/Closeout-Brackets-Hooks-Standards/Heavy-Duty-Hook-14-Diameter-90-tip-12.html</v>
      </c>
      <c r="C533" t="str">
        <f t="shared" si="16"/>
        <v>INSERT INTO url_rewrite (entity_type, entity_id, redirect_type, store_id, request_path, target_path) VALUES ('custom', 0, 301, 1,'64901/434814/Closeout-Brackets-Hooks-Standards/Heavy-Duty-Hook-14-Diameter-90-tip-12.html',(SELECT CONCAT(url_path, '.html') FROM catalog_category_flat_store_1 WHERE entity_id=363));</v>
      </c>
      <c r="D533" t="str">
        <f t="shared" si="17"/>
        <v>UPDATE url_rewrite SET request_path = '64901/434814/Closeout-Brackets-Hooks-Standards/Heavy-Duty-Hook-14-Diameter-90-tip-12.html' WHERE entity_type='custom' AND target_path=(SELECT CONCAT(url_path, '.html') FROM catalog_category_flat_store_1 WHERE entity_id=363);</v>
      </c>
    </row>
    <row r="534" spans="1:4" x14ac:dyDescent="0.25">
      <c r="A534">
        <f>categories!B534</f>
        <v>364</v>
      </c>
      <c r="B534" t="str">
        <f>SUBSTITUTE(SUBSTITUTE(categories!H534,"\","/"),"www.americanretailsupply.com/","")</f>
        <v>64901/785835/Closeout-Brackets-Hooks-Standards/9-Gridwall-Heavy-Duty-Hook.html</v>
      </c>
      <c r="C534" t="str">
        <f t="shared" si="16"/>
        <v>INSERT INTO url_rewrite (entity_type, entity_id, redirect_type, store_id, request_path, target_path) VALUES ('custom', 0, 301, 1,'64901/785835/Closeout-Brackets-Hooks-Standards/9-Gridwall-Heavy-Duty-Hook.html',(SELECT CONCAT(url_path, '.html') FROM catalog_category_flat_store_1 WHERE entity_id=364));</v>
      </c>
      <c r="D534" t="str">
        <f t="shared" si="17"/>
        <v>UPDATE url_rewrite SET request_path = '64901/785835/Closeout-Brackets-Hooks-Standards/9-Gridwall-Heavy-Duty-Hook.html' WHERE entity_type='custom' AND target_path=(SELECT CONCAT(url_path, '.html') FROM catalog_category_flat_store_1 WHERE entity_id=364);</v>
      </c>
    </row>
    <row r="535" spans="1:4" x14ac:dyDescent="0.25">
      <c r="A535">
        <f>categories!B535</f>
        <v>366</v>
      </c>
      <c r="B535" t="str">
        <f>SUBSTITUTE(SUBSTITUTE(categories!H535,"\","/"),"www.americanretailsupply.com/","")</f>
        <v>64898/37163/Closeout-Display-Cases-and-Racks/Round-Glass-Cube-Display-Base.html</v>
      </c>
      <c r="C535" t="str">
        <f t="shared" si="16"/>
        <v>INSERT INTO url_rewrite (entity_type, entity_id, redirect_type, store_id, request_path, target_path) VALUES ('custom', 0, 301, 1,'64898/37163/Closeout-Display-Cases-and-Racks/Round-Glass-Cube-Display-Base.html',(SELECT CONCAT(url_path, '.html') FROM catalog_category_flat_store_1 WHERE entity_id=366));</v>
      </c>
      <c r="D535" t="str">
        <f t="shared" si="17"/>
        <v>UPDATE url_rewrite SET request_path = '64898/37163/Closeout-Display-Cases-and-Racks/Round-Glass-Cube-Display-Base.html' WHERE entity_type='custom' AND target_path=(SELECT CONCAT(url_path, '.html') FROM catalog_category_flat_store_1 WHERE entity_id=366);</v>
      </c>
    </row>
    <row r="536" spans="1:4" x14ac:dyDescent="0.25">
      <c r="A536">
        <f>categories!B536</f>
        <v>367</v>
      </c>
      <c r="B536" t="str">
        <f>SUBSTITUTE(SUBSTITUTE(categories!H536,"\","/"),"www.americanretailsupply.com/","")</f>
        <v>64898/37165/Closeout-Display-Cases-and-Racks/Square-Glass-Cube-Display-Base.html</v>
      </c>
      <c r="C536" t="str">
        <f t="shared" si="16"/>
        <v>INSERT INTO url_rewrite (entity_type, entity_id, redirect_type, store_id, request_path, target_path) VALUES ('custom', 0, 301, 1,'64898/37165/Closeout-Display-Cases-and-Racks/Square-Glass-Cube-Display-Base.html',(SELECT CONCAT(url_path, '.html') FROM catalog_category_flat_store_1 WHERE entity_id=367));</v>
      </c>
      <c r="D536" t="str">
        <f t="shared" si="17"/>
        <v>UPDATE url_rewrite SET request_path = '64898/37165/Closeout-Display-Cases-and-Racks/Square-Glass-Cube-Display-Base.html' WHERE entity_type='custom' AND target_path=(SELECT CONCAT(url_path, '.html') FROM catalog_category_flat_store_1 WHERE entity_id=367);</v>
      </c>
    </row>
    <row r="537" spans="1:4" x14ac:dyDescent="0.25">
      <c r="A537">
        <f>categories!B537</f>
        <v>368</v>
      </c>
      <c r="B537" t="str">
        <f>SUBSTITUTE(SUBSTITUTE(categories!H537,"\","/"),"www.americanretailsupply.com/","")</f>
        <v>64898/222067/Closeout-Display-Cases-and-Racks/5-sided-Display-Cube.html</v>
      </c>
      <c r="C537" t="str">
        <f t="shared" si="16"/>
        <v>INSERT INTO url_rewrite (entity_type, entity_id, redirect_type, store_id, request_path, target_path) VALUES ('custom', 0, 301, 1,'64898/222067/Closeout-Display-Cases-and-Racks/5-sided-Display-Cube.html',(SELECT CONCAT(url_path, '.html') FROM catalog_category_flat_store_1 WHERE entity_id=368));</v>
      </c>
      <c r="D537" t="str">
        <f t="shared" si="17"/>
        <v>UPDATE url_rewrite SET request_path = '64898/222067/Closeout-Display-Cases-and-Racks/5-sided-Display-Cube.html' WHERE entity_type='custom' AND target_path=(SELECT CONCAT(url_path, '.html') FROM catalog_category_flat_store_1 WHERE entity_id=368);</v>
      </c>
    </row>
    <row r="538" spans="1:4" x14ac:dyDescent="0.25">
      <c r="A538">
        <f>categories!B538</f>
        <v>369</v>
      </c>
      <c r="B538" t="str">
        <f>SUBSTITUTE(SUBSTITUTE(categories!H538,"\","/"),"www.americanretailsupply.com/","")</f>
        <v>64898/236989/Closeout-Display-Cases-and-Racks/Etagere-Pine-6.html</v>
      </c>
      <c r="C538" t="str">
        <f t="shared" si="16"/>
        <v>INSERT INTO url_rewrite (entity_type, entity_id, redirect_type, store_id, request_path, target_path) VALUES ('custom', 0, 301, 1,'64898/236989/Closeout-Display-Cases-and-Racks/Etagere-Pine-6.html',(SELECT CONCAT(url_path, '.html') FROM catalog_category_flat_store_1 WHERE entity_id=369));</v>
      </c>
      <c r="D538" t="str">
        <f t="shared" si="17"/>
        <v>UPDATE url_rewrite SET request_path = '64898/236989/Closeout-Display-Cases-and-Racks/Etagere-Pine-6.html' WHERE entity_type='custom' AND target_path=(SELECT CONCAT(url_path, '.html') FROM catalog_category_flat_store_1 WHERE entity_id=369);</v>
      </c>
    </row>
    <row r="539" spans="1:4" x14ac:dyDescent="0.25">
      <c r="A539">
        <f>categories!B539</f>
        <v>370</v>
      </c>
      <c r="B539" t="str">
        <f>SUBSTITUTE(SUBSTITUTE(categories!H539,"\","/"),"www.americanretailsupply.com/","")</f>
        <v>64898/577677/Closeout-Display-Cases-and-Racks/4-Jewelry-Sit-Down-Case-New-World-Style.html</v>
      </c>
      <c r="C539" t="str">
        <f t="shared" si="16"/>
        <v>INSERT INTO url_rewrite (entity_type, entity_id, redirect_type, store_id, request_path, target_path) VALUES ('custom', 0, 301, 1,'64898/577677/Closeout-Display-Cases-and-Racks/4-Jewelry-Sit-Down-Case-New-World-Style.html',(SELECT CONCAT(url_path, '.html') FROM catalog_category_flat_store_1 WHERE entity_id=370));</v>
      </c>
      <c r="D539" t="str">
        <f t="shared" si="17"/>
        <v>UPDATE url_rewrite SET request_path = '64898/577677/Closeout-Display-Cases-and-Racks/4-Jewelry-Sit-Down-Case-New-World-Style.html' WHERE entity_type='custom' AND target_path=(SELECT CONCAT(url_path, '.html') FROM catalog_category_flat_store_1 WHERE entity_id=370);</v>
      </c>
    </row>
    <row r="540" spans="1:4" x14ac:dyDescent="0.25">
      <c r="A540">
        <f>categories!B540</f>
        <v>371</v>
      </c>
      <c r="B540" t="str">
        <f>SUBSTITUTE(SUBSTITUTE(categories!H540,"\","/"),"www.americanretailsupply.com/","")</f>
        <v>64898/577681/Closeout-Display-Cases-and-Racks/4-Jewelry-Top-Vision-Case-New-World-Style.html</v>
      </c>
      <c r="C540" t="str">
        <f t="shared" si="16"/>
        <v>INSERT INTO url_rewrite (entity_type, entity_id, redirect_type, store_id, request_path, target_path) VALUES ('custom', 0, 301, 1,'64898/577681/Closeout-Display-Cases-and-Racks/4-Jewelry-Top-Vision-Case-New-World-Style.html',(SELECT CONCAT(url_path, '.html') FROM catalog_category_flat_store_1 WHERE entity_id=371));</v>
      </c>
      <c r="D540" t="str">
        <f t="shared" si="17"/>
        <v>UPDATE url_rewrite SET request_path = '64898/577681/Closeout-Display-Cases-and-Racks/4-Jewelry-Top-Vision-Case-New-World-Style.html' WHERE entity_type='custom' AND target_path=(SELECT CONCAT(url_path, '.html') FROM catalog_category_flat_store_1 WHERE entity_id=371);</v>
      </c>
    </row>
    <row r="541" spans="1:4" x14ac:dyDescent="0.25">
      <c r="A541">
        <f>categories!B541</f>
        <v>372</v>
      </c>
      <c r="B541" t="str">
        <f>SUBSTITUTE(SUBSTITUTE(categories!H541,"\","/"),"www.americanretailsupply.com/","")</f>
        <v>64898/739235/Closeout-Display-Cases-and-Racks/Hexagon-Countertop-Case.html</v>
      </c>
      <c r="C541" t="str">
        <f t="shared" si="16"/>
        <v>INSERT INTO url_rewrite (entity_type, entity_id, redirect_type, store_id, request_path, target_path) VALUES ('custom', 0, 301, 1,'64898/739235/Closeout-Display-Cases-and-Racks/Hexagon-Countertop-Case.html',(SELECT CONCAT(url_path, '.html') FROM catalog_category_flat_store_1 WHERE entity_id=372));</v>
      </c>
      <c r="D541" t="str">
        <f t="shared" si="17"/>
        <v>UPDATE url_rewrite SET request_path = '64898/739235/Closeout-Display-Cases-and-Racks/Hexagon-Countertop-Case.html' WHERE entity_type='custom' AND target_path=(SELECT CONCAT(url_path, '.html') FROM catalog_category_flat_store_1 WHERE entity_id=372);</v>
      </c>
    </row>
    <row r="542" spans="1:4" x14ac:dyDescent="0.25">
      <c r="A542">
        <f>categories!B542</f>
        <v>373</v>
      </c>
      <c r="B542" t="str">
        <f>SUBSTITUTE(SUBSTITUTE(categories!H542,"\","/"),"www.americanretailsupply.com/","")</f>
        <v>64898/739776/Closeout-Display-Cases-and-Racks/Custom-Countertop-Case-Cedar-Humidor.html</v>
      </c>
      <c r="C542" t="str">
        <f t="shared" si="16"/>
        <v>INSERT INTO url_rewrite (entity_type, entity_id, redirect_type, store_id, request_path, target_path) VALUES ('custom', 0, 301, 1,'64898/739776/Closeout-Display-Cases-and-Racks/Custom-Countertop-Case-Cedar-Humidor.html',(SELECT CONCAT(url_path, '.html') FROM catalog_category_flat_store_1 WHERE entity_id=373));</v>
      </c>
      <c r="D542" t="str">
        <f t="shared" si="17"/>
        <v>UPDATE url_rewrite SET request_path = '64898/739776/Closeout-Display-Cases-and-Racks/Custom-Countertop-Case-Cedar-Humidor.html' WHERE entity_type='custom' AND target_path=(SELECT CONCAT(url_path, '.html') FROM catalog_category_flat_store_1 WHERE entity_id=373);</v>
      </c>
    </row>
    <row r="543" spans="1:4" x14ac:dyDescent="0.25">
      <c r="A543">
        <f>categories!B543</f>
        <v>374</v>
      </c>
      <c r="B543" t="str">
        <f>SUBSTITUTE(SUBSTITUTE(categories!H543,"\","/"),"www.americanretailsupply.com/","")</f>
        <v>64898/739783/Closeout-Display-Cases-and-Racks/Pine-Wall-Case.html</v>
      </c>
      <c r="C543" t="str">
        <f t="shared" si="16"/>
        <v>INSERT INTO url_rewrite (entity_type, entity_id, redirect_type, store_id, request_path, target_path) VALUES ('custom', 0, 301, 1,'64898/739783/Closeout-Display-Cases-and-Racks/Pine-Wall-Case.html',(SELECT CONCAT(url_path, '.html') FROM catalog_category_flat_store_1 WHERE entity_id=374));</v>
      </c>
      <c r="D543" t="str">
        <f t="shared" si="17"/>
        <v>UPDATE url_rewrite SET request_path = '64898/739783/Closeout-Display-Cases-and-Racks/Pine-Wall-Case.html' WHERE entity_type='custom' AND target_path=(SELECT CONCAT(url_path, '.html') FROM catalog_category_flat_store_1 WHERE entity_id=374);</v>
      </c>
    </row>
    <row r="544" spans="1:4" x14ac:dyDescent="0.25">
      <c r="A544">
        <f>categories!B544</f>
        <v>375</v>
      </c>
      <c r="B544" t="str">
        <f>SUBSTITUTE(SUBSTITUTE(categories!H544,"\","/"),"www.americanretailsupply.com/","")</f>
        <v>64898/739798/Closeout-Display-Cases-and-Racks/Hickory-Custom-Wall-Display.html</v>
      </c>
      <c r="C544" t="str">
        <f t="shared" si="16"/>
        <v>INSERT INTO url_rewrite (entity_type, entity_id, redirect_type, store_id, request_path, target_path) VALUES ('custom', 0, 301, 1,'64898/739798/Closeout-Display-Cases-and-Racks/Hickory-Custom-Wall-Display.html',(SELECT CONCAT(url_path, '.html') FROM catalog_category_flat_store_1 WHERE entity_id=375));</v>
      </c>
      <c r="D544" t="str">
        <f t="shared" si="17"/>
        <v>UPDATE url_rewrite SET request_path = '64898/739798/Closeout-Display-Cases-and-Racks/Hickory-Custom-Wall-Display.html' WHERE entity_type='custom' AND target_path=(SELECT CONCAT(url_path, '.html') FROM catalog_category_flat_store_1 WHERE entity_id=375);</v>
      </c>
    </row>
    <row r="545" spans="1:4" x14ac:dyDescent="0.25">
      <c r="A545">
        <f>categories!B545</f>
        <v>376</v>
      </c>
      <c r="B545" t="str">
        <f>SUBSTITUTE(SUBSTITUTE(categories!H545,"\","/"),"www.americanretailsupply.com/","")</f>
        <v>64898/763855/Closeout-Display-Cases-and-Racks/Showcase-2-Collectors.html</v>
      </c>
      <c r="C545" t="str">
        <f t="shared" si="16"/>
        <v>INSERT INTO url_rewrite (entity_type, entity_id, redirect_type, store_id, request_path, target_path) VALUES ('custom', 0, 301, 1,'64898/763855/Closeout-Display-Cases-and-Racks/Showcase-2-Collectors.html',(SELECT CONCAT(url_path, '.html') FROM catalog_category_flat_store_1 WHERE entity_id=376));</v>
      </c>
      <c r="D545" t="str">
        <f t="shared" si="17"/>
        <v>UPDATE url_rewrite SET request_path = '64898/763855/Closeout-Display-Cases-and-Racks/Showcase-2-Collectors.html' WHERE entity_type='custom' AND target_path=(SELECT CONCAT(url_path, '.html') FROM catalog_category_flat_store_1 WHERE entity_id=376);</v>
      </c>
    </row>
    <row r="546" spans="1:4" x14ac:dyDescent="0.25">
      <c r="A546">
        <f>categories!B546</f>
        <v>377</v>
      </c>
      <c r="B546" t="str">
        <f>SUBSTITUTE(SUBSTITUTE(categories!H546,"\","/"),"www.americanretailsupply.com/","")</f>
        <v>64898/785240/Closeout-Display-Cases-and-Racks/18-Straight-Arm-Garment-Rack.html</v>
      </c>
      <c r="C546" t="str">
        <f t="shared" si="16"/>
        <v>INSERT INTO url_rewrite (entity_type, entity_id, redirect_type, store_id, request_path, target_path) VALUES ('custom', 0, 301, 1,'64898/785240/Closeout-Display-Cases-and-Racks/18-Straight-Arm-Garment-Rack.html',(SELECT CONCAT(url_path, '.html') FROM catalog_category_flat_store_1 WHERE entity_id=377));</v>
      </c>
      <c r="D546" t="str">
        <f t="shared" si="17"/>
        <v>UPDATE url_rewrite SET request_path = '64898/785240/Closeout-Display-Cases-and-Racks/18-Straight-Arm-Garment-Rack.html' WHERE entity_type='custom' AND target_path=(SELECT CONCAT(url_path, '.html') FROM catalog_category_flat_store_1 WHERE entity_id=377);</v>
      </c>
    </row>
    <row r="547" spans="1:4" x14ac:dyDescent="0.25">
      <c r="A547">
        <f>categories!B547</f>
        <v>378</v>
      </c>
      <c r="B547" t="str">
        <f>SUBSTITUTE(SUBSTITUTE(categories!H547,"\","/"),"www.americanretailsupply.com/","")</f>
        <v>64898/785241/Closeout-Display-Cases-and-Racks/22-Straight-Arm-Garment-Rack.html</v>
      </c>
      <c r="C547" t="str">
        <f t="shared" si="16"/>
        <v>INSERT INTO url_rewrite (entity_type, entity_id, redirect_type, store_id, request_path, target_path) VALUES ('custom', 0, 301, 1,'64898/785241/Closeout-Display-Cases-and-Racks/22-Straight-Arm-Garment-Rack.html',(SELECT CONCAT(url_path, '.html') FROM catalog_category_flat_store_1 WHERE entity_id=378));</v>
      </c>
      <c r="D547" t="str">
        <f t="shared" si="17"/>
        <v>UPDATE url_rewrite SET request_path = '64898/785241/Closeout-Display-Cases-and-Racks/22-Straight-Arm-Garment-Rack.html' WHERE entity_type='custom' AND target_path=(SELECT CONCAT(url_path, '.html') FROM catalog_category_flat_store_1 WHERE entity_id=378);</v>
      </c>
    </row>
    <row r="548" spans="1:4" x14ac:dyDescent="0.25">
      <c r="A548">
        <f>categories!B548</f>
        <v>379</v>
      </c>
      <c r="B548" t="str">
        <f>SUBSTITUTE(SUBSTITUTE(categories!H548,"\","/"),"www.americanretailsupply.com/","")</f>
        <v>64898/785242/Closeout-Display-Cases-and-Racks/2--16-Straight--2--18-Slant-Arms-w8-Ball-Stops.html</v>
      </c>
      <c r="C548" t="str">
        <f t="shared" si="16"/>
        <v>INSERT INTO url_rewrite (entity_type, entity_id, redirect_type, store_id, request_path, target_path) VALUES ('custom', 0, 301, 1,'64898/785242/Closeout-Display-Cases-and-Racks/2--16-Straight--2--18-Slant-Arms-w8-Ball-Stops.html',(SELECT CONCAT(url_path, '.html') FROM catalog_category_flat_store_1 WHERE entity_id=379));</v>
      </c>
      <c r="D548" t="str">
        <f t="shared" si="17"/>
        <v>UPDATE url_rewrite SET request_path = '64898/785242/Closeout-Display-Cases-and-Racks/2--16-Straight--2--18-Slant-Arms-w8-Ball-Stops.html' WHERE entity_type='custom' AND target_path=(SELECT CONCAT(url_path, '.html') FROM catalog_category_flat_store_1 WHERE entity_id=379);</v>
      </c>
    </row>
    <row r="549" spans="1:4" x14ac:dyDescent="0.25">
      <c r="A549">
        <f>categories!B549</f>
        <v>380</v>
      </c>
      <c r="B549" t="str">
        <f>SUBSTITUTE(SUBSTITUTE(categories!H549,"\","/"),"www.americanretailsupply.com/","")</f>
        <v>64898/787689/Closeout-Display-Cases-and-Racks/White-Wrap-Counter-48x20x38.html</v>
      </c>
      <c r="C549" t="str">
        <f t="shared" si="16"/>
        <v>INSERT INTO url_rewrite (entity_type, entity_id, redirect_type, store_id, request_path, target_path) VALUES ('custom', 0, 301, 1,'64898/787689/Closeout-Display-Cases-and-Racks/White-Wrap-Counter-48x20x38.html',(SELECT CONCAT(url_path, '.html') FROM catalog_category_flat_store_1 WHERE entity_id=380));</v>
      </c>
      <c r="D549" t="str">
        <f t="shared" si="17"/>
        <v>UPDATE url_rewrite SET request_path = '64898/787689/Closeout-Display-Cases-and-Racks/White-Wrap-Counter-48x20x38.html' WHERE entity_type='custom' AND target_path=(SELECT CONCAT(url_path, '.html') FROM catalog_category_flat_store_1 WHERE entity_id=380);</v>
      </c>
    </row>
    <row r="550" spans="1:4" x14ac:dyDescent="0.25">
      <c r="A550">
        <f>categories!B550</f>
        <v>381</v>
      </c>
      <c r="B550" t="str">
        <f>SUBSTITUTE(SUBSTITUTE(categories!H550,"\","/"),"www.americanretailsupply.com/","")</f>
        <v>64898/787696/Closeout-Display-Cases-and-Racks/White-Wrap-Counter-70x20x38.html</v>
      </c>
      <c r="C550" t="str">
        <f t="shared" si="16"/>
        <v>INSERT INTO url_rewrite (entity_type, entity_id, redirect_type, store_id, request_path, target_path) VALUES ('custom', 0, 301, 1,'64898/787696/Closeout-Display-Cases-and-Racks/White-Wrap-Counter-70x20x38.html',(SELECT CONCAT(url_path, '.html') FROM catalog_category_flat_store_1 WHERE entity_id=381));</v>
      </c>
      <c r="D550" t="str">
        <f t="shared" si="17"/>
        <v>UPDATE url_rewrite SET request_path = '64898/787696/Closeout-Display-Cases-and-Racks/White-Wrap-Counter-70x20x38.html' WHERE entity_type='custom' AND target_path=(SELECT CONCAT(url_path, '.html') FROM catalog_category_flat_store_1 WHERE entity_id=381);</v>
      </c>
    </row>
    <row r="551" spans="1:4" x14ac:dyDescent="0.25">
      <c r="A551">
        <f>categories!B551</f>
        <v>382</v>
      </c>
      <c r="B551" t="str">
        <f>SUBSTITUTE(SUBSTITUTE(categories!H551,"\","/"),"www.americanretailsupply.com/","")</f>
        <v>64898/788051/Closeout-Display-Cases-and-Racks/16-Slant-Arm-Garment-Rack-with-8-Ball-Stops.html</v>
      </c>
      <c r="C551" t="str">
        <f t="shared" si="16"/>
        <v>INSERT INTO url_rewrite (entity_type, entity_id, redirect_type, store_id, request_path, target_path) VALUES ('custom', 0, 301, 1,'64898/788051/Closeout-Display-Cases-and-Racks/16-Slant-Arm-Garment-Rack-with-8-Ball-Stops.html',(SELECT CONCAT(url_path, '.html') FROM catalog_category_flat_store_1 WHERE entity_id=382));</v>
      </c>
      <c r="D551" t="str">
        <f t="shared" si="17"/>
        <v>UPDATE url_rewrite SET request_path = '64898/788051/Closeout-Display-Cases-and-Racks/16-Slant-Arm-Garment-Rack-with-8-Ball-Stops.html' WHERE entity_type='custom' AND target_path=(SELECT CONCAT(url_path, '.html') FROM catalog_category_flat_store_1 WHERE entity_id=382);</v>
      </c>
    </row>
    <row r="552" spans="1:4" x14ac:dyDescent="0.25">
      <c r="A552">
        <f>categories!B552</f>
        <v>384</v>
      </c>
      <c r="B552" t="str">
        <f>SUBSTITUTE(SUBSTITUTE(categories!H552,"\","/"),"www.americanretailsupply.com/","")</f>
        <v>64899/236742/Closeout-Packaging/Red-Cello-Bags.html</v>
      </c>
      <c r="C552" t="str">
        <f t="shared" si="16"/>
        <v>INSERT INTO url_rewrite (entity_type, entity_id, redirect_type, store_id, request_path, target_path) VALUES ('custom', 0, 301, 1,'64899/236742/Closeout-Packaging/Red-Cello-Bags.html',(SELECT CONCAT(url_path, '.html') FROM catalog_category_flat_store_1 WHERE entity_id=384));</v>
      </c>
      <c r="D552" t="str">
        <f t="shared" si="17"/>
        <v>UPDATE url_rewrite SET request_path = '64899/236742/Closeout-Packaging/Red-Cello-Bags.html' WHERE entity_type='custom' AND target_path=(SELECT CONCAT(url_path, '.html') FROM catalog_category_flat_store_1 WHERE entity_id=384);</v>
      </c>
    </row>
    <row r="553" spans="1:4" x14ac:dyDescent="0.25">
      <c r="A553">
        <f>categories!B553</f>
        <v>385</v>
      </c>
      <c r="B553" t="str">
        <f>SUBSTITUTE(SUBSTITUTE(categories!H553,"\","/"),"www.americanretailsupply.com/","")</f>
        <v>64899/244696/Closeout-Packaging/Metallic-Tone-Ribbon.html</v>
      </c>
      <c r="C553" t="str">
        <f t="shared" si="16"/>
        <v>INSERT INTO url_rewrite (entity_type, entity_id, redirect_type, store_id, request_path, target_path) VALUES ('custom', 0, 301, 1,'64899/244696/Closeout-Packaging/Metallic-Tone-Ribbon.html',(SELECT CONCAT(url_path, '.html') FROM catalog_category_flat_store_1 WHERE entity_id=385));</v>
      </c>
      <c r="D553" t="str">
        <f t="shared" si="17"/>
        <v>UPDATE url_rewrite SET request_path = '64899/244696/Closeout-Packaging/Metallic-Tone-Ribbon.html' WHERE entity_type='custom' AND target_path=(SELECT CONCAT(url_path, '.html') FROM catalog_category_flat_store_1 WHERE entity_id=385);</v>
      </c>
    </row>
    <row r="554" spans="1:4" x14ac:dyDescent="0.25">
      <c r="A554">
        <f>categories!B554</f>
        <v>386</v>
      </c>
      <c r="B554" t="str">
        <f>SUBSTITUTE(SUBSTITUTE(categories!H554,"\","/"),"www.americanretailsupply.com/","")</f>
        <v>64899/244699/Closeout-Packaging/Shreds.html</v>
      </c>
      <c r="C554" t="str">
        <f t="shared" si="16"/>
        <v>INSERT INTO url_rewrite (entity_type, entity_id, redirect_type, store_id, request_path, target_path) VALUES ('custom', 0, 301, 1,'64899/244699/Closeout-Packaging/Shreds.html',(SELECT CONCAT(url_path, '.html') FROM catalog_category_flat_store_1 WHERE entity_id=386));</v>
      </c>
      <c r="D554" t="str">
        <f t="shared" si="17"/>
        <v>UPDATE url_rewrite SET request_path = '64899/244699/Closeout-Packaging/Shreds.html' WHERE entity_type='custom' AND target_path=(SELECT CONCAT(url_path, '.html') FROM catalog_category_flat_store_1 WHERE entity_id=386);</v>
      </c>
    </row>
    <row r="555" spans="1:4" x14ac:dyDescent="0.25">
      <c r="A555">
        <f>categories!B555</f>
        <v>387</v>
      </c>
      <c r="B555" t="str">
        <f>SUBSTITUTE(SUBSTITUTE(categories!H555,"\","/"),"www.americanretailsupply.com/","")</f>
        <v>64899/244701/Closeout-Packaging/Clearphane-40-X-100-Pink.html</v>
      </c>
      <c r="C555" t="str">
        <f t="shared" si="16"/>
        <v>INSERT INTO url_rewrite (entity_type, entity_id, redirect_type, store_id, request_path, target_path) VALUES ('custom', 0, 301, 1,'64899/244701/Closeout-Packaging/Clearphane-40-X-100-Pink.html',(SELECT CONCAT(url_path, '.html') FROM catalog_category_flat_store_1 WHERE entity_id=387));</v>
      </c>
      <c r="D555" t="str">
        <f t="shared" si="17"/>
        <v>UPDATE url_rewrite SET request_path = '64899/244701/Closeout-Packaging/Clearphane-40-X-100-Pink.html' WHERE entity_type='custom' AND target_path=(SELECT CONCAT(url_path, '.html') FROM catalog_category_flat_store_1 WHERE entity_id=387);</v>
      </c>
    </row>
    <row r="556" spans="1:4" x14ac:dyDescent="0.25">
      <c r="A556">
        <f>categories!B556</f>
        <v>388</v>
      </c>
      <c r="B556" t="str">
        <f>SUBSTITUTE(SUBSTITUTE(categories!H556,"\","/"),"www.americanretailsupply.com/","")</f>
        <v>64899/245001/Closeout-Packaging/Elasti-Loops.html</v>
      </c>
      <c r="C556" t="str">
        <f t="shared" si="16"/>
        <v>INSERT INTO url_rewrite (entity_type, entity_id, redirect_type, store_id, request_path, target_path) VALUES ('custom', 0, 301, 1,'64899/245001/Closeout-Packaging/Elasti-Loops.html',(SELECT CONCAT(url_path, '.html') FROM catalog_category_flat_store_1 WHERE entity_id=388));</v>
      </c>
      <c r="D556" t="str">
        <f t="shared" si="17"/>
        <v>UPDATE url_rewrite SET request_path = '64899/245001/Closeout-Packaging/Elasti-Loops.html' WHERE entity_type='custom' AND target_path=(SELECT CONCAT(url_path, '.html') FROM catalog_category_flat_store_1 WHERE entity_id=388);</v>
      </c>
    </row>
    <row r="557" spans="1:4" x14ac:dyDescent="0.25">
      <c r="A557">
        <f>categories!B557</f>
        <v>389</v>
      </c>
      <c r="B557" t="str">
        <f>SUBSTITUTE(SUBSTITUTE(categories!H557,"\","/"),"www.americanretailsupply.com/","")</f>
        <v>64899/245007/Closeout-Packaging/Simply-Sheer-Ribbon.html</v>
      </c>
      <c r="C557" t="str">
        <f t="shared" si="16"/>
        <v>INSERT INTO url_rewrite (entity_type, entity_id, redirect_type, store_id, request_path, target_path) VALUES ('custom', 0, 301, 1,'64899/245007/Closeout-Packaging/Simply-Sheer-Ribbon.html',(SELECT CONCAT(url_path, '.html') FROM catalog_category_flat_store_1 WHERE entity_id=389));</v>
      </c>
      <c r="D557" t="str">
        <f t="shared" si="17"/>
        <v>UPDATE url_rewrite SET request_path = '64899/245007/Closeout-Packaging/Simply-Sheer-Ribbon.html' WHERE entity_type='custom' AND target_path=(SELECT CONCAT(url_path, '.html') FROM catalog_category_flat_store_1 WHERE entity_id=389);</v>
      </c>
    </row>
    <row r="558" spans="1:4" x14ac:dyDescent="0.25">
      <c r="A558">
        <f>categories!B558</f>
        <v>390</v>
      </c>
      <c r="B558" t="str">
        <f>SUBSTITUTE(SUBSTITUTE(categories!H558,"\","/"),"www.americanretailsupply.com/","")</f>
        <v>64899/245010/Closeout-Packaging/Ribbon-Slitter-Double-Sided.html</v>
      </c>
      <c r="C558" t="str">
        <f t="shared" si="16"/>
        <v>INSERT INTO url_rewrite (entity_type, entity_id, redirect_type, store_id, request_path, target_path) VALUES ('custom', 0, 301, 1,'64899/245010/Closeout-Packaging/Ribbon-Slitter-Double-Sided.html',(SELECT CONCAT(url_path, '.html') FROM catalog_category_flat_store_1 WHERE entity_id=390));</v>
      </c>
      <c r="D558" t="str">
        <f t="shared" si="17"/>
        <v>UPDATE url_rewrite SET request_path = '64899/245010/Closeout-Packaging/Ribbon-Slitter-Double-Sided.html' WHERE entity_type='custom' AND target_path=(SELECT CONCAT(url_path, '.html') FROM catalog_category_flat_store_1 WHERE entity_id=390);</v>
      </c>
    </row>
    <row r="559" spans="1:4" x14ac:dyDescent="0.25">
      <c r="A559">
        <f>categories!B559</f>
        <v>391</v>
      </c>
      <c r="B559" t="str">
        <f>SUBSTITUTE(SUBSTITUTE(categories!H559,"\","/"),"www.americanretailsupply.com/","")</f>
        <v>64899/245425/Closeout-Packaging/Cord-Metallic-Tinsel-100-yds-Silver.html</v>
      </c>
      <c r="C559" t="str">
        <f t="shared" si="16"/>
        <v>INSERT INTO url_rewrite (entity_type, entity_id, redirect_type, store_id, request_path, target_path) VALUES ('custom', 0, 301, 1,'64899/245425/Closeout-Packaging/Cord-Metallic-Tinsel-100-yds-Silver.html',(SELECT CONCAT(url_path, '.html') FROM catalog_category_flat_store_1 WHERE entity_id=391));</v>
      </c>
      <c r="D559" t="str">
        <f t="shared" si="17"/>
        <v>UPDATE url_rewrite SET request_path = '64899/245425/Closeout-Packaging/Cord-Metallic-Tinsel-100-yds-Silver.html' WHERE entity_type='custom' AND target_path=(SELECT CONCAT(url_path, '.html') FROM catalog_category_flat_store_1 WHERE entity_id=391);</v>
      </c>
    </row>
    <row r="560" spans="1:4" x14ac:dyDescent="0.25">
      <c r="A560">
        <f>categories!B560</f>
        <v>393</v>
      </c>
      <c r="B560" t="str">
        <f>SUBSTITUTE(SUBSTITUTE(categories!H560,"\","/"),"www.americanretailsupply.com/","")</f>
        <v>64902/243782/Closeout-Price-Marking/TG-Tagger-Needles-Fine.html</v>
      </c>
      <c r="C560" t="str">
        <f t="shared" si="16"/>
        <v>INSERT INTO url_rewrite (entity_type, entity_id, redirect_type, store_id, request_path, target_path) VALUES ('custom', 0, 301, 1,'64902/243782/Closeout-Price-Marking/TG-Tagger-Needles-Fine.html',(SELECT CONCAT(url_path, '.html') FROM catalog_category_flat_store_1 WHERE entity_id=393));</v>
      </c>
      <c r="D560" t="str">
        <f t="shared" si="17"/>
        <v>UPDATE url_rewrite SET request_path = '64902/243782/Closeout-Price-Marking/TG-Tagger-Needles-Fine.html' WHERE entity_type='custom' AND target_path=(SELECT CONCAT(url_path, '.html') FROM catalog_category_flat_store_1 WHERE entity_id=393);</v>
      </c>
    </row>
    <row r="561" spans="1:4" x14ac:dyDescent="0.25">
      <c r="A561">
        <f>categories!B561</f>
        <v>394</v>
      </c>
      <c r="B561" t="str">
        <f>SUBSTITUTE(SUBSTITUTE(categories!H561,"\","/"),"www.americanretailsupply.com/","")</f>
        <v>64902/243784/Closeout-Price-Marking/1115-Labels.html</v>
      </c>
      <c r="C561" t="str">
        <f t="shared" si="16"/>
        <v>INSERT INTO url_rewrite (entity_type, entity_id, redirect_type, store_id, request_path, target_path) VALUES ('custom', 0, 301, 1,'64902/243784/Closeout-Price-Marking/1115-Labels.html',(SELECT CONCAT(url_path, '.html') FROM catalog_category_flat_store_1 WHERE entity_id=394));</v>
      </c>
      <c r="D561" t="str">
        <f t="shared" si="17"/>
        <v>UPDATE url_rewrite SET request_path = '64902/243784/Closeout-Price-Marking/1115-Labels.html' WHERE entity_type='custom' AND target_path=(SELECT CONCAT(url_path, '.html') FROM catalog_category_flat_store_1 WHERE entity_id=394);</v>
      </c>
    </row>
    <row r="562" spans="1:4" x14ac:dyDescent="0.25">
      <c r="A562">
        <f>categories!B562</f>
        <v>395</v>
      </c>
      <c r="B562" t="str">
        <f>SUBSTITUTE(SUBSTITUTE(categories!H562,"\","/"),"www.americanretailsupply.com/","")</f>
        <v>64902/244583/Closeout-Price-Marking/Labels-2200-2-FL-Red-1125M-per-RL.html</v>
      </c>
      <c r="C562" t="str">
        <f t="shared" si="16"/>
        <v>INSERT INTO url_rewrite (entity_type, entity_id, redirect_type, store_id, request_path, target_path) VALUES ('custom', 0, 301, 1,'64902/244583/Closeout-Price-Marking/Labels-2200-2-FL-Red-1125M-per-RL.html',(SELECT CONCAT(url_path, '.html') FROM catalog_category_flat_store_1 WHERE entity_id=395));</v>
      </c>
      <c r="D562" t="str">
        <f t="shared" si="17"/>
        <v>UPDATE url_rewrite SET request_path = '64902/244583/Closeout-Price-Marking/Labels-2200-2-FL-Red-1125M-per-RL.html' WHERE entity_type='custom' AND target_path=(SELECT CONCAT(url_path, '.html') FROM catalog_category_flat_store_1 WHERE entity_id=395);</v>
      </c>
    </row>
    <row r="563" spans="1:4" x14ac:dyDescent="0.25">
      <c r="A563">
        <f>categories!B563</f>
        <v>396</v>
      </c>
      <c r="B563" t="str">
        <f>SUBSTITUTE(SUBSTITUTE(categories!H563,"\","/"),"www.americanretailsupply.com/","")</f>
        <v>64902/244586/Closeout-Price-Marking/P-26-Labels-White-1125M-per-RL.html</v>
      </c>
      <c r="C563" t="str">
        <f t="shared" si="16"/>
        <v>INSERT INTO url_rewrite (entity_type, entity_id, redirect_type, store_id, request_path, target_path) VALUES ('custom', 0, 301, 1,'64902/244586/Closeout-Price-Marking/P-26-Labels-White-1125M-per-RL.html',(SELECT CONCAT(url_path, '.html') FROM catalog_category_flat_store_1 WHERE entity_id=396));</v>
      </c>
      <c r="D563" t="str">
        <f t="shared" si="17"/>
        <v>UPDATE url_rewrite SET request_path = '64902/244586/Closeout-Price-Marking/P-26-Labels-White-1125M-per-RL.html' WHERE entity_type='custom' AND target_path=(SELECT CONCAT(url_path, '.html') FROM catalog_category_flat_store_1 WHERE entity_id=396);</v>
      </c>
    </row>
    <row r="564" spans="1:4" x14ac:dyDescent="0.25">
      <c r="A564">
        <f>categories!B564</f>
        <v>397</v>
      </c>
      <c r="B564" t="str">
        <f>SUBSTITUTE(SUBSTITUTE(categories!H564,"\","/"),"www.americanretailsupply.com/","")</f>
        <v>64902/244587/Closeout-Price-Marking/Holster-for-Meto-1600-2200-2600.html</v>
      </c>
      <c r="C564" t="str">
        <f t="shared" si="16"/>
        <v>INSERT INTO url_rewrite (entity_type, entity_id, redirect_type, store_id, request_path, target_path) VALUES ('custom', 0, 301, 1,'64902/244587/Closeout-Price-Marking/Holster-for-Meto-1600-2200-2600.html',(SELECT CONCAT(url_path, '.html') FROM catalog_category_flat_store_1 WHERE entity_id=397));</v>
      </c>
      <c r="D564" t="str">
        <f t="shared" si="17"/>
        <v>UPDATE url_rewrite SET request_path = '64902/244587/Closeout-Price-Marking/Holster-for-Meto-1600-2200-2600.html' WHERE entity_type='custom' AND target_path=(SELECT CONCAT(url_path, '.html') FROM catalog_category_flat_store_1 WHERE entity_id=397);</v>
      </c>
    </row>
    <row r="565" spans="1:4" x14ac:dyDescent="0.25">
      <c r="A565">
        <f>categories!B565</f>
        <v>398</v>
      </c>
      <c r="B565" t="str">
        <f>SUBSTITUTE(SUBSTITUTE(categories!H565,"\","/"),"www.americanretailsupply.com/","")</f>
        <v>64902/244593/Closeout-Price-Marking/Labels-1170-1155-White-Split-1M-per-RL.html</v>
      </c>
      <c r="C565" t="str">
        <f t="shared" si="16"/>
        <v>INSERT INTO url_rewrite (entity_type, entity_id, redirect_type, store_id, request_path, target_path) VALUES ('custom', 0, 301, 1,'64902/244593/Closeout-Price-Marking/Labels-1170-1155-White-Split-1M-per-RL.html',(SELECT CONCAT(url_path, '.html') FROM catalog_category_flat_store_1 WHERE entity_id=398));</v>
      </c>
      <c r="D565" t="str">
        <f t="shared" si="17"/>
        <v>UPDATE url_rewrite SET request_path = '64902/244593/Closeout-Price-Marking/Labels-1170-1155-White-Split-1M-per-RL.html' WHERE entity_type='custom' AND target_path=(SELECT CONCAT(url_path, '.html') FROM catalog_category_flat_store_1 WHERE entity_id=398);</v>
      </c>
    </row>
    <row r="566" spans="1:4" x14ac:dyDescent="0.25">
      <c r="A566">
        <f>categories!B566</f>
        <v>399</v>
      </c>
      <c r="B566" t="str">
        <f>SUBSTITUTE(SUBSTITUTE(categories!H566,"\","/"),"www.americanretailsupply.com/","")</f>
        <v>64902/244594/Closeout-Price-Marking/Labels-1175-1153-White-Rem-1M-per-RL.html</v>
      </c>
      <c r="C566" t="str">
        <f t="shared" si="16"/>
        <v>INSERT INTO url_rewrite (entity_type, entity_id, redirect_type, store_id, request_path, target_path) VALUES ('custom', 0, 301, 1,'64902/244594/Closeout-Price-Marking/Labels-1175-1153-White-Rem-1M-per-RL.html',(SELECT CONCAT(url_path, '.html') FROM catalog_category_flat_store_1 WHERE entity_id=399));</v>
      </c>
      <c r="D566" t="str">
        <f t="shared" si="17"/>
        <v>UPDATE url_rewrite SET request_path = '64902/244594/Closeout-Price-Marking/Labels-1175-1153-White-Rem-1M-per-RL.html' WHERE entity_type='custom' AND target_path=(SELECT CONCAT(url_path, '.html') FROM catalog_category_flat_store_1 WHERE entity_id=399);</v>
      </c>
    </row>
    <row r="567" spans="1:4" x14ac:dyDescent="0.25">
      <c r="A567">
        <f>categories!B567</f>
        <v>400</v>
      </c>
      <c r="B567" t="str">
        <f>SUBSTITUTE(SUBSTITUTE(categories!H567,"\","/"),"www.americanretailsupply.com/","")</f>
        <v>64902/244596/Closeout-Price-Marking/Monarch-Labelers-for-Resale.html</v>
      </c>
      <c r="C567" t="str">
        <f t="shared" si="16"/>
        <v>INSERT INTO url_rewrite (entity_type, entity_id, redirect_type, store_id, request_path, target_path) VALUES ('custom', 0, 301, 1,'64902/244596/Closeout-Price-Marking/Monarch-Labelers-for-Resale.html',(SELECT CONCAT(url_path, '.html') FROM catalog_category_flat_store_1 WHERE entity_id=400));</v>
      </c>
      <c r="D567" t="str">
        <f t="shared" si="17"/>
        <v>UPDATE url_rewrite SET request_path = '64902/244596/Closeout-Price-Marking/Monarch-Labelers-for-Resale.html' WHERE entity_type='custom' AND target_path=(SELECT CONCAT(url_path, '.html') FROM catalog_category_flat_store_1 WHERE entity_id=400);</v>
      </c>
    </row>
    <row r="568" spans="1:4" x14ac:dyDescent="0.25">
      <c r="A568">
        <f>categories!B568</f>
        <v>401</v>
      </c>
      <c r="B568" t="str">
        <f>SUBSTITUTE(SUBSTITUTE(categories!H568,"\","/"),"www.americanretailsupply.com/","")</f>
        <v>64902/244698/Closeout-Price-Marking/Tach-It-Reinforced-Needles-3.html</v>
      </c>
      <c r="C568" t="str">
        <f t="shared" si="16"/>
        <v>INSERT INTO url_rewrite (entity_type, entity_id, redirect_type, store_id, request_path, target_path) VALUES ('custom', 0, 301, 1,'64902/244698/Closeout-Price-Marking/Tach-It-Reinforced-Needles-3.html',(SELECT CONCAT(url_path, '.html') FROM catalog_category_flat_store_1 WHERE entity_id=401));</v>
      </c>
      <c r="D568" t="str">
        <f t="shared" si="17"/>
        <v>UPDATE url_rewrite SET request_path = '64902/244698/Closeout-Price-Marking/Tach-It-Reinforced-Needles-3.html' WHERE entity_type='custom' AND target_path=(SELECT CONCAT(url_path, '.html') FROM catalog_category_flat_store_1 WHERE entity_id=401);</v>
      </c>
    </row>
    <row r="569" spans="1:4" x14ac:dyDescent="0.25">
      <c r="A569">
        <f>categories!B569</f>
        <v>402</v>
      </c>
      <c r="B569" t="str">
        <f>SUBSTITUTE(SUBSTITUTE(categories!H569,"\","/"),"www.americanretailsupply.com/","")</f>
        <v>64902/252070/Closeout-Price-Marking/Meto-Inker-L14-L24-L12.html</v>
      </c>
      <c r="C569" t="str">
        <f t="shared" si="16"/>
        <v>INSERT INTO url_rewrite (entity_type, entity_id, redirect_type, store_id, request_path, target_path) VALUES ('custom', 0, 301, 1,'64902/252070/Closeout-Price-Marking/Meto-Inker-L14-L24-L12.html',(SELECT CONCAT(url_path, '.html') FROM catalog_category_flat_store_1 WHERE entity_id=402));</v>
      </c>
      <c r="D569" t="str">
        <f t="shared" si="17"/>
        <v>UPDATE url_rewrite SET request_path = '64902/252070/Closeout-Price-Marking/Meto-Inker-L14-L24-L12.html' WHERE entity_type='custom' AND target_path=(SELECT CONCAT(url_path, '.html') FROM catalog_category_flat_store_1 WHERE entity_id=402);</v>
      </c>
    </row>
    <row r="570" spans="1:4" x14ac:dyDescent="0.25">
      <c r="A570">
        <f>categories!B570</f>
        <v>403</v>
      </c>
      <c r="B570" t="str">
        <f>SUBSTITUTE(SUBSTITUTE(categories!H570,"\","/"),"www.americanretailsupply.com/","")</f>
        <v>64902/434811/Closeout-Price-Marking/Standard-Fasteners-1-12-Inch-Loop.html</v>
      </c>
      <c r="C570" t="str">
        <f t="shared" si="16"/>
        <v>INSERT INTO url_rewrite (entity_type, entity_id, redirect_type, store_id, request_path, target_path) VALUES ('custom', 0, 301, 1,'64902/434811/Closeout-Price-Marking/Standard-Fasteners-1-12-Inch-Loop.html',(SELECT CONCAT(url_path, '.html') FROM catalog_category_flat_store_1 WHERE entity_id=403));</v>
      </c>
      <c r="D570" t="str">
        <f t="shared" si="17"/>
        <v>UPDATE url_rewrite SET request_path = '64902/434811/Closeout-Price-Marking/Standard-Fasteners-1-12-Inch-Loop.html' WHERE entity_type='custom' AND target_path=(SELECT CONCAT(url_path, '.html') FROM catalog_category_flat_store_1 WHERE entity_id=403);</v>
      </c>
    </row>
    <row r="571" spans="1:4" x14ac:dyDescent="0.25">
      <c r="A571">
        <f>categories!B571</f>
        <v>404</v>
      </c>
      <c r="B571" t="str">
        <f>SUBSTITUTE(SUBSTITUTE(categories!H571,"\","/"),"www.americanretailsupply.com/","")</f>
        <v>64902/788048/Closeout-Price-Marking/Monarch-1110-White-Labels.html</v>
      </c>
      <c r="C571" t="str">
        <f t="shared" si="16"/>
        <v>INSERT INTO url_rewrite (entity_type, entity_id, redirect_type, store_id, request_path, target_path) VALUES ('custom', 0, 301, 1,'64902/788048/Closeout-Price-Marking/Monarch-1110-White-Labels.html',(SELECT CONCAT(url_path, '.html') FROM catalog_category_flat_store_1 WHERE entity_id=404));</v>
      </c>
      <c r="D571" t="str">
        <f t="shared" si="17"/>
        <v>UPDATE url_rewrite SET request_path = '64902/788048/Closeout-Price-Marking/Monarch-1110-White-Labels.html' WHERE entity_type='custom' AND target_path=(SELECT CONCAT(url_path, '.html') FROM catalog_category_flat_store_1 WHERE entity_id=404);</v>
      </c>
    </row>
    <row r="572" spans="1:4" x14ac:dyDescent="0.25">
      <c r="A572">
        <f>categories!B572</f>
        <v>405</v>
      </c>
      <c r="B572" t="str">
        <f>SUBSTITUTE(SUBSTITUTE(categories!H572,"\","/"),"www.americanretailsupply.com/","")</f>
        <v>64902/788049/Closeout-Price-Marking/Rainbow-Fluorescent-Sign-Cards.html</v>
      </c>
      <c r="C572" t="str">
        <f t="shared" si="16"/>
        <v>INSERT INTO url_rewrite (entity_type, entity_id, redirect_type, store_id, request_path, target_path) VALUES ('custom', 0, 301, 1,'64902/788049/Closeout-Price-Marking/Rainbow-Fluorescent-Sign-Cards.html',(SELECT CONCAT(url_path, '.html') FROM catalog_category_flat_store_1 WHERE entity_id=405));</v>
      </c>
      <c r="D572" t="str">
        <f t="shared" si="17"/>
        <v>UPDATE url_rewrite SET request_path = '64902/788049/Closeout-Price-Marking/Rainbow-Fluorescent-Sign-Cards.html' WHERE entity_type='custom' AND target_path=(SELECT CONCAT(url_path, '.html') FROM catalog_category_flat_store_1 WHERE entity_id=405);</v>
      </c>
    </row>
    <row r="573" spans="1:4" x14ac:dyDescent="0.25">
      <c r="A573">
        <f>categories!B573</f>
        <v>406</v>
      </c>
      <c r="B573" t="str">
        <f>SUBSTITUTE(SUBSTITUTE(categories!H573,"\","/"),"www.americanretailsupply.com/","")</f>
        <v>64902/788050/Closeout-Price-Marking/Avery-Dennison-1160-Labels.html</v>
      </c>
      <c r="C573" t="str">
        <f t="shared" si="16"/>
        <v>INSERT INTO url_rewrite (entity_type, entity_id, redirect_type, store_id, request_path, target_path) VALUES ('custom', 0, 301, 1,'64902/788050/Closeout-Price-Marking/Avery-Dennison-1160-Labels.html',(SELECT CONCAT(url_path, '.html') FROM catalog_category_flat_store_1 WHERE entity_id=406));</v>
      </c>
      <c r="D573" t="str">
        <f t="shared" si="17"/>
        <v>UPDATE url_rewrite SET request_path = '64902/788050/Closeout-Price-Marking/Avery-Dennison-1160-Labels.html' WHERE entity_type='custom' AND target_path=(SELECT CONCAT(url_path, '.html') FROM catalog_category_flat_store_1 WHERE entity_id=406);</v>
      </c>
    </row>
    <row r="574" spans="1:4" x14ac:dyDescent="0.25">
      <c r="A574">
        <f>categories!B574</f>
        <v>407</v>
      </c>
      <c r="B574" t="str">
        <f>SUBSTITUTE(SUBSTITUTE(categories!H574,"\","/"),"www.americanretailsupply.com/","")</f>
        <v>64902/788054/Closeout-Price-Marking/Loop-Fasteners.html</v>
      </c>
      <c r="C574" t="str">
        <f t="shared" si="16"/>
        <v>INSERT INTO url_rewrite (entity_type, entity_id, redirect_type, store_id, request_path, target_path) VALUES ('custom', 0, 301, 1,'64902/788054/Closeout-Price-Marking/Loop-Fasteners.html',(SELECT CONCAT(url_path, '.html') FROM catalog_category_flat_store_1 WHERE entity_id=407));</v>
      </c>
      <c r="D574" t="str">
        <f t="shared" si="17"/>
        <v>UPDATE url_rewrite SET request_path = '64902/788054/Closeout-Price-Marking/Loop-Fasteners.html' WHERE entity_type='custom' AND target_path=(SELECT CONCAT(url_path, '.html') FROM catalog_category_flat_store_1 WHERE entity_id=407);</v>
      </c>
    </row>
    <row r="575" spans="1:4" x14ac:dyDescent="0.25">
      <c r="A575">
        <f>categories!B575</f>
        <v>408</v>
      </c>
      <c r="B575" t="str">
        <f>SUBSTITUTE(SUBSTITUTE(categories!H575,"\","/"),"www.americanretailsupply.com/","")</f>
        <v>64902/788055/Closeout-Price-Marking/Standard-Pink-Fasteners.html</v>
      </c>
      <c r="C575" t="str">
        <f t="shared" si="16"/>
        <v>INSERT INTO url_rewrite (entity_type, entity_id, redirect_type, store_id, request_path, target_path) VALUES ('custom', 0, 301, 1,'64902/788055/Closeout-Price-Marking/Standard-Pink-Fasteners.html',(SELECT CONCAT(url_path, '.html') FROM catalog_category_flat_store_1 WHERE entity_id=408));</v>
      </c>
      <c r="D575" t="str">
        <f t="shared" si="17"/>
        <v>UPDATE url_rewrite SET request_path = '64902/788055/Closeout-Price-Marking/Standard-Pink-Fasteners.html' WHERE entity_type='custom' AND target_path=(SELECT CONCAT(url_path, '.html') FROM catalog_category_flat_store_1 WHERE entity_id=408);</v>
      </c>
    </row>
    <row r="576" spans="1:4" x14ac:dyDescent="0.25">
      <c r="A576">
        <f>categories!B576</f>
        <v>410</v>
      </c>
      <c r="B576" t="str">
        <f>SUBSTITUTE(SUBSTITUTE(categories!H576,"\","/"),"www.americanretailsupply.com/","")</f>
        <v>65211/44190/Contemporary-Raw-Steel-Displays/6-Pair-Earring-Display.html</v>
      </c>
      <c r="C576" t="str">
        <f t="shared" si="16"/>
        <v>INSERT INTO url_rewrite (entity_type, entity_id, redirect_type, store_id, request_path, target_path) VALUES ('custom', 0, 301, 1,'65211/44190/Contemporary-Raw-Steel-Displays/6-Pair-Earring-Display.html',(SELECT CONCAT(url_path, '.html') FROM catalog_category_flat_store_1 WHERE entity_id=410));</v>
      </c>
      <c r="D576" t="str">
        <f t="shared" si="17"/>
        <v>UPDATE url_rewrite SET request_path = '65211/44190/Contemporary-Raw-Steel-Displays/6-Pair-Earring-Display.html' WHERE entity_type='custom' AND target_path=(SELECT CONCAT(url_path, '.html') FROM catalog_category_flat_store_1 WHERE entity_id=410);</v>
      </c>
    </row>
    <row r="577" spans="1:4" x14ac:dyDescent="0.25">
      <c r="A577">
        <f>categories!B577</f>
        <v>411</v>
      </c>
      <c r="B577" t="str">
        <f>SUBSTITUTE(SUBSTITUTE(categories!H577,"\","/"),"www.americanretailsupply.com/","")</f>
        <v>65211/44194/Contemporary-Raw-Steel-Displays/Hat-Stand.html</v>
      </c>
      <c r="C577" t="str">
        <f t="shared" si="16"/>
        <v>INSERT INTO url_rewrite (entity_type, entity_id, redirect_type, store_id, request_path, target_path) VALUES ('custom', 0, 301, 1,'65211/44194/Contemporary-Raw-Steel-Displays/Hat-Stand.html',(SELECT CONCAT(url_path, '.html') FROM catalog_category_flat_store_1 WHERE entity_id=411));</v>
      </c>
      <c r="D577" t="str">
        <f t="shared" si="17"/>
        <v>UPDATE url_rewrite SET request_path = '65211/44194/Contemporary-Raw-Steel-Displays/Hat-Stand.html' WHERE entity_type='custom' AND target_path=(SELECT CONCAT(url_path, '.html') FROM catalog_category_flat_store_1 WHERE entity_id=411);</v>
      </c>
    </row>
    <row r="578" spans="1:4" x14ac:dyDescent="0.25">
      <c r="A578">
        <f>categories!B578</f>
        <v>412</v>
      </c>
      <c r="B578" t="str">
        <f>SUBSTITUTE(SUBSTITUTE(categories!H578,"\","/"),"www.americanretailsupply.com/","")</f>
        <v>65211/44195/Contemporary-Raw-Steel-Displays/2-Tier-Watch-Display.html</v>
      </c>
      <c r="C578" t="str">
        <f t="shared" si="16"/>
        <v>INSERT INTO url_rewrite (entity_type, entity_id, redirect_type, store_id, request_path, target_path) VALUES ('custom', 0, 301, 1,'65211/44195/Contemporary-Raw-Steel-Displays/2-Tier-Watch-Display.html',(SELECT CONCAT(url_path, '.html') FROM catalog_category_flat_store_1 WHERE entity_id=412));</v>
      </c>
      <c r="D578" t="str">
        <f t="shared" si="17"/>
        <v>UPDATE url_rewrite SET request_path = '65211/44195/Contemporary-Raw-Steel-Displays/2-Tier-Watch-Display.html' WHERE entity_type='custom' AND target_path=(SELECT CONCAT(url_path, '.html') FROM catalog_category_flat_store_1 WHERE entity_id=412);</v>
      </c>
    </row>
    <row r="579" spans="1:4" x14ac:dyDescent="0.25">
      <c r="A579">
        <f>categories!B579</f>
        <v>413</v>
      </c>
      <c r="B579" t="str">
        <f>SUBSTITUTE(SUBSTITUTE(categories!H579,"\","/"),"www.americanretailsupply.com/","")</f>
        <v>65211/44197/Contemporary-Raw-Steel-Displays/Blouse-Displayer.html</v>
      </c>
      <c r="C579" t="str">
        <f t="shared" ref="C579:C642" si="18">"INSERT INTO url_rewrite (entity_type, entity_id, redirect_type, store_id, request_path, target_path) VALUES ('custom', 0, 301, 1,'"&amp;B579&amp;"',(SELECT CONCAT(url_path, '.html') FROM catalog_category_flat_store_1 WHERE entity_id="&amp;A579&amp;"));"</f>
        <v>INSERT INTO url_rewrite (entity_type, entity_id, redirect_type, store_id, request_path, target_path) VALUES ('custom', 0, 301, 1,'65211/44197/Contemporary-Raw-Steel-Displays/Blouse-Displayer.html',(SELECT CONCAT(url_path, '.html') FROM catalog_category_flat_store_1 WHERE entity_id=413));</v>
      </c>
      <c r="D579" t="str">
        <f t="shared" ref="D579:D642" si="19">"UPDATE url_rewrite SET request_path = '"&amp;B579&amp;"' WHERE entity_type='custom' AND target_path=(SELECT CONCAT(url_path, '.html') FROM catalog_category_flat_store_1 WHERE entity_id="&amp;A579&amp;");"</f>
        <v>UPDATE url_rewrite SET request_path = '65211/44197/Contemporary-Raw-Steel-Displays/Blouse-Displayer.html' WHERE entity_type='custom' AND target_path=(SELECT CONCAT(url_path, '.html') FROM catalog_category_flat_store_1 WHERE entity_id=413);</v>
      </c>
    </row>
    <row r="580" spans="1:4" x14ac:dyDescent="0.25">
      <c r="A580">
        <f>categories!B580</f>
        <v>414</v>
      </c>
      <c r="B580" t="str">
        <f>SUBSTITUTE(SUBSTITUTE(categories!H580,"\","/"),"www.americanretailsupply.com/","")</f>
        <v>65211/44199/Contemporary-Raw-Steel-Displays/Glass-Top-Displays.html</v>
      </c>
      <c r="C580" t="str">
        <f t="shared" si="18"/>
        <v>INSERT INTO url_rewrite (entity_type, entity_id, redirect_type, store_id, request_path, target_path) VALUES ('custom', 0, 301, 1,'65211/44199/Contemporary-Raw-Steel-Displays/Glass-Top-Displays.html',(SELECT CONCAT(url_path, '.html') FROM catalog_category_flat_store_1 WHERE entity_id=414));</v>
      </c>
      <c r="D580" t="str">
        <f t="shared" si="19"/>
        <v>UPDATE url_rewrite SET request_path = '65211/44199/Contemporary-Raw-Steel-Displays/Glass-Top-Displays.html' WHERE entity_type='custom' AND target_path=(SELECT CONCAT(url_path, '.html') FROM catalog_category_flat_store_1 WHERE entity_id=414);</v>
      </c>
    </row>
    <row r="581" spans="1:4" x14ac:dyDescent="0.25">
      <c r="A581">
        <f>categories!B581</f>
        <v>415</v>
      </c>
      <c r="B581" t="str">
        <f>SUBSTITUTE(SUBSTITUTE(categories!H581,"\","/"),"www.americanretailsupply.com/","")</f>
        <v>65211/44207/Contemporary-Raw-Steel-Displays/2-Sided-Floor-Mirror-for-Shoes.html</v>
      </c>
      <c r="C581" t="str">
        <f t="shared" si="18"/>
        <v>INSERT INTO url_rewrite (entity_type, entity_id, redirect_type, store_id, request_path, target_path) VALUES ('custom', 0, 301, 1,'65211/44207/Contemporary-Raw-Steel-Displays/2-Sided-Floor-Mirror-for-Shoes.html',(SELECT CONCAT(url_path, '.html') FROM catalog_category_flat_store_1 WHERE entity_id=415));</v>
      </c>
      <c r="D581" t="str">
        <f t="shared" si="19"/>
        <v>UPDATE url_rewrite SET request_path = '65211/44207/Contemporary-Raw-Steel-Displays/2-Sided-Floor-Mirror-for-Shoes.html' WHERE entity_type='custom' AND target_path=(SELECT CONCAT(url_path, '.html') FROM catalog_category_flat_store_1 WHERE entity_id=415);</v>
      </c>
    </row>
    <row r="582" spans="1:4" x14ac:dyDescent="0.25">
      <c r="A582">
        <f>categories!B582</f>
        <v>416</v>
      </c>
      <c r="B582" t="str">
        <f>SUBSTITUTE(SUBSTITUTE(categories!H582,"\","/"),"www.americanretailsupply.com/","")</f>
        <v>65211/44208/Contemporary-Raw-Steel-Displays/Hanging-Wall-Mirror.html</v>
      </c>
      <c r="C582" t="str">
        <f t="shared" si="18"/>
        <v>INSERT INTO url_rewrite (entity_type, entity_id, redirect_type, store_id, request_path, target_path) VALUES ('custom', 0, 301, 1,'65211/44208/Contemporary-Raw-Steel-Displays/Hanging-Wall-Mirror.html',(SELECT CONCAT(url_path, '.html') FROM catalog_category_flat_store_1 WHERE entity_id=416));</v>
      </c>
      <c r="D582" t="str">
        <f t="shared" si="19"/>
        <v>UPDATE url_rewrite SET request_path = '65211/44208/Contemporary-Raw-Steel-Displays/Hanging-Wall-Mirror.html' WHERE entity_type='custom' AND target_path=(SELECT CONCAT(url_path, '.html') FROM catalog_category_flat_store_1 WHERE entity_id=416);</v>
      </c>
    </row>
    <row r="583" spans="1:4" x14ac:dyDescent="0.25">
      <c r="A583">
        <f>categories!B583</f>
        <v>417</v>
      </c>
      <c r="B583" t="str">
        <f>SUBSTITUTE(SUBSTITUTE(categories!H583,"\","/"),"www.americanretailsupply.com/","")</f>
        <v>65211/47155/Contemporary-Raw-Steel-Displays/Earring-Card-Display.html</v>
      </c>
      <c r="C583" t="str">
        <f t="shared" si="18"/>
        <v>INSERT INTO url_rewrite (entity_type, entity_id, redirect_type, store_id, request_path, target_path) VALUES ('custom', 0, 301, 1,'65211/47155/Contemporary-Raw-Steel-Displays/Earring-Card-Display.html',(SELECT CONCAT(url_path, '.html') FROM catalog_category_flat_store_1 WHERE entity_id=417));</v>
      </c>
      <c r="D583" t="str">
        <f t="shared" si="19"/>
        <v>UPDATE url_rewrite SET request_path = '65211/47155/Contemporary-Raw-Steel-Displays/Earring-Card-Display.html' WHERE entity_type='custom' AND target_path=(SELECT CONCAT(url_path, '.html') FROM catalog_category_flat_store_1 WHERE entity_id=417);</v>
      </c>
    </row>
    <row r="584" spans="1:4" x14ac:dyDescent="0.25">
      <c r="A584">
        <f>categories!B584</f>
        <v>418</v>
      </c>
      <c r="B584" t="str">
        <f>SUBSTITUTE(SUBSTITUTE(categories!H584,"\","/"),"www.americanretailsupply.com/","")</f>
        <v>65211/47156/Contemporary-Raw-Steel-Displays/24-Pair-Earring-Display.html</v>
      </c>
      <c r="C584" t="str">
        <f t="shared" si="18"/>
        <v>INSERT INTO url_rewrite (entity_type, entity_id, redirect_type, store_id, request_path, target_path) VALUES ('custom', 0, 301, 1,'65211/47156/Contemporary-Raw-Steel-Displays/24-Pair-Earring-Display.html',(SELECT CONCAT(url_path, '.html') FROM catalog_category_flat_store_1 WHERE entity_id=418));</v>
      </c>
      <c r="D584" t="str">
        <f t="shared" si="19"/>
        <v>UPDATE url_rewrite SET request_path = '65211/47156/Contemporary-Raw-Steel-Displays/24-Pair-Earring-Display.html' WHERE entity_type='custom' AND target_path=(SELECT CONCAT(url_path, '.html') FROM catalog_category_flat_store_1 WHERE entity_id=418);</v>
      </c>
    </row>
    <row r="585" spans="1:4" x14ac:dyDescent="0.25">
      <c r="A585">
        <f>categories!B585</f>
        <v>419</v>
      </c>
      <c r="B585" t="str">
        <f>SUBSTITUTE(SUBSTITUTE(categories!H585,"\","/"),"www.americanretailsupply.com/","")</f>
        <v>65211/47157/Contemporary-Raw-Steel-Displays/2-Tier-Jewelry-Display-Stand.html</v>
      </c>
      <c r="C585" t="str">
        <f t="shared" si="18"/>
        <v>INSERT INTO url_rewrite (entity_type, entity_id, redirect_type, store_id, request_path, target_path) VALUES ('custom', 0, 301, 1,'65211/47157/Contemporary-Raw-Steel-Displays/2-Tier-Jewelry-Display-Stand.html',(SELECT CONCAT(url_path, '.html') FROM catalog_category_flat_store_1 WHERE entity_id=419));</v>
      </c>
      <c r="D585" t="str">
        <f t="shared" si="19"/>
        <v>UPDATE url_rewrite SET request_path = '65211/47157/Contemporary-Raw-Steel-Displays/2-Tier-Jewelry-Display-Stand.html' WHERE entity_type='custom' AND target_path=(SELECT CONCAT(url_path, '.html') FROM catalog_category_flat_store_1 WHERE entity_id=419);</v>
      </c>
    </row>
    <row r="586" spans="1:4" x14ac:dyDescent="0.25">
      <c r="A586">
        <f>categories!B586</f>
        <v>420</v>
      </c>
      <c r="B586" t="str">
        <f>SUBSTITUTE(SUBSTITUTE(categories!H586,"\","/"),"www.americanretailsupply.com/","")</f>
        <v>65211/47158/Contemporary-Raw-Steel-Displays/1-Tier-Jewelry-Display-Stand.html</v>
      </c>
      <c r="C586" t="str">
        <f t="shared" si="18"/>
        <v>INSERT INTO url_rewrite (entity_type, entity_id, redirect_type, store_id, request_path, target_path) VALUES ('custom', 0, 301, 1,'65211/47158/Contemporary-Raw-Steel-Displays/1-Tier-Jewelry-Display-Stand.html',(SELECT CONCAT(url_path, '.html') FROM catalog_category_flat_store_1 WHERE entity_id=420));</v>
      </c>
      <c r="D586" t="str">
        <f t="shared" si="19"/>
        <v>UPDATE url_rewrite SET request_path = '65211/47158/Contemporary-Raw-Steel-Displays/1-Tier-Jewelry-Display-Stand.html' WHERE entity_type='custom' AND target_path=(SELECT CONCAT(url_path, '.html') FROM catalog_category_flat_store_1 WHERE entity_id=420);</v>
      </c>
    </row>
    <row r="587" spans="1:4" x14ac:dyDescent="0.25">
      <c r="A587">
        <f>categories!B587</f>
        <v>421</v>
      </c>
      <c r="B587" t="str">
        <f>SUBSTITUTE(SUBSTITUTE(categories!H587,"\","/"),"www.americanretailsupply.com/","")</f>
        <v>65211/47207/Contemporary-Raw-Steel-Displays/Free-Standing-Jewelry-Display-Case.html</v>
      </c>
      <c r="C587" t="str">
        <f t="shared" si="18"/>
        <v>INSERT INTO url_rewrite (entity_type, entity_id, redirect_type, store_id, request_path, target_path) VALUES ('custom', 0, 301, 1,'65211/47207/Contemporary-Raw-Steel-Displays/Free-Standing-Jewelry-Display-Case.html',(SELECT CONCAT(url_path, '.html') FROM catalog_category_flat_store_1 WHERE entity_id=421));</v>
      </c>
      <c r="D587" t="str">
        <f t="shared" si="19"/>
        <v>UPDATE url_rewrite SET request_path = '65211/47207/Contemporary-Raw-Steel-Displays/Free-Standing-Jewelry-Display-Case.html' WHERE entity_type='custom' AND target_path=(SELECT CONCAT(url_path, '.html') FROM catalog_category_flat_store_1 WHERE entity_id=421);</v>
      </c>
    </row>
    <row r="588" spans="1:4" x14ac:dyDescent="0.25">
      <c r="A588">
        <f>categories!B588</f>
        <v>422</v>
      </c>
      <c r="B588" t="str">
        <f>SUBSTITUTE(SUBSTITUTE(categories!H588,"\","/"),"www.americanretailsupply.com/","")</f>
        <v>65211/253859/Contemporary-Raw-Steel-Displays/Contemporary-Design-Display-Racks.html</v>
      </c>
      <c r="C588" t="str">
        <f t="shared" si="18"/>
        <v>INSERT INTO url_rewrite (entity_type, entity_id, redirect_type, store_id, request_path, target_path) VALUES ('custom', 0, 301, 1,'65211/253859/Contemporary-Raw-Steel-Displays/Contemporary-Design-Display-Racks.html',(SELECT CONCAT(url_path, '.html') FROM catalog_category_flat_store_1 WHERE entity_id=422));</v>
      </c>
      <c r="D588" t="str">
        <f t="shared" si="19"/>
        <v>UPDATE url_rewrite SET request_path = '65211/253859/Contemporary-Raw-Steel-Displays/Contemporary-Design-Display-Racks.html' WHERE entity_type='custom' AND target_path=(SELECT CONCAT(url_path, '.html') FROM catalog_category_flat_store_1 WHERE entity_id=422);</v>
      </c>
    </row>
    <row r="589" spans="1:4" x14ac:dyDescent="0.25">
      <c r="A589">
        <f>categories!B589</f>
        <v>423</v>
      </c>
      <c r="B589" t="str">
        <f>SUBSTITUTE(SUBSTITUTE(categories!H589,"\","/"),"www.americanretailsupply.com/","")</f>
        <v>65211/447141/Contemporary-Raw-Steel-Displays/T-Type-Earring-Display.html</v>
      </c>
      <c r="C589" t="str">
        <f t="shared" si="18"/>
        <v>INSERT INTO url_rewrite (entity_type, entity_id, redirect_type, store_id, request_path, target_path) VALUES ('custom', 0, 301, 1,'65211/447141/Contemporary-Raw-Steel-Displays/T-Type-Earring-Display.html',(SELECT CONCAT(url_path, '.html') FROM catalog_category_flat_store_1 WHERE entity_id=423));</v>
      </c>
      <c r="D589" t="str">
        <f t="shared" si="19"/>
        <v>UPDATE url_rewrite SET request_path = '65211/447141/Contemporary-Raw-Steel-Displays/T-Type-Earring-Display.html' WHERE entity_type='custom' AND target_path=(SELECT CONCAT(url_path, '.html') FROM catalog_category_flat_store_1 WHERE entity_id=423);</v>
      </c>
    </row>
    <row r="590" spans="1:4" x14ac:dyDescent="0.25">
      <c r="A590">
        <f>categories!B590</f>
        <v>424</v>
      </c>
      <c r="B590" t="str">
        <f>SUBSTITUTE(SUBSTITUTE(categories!H590,"\","/"),"www.americanretailsupply.com/","")</f>
        <v>65211/447143/Contemporary-Raw-Steel-Displays/12-Pair-Earring-Display.html</v>
      </c>
      <c r="C590" t="str">
        <f t="shared" si="18"/>
        <v>INSERT INTO url_rewrite (entity_type, entity_id, redirect_type, store_id, request_path, target_path) VALUES ('custom', 0, 301, 1,'65211/447143/Contemporary-Raw-Steel-Displays/12-Pair-Earring-Display.html',(SELECT CONCAT(url_path, '.html') FROM catalog_category_flat_store_1 WHERE entity_id=424));</v>
      </c>
      <c r="D590" t="str">
        <f t="shared" si="19"/>
        <v>UPDATE url_rewrite SET request_path = '65211/447143/Contemporary-Raw-Steel-Displays/12-Pair-Earring-Display.html' WHERE entity_type='custom' AND target_path=(SELECT CONCAT(url_path, '.html') FROM catalog_category_flat_store_1 WHERE entity_id=424);</v>
      </c>
    </row>
    <row r="591" spans="1:4" x14ac:dyDescent="0.25">
      <c r="A591">
        <f>categories!B591</f>
        <v>425</v>
      </c>
      <c r="B591" t="str">
        <f>SUBSTITUTE(SUBSTITUTE(categories!H591,"\","/"),"www.americanretailsupply.com/","")</f>
        <v>65211/447145/Contemporary-Raw-Steel-Displays/3-Tier-Jewelry-Display.html</v>
      </c>
      <c r="C591" t="str">
        <f t="shared" si="18"/>
        <v>INSERT INTO url_rewrite (entity_type, entity_id, redirect_type, store_id, request_path, target_path) VALUES ('custom', 0, 301, 1,'65211/447145/Contemporary-Raw-Steel-Displays/3-Tier-Jewelry-Display.html',(SELECT CONCAT(url_path, '.html') FROM catalog_category_flat_store_1 WHERE entity_id=425));</v>
      </c>
      <c r="D591" t="str">
        <f t="shared" si="19"/>
        <v>UPDATE url_rewrite SET request_path = '65211/447145/Contemporary-Raw-Steel-Displays/3-Tier-Jewelry-Display.html' WHERE entity_type='custom' AND target_path=(SELECT CONCAT(url_path, '.html') FROM catalog_category_flat_store_1 WHERE entity_id=425);</v>
      </c>
    </row>
    <row r="592" spans="1:4" x14ac:dyDescent="0.25">
      <c r="A592">
        <f>categories!B592</f>
        <v>426</v>
      </c>
      <c r="B592" t="str">
        <f>SUBSTITUTE(SUBSTITUTE(categories!H592,"\","/"),"www.americanretailsupply.com/","")</f>
        <v>65211/447147/Contemporary-Raw-Steel-Displays/Collapsible-Easel.html</v>
      </c>
      <c r="C592" t="str">
        <f t="shared" si="18"/>
        <v>INSERT INTO url_rewrite (entity_type, entity_id, redirect_type, store_id, request_path, target_path) VALUES ('custom', 0, 301, 1,'65211/447147/Contemporary-Raw-Steel-Displays/Collapsible-Easel.html',(SELECT CONCAT(url_path, '.html') FROM catalog_category_flat_store_1 WHERE entity_id=426));</v>
      </c>
      <c r="D592" t="str">
        <f t="shared" si="19"/>
        <v>UPDATE url_rewrite SET request_path = '65211/447147/Contemporary-Raw-Steel-Displays/Collapsible-Easel.html' WHERE entity_type='custom' AND target_path=(SELECT CONCAT(url_path, '.html') FROM catalog_category_flat_store_1 WHERE entity_id=426);</v>
      </c>
    </row>
    <row r="593" spans="1:4" x14ac:dyDescent="0.25">
      <c r="A593">
        <f>categories!B593</f>
        <v>427</v>
      </c>
      <c r="B593" t="str">
        <f>SUBSTITUTE(SUBSTITUTE(categories!H593,"\","/"),"www.americanretailsupply.com/","")</f>
        <v>65211/447148/Contemporary-Raw-Steel-Displays/Belt-Ladder-Attachments.html</v>
      </c>
      <c r="C593" t="str">
        <f t="shared" si="18"/>
        <v>INSERT INTO url_rewrite (entity_type, entity_id, redirect_type, store_id, request_path, target_path) VALUES ('custom', 0, 301, 1,'65211/447148/Contemporary-Raw-Steel-Displays/Belt-Ladder-Attachments.html',(SELECT CONCAT(url_path, '.html') FROM catalog_category_flat_store_1 WHERE entity_id=427));</v>
      </c>
      <c r="D593" t="str">
        <f t="shared" si="19"/>
        <v>UPDATE url_rewrite SET request_path = '65211/447148/Contemporary-Raw-Steel-Displays/Belt-Ladder-Attachments.html' WHERE entity_type='custom' AND target_path=(SELECT CONCAT(url_path, '.html') FROM catalog_category_flat_store_1 WHERE entity_id=427);</v>
      </c>
    </row>
    <row r="594" spans="1:4" x14ac:dyDescent="0.25">
      <c r="A594">
        <f>categories!B594</f>
        <v>429</v>
      </c>
      <c r="B594" t="str">
        <f>SUBSTITUTE(SUBSTITUTE(categories!H594,"\","/"),"www.americanretailsupply.com/","")</f>
        <v>64695/1755/Contest-Boxes/Million-Dollar-Bill.html</v>
      </c>
      <c r="C594" t="str">
        <f t="shared" si="18"/>
        <v>INSERT INTO url_rewrite (entity_type, entity_id, redirect_type, store_id, request_path, target_path) VALUES ('custom', 0, 301, 1,'64695/1755/Contest-Boxes/Million-Dollar-Bill.html',(SELECT CONCAT(url_path, '.html') FROM catalog_category_flat_store_1 WHERE entity_id=429));</v>
      </c>
      <c r="D594" t="str">
        <f t="shared" si="19"/>
        <v>UPDATE url_rewrite SET request_path = '64695/1755/Contest-Boxes/Million-Dollar-Bill.html' WHERE entity_type='custom' AND target_path=(SELECT CONCAT(url_path, '.html') FROM catalog_category_flat_store_1 WHERE entity_id=429);</v>
      </c>
    </row>
    <row r="595" spans="1:4" x14ac:dyDescent="0.25">
      <c r="A595">
        <f>categories!B595</f>
        <v>430</v>
      </c>
      <c r="B595" t="str">
        <f>SUBSTITUTE(SUBSTITUTE(categories!H595,"\","/"),"www.americanretailsupply.com/","")</f>
        <v>64695/173651/Contest-Boxes/Corrugated-Contest-Box.html</v>
      </c>
      <c r="C595" t="str">
        <f t="shared" si="18"/>
        <v>INSERT INTO url_rewrite (entity_type, entity_id, redirect_type, store_id, request_path, target_path) VALUES ('custom', 0, 301, 1,'64695/173651/Contest-Boxes/Corrugated-Contest-Box.html',(SELECT CONCAT(url_path, '.html') FROM catalog_category_flat_store_1 WHERE entity_id=430));</v>
      </c>
      <c r="D595" t="str">
        <f t="shared" si="19"/>
        <v>UPDATE url_rewrite SET request_path = '64695/173651/Contest-Boxes/Corrugated-Contest-Box.html' WHERE entity_type='custom' AND target_path=(SELECT CONCAT(url_path, '.html') FROM catalog_category_flat_store_1 WHERE entity_id=430);</v>
      </c>
    </row>
    <row r="596" spans="1:4" x14ac:dyDescent="0.25">
      <c r="A596">
        <f>categories!B596</f>
        <v>432</v>
      </c>
      <c r="B596" t="str">
        <f>SUBSTITUTE(SUBSTITUTE(categories!H596,"\","/"),"www.americanretailsupply.com/","")</f>
        <v>65154/37073/Costumers/Goose-Neck-Blouse-Display.html</v>
      </c>
      <c r="C596" t="str">
        <f t="shared" si="18"/>
        <v>INSERT INTO url_rewrite (entity_type, entity_id, redirect_type, store_id, request_path, target_path) VALUES ('custom', 0, 301, 1,'65154/37073/Costumers/Goose-Neck-Blouse-Display.html',(SELECT CONCAT(url_path, '.html') FROM catalog_category_flat_store_1 WHERE entity_id=432));</v>
      </c>
      <c r="D596" t="str">
        <f t="shared" si="19"/>
        <v>UPDATE url_rewrite SET request_path = '65154/37073/Costumers/Goose-Neck-Blouse-Display.html' WHERE entity_type='custom' AND target_path=(SELECT CONCAT(url_path, '.html') FROM catalog_category_flat_store_1 WHERE entity_id=432);</v>
      </c>
    </row>
    <row r="597" spans="1:4" x14ac:dyDescent="0.25">
      <c r="A597">
        <f>categories!B597</f>
        <v>433</v>
      </c>
      <c r="B597" t="str">
        <f>SUBSTITUTE(SUBSTITUTE(categories!H597,"\","/"),"www.americanretailsupply.com/","")</f>
        <v>65154/156021/Costumers/Child-Flex-Form-Plush-Black.html</v>
      </c>
      <c r="C597" t="str">
        <f t="shared" si="18"/>
        <v>INSERT INTO url_rewrite (entity_type, entity_id, redirect_type, store_id, request_path, target_path) VALUES ('custom', 0, 301, 1,'65154/156021/Costumers/Child-Flex-Form-Plush-Black.html',(SELECT CONCAT(url_path, '.html') FROM catalog_category_flat_store_1 WHERE entity_id=433));</v>
      </c>
      <c r="D597" t="str">
        <f t="shared" si="19"/>
        <v>UPDATE url_rewrite SET request_path = '65154/156021/Costumers/Child-Flex-Form-Plush-Black.html' WHERE entity_type='custom' AND target_path=(SELECT CONCAT(url_path, '.html') FROM catalog_category_flat_store_1 WHERE entity_id=433);</v>
      </c>
    </row>
    <row r="598" spans="1:4" x14ac:dyDescent="0.25">
      <c r="A598">
        <f>categories!B598</f>
        <v>434</v>
      </c>
      <c r="B598" t="str">
        <f>SUBSTITUTE(SUBSTITUTE(categories!H598,"\","/"),"www.americanretailsupply.com/","")</f>
        <v>65154/156022/Costumers/Adult-Flex-Form-Plush-Black.html</v>
      </c>
      <c r="C598" t="str">
        <f t="shared" si="18"/>
        <v>INSERT INTO url_rewrite (entity_type, entity_id, redirect_type, store_id, request_path, target_path) VALUES ('custom', 0, 301, 1,'65154/156022/Costumers/Adult-Flex-Form-Plush-Black.html',(SELECT CONCAT(url_path, '.html') FROM catalog_category_flat_store_1 WHERE entity_id=434));</v>
      </c>
      <c r="D598" t="str">
        <f t="shared" si="19"/>
        <v>UPDATE url_rewrite SET request_path = '65154/156022/Costumers/Adult-Flex-Form-Plush-Black.html' WHERE entity_type='custom' AND target_path=(SELECT CONCAT(url_path, '.html') FROM catalog_category_flat_store_1 WHERE entity_id=434);</v>
      </c>
    </row>
    <row r="599" spans="1:4" x14ac:dyDescent="0.25">
      <c r="A599">
        <f>categories!B599</f>
        <v>435</v>
      </c>
      <c r="B599" t="str">
        <f>SUBSTITUTE(SUBSTITUTE(categories!H599,"\","/"),"www.americanretailsupply.com/","")</f>
        <v>65154/156029/Costumers/Adj-Notched-Costumer.html</v>
      </c>
      <c r="C599" t="str">
        <f t="shared" si="18"/>
        <v>INSERT INTO url_rewrite (entity_type, entity_id, redirect_type, store_id, request_path, target_path) VALUES ('custom', 0, 301, 1,'65154/156029/Costumers/Adj-Notched-Costumer.html',(SELECT CONCAT(url_path, '.html') FROM catalog_category_flat_store_1 WHERE entity_id=435));</v>
      </c>
      <c r="D599" t="str">
        <f t="shared" si="19"/>
        <v>UPDATE url_rewrite SET request_path = '65154/156029/Costumers/Adj-Notched-Costumer.html' WHERE entity_type='custom' AND target_path=(SELECT CONCAT(url_path, '.html') FROM catalog_category_flat_store_1 WHERE entity_id=435);</v>
      </c>
    </row>
    <row r="600" spans="1:4" x14ac:dyDescent="0.25">
      <c r="A600">
        <f>categories!B600</f>
        <v>436</v>
      </c>
      <c r="B600" t="str">
        <f>SUBSTITUTE(SUBSTITUTE(categories!H600,"\","/"),"www.americanretailsupply.com/","")</f>
        <v>65154/156071/Costumers/Countertop-with-Shoulder-Bar-Black.html</v>
      </c>
      <c r="C600" t="str">
        <f t="shared" si="18"/>
        <v>INSERT INTO url_rewrite (entity_type, entity_id, redirect_type, store_id, request_path, target_path) VALUES ('custom', 0, 301, 1,'65154/156071/Costumers/Countertop-with-Shoulder-Bar-Black.html',(SELECT CONCAT(url_path, '.html') FROM catalog_category_flat_store_1 WHERE entity_id=436));</v>
      </c>
      <c r="D600" t="str">
        <f t="shared" si="19"/>
        <v>UPDATE url_rewrite SET request_path = '65154/156071/Costumers/Countertop-with-Shoulder-Bar-Black.html' WHERE entity_type='custom' AND target_path=(SELECT CONCAT(url_path, '.html') FROM catalog_category_flat_store_1 WHERE entity_id=436);</v>
      </c>
    </row>
    <row r="601" spans="1:4" x14ac:dyDescent="0.25">
      <c r="A601">
        <f>categories!B601</f>
        <v>437</v>
      </c>
      <c r="B601" t="str">
        <f>SUBSTITUTE(SUBSTITUTE(categories!H601,"\","/"),"www.americanretailsupply.com/","")</f>
        <v>65154/156072/Costumers/Floor-Stand-with-Shoulder-Bar-Black.html</v>
      </c>
      <c r="C601" t="str">
        <f t="shared" si="18"/>
        <v>INSERT INTO url_rewrite (entity_type, entity_id, redirect_type, store_id, request_path, target_path) VALUES ('custom', 0, 301, 1,'65154/156072/Costumers/Floor-Stand-with-Shoulder-Bar-Black.html',(SELECT CONCAT(url_path, '.html') FROM catalog_category_flat_store_1 WHERE entity_id=437));</v>
      </c>
      <c r="D601" t="str">
        <f t="shared" si="19"/>
        <v>UPDATE url_rewrite SET request_path = '65154/156072/Costumers/Floor-Stand-with-Shoulder-Bar-Black.html' WHERE entity_type='custom' AND target_path=(SELECT CONCAT(url_path, '.html') FROM catalog_category_flat_store_1 WHERE entity_id=437);</v>
      </c>
    </row>
    <row r="602" spans="1:4" x14ac:dyDescent="0.25">
      <c r="A602">
        <f>categories!B602</f>
        <v>438</v>
      </c>
      <c r="B602" t="str">
        <f>SUBSTITUTE(SUBSTITUTE(categories!H602,"\","/"),"www.americanretailsupply.com/","")</f>
        <v>65154/156073/Costumers/Child-Floor-Stand.html</v>
      </c>
      <c r="C602" t="str">
        <f t="shared" si="18"/>
        <v>INSERT INTO url_rewrite (entity_type, entity_id, redirect_type, store_id, request_path, target_path) VALUES ('custom', 0, 301, 1,'65154/156073/Costumers/Child-Floor-Stand.html',(SELECT CONCAT(url_path, '.html') FROM catalog_category_flat_store_1 WHERE entity_id=438));</v>
      </c>
      <c r="D602" t="str">
        <f t="shared" si="19"/>
        <v>UPDATE url_rewrite SET request_path = '65154/156073/Costumers/Child-Floor-Stand.html' WHERE entity_type='custom' AND target_path=(SELECT CONCAT(url_path, '.html') FROM catalog_category_flat_store_1 WHERE entity_id=438);</v>
      </c>
    </row>
    <row r="603" spans="1:4" x14ac:dyDescent="0.25">
      <c r="A603">
        <f>categories!B603</f>
        <v>439</v>
      </c>
      <c r="B603" t="str">
        <f>SUBSTITUTE(SUBSTITUTE(categories!H603,"\","/"),"www.americanretailsupply.com/","")</f>
        <v>65154/156074/Costumers/Mens-Floor-Stand.html</v>
      </c>
      <c r="C603" t="str">
        <f t="shared" si="18"/>
        <v>INSERT INTO url_rewrite (entity_type, entity_id, redirect_type, store_id, request_path, target_path) VALUES ('custom', 0, 301, 1,'65154/156074/Costumers/Mens-Floor-Stand.html',(SELECT CONCAT(url_path, '.html') FROM catalog_category_flat_store_1 WHERE entity_id=439));</v>
      </c>
      <c r="D603" t="str">
        <f t="shared" si="19"/>
        <v>UPDATE url_rewrite SET request_path = '65154/156074/Costumers/Mens-Floor-Stand.html' WHERE entity_type='custom' AND target_path=(SELECT CONCAT(url_path, '.html') FROM catalog_category_flat_store_1 WHERE entity_id=439);</v>
      </c>
    </row>
    <row r="604" spans="1:4" x14ac:dyDescent="0.25">
      <c r="A604">
        <f>categories!B604</f>
        <v>440</v>
      </c>
      <c r="B604" t="str">
        <f>SUBSTITUTE(SUBSTITUTE(categories!H604,"\","/"),"www.americanretailsupply.com/","")</f>
        <v>65154/156079/Costumers/Mens-Countertop.html</v>
      </c>
      <c r="C604" t="str">
        <f t="shared" si="18"/>
        <v>INSERT INTO url_rewrite (entity_type, entity_id, redirect_type, store_id, request_path, target_path) VALUES ('custom', 0, 301, 1,'65154/156079/Costumers/Mens-Countertop.html',(SELECT CONCAT(url_path, '.html') FROM catalog_category_flat_store_1 WHERE entity_id=440));</v>
      </c>
      <c r="D604" t="str">
        <f t="shared" si="19"/>
        <v>UPDATE url_rewrite SET request_path = '65154/156079/Costumers/Mens-Countertop.html' WHERE entity_type='custom' AND target_path=(SELECT CONCAT(url_path, '.html') FROM catalog_category_flat_store_1 WHERE entity_id=440);</v>
      </c>
    </row>
    <row r="605" spans="1:4" x14ac:dyDescent="0.25">
      <c r="A605">
        <f>categories!B605</f>
        <v>442</v>
      </c>
      <c r="B605" t="str">
        <f>SUBSTITUTE(SUBSTITUTE(categories!H605,"\","/"),"www.americanretailsupply.com/","")</f>
        <v>64797/734990/Counter-Top-Racks/2-Tier-Counter-Spinner-Display-with-12-Pegs.html</v>
      </c>
      <c r="C605" t="str">
        <f t="shared" si="18"/>
        <v>INSERT INTO url_rewrite (entity_type, entity_id, redirect_type, store_id, request_path, target_path) VALUES ('custom', 0, 301, 1,'64797/734990/Counter-Top-Racks/2-Tier-Counter-Spinner-Display-with-12-Pegs.html',(SELECT CONCAT(url_path, '.html') FROM catalog_category_flat_store_1 WHERE entity_id=442));</v>
      </c>
      <c r="D605" t="str">
        <f t="shared" si="19"/>
        <v>UPDATE url_rewrite SET request_path = '64797/734990/Counter-Top-Racks/2-Tier-Counter-Spinner-Display-with-12-Pegs.html' WHERE entity_type='custom' AND target_path=(SELECT CONCAT(url_path, '.html') FROM catalog_category_flat_store_1 WHERE entity_id=442);</v>
      </c>
    </row>
    <row r="606" spans="1:4" x14ac:dyDescent="0.25">
      <c r="A606">
        <f>categories!B606</f>
        <v>443</v>
      </c>
      <c r="B606" t="str">
        <f>SUBSTITUTE(SUBSTITUTE(categories!H606,"\","/"),"www.americanretailsupply.com/","")</f>
        <v>64797/734991/Counter-Top-Racks/White-18-Pocket-Countertop-Card-Spinner.html</v>
      </c>
      <c r="C606" t="str">
        <f t="shared" si="18"/>
        <v>INSERT INTO url_rewrite (entity_type, entity_id, redirect_type, store_id, request_path, target_path) VALUES ('custom', 0, 301, 1,'64797/734991/Counter-Top-Racks/White-18-Pocket-Countertop-Card-Spinner.html',(SELECT CONCAT(url_path, '.html') FROM catalog_category_flat_store_1 WHERE entity_id=443));</v>
      </c>
      <c r="D606" t="str">
        <f t="shared" si="19"/>
        <v>UPDATE url_rewrite SET request_path = '64797/734991/Counter-Top-Racks/White-18-Pocket-Countertop-Card-Spinner.html' WHERE entity_type='custom' AND target_path=(SELECT CONCAT(url_path, '.html') FROM catalog_category_flat_store_1 WHERE entity_id=443);</v>
      </c>
    </row>
    <row r="607" spans="1:4" x14ac:dyDescent="0.25">
      <c r="A607">
        <f>categories!B607</f>
        <v>444</v>
      </c>
      <c r="B607" t="str">
        <f>SUBSTITUTE(SUBSTITUTE(categories!H607,"\","/"),"www.americanretailsupply.com/","")</f>
        <v>64797/735010/Counter-Top-Racks/White-Linear-Counter-Display.html</v>
      </c>
      <c r="C607" t="str">
        <f t="shared" si="18"/>
        <v>INSERT INTO url_rewrite (entity_type, entity_id, redirect_type, store_id, request_path, target_path) VALUES ('custom', 0, 301, 1,'64797/735010/Counter-Top-Racks/White-Linear-Counter-Display.html',(SELECT CONCAT(url_path, '.html') FROM catalog_category_flat_store_1 WHERE entity_id=444));</v>
      </c>
      <c r="D607" t="str">
        <f t="shared" si="19"/>
        <v>UPDATE url_rewrite SET request_path = '64797/735010/Counter-Top-Racks/White-Linear-Counter-Display.html' WHERE entity_type='custom' AND target_path=(SELECT CONCAT(url_path, '.html') FROM catalog_category_flat_store_1 WHERE entity_id=444);</v>
      </c>
    </row>
    <row r="608" spans="1:4" x14ac:dyDescent="0.25">
      <c r="A608">
        <f>categories!B608</f>
        <v>445</v>
      </c>
      <c r="B608" t="str">
        <f>SUBSTITUTE(SUBSTITUTE(categories!H608,"\","/"),"www.americanretailsupply.com/","")</f>
        <v>64797/735011/Counter-Top-Racks/Black-5-Tier-Merchandiser-Counter-Rack.html</v>
      </c>
      <c r="C608" t="str">
        <f t="shared" si="18"/>
        <v>INSERT INTO url_rewrite (entity_type, entity_id, redirect_type, store_id, request_path, target_path) VALUES ('custom', 0, 301, 1,'64797/735011/Counter-Top-Racks/Black-5-Tier-Merchandiser-Counter-Rack.html',(SELECT CONCAT(url_path, '.html') FROM catalog_category_flat_store_1 WHERE entity_id=445));</v>
      </c>
      <c r="D608" t="str">
        <f t="shared" si="19"/>
        <v>UPDATE url_rewrite SET request_path = '64797/735011/Counter-Top-Racks/Black-5-Tier-Merchandiser-Counter-Rack.html' WHERE entity_type='custom' AND target_path=(SELECT CONCAT(url_path, '.html') FROM catalog_category_flat_store_1 WHERE entity_id=445);</v>
      </c>
    </row>
    <row r="609" spans="1:4" x14ac:dyDescent="0.25">
      <c r="A609">
        <f>categories!B609</f>
        <v>448</v>
      </c>
      <c r="B609" t="str">
        <f>SUBSTITUTE(SUBSTITUTE(categories!H609,"\","/"),"www.americanretailsupply.com/","")</f>
        <v>64960/37818/Cross-Bars/Crossbar-Accessories.html</v>
      </c>
      <c r="C609" t="str">
        <f t="shared" si="18"/>
        <v>INSERT INTO url_rewrite (entity_type, entity_id, redirect_type, store_id, request_path, target_path) VALUES ('custom', 0, 301, 1,'64960/37818/Cross-Bars/Crossbar-Accessories.html',(SELECT CONCAT(url_path, '.html') FROM catalog_category_flat_store_1 WHERE entity_id=448));</v>
      </c>
      <c r="D609" t="str">
        <f t="shared" si="19"/>
        <v>UPDATE url_rewrite SET request_path = '64960/37818/Cross-Bars/Crossbar-Accessories.html' WHERE entity_type='custom' AND target_path=(SELECT CONCAT(url_path, '.html') FROM catalog_category_flat_store_1 WHERE entity_id=448);</v>
      </c>
    </row>
    <row r="610" spans="1:4" x14ac:dyDescent="0.25">
      <c r="A610">
        <f>categories!B610</f>
        <v>450</v>
      </c>
      <c r="B610" t="str">
        <f>SUBSTITUTE(SUBSTITUTE(categories!H610,"\","/"),"www.americanretailsupply.com/","")</f>
        <v>65156/740886/Crystalline-Series-Mannequins/White-Translucent-Female.html</v>
      </c>
      <c r="C610" t="str">
        <f t="shared" si="18"/>
        <v>INSERT INTO url_rewrite (entity_type, entity_id, redirect_type, store_id, request_path, target_path) VALUES ('custom', 0, 301, 1,'65156/740886/Crystalline-Series-Mannequins/White-Translucent-Female.html',(SELECT CONCAT(url_path, '.html') FROM catalog_category_flat_store_1 WHERE entity_id=450));</v>
      </c>
      <c r="D610" t="str">
        <f t="shared" si="19"/>
        <v>UPDATE url_rewrite SET request_path = '65156/740886/Crystalline-Series-Mannequins/White-Translucent-Female.html' WHERE entity_type='custom' AND target_path=(SELECT CONCAT(url_path, '.html') FROM catalog_category_flat_store_1 WHERE entity_id=450);</v>
      </c>
    </row>
    <row r="611" spans="1:4" x14ac:dyDescent="0.25">
      <c r="A611">
        <f>categories!B611</f>
        <v>451</v>
      </c>
      <c r="B611" t="str">
        <f>SUBSTITUTE(SUBSTITUTE(categories!H611,"\","/"),"www.americanretailsupply.com/","")</f>
        <v>65156/740887/Crystalline-Series-Mannequins/White-Translucent-Male.html</v>
      </c>
      <c r="C611" t="str">
        <f t="shared" si="18"/>
        <v>INSERT INTO url_rewrite (entity_type, entity_id, redirect_type, store_id, request_path, target_path) VALUES ('custom', 0, 301, 1,'65156/740887/Crystalline-Series-Mannequins/White-Translucent-Male.html',(SELECT CONCAT(url_path, '.html') FROM catalog_category_flat_store_1 WHERE entity_id=451));</v>
      </c>
      <c r="D611" t="str">
        <f t="shared" si="19"/>
        <v>UPDATE url_rewrite SET request_path = '65156/740887/Crystalline-Series-Mannequins/White-Translucent-Male.html' WHERE entity_type='custom' AND target_path=(SELECT CONCAT(url_path, '.html') FROM catalog_category_flat_store_1 WHERE entity_id=451);</v>
      </c>
    </row>
    <row r="612" spans="1:4" x14ac:dyDescent="0.25">
      <c r="A612">
        <f>categories!B612</f>
        <v>454</v>
      </c>
      <c r="B612" t="str">
        <f>SUBSTITUTE(SUBSTITUTE(categories!H612,"\","/"),"www.americanretailsupply.com/","")</f>
        <v>64735/19865/Curling-Ribbon/Curling-Ribbon.html</v>
      </c>
      <c r="C612" t="str">
        <f t="shared" si="18"/>
        <v>INSERT INTO url_rewrite (entity_type, entity_id, redirect_type, store_id, request_path, target_path) VALUES ('custom', 0, 301, 1,'64735/19865/Curling-Ribbon/Curling-Ribbon.html',(SELECT CONCAT(url_path, '.html') FROM catalog_category_flat_store_1 WHERE entity_id=454));</v>
      </c>
      <c r="D612" t="str">
        <f t="shared" si="19"/>
        <v>UPDATE url_rewrite SET request_path = '64735/19865/Curling-Ribbon/Curling-Ribbon.html' WHERE entity_type='custom' AND target_path=(SELECT CONCAT(url_path, '.html') FROM catalog_category_flat_store_1 WHERE entity_id=454);</v>
      </c>
    </row>
    <row r="613" spans="1:4" x14ac:dyDescent="0.25">
      <c r="A613">
        <f>categories!B613</f>
        <v>455</v>
      </c>
      <c r="B613" t="str">
        <f>SUBSTITUTE(SUBSTITUTE(categories!H613,"\","/"),"www.americanretailsupply.com/","")</f>
        <v>64735/19866/Curling-Ribbon/Crimped-Metallic-Tone-Curling-Ribbon.html</v>
      </c>
      <c r="C613" t="str">
        <f t="shared" si="18"/>
        <v>INSERT INTO url_rewrite (entity_type, entity_id, redirect_type, store_id, request_path, target_path) VALUES ('custom', 0, 301, 1,'64735/19866/Curling-Ribbon/Crimped-Metallic-Tone-Curling-Ribbon.html',(SELECT CONCAT(url_path, '.html') FROM catalog_category_flat_store_1 WHERE entity_id=455));</v>
      </c>
      <c r="D613" t="str">
        <f t="shared" si="19"/>
        <v>UPDATE url_rewrite SET request_path = '64735/19866/Curling-Ribbon/Crimped-Metallic-Tone-Curling-Ribbon.html' WHERE entity_type='custom' AND target_path=(SELECT CONCAT(url_path, '.html') FROM catalog_category_flat_store_1 WHERE entity_id=455);</v>
      </c>
    </row>
    <row r="614" spans="1:4" x14ac:dyDescent="0.25">
      <c r="A614">
        <f>categories!B614</f>
        <v>456</v>
      </c>
      <c r="B614" t="str">
        <f>SUBSTITUTE(SUBSTITUTE(categories!H614,"\","/"),"www.americanretailsupply.com/","")</f>
        <v>64735/746204/Curling-Ribbon/Printed-Curling-Ribbon.html</v>
      </c>
      <c r="C614" t="str">
        <f t="shared" si="18"/>
        <v>INSERT INTO url_rewrite (entity_type, entity_id, redirect_type, store_id, request_path, target_path) VALUES ('custom', 0, 301, 1,'64735/746204/Curling-Ribbon/Printed-Curling-Ribbon.html',(SELECT CONCAT(url_path, '.html') FROM catalog_category_flat_store_1 WHERE entity_id=456));</v>
      </c>
      <c r="D614" t="str">
        <f t="shared" si="19"/>
        <v>UPDATE url_rewrite SET request_path = '64735/746204/Curling-Ribbon/Printed-Curling-Ribbon.html' WHERE entity_type='custom' AND target_path=(SELECT CONCAT(url_path, '.html') FROM catalog_category_flat_store_1 WHERE entity_id=456);</v>
      </c>
    </row>
    <row r="615" spans="1:4" x14ac:dyDescent="0.25">
      <c r="A615">
        <f>categories!B615</f>
        <v>459</v>
      </c>
      <c r="B615" t="str">
        <f>SUBSTITUTE(SUBSTITUTE(categories!H615,"\","/"),"www.americanretailsupply.com/","")</f>
        <v>64703/19958/Custom-Tissue-Paper--Custom-Gift-Wrapping/Solid-Color-Tissue-Paper.html</v>
      </c>
      <c r="C615" t="str">
        <f t="shared" si="18"/>
        <v>INSERT INTO url_rewrite (entity_type, entity_id, redirect_type, store_id, request_path, target_path) VALUES ('custom', 0, 301, 1,'64703/19958/Custom-Tissue-Paper--Custom-Gift-Wrapping/Solid-Color-Tissue-Paper.html',(SELECT CONCAT(url_path, '.html') FROM catalog_category_flat_store_1 WHERE entity_id=459));</v>
      </c>
      <c r="D615" t="str">
        <f t="shared" si="19"/>
        <v>UPDATE url_rewrite SET request_path = '64703/19958/Custom-Tissue-Paper--Custom-Gift-Wrapping/Solid-Color-Tissue-Paper.html' WHERE entity_type='custom' AND target_path=(SELECT CONCAT(url_path, '.html') FROM catalog_category_flat_store_1 WHERE entity_id=459);</v>
      </c>
    </row>
    <row r="616" spans="1:4" x14ac:dyDescent="0.25">
      <c r="A616">
        <f>categories!B616</f>
        <v>461</v>
      </c>
      <c r="B616" t="str">
        <f>SUBSTITUTE(SUBSTITUTE(categories!H616,"\","/"),"www.americanretailsupply.com/","")</f>
        <v>65084/18449/Decorative-Corrugated-Boxes/Folding-Candy-Boxes.html</v>
      </c>
      <c r="C616" t="str">
        <f t="shared" si="18"/>
        <v>INSERT INTO url_rewrite (entity_type, entity_id, redirect_type, store_id, request_path, target_path) VALUES ('custom', 0, 301, 1,'65084/18449/Decorative-Corrugated-Boxes/Folding-Candy-Boxes.html',(SELECT CONCAT(url_path, '.html') FROM catalog_category_flat_store_1 WHERE entity_id=461));</v>
      </c>
      <c r="D616" t="str">
        <f t="shared" si="19"/>
        <v>UPDATE url_rewrite SET request_path = '65084/18449/Decorative-Corrugated-Boxes/Folding-Candy-Boxes.html' WHERE entity_type='custom' AND target_path=(SELECT CONCAT(url_path, '.html') FROM catalog_category_flat_store_1 WHERE entity_id=461);</v>
      </c>
    </row>
    <row r="617" spans="1:4" x14ac:dyDescent="0.25">
      <c r="A617">
        <f>categories!B617</f>
        <v>463</v>
      </c>
      <c r="B617" t="str">
        <f>SUBSTITUTE(SUBSTITUTE(categories!H617,"\","/"),"www.americanretailsupply.com/","")</f>
        <v>64709/226749/Decorative-Corrugated-Boxes/Red-Satin-Gift-Boxes.html</v>
      </c>
      <c r="C617" t="str">
        <f t="shared" si="18"/>
        <v>INSERT INTO url_rewrite (entity_type, entity_id, redirect_type, store_id, request_path, target_path) VALUES ('custom', 0, 301, 1,'64709/226749/Decorative-Corrugated-Boxes/Red-Satin-Gift-Boxes.html',(SELECT CONCAT(url_path, '.html') FROM catalog_category_flat_store_1 WHERE entity_id=463));</v>
      </c>
      <c r="D617" t="str">
        <f t="shared" si="19"/>
        <v>UPDATE url_rewrite SET request_path = '64709/226749/Decorative-Corrugated-Boxes/Red-Satin-Gift-Boxes.html' WHERE entity_type='custom' AND target_path=(SELECT CONCAT(url_path, '.html') FROM catalog_category_flat_store_1 WHERE entity_id=463);</v>
      </c>
    </row>
    <row r="618" spans="1:4" x14ac:dyDescent="0.25">
      <c r="A618">
        <f>categories!B618</f>
        <v>464</v>
      </c>
      <c r="B618" t="str">
        <f>SUBSTITUTE(SUBSTITUTE(categories!H618,"\","/"),"www.americanretailsupply.com/","")</f>
        <v>64709/226750/Decorative-Corrugated-Boxes/Christmas--Holiday-Gift-Boxes.html</v>
      </c>
      <c r="C618" t="str">
        <f t="shared" si="18"/>
        <v>INSERT INTO url_rewrite (entity_type, entity_id, redirect_type, store_id, request_path, target_path) VALUES ('custom', 0, 301, 1,'64709/226750/Decorative-Corrugated-Boxes/Christmas--Holiday-Gift-Boxes.html',(SELECT CONCAT(url_path, '.html') FROM catalog_category_flat_store_1 WHERE entity_id=464));</v>
      </c>
      <c r="D618" t="str">
        <f t="shared" si="19"/>
        <v>UPDATE url_rewrite SET request_path = '64709/226750/Decorative-Corrugated-Boxes/Christmas--Holiday-Gift-Boxes.html' WHERE entity_type='custom' AND target_path=(SELECT CONCAT(url_path, '.html') FROM catalog_category_flat_store_1 WHERE entity_id=464);</v>
      </c>
    </row>
    <row r="619" spans="1:4" x14ac:dyDescent="0.25">
      <c r="A619">
        <f>categories!B619</f>
        <v>465</v>
      </c>
      <c r="B619" t="str">
        <f>SUBSTITUTE(SUBSTITUTE(categories!H619,"\","/"),"www.americanretailsupply.com/","")</f>
        <v>64709/226751/Decorative-Corrugated-Boxes/Red--Hunter-Green-Bows-Gift-Boxes.html</v>
      </c>
      <c r="C619" t="str">
        <f t="shared" si="18"/>
        <v>INSERT INTO url_rewrite (entity_type, entity_id, redirect_type, store_id, request_path, target_path) VALUES ('custom', 0, 301, 1,'64709/226751/Decorative-Corrugated-Boxes/Red--Hunter-Green-Bows-Gift-Boxes.html',(SELECT CONCAT(url_path, '.html') FROM catalog_category_flat_store_1 WHERE entity_id=465));</v>
      </c>
      <c r="D619" t="str">
        <f t="shared" si="19"/>
        <v>UPDATE url_rewrite SET request_path = '64709/226751/Decorative-Corrugated-Boxes/Red--Hunter-Green-Bows-Gift-Boxes.html' WHERE entity_type='custom' AND target_path=(SELECT CONCAT(url_path, '.html') FROM catalog_category_flat_store_1 WHERE entity_id=465);</v>
      </c>
    </row>
    <row r="620" spans="1:4" x14ac:dyDescent="0.25">
      <c r="A620">
        <f>categories!B620</f>
        <v>466</v>
      </c>
      <c r="B620" t="str">
        <f>SUBSTITUTE(SUBSTITUTE(categories!H620,"\","/"),"www.americanretailsupply.com/","")</f>
        <v>64709/226758/Decorative-Corrugated-Boxes/Burnished-Gold.html</v>
      </c>
      <c r="C620" t="str">
        <f t="shared" si="18"/>
        <v>INSERT INTO url_rewrite (entity_type, entity_id, redirect_type, store_id, request_path, target_path) VALUES ('custom', 0, 301, 1,'64709/226758/Decorative-Corrugated-Boxes/Burnished-Gold.html',(SELECT CONCAT(url_path, '.html') FROM catalog_category_flat_store_1 WHERE entity_id=466));</v>
      </c>
      <c r="D620" t="str">
        <f t="shared" si="19"/>
        <v>UPDATE url_rewrite SET request_path = '64709/226758/Decorative-Corrugated-Boxes/Burnished-Gold.html' WHERE entity_type='custom' AND target_path=(SELECT CONCAT(url_path, '.html') FROM catalog_category_flat_store_1 WHERE entity_id=466);</v>
      </c>
    </row>
    <row r="621" spans="1:4" x14ac:dyDescent="0.25">
      <c r="A621">
        <f>categories!B621</f>
        <v>467</v>
      </c>
      <c r="B621" t="str">
        <f>SUBSTITUTE(SUBSTITUTE(categories!H621,"\","/"),"www.americanretailsupply.com/","")</f>
        <v>64709/226769/Decorative-Corrugated-Boxes/Spruce-Green-Brushstroke-Gift-Boxes.html</v>
      </c>
      <c r="C621" t="str">
        <f t="shared" si="18"/>
        <v>INSERT INTO url_rewrite (entity_type, entity_id, redirect_type, store_id, request_path, target_path) VALUES ('custom', 0, 301, 1,'64709/226769/Decorative-Corrugated-Boxes/Spruce-Green-Brushstroke-Gift-Boxes.html',(SELECT CONCAT(url_path, '.html') FROM catalog_category_flat_store_1 WHERE entity_id=467));</v>
      </c>
      <c r="D621" t="str">
        <f t="shared" si="19"/>
        <v>UPDATE url_rewrite SET request_path = '64709/226769/Decorative-Corrugated-Boxes/Spruce-Green-Brushstroke-Gift-Boxes.html' WHERE entity_type='custom' AND target_path=(SELECT CONCAT(url_path, '.html') FROM catalog_category_flat_store_1 WHERE entity_id=467);</v>
      </c>
    </row>
    <row r="622" spans="1:4" x14ac:dyDescent="0.25">
      <c r="A622">
        <f>categories!B622</f>
        <v>468</v>
      </c>
      <c r="B622" t="str">
        <f>SUBSTITUTE(SUBSTITUTE(categories!H622,"\","/"),"www.americanretailsupply.com/","")</f>
        <v>64709/226770/Decorative-Corrugated-Boxes/Silver-Plated.html</v>
      </c>
      <c r="C622" t="str">
        <f t="shared" si="18"/>
        <v>INSERT INTO url_rewrite (entity_type, entity_id, redirect_type, store_id, request_path, target_path) VALUES ('custom', 0, 301, 1,'64709/226770/Decorative-Corrugated-Boxes/Silver-Plated.html',(SELECT CONCAT(url_path, '.html') FROM catalog_category_flat_store_1 WHERE entity_id=468));</v>
      </c>
      <c r="D622" t="str">
        <f t="shared" si="19"/>
        <v>UPDATE url_rewrite SET request_path = '64709/226770/Decorative-Corrugated-Boxes/Silver-Plated.html' WHERE entity_type='custom' AND target_path=(SELECT CONCAT(url_path, '.html') FROM catalog_category_flat_store_1 WHERE entity_id=468);</v>
      </c>
    </row>
    <row r="623" spans="1:4" x14ac:dyDescent="0.25">
      <c r="A623">
        <f>categories!B623</f>
        <v>469</v>
      </c>
      <c r="B623" t="str">
        <f>SUBSTITUTE(SUBSTITUTE(categories!H623,"\","/"),"www.americanretailsupply.com/","")</f>
        <v>64709/226776/Decorative-Corrugated-Boxes/Holstein.html</v>
      </c>
      <c r="C623" t="str">
        <f t="shared" si="18"/>
        <v>INSERT INTO url_rewrite (entity_type, entity_id, redirect_type, store_id, request_path, target_path) VALUES ('custom', 0, 301, 1,'64709/226776/Decorative-Corrugated-Boxes/Holstein.html',(SELECT CONCAT(url_path, '.html') FROM catalog_category_flat_store_1 WHERE entity_id=469));</v>
      </c>
      <c r="D623" t="str">
        <f t="shared" si="19"/>
        <v>UPDATE url_rewrite SET request_path = '64709/226776/Decorative-Corrugated-Boxes/Holstein.html' WHERE entity_type='custom' AND target_path=(SELECT CONCAT(url_path, '.html') FROM catalog_category_flat_store_1 WHERE entity_id=469);</v>
      </c>
    </row>
    <row r="624" spans="1:4" x14ac:dyDescent="0.25">
      <c r="A624">
        <f>categories!B624</f>
        <v>470</v>
      </c>
      <c r="B624" t="str">
        <f>SUBSTITUTE(SUBSTITUTE(categories!H624,"\","/"),"www.americanretailsupply.com/","")</f>
        <v>64709/226778/Decorative-Corrugated-Boxes/Kraft.html</v>
      </c>
      <c r="C624" t="str">
        <f t="shared" si="18"/>
        <v>INSERT INTO url_rewrite (entity_type, entity_id, redirect_type, store_id, request_path, target_path) VALUES ('custom', 0, 301, 1,'64709/226778/Decorative-Corrugated-Boxes/Kraft.html',(SELECT CONCAT(url_path, '.html') FROM catalog_category_flat_store_1 WHERE entity_id=470));</v>
      </c>
      <c r="D624" t="str">
        <f t="shared" si="19"/>
        <v>UPDATE url_rewrite SET request_path = '64709/226778/Decorative-Corrugated-Boxes/Kraft.html' WHERE entity_type='custom' AND target_path=(SELECT CONCAT(url_path, '.html') FROM catalog_category_flat_store_1 WHERE entity_id=470);</v>
      </c>
    </row>
    <row r="625" spans="1:4" x14ac:dyDescent="0.25">
      <c r="A625">
        <f>categories!B625</f>
        <v>471</v>
      </c>
      <c r="B625" t="str">
        <f>SUBSTITUTE(SUBSTITUTE(categories!H625,"\","/"),"www.americanretailsupply.com/","")</f>
        <v>64709/226780/Decorative-Corrugated-Boxes/White-Kraft.html</v>
      </c>
      <c r="C625" t="str">
        <f t="shared" si="18"/>
        <v>INSERT INTO url_rewrite (entity_type, entity_id, redirect_type, store_id, request_path, target_path) VALUES ('custom', 0, 301, 1,'64709/226780/Decorative-Corrugated-Boxes/White-Kraft.html',(SELECT CONCAT(url_path, '.html') FROM catalog_category_flat_store_1 WHERE entity_id=471));</v>
      </c>
      <c r="D625" t="str">
        <f t="shared" si="19"/>
        <v>UPDATE url_rewrite SET request_path = '64709/226780/Decorative-Corrugated-Boxes/White-Kraft.html' WHERE entity_type='custom' AND target_path=(SELECT CONCAT(url_path, '.html') FROM catalog_category_flat_store_1 WHERE entity_id=471);</v>
      </c>
    </row>
    <row r="626" spans="1:4" x14ac:dyDescent="0.25">
      <c r="A626">
        <f>categories!B626</f>
        <v>472</v>
      </c>
      <c r="B626" t="str">
        <f>SUBSTITUTE(SUBSTITUTE(categories!H626,"\","/"),"www.americanretailsupply.com/","")</f>
        <v>64709/226911/Decorative-Corrugated-Boxes/Hunter-Green-Kraft-Gift-Boxes.html</v>
      </c>
      <c r="C626" t="str">
        <f t="shared" si="18"/>
        <v>INSERT INTO url_rewrite (entity_type, entity_id, redirect_type, store_id, request_path, target_path) VALUES ('custom', 0, 301, 1,'64709/226911/Decorative-Corrugated-Boxes/Hunter-Green-Kraft-Gift-Boxes.html',(SELECT CONCAT(url_path, '.html') FROM catalog_category_flat_store_1 WHERE entity_id=472));</v>
      </c>
      <c r="D626" t="str">
        <f t="shared" si="19"/>
        <v>UPDATE url_rewrite SET request_path = '64709/226911/Decorative-Corrugated-Boxes/Hunter-Green-Kraft-Gift-Boxes.html' WHERE entity_type='custom' AND target_path=(SELECT CONCAT(url_path, '.html') FROM catalog_category_flat_store_1 WHERE entity_id=472);</v>
      </c>
    </row>
    <row r="627" spans="1:4" x14ac:dyDescent="0.25">
      <c r="A627">
        <f>categories!B627</f>
        <v>473</v>
      </c>
      <c r="B627" t="str">
        <f>SUBSTITUTE(SUBSTITUTE(categories!H627,"\","/"),"www.americanretailsupply.com/","")</f>
        <v>64709/226912/Decorative-Corrugated-Boxes/Black-Kraft-Boxes.html</v>
      </c>
      <c r="C627" t="str">
        <f t="shared" si="18"/>
        <v>INSERT INTO url_rewrite (entity_type, entity_id, redirect_type, store_id, request_path, target_path) VALUES ('custom', 0, 301, 1,'64709/226912/Decorative-Corrugated-Boxes/Black-Kraft-Boxes.html',(SELECT CONCAT(url_path, '.html') FROM catalog_category_flat_store_1 WHERE entity_id=473));</v>
      </c>
      <c r="D627" t="str">
        <f t="shared" si="19"/>
        <v>UPDATE url_rewrite SET request_path = '64709/226912/Decorative-Corrugated-Boxes/Black-Kraft-Boxes.html' WHERE entity_type='custom' AND target_path=(SELECT CONCAT(url_path, '.html') FROM catalog_category_flat_store_1 WHERE entity_id=473);</v>
      </c>
    </row>
    <row r="628" spans="1:4" x14ac:dyDescent="0.25">
      <c r="A628">
        <f>categories!B628</f>
        <v>474</v>
      </c>
      <c r="B628" t="str">
        <f>SUBSTITUTE(SUBSTITUTE(categories!H628,"\","/"),"www.americanretailsupply.com/","")</f>
        <v>64709/437364/Decorative-Corrugated-Boxes/Chocolate.html</v>
      </c>
      <c r="C628" t="str">
        <f t="shared" si="18"/>
        <v>INSERT INTO url_rewrite (entity_type, entity_id, redirect_type, store_id, request_path, target_path) VALUES ('custom', 0, 301, 1,'64709/437364/Decorative-Corrugated-Boxes/Chocolate.html',(SELECT CONCAT(url_path, '.html') FROM catalog_category_flat_store_1 WHERE entity_id=474));</v>
      </c>
      <c r="D628" t="str">
        <f t="shared" si="19"/>
        <v>UPDATE url_rewrite SET request_path = '64709/437364/Decorative-Corrugated-Boxes/Chocolate.html' WHERE entity_type='custom' AND target_path=(SELECT CONCAT(url_path, '.html') FROM catalog_category_flat_store_1 WHERE entity_id=474);</v>
      </c>
    </row>
    <row r="629" spans="1:4" x14ac:dyDescent="0.25">
      <c r="A629">
        <f>categories!B629</f>
        <v>475</v>
      </c>
      <c r="B629" t="str">
        <f>SUBSTITUTE(SUBSTITUTE(categories!H629,"\","/"),"www.americanretailsupply.com/","")</f>
        <v>64709/476533/Decorative-Corrugated-Boxes/White-Pine.html</v>
      </c>
      <c r="C629" t="str">
        <f t="shared" si="18"/>
        <v>INSERT INTO url_rewrite (entity_type, entity_id, redirect_type, store_id, request_path, target_path) VALUES ('custom', 0, 301, 1,'64709/476533/Decorative-Corrugated-Boxes/White-Pine.html',(SELECT CONCAT(url_path, '.html') FROM catalog_category_flat_store_1 WHERE entity_id=475));</v>
      </c>
      <c r="D629" t="str">
        <f t="shared" si="19"/>
        <v>UPDATE url_rewrite SET request_path = '64709/476533/Decorative-Corrugated-Boxes/White-Pine.html' WHERE entity_type='custom' AND target_path=(SELECT CONCAT(url_path, '.html') FROM catalog_category_flat_store_1 WHERE entity_id=475);</v>
      </c>
    </row>
    <row r="630" spans="1:4" x14ac:dyDescent="0.25">
      <c r="A630">
        <f>categories!B630</f>
        <v>476</v>
      </c>
      <c r="B630" t="str">
        <f>SUBSTITUTE(SUBSTITUTE(categories!H630,"\","/"),"www.americanretailsupply.com/","")</f>
        <v>64709/476534/Decorative-Corrugated-Boxes/Damask-Black--White.html</v>
      </c>
      <c r="C630" t="str">
        <f t="shared" si="18"/>
        <v>INSERT INTO url_rewrite (entity_type, entity_id, redirect_type, store_id, request_path, target_path) VALUES ('custom', 0, 301, 1,'64709/476534/Decorative-Corrugated-Boxes/Damask-Black--White.html',(SELECT CONCAT(url_path, '.html') FROM catalog_category_flat_store_1 WHERE entity_id=476));</v>
      </c>
      <c r="D630" t="str">
        <f t="shared" si="19"/>
        <v>UPDATE url_rewrite SET request_path = '64709/476534/Decorative-Corrugated-Boxes/Damask-Black--White.html' WHERE entity_type='custom' AND target_path=(SELECT CONCAT(url_path, '.html') FROM catalog_category_flat_store_1 WHERE entity_id=476);</v>
      </c>
    </row>
    <row r="631" spans="1:4" x14ac:dyDescent="0.25">
      <c r="A631">
        <f>categories!B631</f>
        <v>477</v>
      </c>
      <c r="B631" t="str">
        <f>SUBSTITUTE(SUBSTITUTE(categories!H631,"\","/"),"www.americanretailsupply.com/","")</f>
        <v>64709/732233/Decorative-Corrugated-Boxes/Inserts-and-Dividers.html</v>
      </c>
      <c r="C631" t="str">
        <f t="shared" si="18"/>
        <v>INSERT INTO url_rewrite (entity_type, entity_id, redirect_type, store_id, request_path, target_path) VALUES ('custom', 0, 301, 1,'64709/732233/Decorative-Corrugated-Boxes/Inserts-and-Dividers.html',(SELECT CONCAT(url_path, '.html') FROM catalog_category_flat_store_1 WHERE entity_id=477));</v>
      </c>
      <c r="D631" t="str">
        <f t="shared" si="19"/>
        <v>UPDATE url_rewrite SET request_path = '64709/732233/Decorative-Corrugated-Boxes/Inserts-and-Dividers.html' WHERE entity_type='custom' AND target_path=(SELECT CONCAT(url_path, '.html') FROM catalog_category_flat_store_1 WHERE entity_id=477);</v>
      </c>
    </row>
    <row r="632" spans="1:4" x14ac:dyDescent="0.25">
      <c r="A632">
        <f>categories!B632</f>
        <v>478</v>
      </c>
      <c r="B632" t="str">
        <f>SUBSTITUTE(SUBSTITUTE(categories!H632,"\","/"),"www.americanretailsupply.com/","")</f>
        <v>64709/734396/Decorative-Corrugated-Boxes/Stripes.html</v>
      </c>
      <c r="C632" t="str">
        <f t="shared" si="18"/>
        <v>INSERT INTO url_rewrite (entity_type, entity_id, redirect_type, store_id, request_path, target_path) VALUES ('custom', 0, 301, 1,'64709/734396/Decorative-Corrugated-Boxes/Stripes.html',(SELECT CONCAT(url_path, '.html') FROM catalog_category_flat_store_1 WHERE entity_id=478));</v>
      </c>
      <c r="D632" t="str">
        <f t="shared" si="19"/>
        <v>UPDATE url_rewrite SET request_path = '64709/734396/Decorative-Corrugated-Boxes/Stripes.html' WHERE entity_type='custom' AND target_path=(SELECT CONCAT(url_path, '.html') FROM catalog_category_flat_store_1 WHERE entity_id=478);</v>
      </c>
    </row>
    <row r="633" spans="1:4" x14ac:dyDescent="0.25">
      <c r="A633">
        <f>categories!B633</f>
        <v>479</v>
      </c>
      <c r="B633" t="str">
        <f>SUBSTITUTE(SUBSTITUTE(categories!H633,"\","/"),"www.americanretailsupply.com/","")</f>
        <v>64709/734550/Decorative-Corrugated-Boxes/Poinsettia.html</v>
      </c>
      <c r="C633" t="str">
        <f t="shared" si="18"/>
        <v>INSERT INTO url_rewrite (entity_type, entity_id, redirect_type, store_id, request_path, target_path) VALUES ('custom', 0, 301, 1,'64709/734550/Decorative-Corrugated-Boxes/Poinsettia.html',(SELECT CONCAT(url_path, '.html') FROM catalog_category_flat_store_1 WHERE entity_id=479));</v>
      </c>
      <c r="D633" t="str">
        <f t="shared" si="19"/>
        <v>UPDATE url_rewrite SET request_path = '64709/734550/Decorative-Corrugated-Boxes/Poinsettia.html' WHERE entity_type='custom' AND target_path=(SELECT CONCAT(url_path, '.html') FROM catalog_category_flat_store_1 WHERE entity_id=479);</v>
      </c>
    </row>
    <row r="634" spans="1:4" x14ac:dyDescent="0.25">
      <c r="A634">
        <f>categories!B634</f>
        <v>480</v>
      </c>
      <c r="B634" t="str">
        <f>SUBSTITUTE(SUBSTITUTE(categories!H634,"\","/"),"www.americanretailsupply.com/","")</f>
        <v>64709/782111/Decorative-Corrugated-Boxes/Brilliant-Stripe.html</v>
      </c>
      <c r="C634" t="str">
        <f t="shared" si="18"/>
        <v>INSERT INTO url_rewrite (entity_type, entity_id, redirect_type, store_id, request_path, target_path) VALUES ('custom', 0, 301, 1,'64709/782111/Decorative-Corrugated-Boxes/Brilliant-Stripe.html',(SELECT CONCAT(url_path, '.html') FROM catalog_category_flat_store_1 WHERE entity_id=480));</v>
      </c>
      <c r="D634" t="str">
        <f t="shared" si="19"/>
        <v>UPDATE url_rewrite SET request_path = '64709/782111/Decorative-Corrugated-Boxes/Brilliant-Stripe.html' WHERE entity_type='custom' AND target_path=(SELECT CONCAT(url_path, '.html') FROM catalog_category_flat_store_1 WHERE entity_id=480);</v>
      </c>
    </row>
    <row r="635" spans="1:4" x14ac:dyDescent="0.25">
      <c r="A635">
        <f>categories!B635</f>
        <v>481</v>
      </c>
      <c r="B635" t="str">
        <f>SUBSTITUTE(SUBSTITUTE(categories!H635,"\","/"),"www.americanretailsupply.com/","")</f>
        <v>64709/782112/Decorative-Corrugated-Boxes/Bright-Solids.html</v>
      </c>
      <c r="C635" t="str">
        <f t="shared" si="18"/>
        <v>INSERT INTO url_rewrite (entity_type, entity_id, redirect_type, store_id, request_path, target_path) VALUES ('custom', 0, 301, 1,'64709/782112/Decorative-Corrugated-Boxes/Bright-Solids.html',(SELECT CONCAT(url_path, '.html') FROM catalog_category_flat_store_1 WHERE entity_id=481));</v>
      </c>
      <c r="D635" t="str">
        <f t="shared" si="19"/>
        <v>UPDATE url_rewrite SET request_path = '64709/782112/Decorative-Corrugated-Boxes/Bright-Solids.html' WHERE entity_type='custom' AND target_path=(SELECT CONCAT(url_path, '.html') FROM catalog_category_flat_store_1 WHERE entity_id=481);</v>
      </c>
    </row>
    <row r="636" spans="1:4" x14ac:dyDescent="0.25">
      <c r="A636">
        <f>categories!B636</f>
        <v>482</v>
      </c>
      <c r="B636" t="str">
        <f>SUBSTITUTE(SUBSTITUTE(categories!H636,"\","/"),"www.americanretailsupply.com/","")</f>
        <v>64709/782114/Decorative-Corrugated-Boxes/Streaming-Lights.html</v>
      </c>
      <c r="C636" t="str">
        <f t="shared" si="18"/>
        <v>INSERT INTO url_rewrite (entity_type, entity_id, redirect_type, store_id, request_path, target_path) VALUES ('custom', 0, 301, 1,'64709/782114/Decorative-Corrugated-Boxes/Streaming-Lights.html',(SELECT CONCAT(url_path, '.html') FROM catalog_category_flat_store_1 WHERE entity_id=482));</v>
      </c>
      <c r="D636" t="str">
        <f t="shared" si="19"/>
        <v>UPDATE url_rewrite SET request_path = '64709/782114/Decorative-Corrugated-Boxes/Streaming-Lights.html' WHERE entity_type='custom' AND target_path=(SELECT CONCAT(url_path, '.html') FROM catalog_category_flat_store_1 WHERE entity_id=482);</v>
      </c>
    </row>
    <row r="637" spans="1:4" x14ac:dyDescent="0.25">
      <c r="A637">
        <f>categories!B637</f>
        <v>484</v>
      </c>
      <c r="B637" t="str">
        <f>SUBSTITUTE(SUBSTITUTE(categories!H637,"\","/"),"www.americanretailsupply.com/","")</f>
        <v>65753/787808/Decorative-Holiday-Packaging/Presents-Please-Collection.html</v>
      </c>
      <c r="C637" t="str">
        <f t="shared" si="18"/>
        <v>INSERT INTO url_rewrite (entity_type, entity_id, redirect_type, store_id, request_path, target_path) VALUES ('custom', 0, 301, 1,'65753/787808/Decorative-Holiday-Packaging/Presents-Please-Collection.html',(SELECT CONCAT(url_path, '.html') FROM catalog_category_flat_store_1 WHERE entity_id=484));</v>
      </c>
      <c r="D637" t="str">
        <f t="shared" si="19"/>
        <v>UPDATE url_rewrite SET request_path = '65753/787808/Decorative-Holiday-Packaging/Presents-Please-Collection.html' WHERE entity_type='custom' AND target_path=(SELECT CONCAT(url_path, '.html') FROM catalog_category_flat_store_1 WHERE entity_id=484);</v>
      </c>
    </row>
    <row r="638" spans="1:4" x14ac:dyDescent="0.25">
      <c r="A638">
        <f>categories!B638</f>
        <v>485</v>
      </c>
      <c r="B638" t="str">
        <f>SUBSTITUTE(SUBSTITUTE(categories!H638,"\","/"),"www.americanretailsupply.com/","")</f>
        <v>65753/787809/Decorative-Holiday-Packaging/Sophie-Holiday-Greeting--Ornaments.html</v>
      </c>
      <c r="C638" t="str">
        <f t="shared" si="18"/>
        <v>INSERT INTO url_rewrite (entity_type, entity_id, redirect_type, store_id, request_path, target_path) VALUES ('custom', 0, 301, 1,'65753/787809/Decorative-Holiday-Packaging/Sophie-Holiday-Greeting--Ornaments.html',(SELECT CONCAT(url_path, '.html') FROM catalog_category_flat_store_1 WHERE entity_id=485));</v>
      </c>
      <c r="D638" t="str">
        <f t="shared" si="19"/>
        <v>UPDATE url_rewrite SET request_path = '65753/787809/Decorative-Holiday-Packaging/Sophie-Holiday-Greeting--Ornaments.html' WHERE entity_type='custom' AND target_path=(SELECT CONCAT(url_path, '.html') FROM catalog_category_flat_store_1 WHERE entity_id=485);</v>
      </c>
    </row>
    <row r="639" spans="1:4" x14ac:dyDescent="0.25">
      <c r="A639">
        <f>categories!B639</f>
        <v>486</v>
      </c>
      <c r="B639" t="str">
        <f>SUBSTITUTE(SUBSTITUTE(categories!H639,"\","/"),"www.americanretailsupply.com/","")</f>
        <v>65753/787810/Decorative-Holiday-Packaging/Retro-Gift-Collection.html</v>
      </c>
      <c r="C639" t="str">
        <f t="shared" si="18"/>
        <v>INSERT INTO url_rewrite (entity_type, entity_id, redirect_type, store_id, request_path, target_path) VALUES ('custom', 0, 301, 1,'65753/787810/Decorative-Holiday-Packaging/Retro-Gift-Collection.html',(SELECT CONCAT(url_path, '.html') FROM catalog_category_flat_store_1 WHERE entity_id=486));</v>
      </c>
      <c r="D639" t="str">
        <f t="shared" si="19"/>
        <v>UPDATE url_rewrite SET request_path = '65753/787810/Decorative-Holiday-Packaging/Retro-Gift-Collection.html' WHERE entity_type='custom' AND target_path=(SELECT CONCAT(url_path, '.html') FROM catalog_category_flat_store_1 WHERE entity_id=486);</v>
      </c>
    </row>
    <row r="640" spans="1:4" x14ac:dyDescent="0.25">
      <c r="A640">
        <f>categories!B640</f>
        <v>487</v>
      </c>
      <c r="B640" t="str">
        <f>SUBSTITUTE(SUBSTITUTE(categories!H640,"\","/"),"www.americanretailsupply.com/","")</f>
        <v>65753/787812/Decorative-Holiday-Packaging/Poinsettia-Collection.html</v>
      </c>
      <c r="C640" t="str">
        <f t="shared" si="18"/>
        <v>INSERT INTO url_rewrite (entity_type, entity_id, redirect_type, store_id, request_path, target_path) VALUES ('custom', 0, 301, 1,'65753/787812/Decorative-Holiday-Packaging/Poinsettia-Collection.html',(SELECT CONCAT(url_path, '.html') FROM catalog_category_flat_store_1 WHERE entity_id=487));</v>
      </c>
      <c r="D640" t="str">
        <f t="shared" si="19"/>
        <v>UPDATE url_rewrite SET request_path = '65753/787812/Decorative-Holiday-Packaging/Poinsettia-Collection.html' WHERE entity_type='custom' AND target_path=(SELECT CONCAT(url_path, '.html') FROM catalog_category_flat_store_1 WHERE entity_id=487);</v>
      </c>
    </row>
    <row r="641" spans="1:4" x14ac:dyDescent="0.25">
      <c r="A641">
        <f>categories!B641</f>
        <v>488</v>
      </c>
      <c r="B641" t="str">
        <f>SUBSTITUTE(SUBSTITUTE(categories!H641,"\","/"),"www.americanretailsupply.com/","")</f>
        <v>65753/787813/Decorative-Holiday-Packaging/Nicolas-Collection.html</v>
      </c>
      <c r="C641" t="str">
        <f t="shared" si="18"/>
        <v>INSERT INTO url_rewrite (entity_type, entity_id, redirect_type, store_id, request_path, target_path) VALUES ('custom', 0, 301, 1,'65753/787813/Decorative-Holiday-Packaging/Nicolas-Collection.html',(SELECT CONCAT(url_path, '.html') FROM catalog_category_flat_store_1 WHERE entity_id=488));</v>
      </c>
      <c r="D641" t="str">
        <f t="shared" si="19"/>
        <v>UPDATE url_rewrite SET request_path = '65753/787813/Decorative-Holiday-Packaging/Nicolas-Collection.html' WHERE entity_type='custom' AND target_path=(SELECT CONCAT(url_path, '.html') FROM catalog_category_flat_store_1 WHERE entity_id=488);</v>
      </c>
    </row>
    <row r="642" spans="1:4" x14ac:dyDescent="0.25">
      <c r="A642">
        <f>categories!B642</f>
        <v>489</v>
      </c>
      <c r="B642" t="str">
        <f>SUBSTITUTE(SUBSTITUTE(categories!H642,"\","/"),"www.americanretailsupply.com/","")</f>
        <v>65753/787814/Decorative-Holiday-Packaging/Shimmering-Snowflake-Collection.html</v>
      </c>
      <c r="C642" t="str">
        <f t="shared" si="18"/>
        <v>INSERT INTO url_rewrite (entity_type, entity_id, redirect_type, store_id, request_path, target_path) VALUES ('custom', 0, 301, 1,'65753/787814/Decorative-Holiday-Packaging/Shimmering-Snowflake-Collection.html',(SELECT CONCAT(url_path, '.html') FROM catalog_category_flat_store_1 WHERE entity_id=489));</v>
      </c>
      <c r="D642" t="str">
        <f t="shared" si="19"/>
        <v>UPDATE url_rewrite SET request_path = '65753/787814/Decorative-Holiday-Packaging/Shimmering-Snowflake-Collection.html' WHERE entity_type='custom' AND target_path=(SELECT CONCAT(url_path, '.html') FROM catalog_category_flat_store_1 WHERE entity_id=489);</v>
      </c>
    </row>
    <row r="643" spans="1:4" x14ac:dyDescent="0.25">
      <c r="A643">
        <f>categories!B643</f>
        <v>490</v>
      </c>
      <c r="B643" t="str">
        <f>SUBSTITUTE(SUBSTITUTE(categories!H643,"\","/"),"www.americanretailsupply.com/","")</f>
        <v>65753/787815/Decorative-Holiday-Packaging/Winter-City-Collection.html</v>
      </c>
      <c r="C643" t="str">
        <f t="shared" ref="C643:C706" si="20">"INSERT INTO url_rewrite (entity_type, entity_id, redirect_type, store_id, request_path, target_path) VALUES ('custom', 0, 301, 1,'"&amp;B643&amp;"',(SELECT CONCAT(url_path, '.html') FROM catalog_category_flat_store_1 WHERE entity_id="&amp;A643&amp;"));"</f>
        <v>INSERT INTO url_rewrite (entity_type, entity_id, redirect_type, store_id, request_path, target_path) VALUES ('custom', 0, 301, 1,'65753/787815/Decorative-Holiday-Packaging/Winter-City-Collection.html',(SELECT CONCAT(url_path, '.html') FROM catalog_category_flat_store_1 WHERE entity_id=490));</v>
      </c>
      <c r="D643" t="str">
        <f t="shared" ref="D643:D706" si="21">"UPDATE url_rewrite SET request_path = '"&amp;B643&amp;"' WHERE entity_type='custom' AND target_path=(SELECT CONCAT(url_path, '.html') FROM catalog_category_flat_store_1 WHERE entity_id="&amp;A643&amp;");"</f>
        <v>UPDATE url_rewrite SET request_path = '65753/787815/Decorative-Holiday-Packaging/Winter-City-Collection.html' WHERE entity_type='custom' AND target_path=(SELECT CONCAT(url_path, '.html') FROM catalog_category_flat_store_1 WHERE entity_id=490);</v>
      </c>
    </row>
    <row r="644" spans="1:4" x14ac:dyDescent="0.25">
      <c r="A644">
        <f>categories!B644</f>
        <v>492</v>
      </c>
      <c r="B644" t="str">
        <f>SUBSTITUTE(SUBSTITUTE(categories!H644,"\","/"),"www.americanretailsupply.com/","")</f>
        <v>64715/172944/E--Flute-Decorative-Boxes/Solid-Bags.html</v>
      </c>
      <c r="C644" t="str">
        <f t="shared" si="20"/>
        <v>INSERT INTO url_rewrite (entity_type, entity_id, redirect_type, store_id, request_path, target_path) VALUES ('custom', 0, 301, 1,'64715/172944/E--Flute-Decorative-Boxes/Solid-Bags.html',(SELECT CONCAT(url_path, '.html') FROM catalog_category_flat_store_1 WHERE entity_id=492));</v>
      </c>
      <c r="D644" t="str">
        <f t="shared" si="21"/>
        <v>UPDATE url_rewrite SET request_path = '64715/172944/E--Flute-Decorative-Boxes/Solid-Bags.html' WHERE entity_type='custom' AND target_path=(SELECT CONCAT(url_path, '.html') FROM catalog_category_flat_store_1 WHERE entity_id=492);</v>
      </c>
    </row>
    <row r="645" spans="1:4" x14ac:dyDescent="0.25">
      <c r="A645">
        <f>categories!B645</f>
        <v>493</v>
      </c>
      <c r="B645" t="str">
        <f>SUBSTITUTE(SUBSTITUTE(categories!H645,"\","/"),"www.americanretailsupply.com/","")</f>
        <v>64715/172946/E--Flute-Decorative-Boxes/Heart-Window-Bag.html</v>
      </c>
      <c r="C645" t="str">
        <f t="shared" si="20"/>
        <v>INSERT INTO url_rewrite (entity_type, entity_id, redirect_type, store_id, request_path, target_path) VALUES ('custom', 0, 301, 1,'64715/172946/E--Flute-Decorative-Boxes/Heart-Window-Bag.html',(SELECT CONCAT(url_path, '.html') FROM catalog_category_flat_store_1 WHERE entity_id=493));</v>
      </c>
      <c r="D645" t="str">
        <f t="shared" si="21"/>
        <v>UPDATE url_rewrite SET request_path = '64715/172946/E--Flute-Decorative-Boxes/Heart-Window-Bag.html' WHERE entity_type='custom' AND target_path=(SELECT CONCAT(url_path, '.html') FROM catalog_category_flat_store_1 WHERE entity_id=493);</v>
      </c>
    </row>
    <row r="646" spans="1:4" x14ac:dyDescent="0.25">
      <c r="A646">
        <f>categories!B646</f>
        <v>494</v>
      </c>
      <c r="B646" t="str">
        <f>SUBSTITUTE(SUBSTITUTE(categories!H646,"\","/"),"www.americanretailsupply.com/","")</f>
        <v>64715/172947/E--Flute-Decorative-Boxes/Bunny-Window-Bag.html</v>
      </c>
      <c r="C646" t="str">
        <f t="shared" si="20"/>
        <v>INSERT INTO url_rewrite (entity_type, entity_id, redirect_type, store_id, request_path, target_path) VALUES ('custom', 0, 301, 1,'64715/172947/E--Flute-Decorative-Boxes/Bunny-Window-Bag.html',(SELECT CONCAT(url_path, '.html') FROM catalog_category_flat_store_1 WHERE entity_id=494));</v>
      </c>
      <c r="D646" t="str">
        <f t="shared" si="21"/>
        <v>UPDATE url_rewrite SET request_path = '64715/172947/E--Flute-Decorative-Boxes/Bunny-Window-Bag.html' WHERE entity_type='custom' AND target_path=(SELECT CONCAT(url_path, '.html') FROM catalog_category_flat_store_1 WHERE entity_id=494);</v>
      </c>
    </row>
    <row r="647" spans="1:4" x14ac:dyDescent="0.25">
      <c r="A647">
        <f>categories!B647</f>
        <v>495</v>
      </c>
      <c r="B647" t="str">
        <f>SUBSTITUTE(SUBSTITUTE(categories!H647,"\","/"),"www.americanretailsupply.com/","")</f>
        <v>64715/227247/E--Flute-Decorative-Boxes/Diamond-Window-Bag.html</v>
      </c>
      <c r="C647" t="str">
        <f t="shared" si="20"/>
        <v>INSERT INTO url_rewrite (entity_type, entity_id, redirect_type, store_id, request_path, target_path) VALUES ('custom', 0, 301, 1,'64715/227247/E--Flute-Decorative-Boxes/Diamond-Window-Bag.html',(SELECT CONCAT(url_path, '.html') FROM catalog_category_flat_store_1 WHERE entity_id=495));</v>
      </c>
      <c r="D647" t="str">
        <f t="shared" si="21"/>
        <v>UPDATE url_rewrite SET request_path = '64715/227247/E--Flute-Decorative-Boxes/Diamond-Window-Bag.html' WHERE entity_type='custom' AND target_path=(SELECT CONCAT(url_path, '.html') FROM catalog_category_flat_store_1 WHERE entity_id=495);</v>
      </c>
    </row>
    <row r="648" spans="1:4" x14ac:dyDescent="0.25">
      <c r="A648">
        <f>categories!B648</f>
        <v>496</v>
      </c>
      <c r="B648" t="str">
        <f>SUBSTITUTE(SUBSTITUTE(categories!H648,"\","/"),"www.americanretailsupply.com/","")</f>
        <v>64715/227248/E--Flute-Decorative-Boxes/Star-Window-Bag.html</v>
      </c>
      <c r="C648" t="str">
        <f t="shared" si="20"/>
        <v>INSERT INTO url_rewrite (entity_type, entity_id, redirect_type, store_id, request_path, target_path) VALUES ('custom', 0, 301, 1,'64715/227248/E--Flute-Decorative-Boxes/Star-Window-Bag.html',(SELECT CONCAT(url_path, '.html') FROM catalog_category_flat_store_1 WHERE entity_id=496));</v>
      </c>
      <c r="D648" t="str">
        <f t="shared" si="21"/>
        <v>UPDATE url_rewrite SET request_path = '64715/227248/E--Flute-Decorative-Boxes/Star-Window-Bag.html' WHERE entity_type='custom' AND target_path=(SELECT CONCAT(url_path, '.html') FROM catalog_category_flat_store_1 WHERE entity_id=496);</v>
      </c>
    </row>
    <row r="649" spans="1:4" x14ac:dyDescent="0.25">
      <c r="A649">
        <f>categories!B649</f>
        <v>497</v>
      </c>
      <c r="B649" t="str">
        <f>SUBSTITUTE(SUBSTITUTE(categories!H649,"\","/"),"www.americanretailsupply.com/","")</f>
        <v>64715/227249/E--Flute-Decorative-Boxes/Tree-Window-Bag.html</v>
      </c>
      <c r="C649" t="str">
        <f t="shared" si="20"/>
        <v>INSERT INTO url_rewrite (entity_type, entity_id, redirect_type, store_id, request_path, target_path) VALUES ('custom', 0, 301, 1,'64715/227249/E--Flute-Decorative-Boxes/Tree-Window-Bag.html',(SELECT CONCAT(url_path, '.html') FROM catalog_category_flat_store_1 WHERE entity_id=497));</v>
      </c>
      <c r="D649" t="str">
        <f t="shared" si="21"/>
        <v>UPDATE url_rewrite SET request_path = '64715/227249/E--Flute-Decorative-Boxes/Tree-Window-Bag.html' WHERE entity_type='custom' AND target_path=(SELECT CONCAT(url_path, '.html') FROM catalog_category_flat_store_1 WHERE entity_id=497);</v>
      </c>
    </row>
    <row r="650" spans="1:4" x14ac:dyDescent="0.25">
      <c r="A650">
        <f>categories!B650</f>
        <v>500</v>
      </c>
      <c r="B650" t="str">
        <f>SUBSTITUTE(SUBSTITUTE(categories!H650,"\","/"),"www.americanretailsupply.com/","")</f>
        <v>64895/228942/EAS-Electronic-Article-Surveillance/EAS-Labels.html</v>
      </c>
      <c r="C650" t="str">
        <f t="shared" si="20"/>
        <v>INSERT INTO url_rewrite (entity_type, entity_id, redirect_type, store_id, request_path, target_path) VALUES ('custom', 0, 301, 1,'64895/228942/EAS-Electronic-Article-Surveillance/EAS-Labels.html',(SELECT CONCAT(url_path, '.html') FROM catalog_category_flat_store_1 WHERE entity_id=500));</v>
      </c>
      <c r="D650" t="str">
        <f t="shared" si="21"/>
        <v>UPDATE url_rewrite SET request_path = '64895/228942/EAS-Electronic-Article-Surveillance/EAS-Labels.html' WHERE entity_type='custom' AND target_path=(SELECT CONCAT(url_path, '.html') FROM catalog_category_flat_store_1 WHERE entity_id=500);</v>
      </c>
    </row>
    <row r="651" spans="1:4" x14ac:dyDescent="0.25">
      <c r="A651">
        <f>categories!B651</f>
        <v>501</v>
      </c>
      <c r="B651" t="str">
        <f>SUBSTITUTE(SUBSTITUTE(categories!H651,"\","/"),"www.americanretailsupply.com/","")</f>
        <v>64895/228943/EAS-Electronic-Article-Surveillance/EAS-Hard-Tags.html</v>
      </c>
      <c r="C651" t="str">
        <f t="shared" si="20"/>
        <v>INSERT INTO url_rewrite (entity_type, entity_id, redirect_type, store_id, request_path, target_path) VALUES ('custom', 0, 301, 1,'64895/228943/EAS-Electronic-Article-Surveillance/EAS-Hard-Tags.html',(SELECT CONCAT(url_path, '.html') FROM catalog_category_flat_store_1 WHERE entity_id=501));</v>
      </c>
      <c r="D651" t="str">
        <f t="shared" si="21"/>
        <v>UPDATE url_rewrite SET request_path = '64895/228943/EAS-Electronic-Article-Surveillance/EAS-Hard-Tags.html' WHERE entity_type='custom' AND target_path=(SELECT CONCAT(url_path, '.html') FROM catalog_category_flat_store_1 WHERE entity_id=501);</v>
      </c>
    </row>
    <row r="652" spans="1:4" x14ac:dyDescent="0.25">
      <c r="A652">
        <f>categories!B652</f>
        <v>503</v>
      </c>
      <c r="B652" t="str">
        <f>SUBSTITUTE(SUBSTITUTE(categories!H652,"\","/"),"www.americanretailsupply.com/","")</f>
        <v>66198/20276/Eco-Friendly-Plastic-Bags/Patch-Handle-Plastic-Merchandise-Bags.html</v>
      </c>
      <c r="C652" t="str">
        <f t="shared" si="20"/>
        <v>INSERT INTO url_rewrite (entity_type, entity_id, redirect_type, store_id, request_path, target_path) VALUES ('custom', 0, 301, 1,'66198/20276/Eco-Friendly-Plastic-Bags/Patch-Handle-Plastic-Merchandise-Bags.html',(SELECT CONCAT(url_path, '.html') FROM catalog_category_flat_store_1 WHERE entity_id=503));</v>
      </c>
      <c r="D652" t="str">
        <f t="shared" si="21"/>
        <v>UPDATE url_rewrite SET request_path = '66198/20276/Eco-Friendly-Plastic-Bags/Patch-Handle-Plastic-Merchandise-Bags.html' WHERE entity_type='custom' AND target_path=(SELECT CONCAT(url_path, '.html') FROM catalog_category_flat_store_1 WHERE entity_id=503);</v>
      </c>
    </row>
    <row r="653" spans="1:4" x14ac:dyDescent="0.25">
      <c r="A653">
        <f>categories!B653</f>
        <v>504</v>
      </c>
      <c r="B653" t="str">
        <f>SUBSTITUTE(SUBSTITUTE(categories!H653,"\","/"),"www.americanretailsupply.com/","")</f>
        <v>66198/49187/Eco-Friendly-Plastic-Bags/Frosted-SOS-Gift-Bags.html</v>
      </c>
      <c r="C653" t="str">
        <f t="shared" si="20"/>
        <v>INSERT INTO url_rewrite (entity_type, entity_id, redirect_type, store_id, request_path, target_path) VALUES ('custom', 0, 301, 1,'66198/49187/Eco-Friendly-Plastic-Bags/Frosted-SOS-Gift-Bags.html',(SELECT CONCAT(url_path, '.html') FROM catalog_category_flat_store_1 WHERE entity_id=504));</v>
      </c>
      <c r="D653" t="str">
        <f t="shared" si="21"/>
        <v>UPDATE url_rewrite SET request_path = '66198/49187/Eco-Friendly-Plastic-Bags/Frosted-SOS-Gift-Bags.html' WHERE entity_type='custom' AND target_path=(SELECT CONCAT(url_path, '.html') FROM catalog_category_flat_store_1 WHERE entity_id=504);</v>
      </c>
    </row>
    <row r="654" spans="1:4" x14ac:dyDescent="0.25">
      <c r="A654">
        <f>categories!B654</f>
        <v>505</v>
      </c>
      <c r="B654" t="str">
        <f>SUBSTITUTE(SUBSTITUTE(categories!H654,"\","/"),"www.americanretailsupply.com/","")</f>
        <v>66198/50114/Eco-Friendly-Plastic-Bags/Frosted-Shoppers-with-Tri-Folded-Loop-Handles.html</v>
      </c>
      <c r="C654" t="str">
        <f t="shared" si="20"/>
        <v>INSERT INTO url_rewrite (entity_type, entity_id, redirect_type, store_id, request_path, target_path) VALUES ('custom', 0, 301, 1,'66198/50114/Eco-Friendly-Plastic-Bags/Frosted-Shoppers-with-Tri-Folded-Loop-Handles.html',(SELECT CONCAT(url_path, '.html') FROM catalog_category_flat_store_1 WHERE entity_id=505));</v>
      </c>
      <c r="D654" t="str">
        <f t="shared" si="21"/>
        <v>UPDATE url_rewrite SET request_path = '66198/50114/Eco-Friendly-Plastic-Bags/Frosted-Shoppers-with-Tri-Folded-Loop-Handles.html' WHERE entity_type='custom' AND target_path=(SELECT CONCAT(url_path, '.html') FROM catalog_category_flat_store_1 WHERE entity_id=505);</v>
      </c>
    </row>
    <row r="655" spans="1:4" x14ac:dyDescent="0.25">
      <c r="A655">
        <f>categories!B655</f>
        <v>507</v>
      </c>
      <c r="B655" t="str">
        <f>SUBSTITUTE(SUBSTITUTE(categories!H655,"\","/"),"www.americanretailsupply.com/","")</f>
        <v>66199/437246/Eco-Friendly-Recycled-Paper-Bags/Recycled-Natural-Kraft-Paper-Shopping-Bags.html</v>
      </c>
      <c r="C655" t="str">
        <f t="shared" si="20"/>
        <v>INSERT INTO url_rewrite (entity_type, entity_id, redirect_type, store_id, request_path, target_path) VALUES ('custom', 0, 301, 1,'66199/437246/Eco-Friendly-Recycled-Paper-Bags/Recycled-Natural-Kraft-Paper-Shopping-Bags.html',(SELECT CONCAT(url_path, '.html') FROM catalog_category_flat_store_1 WHERE entity_id=507));</v>
      </c>
      <c r="D655" t="str">
        <f t="shared" si="21"/>
        <v>UPDATE url_rewrite SET request_path = '66199/437246/Eco-Friendly-Recycled-Paper-Bags/Recycled-Natural-Kraft-Paper-Shopping-Bags.html' WHERE entity_type='custom' AND target_path=(SELECT CONCAT(url_path, '.html') FROM catalog_category_flat_store_1 WHERE entity_id=507);</v>
      </c>
    </row>
    <row r="656" spans="1:4" x14ac:dyDescent="0.25">
      <c r="A656">
        <f>categories!B656</f>
        <v>508</v>
      </c>
      <c r="B656" t="str">
        <f>SUBSTITUTE(SUBSTITUTE(categories!H656,"\","/"),"www.americanretailsupply.com/","")</f>
        <v>66199/739028/Eco-Friendly-Recycled-Paper-Bags/Recycled-White-Kraft-Paper-Shopping-Bags.html</v>
      </c>
      <c r="C656" t="str">
        <f t="shared" si="20"/>
        <v>INSERT INTO url_rewrite (entity_type, entity_id, redirect_type, store_id, request_path, target_path) VALUES ('custom', 0, 301, 1,'66199/739028/Eco-Friendly-Recycled-Paper-Bags/Recycled-White-Kraft-Paper-Shopping-Bags.html',(SELECT CONCAT(url_path, '.html') FROM catalog_category_flat_store_1 WHERE entity_id=508));</v>
      </c>
      <c r="D656" t="str">
        <f t="shared" si="21"/>
        <v>UPDATE url_rewrite SET request_path = '66199/739028/Eco-Friendly-Recycled-Paper-Bags/Recycled-White-Kraft-Paper-Shopping-Bags.html' WHERE entity_type='custom' AND target_path=(SELECT CONCAT(url_path, '.html') FROM catalog_category_flat_store_1 WHERE entity_id=508);</v>
      </c>
    </row>
    <row r="657" spans="1:4" x14ac:dyDescent="0.25">
      <c r="A657">
        <f>categories!B657</f>
        <v>510</v>
      </c>
      <c r="B657" t="str">
        <f>SUBSTITUTE(SUBSTITUTE(categories!H657,"\","/"),"www.americanretailsupply.com/","")</f>
        <v>66200/435281/Eco-Friendly-Reusable-Bags/Personalized-Silk-Screened-Non-Woven-Reusable-Shopping-Bags.html</v>
      </c>
      <c r="C657" t="str">
        <f t="shared" si="20"/>
        <v>INSERT INTO url_rewrite (entity_type, entity_id, redirect_type, store_id, request_path, target_path) VALUES ('custom', 0, 301, 1,'66200/435281/Eco-Friendly-Reusable-Bags/Personalized-Silk-Screened-Non-Woven-Reusable-Shopping-Bags.html',(SELECT CONCAT(url_path, '.html') FROM catalog_category_flat_store_1 WHERE entity_id=510));</v>
      </c>
      <c r="D657" t="str">
        <f t="shared" si="21"/>
        <v>UPDATE url_rewrite SET request_path = '66200/435281/Eco-Friendly-Reusable-Bags/Personalized-Silk-Screened-Non-Woven-Reusable-Shopping-Bags.html' WHERE entity_type='custom' AND target_path=(SELECT CONCAT(url_path, '.html') FROM catalog_category_flat_store_1 WHERE entity_id=510);</v>
      </c>
    </row>
    <row r="658" spans="1:4" x14ac:dyDescent="0.25">
      <c r="A658">
        <f>categories!B658</f>
        <v>512</v>
      </c>
      <c r="B658" t="str">
        <f>SUBSTITUTE(SUBSTITUTE(categories!H658,"\","/"),"www.americanretailsupply.com/","")</f>
        <v>66200/640298/Eco-Friendly-Reusable-Bags/Personalized-Color-Magic-Non-Woven-Reusable-Shopping-Bags.html</v>
      </c>
      <c r="C658" t="str">
        <f t="shared" si="20"/>
        <v>INSERT INTO url_rewrite (entity_type, entity_id, redirect_type, store_id, request_path, target_path) VALUES ('custom', 0, 301, 1,'66200/640298/Eco-Friendly-Reusable-Bags/Personalized-Color-Magic-Non-Woven-Reusable-Shopping-Bags.html',(SELECT CONCAT(url_path, '.html') FROM catalog_category_flat_store_1 WHERE entity_id=512));</v>
      </c>
      <c r="D658" t="str">
        <f t="shared" si="21"/>
        <v>UPDATE url_rewrite SET request_path = '66200/640298/Eco-Friendly-Reusable-Bags/Personalized-Color-Magic-Non-Woven-Reusable-Shopping-Bags.html' WHERE entity_type='custom' AND target_path=(SELECT CONCAT(url_path, '.html') FROM catalog_category_flat_store_1 WHERE entity_id=512);</v>
      </c>
    </row>
    <row r="659" spans="1:4" x14ac:dyDescent="0.25">
      <c r="A659">
        <f>categories!B659</f>
        <v>515</v>
      </c>
      <c r="B659" t="str">
        <f>SUBSTITUTE(SUBSTITUTE(categories!H659,"\","/"),"www.americanretailsupply.com/","")</f>
        <v>65072/29145/European-Tote-Style-Bags/Gloss-Laminated-EuroTotes.html</v>
      </c>
      <c r="C659" t="str">
        <f t="shared" si="20"/>
        <v>INSERT INTO url_rewrite (entity_type, entity_id, redirect_type, store_id, request_path, target_path) VALUES ('custom', 0, 301, 1,'65072/29145/European-Tote-Style-Bags/Gloss-Laminated-EuroTotes.html',(SELECT CONCAT(url_path, '.html') FROM catalog_category_flat_store_1 WHERE entity_id=515));</v>
      </c>
      <c r="D659" t="str">
        <f t="shared" si="21"/>
        <v>UPDATE url_rewrite SET request_path = '65072/29145/European-Tote-Style-Bags/Gloss-Laminated-EuroTotes.html' WHERE entity_type='custom' AND target_path=(SELECT CONCAT(url_path, '.html') FROM catalog_category_flat_store_1 WHERE entity_id=515);</v>
      </c>
    </row>
    <row r="660" spans="1:4" x14ac:dyDescent="0.25">
      <c r="A660">
        <f>categories!B660</f>
        <v>516</v>
      </c>
      <c r="B660" t="str">
        <f>SUBSTITUTE(SUBSTITUTE(categories!H660,"\","/"),"www.americanretailsupply.com/","")</f>
        <v>65072/445458/European-Tote-Style-Bags/Tinted-Paper-EuroTotes.html</v>
      </c>
      <c r="C660" t="str">
        <f t="shared" si="20"/>
        <v>INSERT INTO url_rewrite (entity_type, entity_id, redirect_type, store_id, request_path, target_path) VALUES ('custom', 0, 301, 1,'65072/445458/European-Tote-Style-Bags/Tinted-Paper-EuroTotes.html',(SELECT CONCAT(url_path, '.html') FROM catalog_category_flat_store_1 WHERE entity_id=516));</v>
      </c>
      <c r="D660" t="str">
        <f t="shared" si="21"/>
        <v>UPDATE url_rewrite SET request_path = '65072/445458/European-Tote-Style-Bags/Tinted-Paper-EuroTotes.html' WHERE entity_type='custom' AND target_path=(SELECT CONCAT(url_path, '.html') FROM catalog_category_flat_store_1 WHERE entity_id=516);</v>
      </c>
    </row>
    <row r="661" spans="1:4" x14ac:dyDescent="0.25">
      <c r="A661">
        <f>categories!B661</f>
        <v>517</v>
      </c>
      <c r="B661" t="str">
        <f>SUBSTITUTE(SUBSTITUTE(categories!H661,"\","/"),"www.americanretailsupply.com/","")</f>
        <v>65072/445789/European-Tote-Style-Bags/Matte-Laminated-EuroTotes.html</v>
      </c>
      <c r="C661" t="str">
        <f t="shared" si="20"/>
        <v>INSERT INTO url_rewrite (entity_type, entity_id, redirect_type, store_id, request_path, target_path) VALUES ('custom', 0, 301, 1,'65072/445789/European-Tote-Style-Bags/Matte-Laminated-EuroTotes.html',(SELECT CONCAT(url_path, '.html') FROM catalog_category_flat_store_1 WHERE entity_id=517));</v>
      </c>
      <c r="D661" t="str">
        <f t="shared" si="21"/>
        <v>UPDATE url_rewrite SET request_path = '65072/445789/European-Tote-Style-Bags/Matte-Laminated-EuroTotes.html' WHERE entity_type='custom' AND target_path=(SELECT CONCAT(url_path, '.html') FROM catalog_category_flat_store_1 WHERE entity_id=517);</v>
      </c>
    </row>
    <row r="662" spans="1:4" x14ac:dyDescent="0.25">
      <c r="A662">
        <f>categories!B662</f>
        <v>518</v>
      </c>
      <c r="B662" t="str">
        <f>SUBSTITUTE(SUBSTITUTE(categories!H662,"\","/"),"www.americanretailsupply.com/","")</f>
        <v>65072/777847/European-Tote-Style-Bags/Natural-and-White-Kraft-Paper-Eurototes.html</v>
      </c>
      <c r="C662" t="str">
        <f t="shared" si="20"/>
        <v>INSERT INTO url_rewrite (entity_type, entity_id, redirect_type, store_id, request_path, target_path) VALUES ('custom', 0, 301, 1,'65072/777847/European-Tote-Style-Bags/Natural-and-White-Kraft-Paper-Eurototes.html',(SELECT CONCAT(url_path, '.html') FROM catalog_category_flat_store_1 WHERE entity_id=518));</v>
      </c>
      <c r="D662" t="str">
        <f t="shared" si="21"/>
        <v>UPDATE url_rewrite SET request_path = '65072/777847/European-Tote-Style-Bags/Natural-and-White-Kraft-Paper-Eurototes.html' WHERE entity_type='custom' AND target_path=(SELECT CONCAT(url_path, '.html') FROM catalog_category_flat_store_1 WHERE entity_id=518);</v>
      </c>
    </row>
    <row r="663" spans="1:4" x14ac:dyDescent="0.25">
      <c r="A663">
        <f>categories!B663</f>
        <v>519</v>
      </c>
      <c r="B663" t="str">
        <f>SUBSTITUTE(SUBSTITUTE(categories!H663,"\","/"),"www.americanretailsupply.com/","")</f>
        <v>65072/788394/European-Tote-Style-Bags/Purse-Totes.html</v>
      </c>
      <c r="C663" t="str">
        <f t="shared" si="20"/>
        <v>INSERT INTO url_rewrite (entity_type, entity_id, redirect_type, store_id, request_path, target_path) VALUES ('custom', 0, 301, 1,'65072/788394/European-Tote-Style-Bags/Purse-Totes.html',(SELECT CONCAT(url_path, '.html') FROM catalog_category_flat_store_1 WHERE entity_id=519));</v>
      </c>
      <c r="D663" t="str">
        <f t="shared" si="21"/>
        <v>UPDATE url_rewrite SET request_path = '65072/788394/European-Tote-Style-Bags/Purse-Totes.html' WHERE entity_type='custom' AND target_path=(SELECT CONCAT(url_path, '.html') FROM catalog_category_flat_store_1 WHERE entity_id=519);</v>
      </c>
    </row>
    <row r="664" spans="1:4" x14ac:dyDescent="0.25">
      <c r="A664">
        <f>categories!B664</f>
        <v>521</v>
      </c>
      <c r="B664" t="str">
        <f>SUBSTITUTE(SUBSTITUTE(categories!H664,"\","/"),"www.americanretailsupply.com/","")</f>
        <v>64738/19674/Fabric-Ribbon/Simply-Sheer-Asiana-Fabric-Ribbon.html</v>
      </c>
      <c r="C664" t="str">
        <f t="shared" si="20"/>
        <v>INSERT INTO url_rewrite (entity_type, entity_id, redirect_type, store_id, request_path, target_path) VALUES ('custom', 0, 301, 1,'64738/19674/Fabric-Ribbon/Simply-Sheer-Asiana-Fabric-Ribbon.html',(SELECT CONCAT(url_path, '.html') FROM catalog_category_flat_store_1 WHERE entity_id=521));</v>
      </c>
      <c r="D664" t="str">
        <f t="shared" si="21"/>
        <v>UPDATE url_rewrite SET request_path = '64738/19674/Fabric-Ribbon/Simply-Sheer-Asiana-Fabric-Ribbon.html' WHERE entity_type='custom' AND target_path=(SELECT CONCAT(url_path, '.html') FROM catalog_category_flat_store_1 WHERE entity_id=521);</v>
      </c>
    </row>
    <row r="665" spans="1:4" x14ac:dyDescent="0.25">
      <c r="A665">
        <f>categories!B665</f>
        <v>522</v>
      </c>
      <c r="B665" t="str">
        <f>SUBSTITUTE(SUBSTITUTE(categories!H665,"\","/"),"www.americanretailsupply.com/","")</f>
        <v>64738/28871/Fabric-Ribbon/Dyna-Satin-Acetate-Ribbon.html</v>
      </c>
      <c r="C665" t="str">
        <f t="shared" si="20"/>
        <v>INSERT INTO url_rewrite (entity_type, entity_id, redirect_type, store_id, request_path, target_path) VALUES ('custom', 0, 301, 1,'64738/28871/Fabric-Ribbon/Dyna-Satin-Acetate-Ribbon.html',(SELECT CONCAT(url_path, '.html') FROM catalog_category_flat_store_1 WHERE entity_id=522));</v>
      </c>
      <c r="D665" t="str">
        <f t="shared" si="21"/>
        <v>UPDATE url_rewrite SET request_path = '64738/28871/Fabric-Ribbon/Dyna-Satin-Acetate-Ribbon.html' WHERE entity_type='custom' AND target_path=(SELECT CONCAT(url_path, '.html') FROM catalog_category_flat_store_1 WHERE entity_id=522);</v>
      </c>
    </row>
    <row r="666" spans="1:4" x14ac:dyDescent="0.25">
      <c r="A666">
        <f>categories!B666</f>
        <v>523</v>
      </c>
      <c r="B666" t="str">
        <f>SUBSTITUTE(SUBSTITUTE(categories!H666,"\","/"),"www.americanretailsupply.com/","")</f>
        <v>64738/241280/Fabric-Ribbon/Grosgrain-Ribbon.html</v>
      </c>
      <c r="C666" t="str">
        <f t="shared" si="20"/>
        <v>INSERT INTO url_rewrite (entity_type, entity_id, redirect_type, store_id, request_path, target_path) VALUES ('custom', 0, 301, 1,'64738/241280/Fabric-Ribbon/Grosgrain-Ribbon.html',(SELECT CONCAT(url_path, '.html') FROM catalog_category_flat_store_1 WHERE entity_id=523));</v>
      </c>
      <c r="D666" t="str">
        <f t="shared" si="21"/>
        <v>UPDATE url_rewrite SET request_path = '64738/241280/Fabric-Ribbon/Grosgrain-Ribbon.html' WHERE entity_type='custom' AND target_path=(SELECT CONCAT(url_path, '.html') FROM catalog_category_flat_store_1 WHERE entity_id=523);</v>
      </c>
    </row>
    <row r="667" spans="1:4" x14ac:dyDescent="0.25">
      <c r="A667">
        <f>categories!B667</f>
        <v>524</v>
      </c>
      <c r="B667" t="str">
        <f>SUBSTITUTE(SUBSTITUTE(categories!H667,"\","/"),"www.americanretailsupply.com/","")</f>
        <v>64738/241281/Fabric-Ribbon/Single-Faced-Satin-Ribbon.html</v>
      </c>
      <c r="C667" t="str">
        <f t="shared" si="20"/>
        <v>INSERT INTO url_rewrite (entity_type, entity_id, redirect_type, store_id, request_path, target_path) VALUES ('custom', 0, 301, 1,'64738/241281/Fabric-Ribbon/Single-Faced-Satin-Ribbon.html',(SELECT CONCAT(url_path, '.html') FROM catalog_category_flat_store_1 WHERE entity_id=524));</v>
      </c>
      <c r="D667" t="str">
        <f t="shared" si="21"/>
        <v>UPDATE url_rewrite SET request_path = '64738/241281/Fabric-Ribbon/Single-Faced-Satin-Ribbon.html' WHERE entity_type='custom' AND target_path=(SELECT CONCAT(url_path, '.html') FROM catalog_category_flat_store_1 WHERE entity_id=524);</v>
      </c>
    </row>
    <row r="668" spans="1:4" x14ac:dyDescent="0.25">
      <c r="A668">
        <f>categories!B668</f>
        <v>525</v>
      </c>
      <c r="B668" t="str">
        <f>SUBSTITUTE(SUBSTITUTE(categories!H668,"\","/"),"www.americanretailsupply.com/","")</f>
        <v>64738/254981/Fabric-Ribbon/Wired-Encore-Ribbon.html</v>
      </c>
      <c r="C668" t="str">
        <f t="shared" si="20"/>
        <v>INSERT INTO url_rewrite (entity_type, entity_id, redirect_type, store_id, request_path, target_path) VALUES ('custom', 0, 301, 1,'64738/254981/Fabric-Ribbon/Wired-Encore-Ribbon.html',(SELECT CONCAT(url_path, '.html') FROM catalog_category_flat_store_1 WHERE entity_id=525));</v>
      </c>
      <c r="D668" t="str">
        <f t="shared" si="21"/>
        <v>UPDATE url_rewrite SET request_path = '64738/254981/Fabric-Ribbon/Wired-Encore-Ribbon.html' WHERE entity_type='custom' AND target_path=(SELECT CONCAT(url_path, '.html') FROM catalog_category_flat_store_1 WHERE entity_id=525);</v>
      </c>
    </row>
    <row r="669" spans="1:4" x14ac:dyDescent="0.25">
      <c r="A669">
        <f>categories!B669</f>
        <v>526</v>
      </c>
      <c r="B669" t="str">
        <f>SUBSTITUTE(SUBSTITUTE(categories!H669,"\","/"),"www.americanretailsupply.com/","")</f>
        <v>64738/641888/Fabric-Ribbon/Jungle-Print-Polyester-Ribbon.html</v>
      </c>
      <c r="C669" t="str">
        <f t="shared" si="20"/>
        <v>INSERT INTO url_rewrite (entity_type, entity_id, redirect_type, store_id, request_path, target_path) VALUES ('custom', 0, 301, 1,'64738/641888/Fabric-Ribbon/Jungle-Print-Polyester-Ribbon.html',(SELECT CONCAT(url_path, '.html') FROM catalog_category_flat_store_1 WHERE entity_id=526));</v>
      </c>
      <c r="D669" t="str">
        <f t="shared" si="21"/>
        <v>UPDATE url_rewrite SET request_path = '64738/641888/Fabric-Ribbon/Jungle-Print-Polyester-Ribbon.html' WHERE entity_type='custom' AND target_path=(SELECT CONCAT(url_path, '.html') FROM catalog_category_flat_store_1 WHERE entity_id=526);</v>
      </c>
    </row>
    <row r="670" spans="1:4" x14ac:dyDescent="0.25">
      <c r="A670">
        <f>categories!B670</f>
        <v>527</v>
      </c>
      <c r="B670" t="str">
        <f>SUBSTITUTE(SUBSTITUTE(categories!H670,"\","/"),"www.americanretailsupply.com/","")</f>
        <v>64738/773564/Fabric-Ribbon/Double-Faced-Satin-Ribbon.html</v>
      </c>
      <c r="C670" t="str">
        <f t="shared" si="20"/>
        <v>INSERT INTO url_rewrite (entity_type, entity_id, redirect_type, store_id, request_path, target_path) VALUES ('custom', 0, 301, 1,'64738/773564/Fabric-Ribbon/Double-Faced-Satin-Ribbon.html',(SELECT CONCAT(url_path, '.html') FROM catalog_category_flat_store_1 WHERE entity_id=527));</v>
      </c>
      <c r="D670" t="str">
        <f t="shared" si="21"/>
        <v>UPDATE url_rewrite SET request_path = '64738/773564/Fabric-Ribbon/Double-Faced-Satin-Ribbon.html' WHERE entity_type='custom' AND target_path=(SELECT CONCAT(url_path, '.html') FROM catalog_category_flat_store_1 WHERE entity_id=527);</v>
      </c>
    </row>
    <row r="671" spans="1:4" x14ac:dyDescent="0.25">
      <c r="A671">
        <f>categories!B671</f>
        <v>529</v>
      </c>
      <c r="B671" t="str">
        <f>SUBSTITUTE(SUBSTITUTE(categories!H671,"\","/"),"www.americanretailsupply.com/","")</f>
        <v>64692/741538/Fluorescent-Labels/Fluorescent-Rectangle-Labels.html</v>
      </c>
      <c r="C671" t="str">
        <f t="shared" si="20"/>
        <v>INSERT INTO url_rewrite (entity_type, entity_id, redirect_type, store_id, request_path, target_path) VALUES ('custom', 0, 301, 1,'64692/741538/Fluorescent-Labels/Fluorescent-Rectangle-Labels.html',(SELECT CONCAT(url_path, '.html') FROM catalog_category_flat_store_1 WHERE entity_id=529));</v>
      </c>
      <c r="D671" t="str">
        <f t="shared" si="21"/>
        <v>UPDATE url_rewrite SET request_path = '64692/741538/Fluorescent-Labels/Fluorescent-Rectangle-Labels.html' WHERE entity_type='custom' AND target_path=(SELECT CONCAT(url_path, '.html') FROM catalog_category_flat_store_1 WHERE entity_id=529);</v>
      </c>
    </row>
    <row r="672" spans="1:4" x14ac:dyDescent="0.25">
      <c r="A672">
        <f>categories!B672</f>
        <v>530</v>
      </c>
      <c r="B672" t="str">
        <f>SUBSTITUTE(SUBSTITUTE(categories!H672,"\","/"),"www.americanretailsupply.com/","")</f>
        <v>64692/741539/Fluorescent-Labels/Fluorescent-Circle-Labels.html</v>
      </c>
      <c r="C672" t="str">
        <f t="shared" si="20"/>
        <v>INSERT INTO url_rewrite (entity_type, entity_id, redirect_type, store_id, request_path, target_path) VALUES ('custom', 0, 301, 1,'64692/741539/Fluorescent-Labels/Fluorescent-Circle-Labels.html',(SELECT CONCAT(url_path, '.html') FROM catalog_category_flat_store_1 WHERE entity_id=530));</v>
      </c>
      <c r="D672" t="str">
        <f t="shared" si="21"/>
        <v>UPDATE url_rewrite SET request_path = '64692/741539/Fluorescent-Labels/Fluorescent-Circle-Labels.html' WHERE entity_type='custom' AND target_path=(SELECT CONCAT(url_path, '.html') FROM catalog_category_flat_store_1 WHERE entity_id=530);</v>
      </c>
    </row>
    <row r="673" spans="1:4" x14ac:dyDescent="0.25">
      <c r="A673">
        <f>categories!B673</f>
        <v>531</v>
      </c>
      <c r="B673" t="str">
        <f>SUBSTITUTE(SUBSTITUTE(categories!H673,"\","/"),"www.americanretailsupply.com/","")</f>
        <v>64692/741540/Fluorescent-Labels/Fluorescent-Starburst-Labels.html</v>
      </c>
      <c r="C673" t="str">
        <f t="shared" si="20"/>
        <v>INSERT INTO url_rewrite (entity_type, entity_id, redirect_type, store_id, request_path, target_path) VALUES ('custom', 0, 301, 1,'64692/741540/Fluorescent-Labels/Fluorescent-Starburst-Labels.html',(SELECT CONCAT(url_path, '.html') FROM catalog_category_flat_store_1 WHERE entity_id=531));</v>
      </c>
      <c r="D673" t="str">
        <f t="shared" si="21"/>
        <v>UPDATE url_rewrite SET request_path = '64692/741540/Fluorescent-Labels/Fluorescent-Starburst-Labels.html' WHERE entity_type='custom' AND target_path=(SELECT CONCAT(url_path, '.html') FROM catalog_category_flat_store_1 WHERE entity_id=531);</v>
      </c>
    </row>
    <row r="674" spans="1:4" x14ac:dyDescent="0.25">
      <c r="A674">
        <f>categories!B674</f>
        <v>532</v>
      </c>
      <c r="B674" t="str">
        <f>SUBSTITUTE(SUBSTITUTE(categories!H674,"\","/"),"www.americanretailsupply.com/","")</f>
        <v>64692/742032/Fluorescent-Labels/Made-In-USA-Label.html</v>
      </c>
      <c r="C674" t="str">
        <f t="shared" si="20"/>
        <v>INSERT INTO url_rewrite (entity_type, entity_id, redirect_type, store_id, request_path, target_path) VALUES ('custom', 0, 301, 1,'64692/742032/Fluorescent-Labels/Made-In-USA-Label.html',(SELECT CONCAT(url_path, '.html') FROM catalog_category_flat_store_1 WHERE entity_id=532));</v>
      </c>
      <c r="D674" t="str">
        <f t="shared" si="21"/>
        <v>UPDATE url_rewrite SET request_path = '64692/742032/Fluorescent-Labels/Made-In-USA-Label.html' WHERE entity_type='custom' AND target_path=(SELECT CONCAT(url_path, '.html') FROM catalog_category_flat_store_1 WHERE entity_id=532);</v>
      </c>
    </row>
    <row r="675" spans="1:4" x14ac:dyDescent="0.25">
      <c r="A675">
        <f>categories!B675</f>
        <v>534</v>
      </c>
      <c r="B675" t="str">
        <f>SUBSTITUTE(SUBSTITUTE(categories!H675,"\","/"),"www.americanretailsupply.com/","")</f>
        <v>65085/235454/Food-Grade-Tissue/Hi-Performance-Dry-Wax-Food-Service-Tissue-Paper.html</v>
      </c>
      <c r="C675" t="str">
        <f t="shared" si="20"/>
        <v>INSERT INTO url_rewrite (entity_type, entity_id, redirect_type, store_id, request_path, target_path) VALUES ('custom', 0, 301, 1,'65085/235454/Food-Grade-Tissue/Hi-Performance-Dry-Wax-Food-Service-Tissue-Paper.html',(SELECT CONCAT(url_path, '.html') FROM catalog_category_flat_store_1 WHERE entity_id=534));</v>
      </c>
      <c r="D675" t="str">
        <f t="shared" si="21"/>
        <v>UPDATE url_rewrite SET request_path = '65085/235454/Food-Grade-Tissue/Hi-Performance-Dry-Wax-Food-Service-Tissue-Paper.html' WHERE entity_type='custom' AND target_path=(SELECT CONCAT(url_path, '.html') FROM catalog_category_flat_store_1 WHERE entity_id=534);</v>
      </c>
    </row>
    <row r="676" spans="1:4" x14ac:dyDescent="0.25">
      <c r="A676">
        <f>categories!B676</f>
        <v>535</v>
      </c>
      <c r="B676" t="str">
        <f>SUBSTITUTE(SUBSTITUTE(categories!H676,"\","/"),"www.americanretailsupply.com/","")</f>
        <v>65085/235455/Food-Grade-Tissue/Menu-Tissue-Paper.html</v>
      </c>
      <c r="C676" t="str">
        <f t="shared" si="20"/>
        <v>INSERT INTO url_rewrite (entity_type, entity_id, redirect_type, store_id, request_path, target_path) VALUES ('custom', 0, 301, 1,'65085/235455/Food-Grade-Tissue/Menu-Tissue-Paper.html',(SELECT CONCAT(url_path, '.html') FROM catalog_category_flat_store_1 WHERE entity_id=535));</v>
      </c>
      <c r="D676" t="str">
        <f t="shared" si="21"/>
        <v>UPDATE url_rewrite SET request_path = '65085/235455/Food-Grade-Tissue/Menu-Tissue-Paper.html' WHERE entity_type='custom' AND target_path=(SELECT CONCAT(url_path, '.html') FROM catalog_category_flat_store_1 WHERE entity_id=535);</v>
      </c>
    </row>
    <row r="677" spans="1:4" x14ac:dyDescent="0.25">
      <c r="A677">
        <f>categories!B677</f>
        <v>536</v>
      </c>
      <c r="B677" t="str">
        <f>SUBSTITUTE(SUBSTITUTE(categories!H677,"\","/"),"www.americanretailsupply.com/","")</f>
        <v>65085/649537/Food-Grade-Tissue/Ultra-Performance-20-Grease-Resistant-Tissue-Paper.html</v>
      </c>
      <c r="C677" t="str">
        <f t="shared" si="20"/>
        <v>INSERT INTO url_rewrite (entity_type, entity_id, redirect_type, store_id, request_path, target_path) VALUES ('custom', 0, 301, 1,'65085/649537/Food-Grade-Tissue/Ultra-Performance-20-Grease-Resistant-Tissue-Paper.html',(SELECT CONCAT(url_path, '.html') FROM catalog_category_flat_store_1 WHERE entity_id=536));</v>
      </c>
      <c r="D677" t="str">
        <f t="shared" si="21"/>
        <v>UPDATE url_rewrite SET request_path = '65085/649537/Food-Grade-Tissue/Ultra-Performance-20-Grease-Resistant-Tissue-Paper.html' WHERE entity_type='custom' AND target_path=(SELECT CONCAT(url_path, '.html') FROM catalog_category_flat_store_1 WHERE entity_id=536);</v>
      </c>
    </row>
    <row r="678" spans="1:4" x14ac:dyDescent="0.25">
      <c r="A678">
        <f>categories!B678</f>
        <v>538</v>
      </c>
      <c r="B678" t="str">
        <f>SUBSTITUTE(SUBSTITUTE(categories!H678,"\","/"),"www.americanretailsupply.com/","")</f>
        <v>65123/746708/Food-Service-Boxes/Bakery-Boxes-Lock-Corner-1-Piece-White.html</v>
      </c>
      <c r="C678" t="str">
        <f t="shared" si="20"/>
        <v>INSERT INTO url_rewrite (entity_type, entity_id, redirect_type, store_id, request_path, target_path) VALUES ('custom', 0, 301, 1,'65123/746708/Food-Service-Boxes/Bakery-Boxes-Lock-Corner-1-Piece-White.html',(SELECT CONCAT(url_path, '.html') FROM catalog_category_flat_store_1 WHERE entity_id=538));</v>
      </c>
      <c r="D678" t="str">
        <f t="shared" si="21"/>
        <v>UPDATE url_rewrite SET request_path = '65123/746708/Food-Service-Boxes/Bakery-Boxes-Lock-Corner-1-Piece-White.html' WHERE entity_type='custom' AND target_path=(SELECT CONCAT(url_path, '.html') FROM catalog_category_flat_store_1 WHERE entity_id=538);</v>
      </c>
    </row>
    <row r="679" spans="1:4" x14ac:dyDescent="0.25">
      <c r="A679">
        <f>categories!B679</f>
        <v>539</v>
      </c>
      <c r="B679" t="str">
        <f>SUBSTITUTE(SUBSTITUTE(categories!H679,"\","/"),"www.americanretailsupply.com/","")</f>
        <v>65123/749626/Food-Service-Boxes/Bakery-Boxes-2-Piece-Lock-Corner.html</v>
      </c>
      <c r="C679" t="str">
        <f t="shared" si="20"/>
        <v>INSERT INTO url_rewrite (entity_type, entity_id, redirect_type, store_id, request_path, target_path) VALUES ('custom', 0, 301, 1,'65123/749626/Food-Service-Boxes/Bakery-Boxes-2-Piece-Lock-Corner.html',(SELECT CONCAT(url_path, '.html') FROM catalog_category_flat_store_1 WHERE entity_id=539));</v>
      </c>
      <c r="D679" t="str">
        <f t="shared" si="21"/>
        <v>UPDATE url_rewrite SET request_path = '65123/749626/Food-Service-Boxes/Bakery-Boxes-2-Piece-Lock-Corner.html' WHERE entity_type='custom' AND target_path=(SELECT CONCAT(url_path, '.html') FROM catalog_category_flat_store_1 WHERE entity_id=539);</v>
      </c>
    </row>
    <row r="680" spans="1:4" x14ac:dyDescent="0.25">
      <c r="A680">
        <f>categories!B680</f>
        <v>540</v>
      </c>
      <c r="B680" t="str">
        <f>SUBSTITUTE(SUBSTITUTE(categories!H680,"\","/"),"www.americanretailsupply.com/","")</f>
        <v>65123/754507/Food-Service-Boxes/Donut-Carry-Out-Boxes.html</v>
      </c>
      <c r="C680" t="str">
        <f t="shared" si="20"/>
        <v>INSERT INTO url_rewrite (entity_type, entity_id, redirect_type, store_id, request_path, target_path) VALUES ('custom', 0, 301, 1,'65123/754507/Food-Service-Boxes/Donut-Carry-Out-Boxes.html',(SELECT CONCAT(url_path, '.html') FROM catalog_category_flat_store_1 WHERE entity_id=540));</v>
      </c>
      <c r="D680" t="str">
        <f t="shared" si="21"/>
        <v>UPDATE url_rewrite SET request_path = '65123/754507/Food-Service-Boxes/Donut-Carry-Out-Boxes.html' WHERE entity_type='custom' AND target_path=(SELECT CONCAT(url_path, '.html') FROM catalog_category_flat_store_1 WHERE entity_id=540);</v>
      </c>
    </row>
    <row r="681" spans="1:4" x14ac:dyDescent="0.25">
      <c r="A681">
        <f>categories!B681</f>
        <v>541</v>
      </c>
      <c r="B681" t="str">
        <f>SUBSTITUTE(SUBSTITUTE(categories!H681,"\","/"),"www.americanretailsupply.com/","")</f>
        <v>65123/754628/Food-Service-Boxes/Cake-Pads-Rectangle.html</v>
      </c>
      <c r="C681" t="str">
        <f t="shared" si="20"/>
        <v>INSERT INTO url_rewrite (entity_type, entity_id, redirect_type, store_id, request_path, target_path) VALUES ('custom', 0, 301, 1,'65123/754628/Food-Service-Boxes/Cake-Pads-Rectangle.html',(SELECT CONCAT(url_path, '.html') FROM catalog_category_flat_store_1 WHERE entity_id=541));</v>
      </c>
      <c r="D681" t="str">
        <f t="shared" si="21"/>
        <v>UPDATE url_rewrite SET request_path = '65123/754628/Food-Service-Boxes/Cake-Pads-Rectangle.html' WHERE entity_type='custom' AND target_path=(SELECT CONCAT(url_path, '.html') FROM catalog_category_flat_store_1 WHERE entity_id=541);</v>
      </c>
    </row>
    <row r="682" spans="1:4" x14ac:dyDescent="0.25">
      <c r="A682">
        <f>categories!B682</f>
        <v>542</v>
      </c>
      <c r="B682" t="str">
        <f>SUBSTITUTE(SUBSTITUTE(categories!H682,"\","/"),"www.americanretailsupply.com/","")</f>
        <v>65123/758132/Food-Service-Boxes/Window-Cup-Cake-Boxes.html</v>
      </c>
      <c r="C682" t="str">
        <f t="shared" si="20"/>
        <v>INSERT INTO url_rewrite (entity_type, entity_id, redirect_type, store_id, request_path, target_path) VALUES ('custom', 0, 301, 1,'65123/758132/Food-Service-Boxes/Window-Cup-Cake-Boxes.html',(SELECT CONCAT(url_path, '.html') FROM catalog_category_flat_store_1 WHERE entity_id=542));</v>
      </c>
      <c r="D682" t="str">
        <f t="shared" si="21"/>
        <v>UPDATE url_rewrite SET request_path = '65123/758132/Food-Service-Boxes/Window-Cup-Cake-Boxes.html' WHERE entity_type='custom' AND target_path=(SELECT CONCAT(url_path, '.html') FROM catalog_category_flat_store_1 WHERE entity_id=542);</v>
      </c>
    </row>
    <row r="683" spans="1:4" x14ac:dyDescent="0.25">
      <c r="A683">
        <f>categories!B683</f>
        <v>543</v>
      </c>
      <c r="B683" t="str">
        <f>SUBSTITUTE(SUBSTITUTE(categories!H683,"\","/"),"www.americanretailsupply.com/","")</f>
        <v>65123/758209/Food-Service-Boxes/Cupcake-Inserts.html</v>
      </c>
      <c r="C683" t="str">
        <f t="shared" si="20"/>
        <v>INSERT INTO url_rewrite (entity_type, entity_id, redirect_type, store_id, request_path, target_path) VALUES ('custom', 0, 301, 1,'65123/758209/Food-Service-Boxes/Cupcake-Inserts.html',(SELECT CONCAT(url_path, '.html') FROM catalog_category_flat_store_1 WHERE entity_id=543));</v>
      </c>
      <c r="D683" t="str">
        <f t="shared" si="21"/>
        <v>UPDATE url_rewrite SET request_path = '65123/758209/Food-Service-Boxes/Cupcake-Inserts.html' WHERE entity_type='custom' AND target_path=(SELECT CONCAT(url_path, '.html') FROM catalog_category_flat_store_1 WHERE entity_id=543);</v>
      </c>
    </row>
    <row r="684" spans="1:4" x14ac:dyDescent="0.25">
      <c r="A684">
        <f>categories!B684</f>
        <v>544</v>
      </c>
      <c r="B684" t="str">
        <f>SUBSTITUTE(SUBSTITUTE(categories!H684,"\","/"),"www.americanretailsupply.com/","")</f>
        <v>65123/758261/Food-Service-Boxes/Pizza-Take-Out-Boxes.html</v>
      </c>
      <c r="C684" t="str">
        <f t="shared" si="20"/>
        <v>INSERT INTO url_rewrite (entity_type, entity_id, redirect_type, store_id, request_path, target_path) VALUES ('custom', 0, 301, 1,'65123/758261/Food-Service-Boxes/Pizza-Take-Out-Boxes.html',(SELECT CONCAT(url_path, '.html') FROM catalog_category_flat_store_1 WHERE entity_id=544));</v>
      </c>
      <c r="D684" t="str">
        <f t="shared" si="21"/>
        <v>UPDATE url_rewrite SET request_path = '65123/758261/Food-Service-Boxes/Pizza-Take-Out-Boxes.html' WHERE entity_type='custom' AND target_path=(SELECT CONCAT(url_path, '.html') FROM catalog_category_flat_store_1 WHERE entity_id=544);</v>
      </c>
    </row>
    <row r="685" spans="1:4" x14ac:dyDescent="0.25">
      <c r="A685">
        <f>categories!B685</f>
        <v>545</v>
      </c>
      <c r="B685" t="str">
        <f>SUBSTITUTE(SUBSTITUTE(categories!H685,"\","/"),"www.americanretailsupply.com/","")</f>
        <v>65123/758392/Food-Service-Boxes/Take-and-Bake-Pizza-Trays.html</v>
      </c>
      <c r="C685" t="str">
        <f t="shared" si="20"/>
        <v>INSERT INTO url_rewrite (entity_type, entity_id, redirect_type, store_id, request_path, target_path) VALUES ('custom', 0, 301, 1,'65123/758392/Food-Service-Boxes/Take-and-Bake-Pizza-Trays.html',(SELECT CONCAT(url_path, '.html') FROM catalog_category_flat_store_1 WHERE entity_id=545));</v>
      </c>
      <c r="D685" t="str">
        <f t="shared" si="21"/>
        <v>UPDATE url_rewrite SET request_path = '65123/758392/Food-Service-Boxes/Take-and-Bake-Pizza-Trays.html' WHERE entity_type='custom' AND target_path=(SELECT CONCAT(url_path, '.html') FROM catalog_category_flat_store_1 WHERE entity_id=545);</v>
      </c>
    </row>
    <row r="686" spans="1:4" x14ac:dyDescent="0.25">
      <c r="A686">
        <f>categories!B686</f>
        <v>546</v>
      </c>
      <c r="B686" t="str">
        <f>SUBSTITUTE(SUBSTITUTE(categories!H686,"\","/"),"www.americanretailsupply.com/","")</f>
        <v>65123/758699/Food-Service-Boxes/White-and-Brown-Kraft-Gable-Boxes.html</v>
      </c>
      <c r="C686" t="str">
        <f t="shared" si="20"/>
        <v>INSERT INTO url_rewrite (entity_type, entity_id, redirect_type, store_id, request_path, target_path) VALUES ('custom', 0, 301, 1,'65123/758699/Food-Service-Boxes/White-and-Brown-Kraft-Gable-Boxes.html',(SELECT CONCAT(url_path, '.html') FROM catalog_category_flat_store_1 WHERE entity_id=546));</v>
      </c>
      <c r="D686" t="str">
        <f t="shared" si="21"/>
        <v>UPDATE url_rewrite SET request_path = '65123/758699/Food-Service-Boxes/White-and-Brown-Kraft-Gable-Boxes.html' WHERE entity_type='custom' AND target_path=(SELECT CONCAT(url_path, '.html') FROM catalog_category_flat_store_1 WHERE entity_id=546);</v>
      </c>
    </row>
    <row r="687" spans="1:4" x14ac:dyDescent="0.25">
      <c r="A687">
        <f>categories!B687</f>
        <v>547</v>
      </c>
      <c r="B687" t="str">
        <f>SUBSTITUTE(SUBSTITUTE(categories!H687,"\","/"),"www.americanretailsupply.com/","")</f>
        <v>65123/758700/Food-Service-Boxes/Drink-Take-Out-Carriers.html</v>
      </c>
      <c r="C687" t="str">
        <f t="shared" si="20"/>
        <v>INSERT INTO url_rewrite (entity_type, entity_id, redirect_type, store_id, request_path, target_path) VALUES ('custom', 0, 301, 1,'65123/758700/Food-Service-Boxes/Drink-Take-Out-Carriers.html',(SELECT CONCAT(url_path, '.html') FROM catalog_category_flat_store_1 WHERE entity_id=547));</v>
      </c>
      <c r="D687" t="str">
        <f t="shared" si="21"/>
        <v>UPDATE url_rewrite SET request_path = '65123/758700/Food-Service-Boxes/Drink-Take-Out-Carriers.html' WHERE entity_type='custom' AND target_path=(SELECT CONCAT(url_path, '.html') FROM catalog_category_flat_store_1 WHERE entity_id=547);</v>
      </c>
    </row>
    <row r="688" spans="1:4" x14ac:dyDescent="0.25">
      <c r="A688">
        <f>categories!B688</f>
        <v>548</v>
      </c>
      <c r="B688" t="str">
        <f>SUBSTITUTE(SUBSTITUTE(categories!H688,"\","/"),"www.americanretailsupply.com/","")</f>
        <v>65123/758701/Food-Service-Boxes/Snack-Pak-Open-Trays.html</v>
      </c>
      <c r="C688" t="str">
        <f t="shared" si="20"/>
        <v>INSERT INTO url_rewrite (entity_type, entity_id, redirect_type, store_id, request_path, target_path) VALUES ('custom', 0, 301, 1,'65123/758701/Food-Service-Boxes/Snack-Pak-Open-Trays.html',(SELECT CONCAT(url_path, '.html') FROM catalog_category_flat_store_1 WHERE entity_id=548));</v>
      </c>
      <c r="D688" t="str">
        <f t="shared" si="21"/>
        <v>UPDATE url_rewrite SET request_path = '65123/758701/Food-Service-Boxes/Snack-Pak-Open-Trays.html' WHERE entity_type='custom' AND target_path=(SELECT CONCAT(url_path, '.html') FROM catalog_category_flat_store_1 WHERE entity_id=548);</v>
      </c>
    </row>
    <row r="689" spans="1:4" x14ac:dyDescent="0.25">
      <c r="A689">
        <f>categories!B689</f>
        <v>549</v>
      </c>
      <c r="B689" t="str">
        <f>SUBSTITUTE(SUBSTITUTE(categories!H689,"\","/"),"www.americanretailsupply.com/","")</f>
        <v>65123/758702/Food-Service-Boxes/Deli-Boxes.html</v>
      </c>
      <c r="C689" t="str">
        <f t="shared" si="20"/>
        <v>INSERT INTO url_rewrite (entity_type, entity_id, redirect_type, store_id, request_path, target_path) VALUES ('custom', 0, 301, 1,'65123/758702/Food-Service-Boxes/Deli-Boxes.html',(SELECT CONCAT(url_path, '.html') FROM catalog_category_flat_store_1 WHERE entity_id=549));</v>
      </c>
      <c r="D689" t="str">
        <f t="shared" si="21"/>
        <v>UPDATE url_rewrite SET request_path = '65123/758702/Food-Service-Boxes/Deli-Boxes.html' WHERE entity_type='custom' AND target_path=(SELECT CONCAT(url_path, '.html') FROM catalog_category_flat_store_1 WHERE entity_id=549);</v>
      </c>
    </row>
    <row r="690" spans="1:4" x14ac:dyDescent="0.25">
      <c r="A690">
        <f>categories!B690</f>
        <v>550</v>
      </c>
      <c r="B690" t="str">
        <f>SUBSTITUTE(SUBSTITUTE(categories!H690,"\","/"),"www.americanretailsupply.com/","")</f>
        <v>65123/758703/Food-Service-Boxes/Meat-Boxes.html</v>
      </c>
      <c r="C690" t="str">
        <f t="shared" si="20"/>
        <v>INSERT INTO url_rewrite (entity_type, entity_id, redirect_type, store_id, request_path, target_path) VALUES ('custom', 0, 301, 1,'65123/758703/Food-Service-Boxes/Meat-Boxes.html',(SELECT CONCAT(url_path, '.html') FROM catalog_category_flat_store_1 WHERE entity_id=550));</v>
      </c>
      <c r="D690" t="str">
        <f t="shared" si="21"/>
        <v>UPDATE url_rewrite SET request_path = '65123/758703/Food-Service-Boxes/Meat-Boxes.html' WHERE entity_type='custom' AND target_path=(SELECT CONCAT(url_path, '.html') FROM catalog_category_flat_store_1 WHERE entity_id=550);</v>
      </c>
    </row>
    <row r="691" spans="1:4" x14ac:dyDescent="0.25">
      <c r="A691">
        <f>categories!B691</f>
        <v>551</v>
      </c>
      <c r="B691" t="str">
        <f>SUBSTITUTE(SUBSTITUTE(categories!H691,"\","/"),"www.americanretailsupply.com/","")</f>
        <v>65123/758707/Food-Service-Boxes/Window-Bakery-Boxes.html</v>
      </c>
      <c r="C691" t="str">
        <f t="shared" si="20"/>
        <v>INSERT INTO url_rewrite (entity_type, entity_id, redirect_type, store_id, request_path, target_path) VALUES ('custom', 0, 301, 1,'65123/758707/Food-Service-Boxes/Window-Bakery-Boxes.html',(SELECT CONCAT(url_path, '.html') FROM catalog_category_flat_store_1 WHERE entity_id=551));</v>
      </c>
      <c r="D691" t="str">
        <f t="shared" si="21"/>
        <v>UPDATE url_rewrite SET request_path = '65123/758707/Food-Service-Boxes/Window-Bakery-Boxes.html' WHERE entity_type='custom' AND target_path=(SELECT CONCAT(url_path, '.html') FROM catalog_category_flat_store_1 WHERE entity_id=551);</v>
      </c>
    </row>
    <row r="692" spans="1:4" x14ac:dyDescent="0.25">
      <c r="A692">
        <f>categories!B692</f>
        <v>552</v>
      </c>
      <c r="B692" t="str">
        <f>SUBSTITUTE(SUBSTITUTE(categories!H692,"\","/"),"www.americanretailsupply.com/","")</f>
        <v>65123/759338/Food-Service-Boxes/Bakers-Choice-Window-Bakery-Boxes.html</v>
      </c>
      <c r="C692" t="str">
        <f t="shared" si="20"/>
        <v>INSERT INTO url_rewrite (entity_type, entity_id, redirect_type, store_id, request_path, target_path) VALUES ('custom', 0, 301, 1,'65123/759338/Food-Service-Boxes/Bakers-Choice-Window-Bakery-Boxes.html',(SELECT CONCAT(url_path, '.html') FROM catalog_category_flat_store_1 WHERE entity_id=552));</v>
      </c>
      <c r="D692" t="str">
        <f t="shared" si="21"/>
        <v>UPDATE url_rewrite SET request_path = '65123/759338/Food-Service-Boxes/Bakers-Choice-Window-Bakery-Boxes.html' WHERE entity_type='custom' AND target_path=(SELECT CONCAT(url_path, '.html') FROM catalog_category_flat_store_1 WHERE entity_id=552);</v>
      </c>
    </row>
    <row r="693" spans="1:4" x14ac:dyDescent="0.25">
      <c r="A693">
        <f>categories!B693</f>
        <v>553</v>
      </c>
      <c r="B693" t="str">
        <f>SUBSTITUTE(SUBSTITUTE(categories!H693,"\","/"),"www.americanretailsupply.com/","")</f>
        <v>65123/759339/Food-Service-Boxes/Printed-Kraft-Boxes-with-Windows.html</v>
      </c>
      <c r="C693" t="str">
        <f t="shared" si="20"/>
        <v>INSERT INTO url_rewrite (entity_type, entity_id, redirect_type, store_id, request_path, target_path) VALUES ('custom', 0, 301, 1,'65123/759339/Food-Service-Boxes/Printed-Kraft-Boxes-with-Windows.html',(SELECT CONCAT(url_path, '.html') FROM catalog_category_flat_store_1 WHERE entity_id=553));</v>
      </c>
      <c r="D693" t="str">
        <f t="shared" si="21"/>
        <v>UPDATE url_rewrite SET request_path = '65123/759339/Food-Service-Boxes/Printed-Kraft-Boxes-with-Windows.html' WHERE entity_type='custom' AND target_path=(SELECT CONCAT(url_path, '.html') FROM catalog_category_flat_store_1 WHERE entity_id=553);</v>
      </c>
    </row>
    <row r="694" spans="1:4" x14ac:dyDescent="0.25">
      <c r="A694">
        <f>categories!B694</f>
        <v>555</v>
      </c>
      <c r="B694" t="str">
        <f>SUBSTITUTE(SUBSTITUTE(categories!H694,"\","/"),"www.americanretailsupply.com/","")</f>
        <v>65075/49188/Frosted-Plastic-Bags/Frosted-Shoppers-with-Soft-Flexi-Loop-Handles.html</v>
      </c>
      <c r="C694" t="str">
        <f t="shared" si="20"/>
        <v>INSERT INTO url_rewrite (entity_type, entity_id, redirect_type, store_id, request_path, target_path) VALUES ('custom', 0, 301, 1,'65075/49188/Frosted-Plastic-Bags/Frosted-Shoppers-with-Soft-Flexi-Loop-Handles.html',(SELECT CONCAT(url_path, '.html') FROM catalog_category_flat_store_1 WHERE entity_id=555));</v>
      </c>
      <c r="D694" t="str">
        <f t="shared" si="21"/>
        <v>UPDATE url_rewrite SET request_path = '65075/49188/Frosted-Plastic-Bags/Frosted-Shoppers-with-Soft-Flexi-Loop-Handles.html' WHERE entity_type='custom' AND target_path=(SELECT CONCAT(url_path, '.html') FROM catalog_category_flat_store_1 WHERE entity_id=555);</v>
      </c>
    </row>
    <row r="695" spans="1:4" x14ac:dyDescent="0.25">
      <c r="A695">
        <f>categories!B695</f>
        <v>556</v>
      </c>
      <c r="B695" t="str">
        <f>SUBSTITUTE(SUBSTITUTE(categories!H695,"\","/"),"www.americanretailsupply.com/","")</f>
        <v>65075/172651/Frosted-Plastic-Bags/Super-Wave-Frosted-Bags.html</v>
      </c>
      <c r="C695" t="str">
        <f t="shared" si="20"/>
        <v>INSERT INTO url_rewrite (entity_type, entity_id, redirect_type, store_id, request_path, target_path) VALUES ('custom', 0, 301, 1,'65075/172651/Frosted-Plastic-Bags/Super-Wave-Frosted-Bags.html',(SELECT CONCAT(url_path, '.html') FROM catalog_category_flat_store_1 WHERE entity_id=556));</v>
      </c>
      <c r="D695" t="str">
        <f t="shared" si="21"/>
        <v>UPDATE url_rewrite SET request_path = '65075/172651/Frosted-Plastic-Bags/Super-Wave-Frosted-Bags.html' WHERE entity_type='custom' AND target_path=(SELECT CONCAT(url_path, '.html') FROM catalog_category_flat_store_1 WHERE entity_id=556);</v>
      </c>
    </row>
    <row r="696" spans="1:4" x14ac:dyDescent="0.25">
      <c r="A696">
        <f>categories!B696</f>
        <v>557</v>
      </c>
      <c r="B696" t="str">
        <f>SUBSTITUTE(SUBSTITUTE(categories!H696,"\","/"),"www.americanretailsupply.com/","")</f>
        <v>65075/641041/Frosted-Plastic-Bags/Frosted-Trapezoid-Shaped-Bags.html</v>
      </c>
      <c r="C696" t="str">
        <f t="shared" si="20"/>
        <v>INSERT INTO url_rewrite (entity_type, entity_id, redirect_type, store_id, request_path, target_path) VALUES ('custom', 0, 301, 1,'65075/641041/Frosted-Plastic-Bags/Frosted-Trapezoid-Shaped-Bags.html',(SELECT CONCAT(url_path, '.html') FROM catalog_category_flat_store_1 WHERE entity_id=557));</v>
      </c>
      <c r="D696" t="str">
        <f t="shared" si="21"/>
        <v>UPDATE url_rewrite SET request_path = '65075/641041/Frosted-Plastic-Bags/Frosted-Trapezoid-Shaped-Bags.html' WHERE entity_type='custom' AND target_path=(SELECT CONCAT(url_path, '.html') FROM catalog_category_flat_store_1 WHERE entity_id=557);</v>
      </c>
    </row>
    <row r="697" spans="1:4" x14ac:dyDescent="0.25">
      <c r="A697">
        <f>categories!B697</f>
        <v>558</v>
      </c>
      <c r="B697" t="str">
        <f>SUBSTITUTE(SUBSTITUTE(categories!H697,"\","/"),"www.americanretailsupply.com/","")</f>
        <v>65075/641049/Frosted-Plastic-Bags/Pattern-Frosted-Shoppers-with-Tri-Fold-Handles.html</v>
      </c>
      <c r="C697" t="str">
        <f t="shared" si="20"/>
        <v>INSERT INTO url_rewrite (entity_type, entity_id, redirect_type, store_id, request_path, target_path) VALUES ('custom', 0, 301, 1,'65075/641049/Frosted-Plastic-Bags/Pattern-Frosted-Shoppers-with-Tri-Fold-Handles.html',(SELECT CONCAT(url_path, '.html') FROM catalog_category_flat_store_1 WHERE entity_id=558));</v>
      </c>
      <c r="D697" t="str">
        <f t="shared" si="21"/>
        <v>UPDATE url_rewrite SET request_path = '65075/641049/Frosted-Plastic-Bags/Pattern-Frosted-Shoppers-with-Tri-Fold-Handles.html' WHERE entity_type='custom' AND target_path=(SELECT CONCAT(url_path, '.html') FROM catalog_category_flat_store_1 WHERE entity_id=558);</v>
      </c>
    </row>
    <row r="698" spans="1:4" x14ac:dyDescent="0.25">
      <c r="A698">
        <f>categories!B698</f>
        <v>559</v>
      </c>
      <c r="B698" t="str">
        <f>SUBSTITUTE(SUBSTITUTE(categories!H698,"\","/"),"www.americanretailsupply.com/","")</f>
        <v>65075/744869/Frosted-Plastic-Bags/Frosted-Merchandise-Bags.html</v>
      </c>
      <c r="C698" t="str">
        <f t="shared" si="20"/>
        <v>INSERT INTO url_rewrite (entity_type, entity_id, redirect_type, store_id, request_path, target_path) VALUES ('custom', 0, 301, 1,'65075/744869/Frosted-Plastic-Bags/Frosted-Merchandise-Bags.html',(SELECT CONCAT(url_path, '.html') FROM catalog_category_flat_store_1 WHERE entity_id=559));</v>
      </c>
      <c r="D698" t="str">
        <f t="shared" si="21"/>
        <v>UPDATE url_rewrite SET request_path = '65075/744869/Frosted-Plastic-Bags/Frosted-Merchandise-Bags.html' WHERE entity_type='custom' AND target_path=(SELECT CONCAT(url_path, '.html') FROM catalog_category_flat_store_1 WHERE entity_id=559);</v>
      </c>
    </row>
    <row r="699" spans="1:4" x14ac:dyDescent="0.25">
      <c r="A699">
        <f>categories!B699</f>
        <v>560</v>
      </c>
      <c r="B699" t="str">
        <f>SUBSTITUTE(SUBSTITUTE(categories!H699,"\","/"),"www.americanretailsupply.com/","")</f>
        <v>65075/773375/Frosted-Plastic-Bags/Precious-Metal-Shoppers-with-Tri-Fold-Handles.html</v>
      </c>
      <c r="C699" t="str">
        <f t="shared" si="20"/>
        <v>INSERT INTO url_rewrite (entity_type, entity_id, redirect_type, store_id, request_path, target_path) VALUES ('custom', 0, 301, 1,'65075/773375/Frosted-Plastic-Bags/Precious-Metal-Shoppers-with-Tri-Fold-Handles.html',(SELECT CONCAT(url_path, '.html') FROM catalog_category_flat_store_1 WHERE entity_id=560));</v>
      </c>
      <c r="D699" t="str">
        <f t="shared" si="21"/>
        <v>UPDATE url_rewrite SET request_path = '65075/773375/Frosted-Plastic-Bags/Precious-Metal-Shoppers-with-Tri-Fold-Handles.html' WHERE entity_type='custom' AND target_path=(SELECT CONCAT(url_path, '.html') FROM catalog_category_flat_store_1 WHERE entity_id=560);</v>
      </c>
    </row>
    <row r="700" spans="1:4" x14ac:dyDescent="0.25">
      <c r="A700">
        <f>categories!B700</f>
        <v>562</v>
      </c>
      <c r="B700" t="str">
        <f>SUBSTITUTE(SUBSTITUTE(categories!H700,"\","/"),"www.americanretailsupply.com/","")</f>
        <v>64711/715928/Gable-Boxes/Gable-Boxes-with-Stock-Prints.html</v>
      </c>
      <c r="C700" t="str">
        <f t="shared" si="20"/>
        <v>INSERT INTO url_rewrite (entity_type, entity_id, redirect_type, store_id, request_path, target_path) VALUES ('custom', 0, 301, 1,'64711/715928/Gable-Boxes/Gable-Boxes-with-Stock-Prints.html',(SELECT CONCAT(url_path, '.html') FROM catalog_category_flat_store_1 WHERE entity_id=562));</v>
      </c>
      <c r="D700" t="str">
        <f t="shared" si="21"/>
        <v>UPDATE url_rewrite SET request_path = '64711/715928/Gable-Boxes/Gable-Boxes-with-Stock-Prints.html' WHERE entity_type='custom' AND target_path=(SELECT CONCAT(url_path, '.html') FROM catalog_category_flat_store_1 WHERE entity_id=562);</v>
      </c>
    </row>
    <row r="701" spans="1:4" x14ac:dyDescent="0.25">
      <c r="A701">
        <f>categories!B701</f>
        <v>564</v>
      </c>
      <c r="B701" t="str">
        <f>SUBSTITUTE(SUBSTITUTE(categories!H701,"\","/"),"www.americanretailsupply.com/","")</f>
        <v>65038/41130/Galvanized-Ball-Tip-PegHooks/Galvanized-Ball-Tip-Standard-Duty-Peg-Hook.html</v>
      </c>
      <c r="C701" t="str">
        <f t="shared" si="20"/>
        <v>INSERT INTO url_rewrite (entity_type, entity_id, redirect_type, store_id, request_path, target_path) VALUES ('custom', 0, 301, 1,'65038/41130/Galvanized-Ball-Tip-PegHooks/Galvanized-Ball-Tip-Standard-Duty-Peg-Hook.html',(SELECT CONCAT(url_path, '.html') FROM catalog_category_flat_store_1 WHERE entity_id=564));</v>
      </c>
      <c r="D701" t="str">
        <f t="shared" si="21"/>
        <v>UPDATE url_rewrite SET request_path = '65038/41130/Galvanized-Ball-Tip-PegHooks/Galvanized-Ball-Tip-Standard-Duty-Peg-Hook.html' WHERE entity_type='custom' AND target_path=(SELECT CONCAT(url_path, '.html') FROM catalog_category_flat_store_1 WHERE entity_id=564);</v>
      </c>
    </row>
    <row r="702" spans="1:4" x14ac:dyDescent="0.25">
      <c r="A702">
        <f>categories!B702</f>
        <v>565</v>
      </c>
      <c r="B702" t="str">
        <f>SUBSTITUTE(SUBSTITUTE(categories!H702,"\","/"),"www.americanretailsupply.com/","")</f>
        <v>65038/41131/Galvanized-Ball-Tip-PegHooks/Galvanized-Ball-Tip-Medium-Duty-Peg-Hook.html</v>
      </c>
      <c r="C702" t="str">
        <f t="shared" si="20"/>
        <v>INSERT INTO url_rewrite (entity_type, entity_id, redirect_type, store_id, request_path, target_path) VALUES ('custom', 0, 301, 1,'65038/41131/Galvanized-Ball-Tip-PegHooks/Galvanized-Ball-Tip-Medium-Duty-Peg-Hook.html',(SELECT CONCAT(url_path, '.html') FROM catalog_category_flat_store_1 WHERE entity_id=565));</v>
      </c>
      <c r="D702" t="str">
        <f t="shared" si="21"/>
        <v>UPDATE url_rewrite SET request_path = '65038/41131/Galvanized-Ball-Tip-PegHooks/Galvanized-Ball-Tip-Medium-Duty-Peg-Hook.html' WHERE entity_type='custom' AND target_path=(SELECT CONCAT(url_path, '.html') FROM catalog_category_flat_store_1 WHERE entity_id=565);</v>
      </c>
    </row>
    <row r="703" spans="1:4" x14ac:dyDescent="0.25">
      <c r="A703">
        <f>categories!B703</f>
        <v>566</v>
      </c>
      <c r="B703" t="str">
        <f>SUBSTITUTE(SUBSTITUTE(categories!H703,"\","/"),"www.americanretailsupply.com/","")</f>
        <v>65038/41133/Galvanized-Ball-Tip-PegHooks/Galvanized-Ball-Tip-Heavy-Duty-Peg-Hook.html</v>
      </c>
      <c r="C703" t="str">
        <f t="shared" si="20"/>
        <v>INSERT INTO url_rewrite (entity_type, entity_id, redirect_type, store_id, request_path, target_path) VALUES ('custom', 0, 301, 1,'65038/41133/Galvanized-Ball-Tip-PegHooks/Galvanized-Ball-Tip-Heavy-Duty-Peg-Hook.html',(SELECT CONCAT(url_path, '.html') FROM catalog_category_flat_store_1 WHERE entity_id=566));</v>
      </c>
      <c r="D703" t="str">
        <f t="shared" si="21"/>
        <v>UPDATE url_rewrite SET request_path = '65038/41133/Galvanized-Ball-Tip-PegHooks/Galvanized-Ball-Tip-Heavy-Duty-Peg-Hook.html' WHERE entity_type='custom' AND target_path=(SELECT CONCAT(url_path, '.html') FROM catalog_category_flat_store_1 WHERE entity_id=566);</v>
      </c>
    </row>
    <row r="704" spans="1:4" x14ac:dyDescent="0.25">
      <c r="A704">
        <f>categories!B704</f>
        <v>568</v>
      </c>
      <c r="B704" t="str">
        <f>SUBSTITUTE(SUBSTITUTE(categories!H704,"\","/"),"www.americanretailsupply.com/","")</f>
        <v>65194/36804/Garment--Hat-Racks/2-Arm-Garment-Racks.html</v>
      </c>
      <c r="C704" t="str">
        <f t="shared" si="20"/>
        <v>INSERT INTO url_rewrite (entity_type, entity_id, redirect_type, store_id, request_path, target_path) VALUES ('custom', 0, 301, 1,'65194/36804/Garment--Hat-Racks/2-Arm-Garment-Racks.html',(SELECT CONCAT(url_path, '.html') FROM catalog_category_flat_store_1 WHERE entity_id=568));</v>
      </c>
      <c r="D704" t="str">
        <f t="shared" si="21"/>
        <v>UPDATE url_rewrite SET request_path = '65194/36804/Garment--Hat-Racks/2-Arm-Garment-Racks.html' WHERE entity_type='custom' AND target_path=(SELECT CONCAT(url_path, '.html') FROM catalog_category_flat_store_1 WHERE entity_id=568);</v>
      </c>
    </row>
    <row r="705" spans="1:4" x14ac:dyDescent="0.25">
      <c r="A705">
        <f>categories!B705</f>
        <v>569</v>
      </c>
      <c r="B705" t="str">
        <f>SUBSTITUTE(SUBSTITUTE(categories!H705,"\","/"),"www.americanretailsupply.com/","")</f>
        <v>65194/36811/Garment--Hat-Racks/4-Arm-Garment-Racks.html</v>
      </c>
      <c r="C705" t="str">
        <f t="shared" si="20"/>
        <v>INSERT INTO url_rewrite (entity_type, entity_id, redirect_type, store_id, request_path, target_path) VALUES ('custom', 0, 301, 1,'65194/36811/Garment--Hat-Racks/4-Arm-Garment-Racks.html',(SELECT CONCAT(url_path, '.html') FROM catalog_category_flat_store_1 WHERE entity_id=569));</v>
      </c>
      <c r="D705" t="str">
        <f t="shared" si="21"/>
        <v>UPDATE url_rewrite SET request_path = '65194/36811/Garment--Hat-Racks/4-Arm-Garment-Racks.html' WHERE entity_type='custom' AND target_path=(SELECT CONCAT(url_path, '.html') FROM catalog_category_flat_store_1 WHERE entity_id=569);</v>
      </c>
    </row>
    <row r="706" spans="1:4" x14ac:dyDescent="0.25">
      <c r="A706">
        <f>categories!B706</f>
        <v>570</v>
      </c>
      <c r="B706" t="str">
        <f>SUBSTITUTE(SUBSTITUTE(categories!H706,"\","/"),"www.americanretailsupply.com/","")</f>
        <v>65194/37060/Garment--Hat-Racks/Rolling-Racks.html</v>
      </c>
      <c r="C706" t="str">
        <f t="shared" si="20"/>
        <v>INSERT INTO url_rewrite (entity_type, entity_id, redirect_type, store_id, request_path, target_path) VALUES ('custom', 0, 301, 1,'65194/37060/Garment--Hat-Racks/Rolling-Racks.html',(SELECT CONCAT(url_path, '.html') FROM catalog_category_flat_store_1 WHERE entity_id=570));</v>
      </c>
      <c r="D706" t="str">
        <f t="shared" si="21"/>
        <v>UPDATE url_rewrite SET request_path = '65194/37060/Garment--Hat-Racks/Rolling-Racks.html' WHERE entity_type='custom' AND target_path=(SELECT CONCAT(url_path, '.html') FROM catalog_category_flat_store_1 WHERE entity_id=570);</v>
      </c>
    </row>
    <row r="707" spans="1:4" x14ac:dyDescent="0.25">
      <c r="A707">
        <f>categories!B707</f>
        <v>571</v>
      </c>
      <c r="B707" t="str">
        <f>SUBSTITUTE(SUBSTITUTE(categories!H707,"\","/"),"www.americanretailsupply.com/","")</f>
        <v>65194/37069/Garment--Hat-Racks/Round-Racks-and-Accessories.html</v>
      </c>
      <c r="C707" t="str">
        <f t="shared" ref="C707:C770" si="22">"INSERT INTO url_rewrite (entity_type, entity_id, redirect_type, store_id, request_path, target_path) VALUES ('custom', 0, 301, 1,'"&amp;B707&amp;"',(SELECT CONCAT(url_path, '.html') FROM catalog_category_flat_store_1 WHERE entity_id="&amp;A707&amp;"));"</f>
        <v>INSERT INTO url_rewrite (entity_type, entity_id, redirect_type, store_id, request_path, target_path) VALUES ('custom', 0, 301, 1,'65194/37069/Garment--Hat-Racks/Round-Racks-and-Accessories.html',(SELECT CONCAT(url_path, '.html') FROM catalog_category_flat_store_1 WHERE entity_id=571));</v>
      </c>
      <c r="D707" t="str">
        <f t="shared" ref="D707:D770" si="23">"UPDATE url_rewrite SET request_path = '"&amp;B707&amp;"' WHERE entity_type='custom' AND target_path=(SELECT CONCAT(url_path, '.html') FROM catalog_category_flat_store_1 WHERE entity_id="&amp;A707&amp;");"</f>
        <v>UPDATE url_rewrite SET request_path = '65194/37069/Garment--Hat-Racks/Round-Racks-and-Accessories.html' WHERE entity_type='custom' AND target_path=(SELECT CONCAT(url_path, '.html') FROM catalog_category_flat_store_1 WHERE entity_id=571);</v>
      </c>
    </row>
    <row r="708" spans="1:4" x14ac:dyDescent="0.25">
      <c r="A708">
        <f>categories!B708</f>
        <v>572</v>
      </c>
      <c r="B708" t="str">
        <f>SUBSTITUTE(SUBSTITUTE(categories!H708,"\","/"),"www.americanretailsupply.com/","")</f>
        <v>65194/37071/Garment--Hat-Racks/Specialty-Racks.html</v>
      </c>
      <c r="C708" t="str">
        <f t="shared" si="22"/>
        <v>INSERT INTO url_rewrite (entity_type, entity_id, redirect_type, store_id, request_path, target_path) VALUES ('custom', 0, 301, 1,'65194/37071/Garment--Hat-Racks/Specialty-Racks.html',(SELECT CONCAT(url_path, '.html') FROM catalog_category_flat_store_1 WHERE entity_id=572));</v>
      </c>
      <c r="D708" t="str">
        <f t="shared" si="23"/>
        <v>UPDATE url_rewrite SET request_path = '65194/37071/Garment--Hat-Racks/Specialty-Racks.html' WHERE entity_type='custom' AND target_path=(SELECT CONCAT(url_path, '.html') FROM catalog_category_flat_store_1 WHERE entity_id=572);</v>
      </c>
    </row>
    <row r="709" spans="1:4" x14ac:dyDescent="0.25">
      <c r="A709">
        <f>categories!B709</f>
        <v>573</v>
      </c>
      <c r="B709" t="str">
        <f>SUBSTITUTE(SUBSTITUTE(categories!H709,"\","/"),"www.americanretailsupply.com/","")</f>
        <v>65194/708556/Garment--Hat-Racks/Floor-Display-Hat-Racks.html</v>
      </c>
      <c r="C709" t="str">
        <f t="shared" si="22"/>
        <v>INSERT INTO url_rewrite (entity_type, entity_id, redirect_type, store_id, request_path, target_path) VALUES ('custom', 0, 301, 1,'65194/708556/Garment--Hat-Racks/Floor-Display-Hat-Racks.html',(SELECT CONCAT(url_path, '.html') FROM catalog_category_flat_store_1 WHERE entity_id=573));</v>
      </c>
      <c r="D709" t="str">
        <f t="shared" si="23"/>
        <v>UPDATE url_rewrite SET request_path = '65194/708556/Garment--Hat-Racks/Floor-Display-Hat-Racks.html' WHERE entity_type='custom' AND target_path=(SELECT CONCAT(url_path, '.html') FROM catalog_category_flat_store_1 WHERE entity_id=573);</v>
      </c>
    </row>
    <row r="710" spans="1:4" x14ac:dyDescent="0.25">
      <c r="A710">
        <f>categories!B710</f>
        <v>574</v>
      </c>
      <c r="B710" t="str">
        <f>SUBSTITUTE(SUBSTITUTE(categories!H710,"\","/"),"www.americanretailsupply.com/","")</f>
        <v>65194/708557/Garment--Hat-Racks/Countertop-Hat-Racks.html</v>
      </c>
      <c r="C710" t="str">
        <f t="shared" si="22"/>
        <v>INSERT INTO url_rewrite (entity_type, entity_id, redirect_type, store_id, request_path, target_path) VALUES ('custom', 0, 301, 1,'65194/708557/Garment--Hat-Racks/Countertop-Hat-Racks.html',(SELECT CONCAT(url_path, '.html') FROM catalog_category_flat_store_1 WHERE entity_id=574));</v>
      </c>
      <c r="D710" t="str">
        <f t="shared" si="23"/>
        <v>UPDATE url_rewrite SET request_path = '65194/708557/Garment--Hat-Racks/Countertop-Hat-Racks.html' WHERE entity_type='custom' AND target_path=(SELECT CONCAT(url_path, '.html') FROM catalog_category_flat_store_1 WHERE entity_id=574);</v>
      </c>
    </row>
    <row r="711" spans="1:4" x14ac:dyDescent="0.25">
      <c r="A711">
        <f>categories!B711</f>
        <v>575</v>
      </c>
      <c r="B711" t="str">
        <f>SUBSTITUTE(SUBSTITUTE(categories!H711,"\","/"),"www.americanretailsupply.com/","")</f>
        <v>65194/784083/Garment--Hat-Racks/Garment-Rack-Replacement-Arms-and-Casters.html</v>
      </c>
      <c r="C711" t="str">
        <f t="shared" si="22"/>
        <v>INSERT INTO url_rewrite (entity_type, entity_id, redirect_type, store_id, request_path, target_path) VALUES ('custom', 0, 301, 1,'65194/784083/Garment--Hat-Racks/Garment-Rack-Replacement-Arms-and-Casters.html',(SELECT CONCAT(url_path, '.html') FROM catalog_category_flat_store_1 WHERE entity_id=575));</v>
      </c>
      <c r="D711" t="str">
        <f t="shared" si="23"/>
        <v>UPDATE url_rewrite SET request_path = '65194/784083/Garment--Hat-Racks/Garment-Rack-Replacement-Arms-and-Casters.html' WHERE entity_type='custom' AND target_path=(SELECT CONCAT(url_path, '.html') FROM catalog_category_flat_store_1 WHERE entity_id=575);</v>
      </c>
    </row>
    <row r="712" spans="1:4" x14ac:dyDescent="0.25">
      <c r="A712">
        <f>categories!B712</f>
        <v>577</v>
      </c>
      <c r="B712" t="str">
        <f>SUBSTITUTE(SUBSTITUTE(categories!H712,"\","/"),"www.americanretailsupply.com/","")</f>
        <v>65198/20277/Garment-Rolls--Bags/Lo-Density-Plastic-Garment-Rolls.html</v>
      </c>
      <c r="C712" t="str">
        <f t="shared" si="22"/>
        <v>INSERT INTO url_rewrite (entity_type, entity_id, redirect_type, store_id, request_path, target_path) VALUES ('custom', 0, 301, 1,'65198/20277/Garment-Rolls--Bags/Lo-Density-Plastic-Garment-Rolls.html',(SELECT CONCAT(url_path, '.html') FROM catalog_category_flat_store_1 WHERE entity_id=577));</v>
      </c>
      <c r="D712" t="str">
        <f t="shared" si="23"/>
        <v>UPDATE url_rewrite SET request_path = '65198/20277/Garment-Rolls--Bags/Lo-Density-Plastic-Garment-Rolls.html' WHERE entity_type='custom' AND target_path=(SELECT CONCAT(url_path, '.html') FROM catalog_category_flat_store_1 WHERE entity_id=577);</v>
      </c>
    </row>
    <row r="713" spans="1:4" x14ac:dyDescent="0.25">
      <c r="A713">
        <f>categories!B713</f>
        <v>578</v>
      </c>
      <c r="B713" t="str">
        <f>SUBSTITUTE(SUBSTITUTE(categories!H713,"\","/"),"www.americanretailsupply.com/","")</f>
        <v>65198/36802/Garment-Rolls--Bags/Salesmans-Garment-Bag-in-Navy-Blue.html</v>
      </c>
      <c r="C713" t="str">
        <f t="shared" si="22"/>
        <v>INSERT INTO url_rewrite (entity_type, entity_id, redirect_type, store_id, request_path, target_path) VALUES ('custom', 0, 301, 1,'65198/36802/Garment-Rolls--Bags/Salesmans-Garment-Bag-in-Navy-Blue.html',(SELECT CONCAT(url_path, '.html') FROM catalog_category_flat_store_1 WHERE entity_id=578));</v>
      </c>
      <c r="D713" t="str">
        <f t="shared" si="23"/>
        <v>UPDATE url_rewrite SET request_path = '65198/36802/Garment-Rolls--Bags/Salesmans-Garment-Bag-in-Navy-Blue.html' WHERE entity_type='custom' AND target_path=(SELECT CONCAT(url_path, '.html') FROM catalog_category_flat_store_1 WHERE entity_id=578);</v>
      </c>
    </row>
    <row r="714" spans="1:4" x14ac:dyDescent="0.25">
      <c r="A714">
        <f>categories!B714</f>
        <v>581</v>
      </c>
      <c r="B714" t="str">
        <f>SUBSTITUTE(SUBSTITUTE(categories!H714,"\","/"),"www.americanretailsupply.com/","")</f>
        <v>64931/173737/Garvey-1-Line-Price-Guns/Garvey-22-1-Line-Labelers.html</v>
      </c>
      <c r="C714" t="str">
        <f t="shared" si="22"/>
        <v>INSERT INTO url_rewrite (entity_type, entity_id, redirect_type, store_id, request_path, target_path) VALUES ('custom', 0, 301, 1,'64931/173737/Garvey-1-Line-Price-Guns/Garvey-22-1-Line-Labelers.html',(SELECT CONCAT(url_path, '.html') FROM catalog_category_flat_store_1 WHERE entity_id=581));</v>
      </c>
      <c r="D714" t="str">
        <f t="shared" si="23"/>
        <v>UPDATE url_rewrite SET request_path = '64931/173737/Garvey-1-Line-Price-Guns/Garvey-22-1-Line-Labelers.html' WHERE entity_type='custom' AND target_path=(SELECT CONCAT(url_path, '.html') FROM catalog_category_flat_store_1 WHERE entity_id=581);</v>
      </c>
    </row>
    <row r="715" spans="1:4" x14ac:dyDescent="0.25">
      <c r="A715">
        <f>categories!B715</f>
        <v>582</v>
      </c>
      <c r="B715" t="str">
        <f>SUBSTITUTE(SUBSTITUTE(categories!H715,"\","/"),"www.americanretailsupply.com/","")</f>
        <v>64931/173738/Garvey-1-Line-Price-Guns/Garvey-Ink-Roller-for-the-Garvey-25.html</v>
      </c>
      <c r="C715" t="str">
        <f t="shared" si="22"/>
        <v>INSERT INTO url_rewrite (entity_type, entity_id, redirect_type, store_id, request_path, target_path) VALUES ('custom', 0, 301, 1,'64931/173738/Garvey-1-Line-Price-Guns/Garvey-Ink-Roller-for-the-Garvey-25.html',(SELECT CONCAT(url_path, '.html') FROM catalog_category_flat_store_1 WHERE entity_id=582));</v>
      </c>
      <c r="D715" t="str">
        <f t="shared" si="23"/>
        <v>UPDATE url_rewrite SET request_path = '64931/173738/Garvey-1-Line-Price-Guns/Garvey-Ink-Roller-for-the-Garvey-25.html' WHERE entity_type='custom' AND target_path=(SELECT CONCAT(url_path, '.html') FROM catalog_category_flat_store_1 WHERE entity_id=582);</v>
      </c>
    </row>
    <row r="716" spans="1:4" x14ac:dyDescent="0.25">
      <c r="A716">
        <f>categories!B716</f>
        <v>583</v>
      </c>
      <c r="B716" t="str">
        <f>SUBSTITUTE(SUBSTITUTE(categories!H716,"\","/"),"www.americanretailsupply.com/","")</f>
        <v>64931/173739/Garvey-1-Line-Price-Guns/Garvey-22-1-Line-Labels.html</v>
      </c>
      <c r="C716" t="str">
        <f t="shared" si="22"/>
        <v>INSERT INTO url_rewrite (entity_type, entity_id, redirect_type, store_id, request_path, target_path) VALUES ('custom', 0, 301, 1,'64931/173739/Garvey-1-Line-Price-Guns/Garvey-22-1-Line-Labels.html',(SELECT CONCAT(url_path, '.html') FROM catalog_category_flat_store_1 WHERE entity_id=583));</v>
      </c>
      <c r="D716" t="str">
        <f t="shared" si="23"/>
        <v>UPDATE url_rewrite SET request_path = '64931/173739/Garvey-1-Line-Price-Guns/Garvey-22-1-Line-Labels.html' WHERE entity_type='custom' AND target_path=(SELECT CONCAT(url_path, '.html') FROM catalog_category_flat_store_1 WHERE entity_id=583);</v>
      </c>
    </row>
    <row r="717" spans="1:4" x14ac:dyDescent="0.25">
      <c r="A717">
        <f>categories!B717</f>
        <v>584</v>
      </c>
      <c r="B717" t="str">
        <f>SUBSTITUTE(SUBSTITUTE(categories!H717,"\","/"),"www.americanretailsupply.com/","")</f>
        <v>64931/173742/Garvey-1-Line-Price-Guns/Garvey-22-Starter-Kit.html</v>
      </c>
      <c r="C717" t="str">
        <f t="shared" si="22"/>
        <v>INSERT INTO url_rewrite (entity_type, entity_id, redirect_type, store_id, request_path, target_path) VALUES ('custom', 0, 301, 1,'64931/173742/Garvey-1-Line-Price-Guns/Garvey-22-Starter-Kit.html',(SELECT CONCAT(url_path, '.html') FROM catalog_category_flat_store_1 WHERE entity_id=584));</v>
      </c>
      <c r="D717" t="str">
        <f t="shared" si="23"/>
        <v>UPDATE url_rewrite SET request_path = '64931/173742/Garvey-1-Line-Price-Guns/Garvey-22-Starter-Kit.html' WHERE entity_type='custom' AND target_path=(SELECT CONCAT(url_path, '.html') FROM catalog_category_flat_store_1 WHERE entity_id=584);</v>
      </c>
    </row>
    <row r="718" spans="1:4" x14ac:dyDescent="0.25">
      <c r="A718">
        <f>categories!B718</f>
        <v>585</v>
      </c>
      <c r="B718" t="str">
        <f>SUBSTITUTE(SUBSTITUTE(categories!H718,"\","/"),"www.americanretailsupply.com/","")</f>
        <v>64931/173745/Garvey-1-Line-Price-Guns/Garvey-25-1-Line-Labels.html</v>
      </c>
      <c r="C718" t="str">
        <f t="shared" si="22"/>
        <v>INSERT INTO url_rewrite (entity_type, entity_id, redirect_type, store_id, request_path, target_path) VALUES ('custom', 0, 301, 1,'64931/173745/Garvey-1-Line-Price-Guns/Garvey-25-1-Line-Labels.html',(SELECT CONCAT(url_path, '.html') FROM catalog_category_flat_store_1 WHERE entity_id=585));</v>
      </c>
      <c r="D718" t="str">
        <f t="shared" si="23"/>
        <v>UPDATE url_rewrite SET request_path = '64931/173745/Garvey-1-Line-Price-Guns/Garvey-25-1-Line-Labels.html' WHERE entity_type='custom' AND target_path=(SELECT CONCAT(url_path, '.html') FROM catalog_category_flat_store_1 WHERE entity_id=585);</v>
      </c>
    </row>
    <row r="719" spans="1:4" x14ac:dyDescent="0.25">
      <c r="A719">
        <f>categories!B719</f>
        <v>586</v>
      </c>
      <c r="B719" t="str">
        <f>SUBSTITUTE(SUBSTITUTE(categories!H719,"\","/"),"www.americanretailsupply.com/","")</f>
        <v>64931/173747/Garvey-1-Line-Price-Guns/Garvey-18-1-Line-Labels.html</v>
      </c>
      <c r="C719" t="str">
        <f t="shared" si="22"/>
        <v>INSERT INTO url_rewrite (entity_type, entity_id, redirect_type, store_id, request_path, target_path) VALUES ('custom', 0, 301, 1,'64931/173747/Garvey-1-Line-Price-Guns/Garvey-18-1-Line-Labels.html',(SELECT CONCAT(url_path, '.html') FROM catalog_category_flat_store_1 WHERE entity_id=586));</v>
      </c>
      <c r="D719" t="str">
        <f t="shared" si="23"/>
        <v>UPDATE url_rewrite SET request_path = '64931/173747/Garvey-1-Line-Price-Guns/Garvey-18-1-Line-Labels.html' WHERE entity_type='custom' AND target_path=(SELECT CONCAT(url_path, '.html') FROM catalog_category_flat_store_1 WHERE entity_id=586);</v>
      </c>
    </row>
    <row r="720" spans="1:4" x14ac:dyDescent="0.25">
      <c r="A720">
        <f>categories!B720</f>
        <v>587</v>
      </c>
      <c r="B720" t="str">
        <f>SUBSTITUTE(SUBSTITUTE(categories!H720,"\","/"),"www.americanretailsupply.com/","")</f>
        <v>64931/445664/Garvey-1-Line-Price-Guns/Garvey-25-1-Line-Promotional-Price-Gun.html</v>
      </c>
      <c r="C720" t="str">
        <f t="shared" si="22"/>
        <v>INSERT INTO url_rewrite (entity_type, entity_id, redirect_type, store_id, request_path, target_path) VALUES ('custom', 0, 301, 1,'64931/445664/Garvey-1-Line-Price-Guns/Garvey-25-1-Line-Promotional-Price-Gun.html',(SELECT CONCAT(url_path, '.html') FROM catalog_category_flat_store_1 WHERE entity_id=587));</v>
      </c>
      <c r="D720" t="str">
        <f t="shared" si="23"/>
        <v>UPDATE url_rewrite SET request_path = '64931/445664/Garvey-1-Line-Price-Guns/Garvey-25-1-Line-Promotional-Price-Gun.html' WHERE entity_type='custom' AND target_path=(SELECT CONCAT(url_path, '.html') FROM catalog_category_flat_store_1 WHERE entity_id=587);</v>
      </c>
    </row>
    <row r="721" spans="1:4" x14ac:dyDescent="0.25">
      <c r="A721">
        <f>categories!B721</f>
        <v>588</v>
      </c>
      <c r="B721" t="str">
        <f>SUBSTITUTE(SUBSTITUTE(categories!H721,"\","/"),"www.americanretailsupply.com/","")</f>
        <v>64931/445665/Garvey-1-Line-Price-Guns/Garvey-25-Labels.html</v>
      </c>
      <c r="C721" t="str">
        <f t="shared" si="22"/>
        <v>INSERT INTO url_rewrite (entity_type, entity_id, redirect_type, store_id, request_path, target_path) VALUES ('custom', 0, 301, 1,'64931/445665/Garvey-1-Line-Price-Guns/Garvey-25-Labels.html',(SELECT CONCAT(url_path, '.html') FROM catalog_category_flat_store_1 WHERE entity_id=588));</v>
      </c>
      <c r="D721" t="str">
        <f t="shared" si="23"/>
        <v>UPDATE url_rewrite SET request_path = '64931/445665/Garvey-1-Line-Price-Guns/Garvey-25-Labels.html' WHERE entity_type='custom' AND target_path=(SELECT CONCAT(url_path, '.html') FROM catalog_category_flat_store_1 WHERE entity_id=588);</v>
      </c>
    </row>
    <row r="722" spans="1:4" x14ac:dyDescent="0.25">
      <c r="A722">
        <f>categories!B722</f>
        <v>590</v>
      </c>
      <c r="B722" t="str">
        <f>SUBSTITUTE(SUBSTITUTE(categories!H722,"\","/"),"www.americanretailsupply.com/","")</f>
        <v>64932/173740/Garvey-2-Line-Price-Guns/Garvey-22-2-Line-Labelers.html</v>
      </c>
      <c r="C722" t="str">
        <f t="shared" si="22"/>
        <v>INSERT INTO url_rewrite (entity_type, entity_id, redirect_type, store_id, request_path, target_path) VALUES ('custom', 0, 301, 1,'64932/173740/Garvey-2-Line-Price-Guns/Garvey-22-2-Line-Labelers.html',(SELECT CONCAT(url_path, '.html') FROM catalog_category_flat_store_1 WHERE entity_id=590));</v>
      </c>
      <c r="D722" t="str">
        <f t="shared" si="23"/>
        <v>UPDATE url_rewrite SET request_path = '64932/173740/Garvey-2-Line-Price-Guns/Garvey-22-2-Line-Labelers.html' WHERE entity_type='custom' AND target_path=(SELECT CONCAT(url_path, '.html') FROM catalog_category_flat_store_1 WHERE entity_id=590);</v>
      </c>
    </row>
    <row r="723" spans="1:4" x14ac:dyDescent="0.25">
      <c r="A723">
        <f>categories!B723</f>
        <v>591</v>
      </c>
      <c r="B723" t="str">
        <f>SUBSTITUTE(SUBSTITUTE(categories!H723,"\","/"),"www.americanretailsupply.com/","")</f>
        <v>64932/173741/Garvey-2-Line-Price-Guns/Garvey-22-2-Line-Labels.html</v>
      </c>
      <c r="C723" t="str">
        <f t="shared" si="22"/>
        <v>INSERT INTO url_rewrite (entity_type, entity_id, redirect_type, store_id, request_path, target_path) VALUES ('custom', 0, 301, 1,'64932/173741/Garvey-2-Line-Price-Guns/Garvey-22-2-Line-Labels.html',(SELECT CONCAT(url_path, '.html') FROM catalog_category_flat_store_1 WHERE entity_id=591));</v>
      </c>
      <c r="D723" t="str">
        <f t="shared" si="23"/>
        <v>UPDATE url_rewrite SET request_path = '64932/173741/Garvey-2-Line-Price-Guns/Garvey-22-2-Line-Labels.html' WHERE entity_type='custom' AND target_path=(SELECT CONCAT(url_path, '.html') FROM catalog_category_flat_store_1 WHERE entity_id=591);</v>
      </c>
    </row>
    <row r="724" spans="1:4" x14ac:dyDescent="0.25">
      <c r="A724">
        <f>categories!B724</f>
        <v>592</v>
      </c>
      <c r="B724" t="str">
        <f>SUBSTITUTE(SUBSTITUTE(categories!H724,"\","/"),"www.americanretailsupply.com/","")</f>
        <v>64932/173743/Garvey-2-Line-Price-Guns/Starter-Kit.html</v>
      </c>
      <c r="C724" t="str">
        <f t="shared" si="22"/>
        <v>INSERT INTO url_rewrite (entity_type, entity_id, redirect_type, store_id, request_path, target_path) VALUES ('custom', 0, 301, 1,'64932/173743/Garvey-2-Line-Price-Guns/Starter-Kit.html',(SELECT CONCAT(url_path, '.html') FROM catalog_category_flat_store_1 WHERE entity_id=592));</v>
      </c>
      <c r="D724" t="str">
        <f t="shared" si="23"/>
        <v>UPDATE url_rewrite SET request_path = '64932/173743/Garvey-2-Line-Price-Guns/Starter-Kit.html' WHERE entity_type='custom' AND target_path=(SELECT CONCAT(url_path, '.html') FROM catalog_category_flat_store_1 WHERE entity_id=592);</v>
      </c>
    </row>
    <row r="725" spans="1:4" x14ac:dyDescent="0.25">
      <c r="A725">
        <f>categories!B725</f>
        <v>594</v>
      </c>
      <c r="B725" t="str">
        <f>SUBSTITUTE(SUBSTITUTE(categories!H725,"\","/"),"www.americanretailsupply.com/","")</f>
        <v>64706/18448/Gift-Boxes/Pillow-Packs.html</v>
      </c>
      <c r="C725" t="str">
        <f t="shared" si="22"/>
        <v>INSERT INTO url_rewrite (entity_type, entity_id, redirect_type, store_id, request_path, target_path) VALUES ('custom', 0, 301, 1,'64706/18448/Gift-Boxes/Pillow-Packs.html',(SELECT CONCAT(url_path, '.html') FROM catalog_category_flat_store_1 WHERE entity_id=594));</v>
      </c>
      <c r="D725" t="str">
        <f t="shared" si="23"/>
        <v>UPDATE url_rewrite SET request_path = '64706/18448/Gift-Boxes/Pillow-Packs.html' WHERE entity_type='custom' AND target_path=(SELECT CONCAT(url_path, '.html') FROM catalog_category_flat_store_1 WHERE entity_id=594);</v>
      </c>
    </row>
    <row r="726" spans="1:4" x14ac:dyDescent="0.25">
      <c r="A726">
        <f>categories!B726</f>
        <v>595</v>
      </c>
      <c r="B726" t="str">
        <f>SUBSTITUTE(SUBSTITUTE(categories!H726,"\","/"),"www.americanretailsupply.com/","")</f>
        <v>64706/18594/Gift-Boxes/Tinted-Kraft-Tuckit-Gift-Boxes.html</v>
      </c>
      <c r="C726" t="str">
        <f t="shared" si="22"/>
        <v>INSERT INTO url_rewrite (entity_type, entity_id, redirect_type, store_id, request_path, target_path) VALUES ('custom', 0, 301, 1,'64706/18594/Gift-Boxes/Tinted-Kraft-Tuckit-Gift-Boxes.html',(SELECT CONCAT(url_path, '.html') FROM catalog_category_flat_store_1 WHERE entity_id=595));</v>
      </c>
      <c r="D726" t="str">
        <f t="shared" si="23"/>
        <v>UPDATE url_rewrite SET request_path = '64706/18594/Gift-Boxes/Tinted-Kraft-Tuckit-Gift-Boxes.html' WHERE entity_type='custom' AND target_path=(SELECT CONCAT(url_path, '.html') FROM catalog_category_flat_store_1 WHERE entity_id=595);</v>
      </c>
    </row>
    <row r="727" spans="1:4" x14ac:dyDescent="0.25">
      <c r="A727">
        <f>categories!B727</f>
        <v>596</v>
      </c>
      <c r="B727" t="str">
        <f>SUBSTITUTE(SUBSTITUTE(categories!H727,"\","/"),"www.americanretailsupply.com/","")</f>
        <v>64706/172856/Gift-Boxes/View-Top-Stationery-Boxes.html</v>
      </c>
      <c r="C727" t="str">
        <f t="shared" si="22"/>
        <v>INSERT INTO url_rewrite (entity_type, entity_id, redirect_type, store_id, request_path, target_path) VALUES ('custom', 0, 301, 1,'64706/172856/Gift-Boxes/View-Top-Stationery-Boxes.html',(SELECT CONCAT(url_path, '.html') FROM catalog_category_flat_store_1 WHERE entity_id=596));</v>
      </c>
      <c r="D727" t="str">
        <f t="shared" si="23"/>
        <v>UPDATE url_rewrite SET request_path = '64706/172856/Gift-Boxes/View-Top-Stationery-Boxes.html' WHERE entity_type='custom' AND target_path=(SELECT CONCAT(url_path, '.html') FROM catalog_category_flat_store_1 WHERE entity_id=596);</v>
      </c>
    </row>
    <row r="728" spans="1:4" x14ac:dyDescent="0.25">
      <c r="A728">
        <f>categories!B728</f>
        <v>597</v>
      </c>
      <c r="B728" t="str">
        <f>SUBSTITUTE(SUBSTITUTE(categories!H728,"\","/"),"www.americanretailsupply.com/","")</f>
        <v>64706/476449/Gift-Boxes/Two-Piece-Hat-Boxes.html</v>
      </c>
      <c r="C728" t="str">
        <f t="shared" si="22"/>
        <v>INSERT INTO url_rewrite (entity_type, entity_id, redirect_type, store_id, request_path, target_path) VALUES ('custom', 0, 301, 1,'64706/476449/Gift-Boxes/Two-Piece-Hat-Boxes.html',(SELECT CONCAT(url_path, '.html') FROM catalog_category_flat_store_1 WHERE entity_id=597));</v>
      </c>
      <c r="D728" t="str">
        <f t="shared" si="23"/>
        <v>UPDATE url_rewrite SET request_path = '64706/476449/Gift-Boxes/Two-Piece-Hat-Boxes.html' WHERE entity_type='custom' AND target_path=(SELECT CONCAT(url_path, '.html') FROM catalog_category_flat_store_1 WHERE entity_id=597);</v>
      </c>
    </row>
    <row r="729" spans="1:4" x14ac:dyDescent="0.25">
      <c r="A729">
        <f>categories!B729</f>
        <v>598</v>
      </c>
      <c r="B729" t="str">
        <f>SUBSTITUTE(SUBSTITUTE(categories!H729,"\","/"),"www.americanretailsupply.com/","")</f>
        <v>64706/777022/Gift-Boxes/Gift-Box-Assortments.html</v>
      </c>
      <c r="C729" t="str">
        <f t="shared" si="22"/>
        <v>INSERT INTO url_rewrite (entity_type, entity_id, redirect_type, store_id, request_path, target_path) VALUES ('custom', 0, 301, 1,'64706/777022/Gift-Boxes/Gift-Box-Assortments.html',(SELECT CONCAT(url_path, '.html') FROM catalog_category_flat_store_1 WHERE entity_id=598));</v>
      </c>
      <c r="D729" t="str">
        <f t="shared" si="23"/>
        <v>UPDATE url_rewrite SET request_path = '64706/777022/Gift-Boxes/Gift-Box-Assortments.html' WHERE entity_type='custom' AND target_path=(SELECT CONCAT(url_path, '.html') FROM catalog_category_flat_store_1 WHERE entity_id=598);</v>
      </c>
    </row>
    <row r="730" spans="1:4" x14ac:dyDescent="0.25">
      <c r="A730">
        <f>categories!B730</f>
        <v>599</v>
      </c>
      <c r="B730" t="str">
        <f>SUBSTITUTE(SUBSTITUTE(categories!H730,"\","/"),"www.americanretailsupply.com/","")</f>
        <v>64706/780198/Gift-Boxes/White-Folding-Gift-Boxes.html</v>
      </c>
      <c r="C730" t="str">
        <f t="shared" si="22"/>
        <v>INSERT INTO url_rewrite (entity_type, entity_id, redirect_type, store_id, request_path, target_path) VALUES ('custom', 0, 301, 1,'64706/780198/Gift-Boxes/White-Folding-Gift-Boxes.html',(SELECT CONCAT(url_path, '.html') FROM catalog_category_flat_store_1 WHERE entity_id=599));</v>
      </c>
      <c r="D730" t="str">
        <f t="shared" si="23"/>
        <v>UPDATE url_rewrite SET request_path = '64706/780198/Gift-Boxes/White-Folding-Gift-Boxes.html' WHERE entity_type='custom' AND target_path=(SELECT CONCAT(url_path, '.html') FROM catalog_category_flat_store_1 WHERE entity_id=599);</v>
      </c>
    </row>
    <row r="731" spans="1:4" x14ac:dyDescent="0.25">
      <c r="A731">
        <f>categories!B731</f>
        <v>600</v>
      </c>
      <c r="B731" t="str">
        <f>SUBSTITUTE(SUBSTITUTE(categories!H731,"\","/"),"www.americanretailsupply.com/","")</f>
        <v>64706/780199/Gift-Boxes/Kraft-Folding-Gift-Boxes.html</v>
      </c>
      <c r="C731" t="str">
        <f t="shared" si="22"/>
        <v>INSERT INTO url_rewrite (entity_type, entity_id, redirect_type, store_id, request_path, target_path) VALUES ('custom', 0, 301, 1,'64706/780199/Gift-Boxes/Kraft-Folding-Gift-Boxes.html',(SELECT CONCAT(url_path, '.html') FROM catalog_category_flat_store_1 WHERE entity_id=600));</v>
      </c>
      <c r="D731" t="str">
        <f t="shared" si="23"/>
        <v>UPDATE url_rewrite SET request_path = '64706/780199/Gift-Boxes/Kraft-Folding-Gift-Boxes.html' WHERE entity_type='custom' AND target_path=(SELECT CONCAT(url_path, '.html') FROM catalog_category_flat_store_1 WHERE entity_id=600);</v>
      </c>
    </row>
    <row r="732" spans="1:4" x14ac:dyDescent="0.25">
      <c r="A732">
        <f>categories!B732</f>
        <v>602</v>
      </c>
      <c r="B732" t="str">
        <f>SUBSTITUTE(SUBSTITUTE(categories!H732,"\","/"),"www.americanretailsupply.com/","")</f>
        <v>65764/715752/Gift-Card-Boxes-and-Purse-Totes/Pop-Up-Gift-Card-Boxes.html</v>
      </c>
      <c r="C732" t="str">
        <f t="shared" si="22"/>
        <v>INSERT INTO url_rewrite (entity_type, entity_id, redirect_type, store_id, request_path, target_path) VALUES ('custom', 0, 301, 1,'65764/715752/Gift-Card-Boxes-and-Purse-Totes/Pop-Up-Gift-Card-Boxes.html',(SELECT CONCAT(url_path, '.html') FROM catalog_category_flat_store_1 WHERE entity_id=602));</v>
      </c>
      <c r="D732" t="str">
        <f t="shared" si="23"/>
        <v>UPDATE url_rewrite SET request_path = '65764/715752/Gift-Card-Boxes-and-Purse-Totes/Pop-Up-Gift-Card-Boxes.html' WHERE entity_type='custom' AND target_path=(SELECT CONCAT(url_path, '.html') FROM catalog_category_flat_store_1 WHERE entity_id=602);</v>
      </c>
    </row>
    <row r="733" spans="1:4" x14ac:dyDescent="0.25">
      <c r="A733">
        <f>categories!B733</f>
        <v>604</v>
      </c>
      <c r="B733" t="str">
        <f>SUBSTITUTE(SUBSTITUTE(categories!H733,"\","/"),"www.americanretailsupply.com/","")</f>
        <v>64987/130646/Gift-Cards/Acrylic-Gift-Card-Holder-Display.html</v>
      </c>
      <c r="C733" t="str">
        <f t="shared" si="22"/>
        <v>INSERT INTO url_rewrite (entity_type, entity_id, redirect_type, store_id, request_path, target_path) VALUES ('custom', 0, 301, 1,'64987/130646/Gift-Cards/Acrylic-Gift-Card-Holder-Display.html',(SELECT CONCAT(url_path, '.html') FROM catalog_category_flat_store_1 WHERE entity_id=604));</v>
      </c>
      <c r="D733" t="str">
        <f t="shared" si="23"/>
        <v>UPDATE url_rewrite SET request_path = '64987/130646/Gift-Cards/Acrylic-Gift-Card-Holder-Display.html' WHERE entity_type='custom' AND target_path=(SELECT CONCAT(url_path, '.html') FROM catalog_category_flat_store_1 WHERE entity_id=604);</v>
      </c>
    </row>
    <row r="734" spans="1:4" x14ac:dyDescent="0.25">
      <c r="A734">
        <f>categories!B734</f>
        <v>605</v>
      </c>
      <c r="B734" t="str">
        <f>SUBSTITUTE(SUBSTITUTE(categories!H734,"\","/"),"www.americanretailsupply.com/","")</f>
        <v>64987/236144/Gift-Cards/Gift-Card-Holders.html</v>
      </c>
      <c r="C734" t="str">
        <f t="shared" si="22"/>
        <v>INSERT INTO url_rewrite (entity_type, entity_id, redirect_type, store_id, request_path, target_path) VALUES ('custom', 0, 301, 1,'64987/236144/Gift-Cards/Gift-Card-Holders.html',(SELECT CONCAT(url_path, '.html') FROM catalog_category_flat_store_1 WHERE entity_id=605));</v>
      </c>
      <c r="D734" t="str">
        <f t="shared" si="23"/>
        <v>UPDATE url_rewrite SET request_path = '64987/236144/Gift-Cards/Gift-Card-Holders.html' WHERE entity_type='custom' AND target_path=(SELECT CONCAT(url_path, '.html') FROM catalog_category_flat_store_1 WHERE entity_id=605);</v>
      </c>
    </row>
    <row r="735" spans="1:4" x14ac:dyDescent="0.25">
      <c r="A735">
        <f>categories!B735</f>
        <v>606</v>
      </c>
      <c r="B735" t="str">
        <f>SUBSTITUTE(SUBSTITUTE(categories!H735,"\","/"),"www.americanretailsupply.com/","")</f>
        <v>64987/784159/Gift-Cards/Gift-Card-Journal-Entry-Binder.html</v>
      </c>
      <c r="C735" t="str">
        <f t="shared" si="22"/>
        <v>INSERT INTO url_rewrite (entity_type, entity_id, redirect_type, store_id, request_path, target_path) VALUES ('custom', 0, 301, 1,'64987/784159/Gift-Cards/Gift-Card-Journal-Entry-Binder.html',(SELECT CONCAT(url_path, '.html') FROM catalog_category_flat_store_1 WHERE entity_id=606));</v>
      </c>
      <c r="D735" t="str">
        <f t="shared" si="23"/>
        <v>UPDATE url_rewrite SET request_path = '64987/784159/Gift-Cards/Gift-Card-Journal-Entry-Binder.html' WHERE entity_type='custom' AND target_path=(SELECT CONCAT(url_path, '.html') FROM catalog_category_flat_store_1 WHERE entity_id=606);</v>
      </c>
    </row>
    <row r="736" spans="1:4" x14ac:dyDescent="0.25">
      <c r="A736">
        <f>categories!B736</f>
        <v>608</v>
      </c>
      <c r="B736" t="str">
        <f>SUBSTITUTE(SUBSTITUTE(categories!H736,"\","/"),"www.americanretailsupply.com/","")</f>
        <v>64751/22328/Gift-Enclosure-Cards/Everyday-Designs-for-Gift-Enclosure-Cards.html</v>
      </c>
      <c r="C736" t="str">
        <f t="shared" si="22"/>
        <v>INSERT INTO url_rewrite (entity_type, entity_id, redirect_type, store_id, request_path, target_path) VALUES ('custom', 0, 301, 1,'64751/22328/Gift-Enclosure-Cards/Everyday-Designs-for-Gift-Enclosure-Cards.html',(SELECT CONCAT(url_path, '.html') FROM catalog_category_flat_store_1 WHERE entity_id=608));</v>
      </c>
      <c r="D736" t="str">
        <f t="shared" si="23"/>
        <v>UPDATE url_rewrite SET request_path = '64751/22328/Gift-Enclosure-Cards/Everyday-Designs-for-Gift-Enclosure-Cards.html' WHERE entity_type='custom' AND target_path=(SELECT CONCAT(url_path, '.html') FROM catalog_category_flat_store_1 WHERE entity_id=608);</v>
      </c>
    </row>
    <row r="737" spans="1:4" x14ac:dyDescent="0.25">
      <c r="A737">
        <f>categories!B737</f>
        <v>609</v>
      </c>
      <c r="B737" t="str">
        <f>SUBSTITUTE(SUBSTITUTE(categories!H737,"\","/"),"www.americanretailsupply.com/","")</f>
        <v>64751/48347/Gift-Enclosure-Cards/Envelopes-for-Gift-Enclosure-Cards.html</v>
      </c>
      <c r="C737" t="str">
        <f t="shared" si="22"/>
        <v>INSERT INTO url_rewrite (entity_type, entity_id, redirect_type, store_id, request_path, target_path) VALUES ('custom', 0, 301, 1,'64751/48347/Gift-Enclosure-Cards/Envelopes-for-Gift-Enclosure-Cards.html',(SELECT CONCAT(url_path, '.html') FROM catalog_category_flat_store_1 WHERE entity_id=609));</v>
      </c>
      <c r="D737" t="str">
        <f t="shared" si="23"/>
        <v>UPDATE url_rewrite SET request_path = '64751/48347/Gift-Enclosure-Cards/Envelopes-for-Gift-Enclosure-Cards.html' WHERE entity_type='custom' AND target_path=(SELECT CONCAT(url_path, '.html') FROM catalog_category_flat_store_1 WHERE entity_id=609);</v>
      </c>
    </row>
    <row r="738" spans="1:4" x14ac:dyDescent="0.25">
      <c r="A738">
        <f>categories!B738</f>
        <v>610</v>
      </c>
      <c r="B738" t="str">
        <f>SUBSTITUTE(SUBSTITUTE(categories!H738,"\","/"),"www.americanretailsupply.com/","")</f>
        <v>64751/48348/Gift-Enclosure-Cards/Christmas-and-Holiday-Gift-Enclosure-Cards.html</v>
      </c>
      <c r="C738" t="str">
        <f t="shared" si="22"/>
        <v>INSERT INTO url_rewrite (entity_type, entity_id, redirect_type, store_id, request_path, target_path) VALUES ('custom', 0, 301, 1,'64751/48348/Gift-Enclosure-Cards/Christmas-and-Holiday-Gift-Enclosure-Cards.html',(SELECT CONCAT(url_path, '.html') FROM catalog_category_flat_store_1 WHERE entity_id=610));</v>
      </c>
      <c r="D738" t="str">
        <f t="shared" si="23"/>
        <v>UPDATE url_rewrite SET request_path = '64751/48348/Gift-Enclosure-Cards/Christmas-and-Holiday-Gift-Enclosure-Cards.html' WHERE entity_type='custom' AND target_path=(SELECT CONCAT(url_path, '.html') FROM catalog_category_flat_store_1 WHERE entity_id=610);</v>
      </c>
    </row>
    <row r="739" spans="1:4" x14ac:dyDescent="0.25">
      <c r="A739">
        <f>categories!B739</f>
        <v>612</v>
      </c>
      <c r="B739" t="str">
        <f>SUBSTITUTE(SUBSTITUTE(categories!H739,"\","/"),"www.americanretailsupply.com/","")</f>
        <v>65007/742366/Giftwrap-in-Animal-Prints/Giftwrap-in-Animal-Print-Patterns.html</v>
      </c>
      <c r="C739" t="str">
        <f t="shared" si="22"/>
        <v>INSERT INTO url_rewrite (entity_type, entity_id, redirect_type, store_id, request_path, target_path) VALUES ('custom', 0, 301, 1,'65007/742366/Giftwrap-in-Animal-Prints/Giftwrap-in-Animal-Print-Patterns.html',(SELECT CONCAT(url_path, '.html') FROM catalog_category_flat_store_1 WHERE entity_id=612));</v>
      </c>
      <c r="D739" t="str">
        <f t="shared" si="23"/>
        <v>UPDATE url_rewrite SET request_path = '65007/742366/Giftwrap-in-Animal-Prints/Giftwrap-in-Animal-Print-Patterns.html' WHERE entity_type='custom' AND target_path=(SELECT CONCAT(url_path, '.html') FROM catalog_category_flat_store_1 WHERE entity_id=612);</v>
      </c>
    </row>
    <row r="740" spans="1:4" x14ac:dyDescent="0.25">
      <c r="A740">
        <f>categories!B740</f>
        <v>614</v>
      </c>
      <c r="B740" t="str">
        <f>SUBSTITUTE(SUBSTITUTE(categories!H740,"\","/"),"www.americanretailsupply.com/","")</f>
        <v>64860/48238/Giftwrap-Ribbon-Tissue-Racks/Multi-Roll-Paper--GiftWrap-Cutters.html</v>
      </c>
      <c r="C740" t="str">
        <f t="shared" si="22"/>
        <v>INSERT INTO url_rewrite (entity_type, entity_id, redirect_type, store_id, request_path, target_path) VALUES ('custom', 0, 301, 1,'64860/48238/Giftwrap-Ribbon-Tissue-Racks/Multi-Roll-Paper--GiftWrap-Cutters.html',(SELECT CONCAT(url_path, '.html') FROM catalog_category_flat_store_1 WHERE entity_id=614));</v>
      </c>
      <c r="D740" t="str">
        <f t="shared" si="23"/>
        <v>UPDATE url_rewrite SET request_path = '64860/48238/Giftwrap-Ribbon-Tissue-Racks/Multi-Roll-Paper--GiftWrap-Cutters.html' WHERE entity_type='custom' AND target_path=(SELECT CONCAT(url_path, '.html') FROM catalog_category_flat_store_1 WHERE entity_id=614);</v>
      </c>
    </row>
    <row r="741" spans="1:4" x14ac:dyDescent="0.25">
      <c r="A741">
        <f>categories!B741</f>
        <v>615</v>
      </c>
      <c r="B741" t="str">
        <f>SUBSTITUTE(SUBSTITUTE(categories!H741,"\","/"),"www.americanretailsupply.com/","")</f>
        <v>64860/48239/Giftwrap-Ribbon-Tissue-Racks/Serrated-Edge-Single-Paper-Cutter.html</v>
      </c>
      <c r="C741" t="str">
        <f t="shared" si="22"/>
        <v>INSERT INTO url_rewrite (entity_type, entity_id, redirect_type, store_id, request_path, target_path) VALUES ('custom', 0, 301, 1,'64860/48239/Giftwrap-Ribbon-Tissue-Racks/Serrated-Edge-Single-Paper-Cutter.html',(SELECT CONCAT(url_path, '.html') FROM catalog_category_flat_store_1 WHERE entity_id=615));</v>
      </c>
      <c r="D741" t="str">
        <f t="shared" si="23"/>
        <v>UPDATE url_rewrite SET request_path = '64860/48239/Giftwrap-Ribbon-Tissue-Racks/Serrated-Edge-Single-Paper-Cutter.html' WHERE entity_type='custom' AND target_path=(SELECT CONCAT(url_path, '.html') FROM catalog_category_flat_store_1 WHERE entity_id=615);</v>
      </c>
    </row>
    <row r="742" spans="1:4" x14ac:dyDescent="0.25">
      <c r="A742">
        <f>categories!B742</f>
        <v>616</v>
      </c>
      <c r="B742" t="str">
        <f>SUBSTITUTE(SUBSTITUTE(categories!H742,"\","/"),"www.americanretailsupply.com/","")</f>
        <v>64860/48240/Giftwrap-Ribbon-Tissue-Racks/Single-Roll-Paper-Cutters.html</v>
      </c>
      <c r="C742" t="str">
        <f t="shared" si="22"/>
        <v>INSERT INTO url_rewrite (entity_type, entity_id, redirect_type, store_id, request_path, target_path) VALUES ('custom', 0, 301, 1,'64860/48240/Giftwrap-Ribbon-Tissue-Racks/Single-Roll-Paper-Cutters.html',(SELECT CONCAT(url_path, '.html') FROM catalog_category_flat_store_1 WHERE entity_id=616));</v>
      </c>
      <c r="D742" t="str">
        <f t="shared" si="23"/>
        <v>UPDATE url_rewrite SET request_path = '64860/48240/Giftwrap-Ribbon-Tissue-Racks/Single-Roll-Paper-Cutters.html' WHERE entity_type='custom' AND target_path=(SELECT CONCAT(url_path, '.html') FROM catalog_category_flat_store_1 WHERE entity_id=616);</v>
      </c>
    </row>
    <row r="743" spans="1:4" x14ac:dyDescent="0.25">
      <c r="A743">
        <f>categories!B743</f>
        <v>617</v>
      </c>
      <c r="B743" t="str">
        <f>SUBSTITUTE(SUBSTITUTE(categories!H743,"\","/"),"www.americanretailsupply.com/","")</f>
        <v>64860/172982/Giftwrap-Ribbon-Tissue-Racks/Tissue-Display-Racks.html</v>
      </c>
      <c r="C743" t="str">
        <f t="shared" si="22"/>
        <v>INSERT INTO url_rewrite (entity_type, entity_id, redirect_type, store_id, request_path, target_path) VALUES ('custom', 0, 301, 1,'64860/172982/Giftwrap-Ribbon-Tissue-Racks/Tissue-Display-Racks.html',(SELECT CONCAT(url_path, '.html') FROM catalog_category_flat_store_1 WHERE entity_id=617));</v>
      </c>
      <c r="D743" t="str">
        <f t="shared" si="23"/>
        <v>UPDATE url_rewrite SET request_path = '64860/172982/Giftwrap-Ribbon-Tissue-Racks/Tissue-Display-Racks.html' WHERE entity_type='custom' AND target_path=(SELECT CONCAT(url_path, '.html') FROM catalog_category_flat_store_1 WHERE entity_id=617);</v>
      </c>
    </row>
    <row r="744" spans="1:4" x14ac:dyDescent="0.25">
      <c r="A744">
        <f>categories!B744</f>
        <v>618</v>
      </c>
      <c r="B744" t="str">
        <f>SUBSTITUTE(SUBSTITUTE(categories!H744,"\","/"),"www.americanretailsupply.com/","")</f>
        <v>64860/779930/Giftwrap-Ribbon-Tissue-Racks/Ribbon-Dispenser-for-Flat-Ribbon.html</v>
      </c>
      <c r="C744" t="str">
        <f t="shared" si="22"/>
        <v>INSERT INTO url_rewrite (entity_type, entity_id, redirect_type, store_id, request_path, target_path) VALUES ('custom', 0, 301, 1,'64860/779930/Giftwrap-Ribbon-Tissue-Racks/Ribbon-Dispenser-for-Flat-Ribbon.html',(SELECT CONCAT(url_path, '.html') FROM catalog_category_flat_store_1 WHERE entity_id=618));</v>
      </c>
      <c r="D744" t="str">
        <f t="shared" si="23"/>
        <v>UPDATE url_rewrite SET request_path = '64860/779930/Giftwrap-Ribbon-Tissue-Racks/Ribbon-Dispenser-for-Flat-Ribbon.html' WHERE entity_type='custom' AND target_path=(SELECT CONCAT(url_path, '.html') FROM catalog_category_flat_store_1 WHERE entity_id=618);</v>
      </c>
    </row>
    <row r="745" spans="1:4" x14ac:dyDescent="0.25">
      <c r="A745">
        <f>categories!B745</f>
        <v>619</v>
      </c>
      <c r="B745" t="str">
        <f>SUBSTITUTE(SUBSTITUTE(categories!H745,"\","/"),"www.americanretailsupply.com/","")</f>
        <v>64860/779931/Giftwrap-Ribbon-Tissue-Racks/Ribbon-Dispenser-for-Curling-Ribbon.html</v>
      </c>
      <c r="C745" t="str">
        <f t="shared" si="22"/>
        <v>INSERT INTO url_rewrite (entity_type, entity_id, redirect_type, store_id, request_path, target_path) VALUES ('custom', 0, 301, 1,'64860/779931/Giftwrap-Ribbon-Tissue-Racks/Ribbon-Dispenser-for-Curling-Ribbon.html',(SELECT CONCAT(url_path, '.html') FROM catalog_category_flat_store_1 WHERE entity_id=619));</v>
      </c>
      <c r="D745" t="str">
        <f t="shared" si="23"/>
        <v>UPDATE url_rewrite SET request_path = '64860/779931/Giftwrap-Ribbon-Tissue-Racks/Ribbon-Dispenser-for-Curling-Ribbon.html' WHERE entity_type='custom' AND target_path=(SELECT CONCAT(url_path, '.html') FROM catalog_category_flat_store_1 WHERE entity_id=619);</v>
      </c>
    </row>
    <row r="746" spans="1:4" x14ac:dyDescent="0.25">
      <c r="A746">
        <f>categories!B746</f>
        <v>622</v>
      </c>
      <c r="B746" t="str">
        <f>SUBSTITUTE(SUBSTITUTE(categories!H746,"\","/"),"www.americanretailsupply.com/","")</f>
        <v>64971/37172/Glass-Connectors/2-Way.html</v>
      </c>
      <c r="C746" t="str">
        <f t="shared" si="22"/>
        <v>INSERT INTO url_rewrite (entity_type, entity_id, redirect_type, store_id, request_path, target_path) VALUES ('custom', 0, 301, 1,'64971/37172/Glass-Connectors/2-Way.html',(SELECT CONCAT(url_path, '.html') FROM catalog_category_flat_store_1 WHERE entity_id=622));</v>
      </c>
      <c r="D746" t="str">
        <f t="shared" si="23"/>
        <v>UPDATE url_rewrite SET request_path = '64971/37172/Glass-Connectors/2-Way.html' WHERE entity_type='custom' AND target_path=(SELECT CONCAT(url_path, '.html') FROM catalog_category_flat_store_1 WHERE entity_id=622);</v>
      </c>
    </row>
    <row r="747" spans="1:4" x14ac:dyDescent="0.25">
      <c r="A747">
        <f>categories!B747</f>
        <v>623</v>
      </c>
      <c r="B747" t="str">
        <f>SUBSTITUTE(SUBSTITUTE(categories!H747,"\","/"),"www.americanretailsupply.com/","")</f>
        <v>64971/37173/Glass-Connectors/3-Way.html</v>
      </c>
      <c r="C747" t="str">
        <f t="shared" si="22"/>
        <v>INSERT INTO url_rewrite (entity_type, entity_id, redirect_type, store_id, request_path, target_path) VALUES ('custom', 0, 301, 1,'64971/37173/Glass-Connectors/3-Way.html',(SELECT CONCAT(url_path, '.html') FROM catalog_category_flat_store_1 WHERE entity_id=623));</v>
      </c>
      <c r="D747" t="str">
        <f t="shared" si="23"/>
        <v>UPDATE url_rewrite SET request_path = '64971/37173/Glass-Connectors/3-Way.html' WHERE entity_type='custom' AND target_path=(SELECT CONCAT(url_path, '.html') FROM catalog_category_flat_store_1 WHERE entity_id=623);</v>
      </c>
    </row>
    <row r="748" spans="1:4" x14ac:dyDescent="0.25">
      <c r="A748">
        <f>categories!B748</f>
        <v>624</v>
      </c>
      <c r="B748" t="str">
        <f>SUBSTITUTE(SUBSTITUTE(categories!H748,"\","/"),"www.americanretailsupply.com/","")</f>
        <v>64971/37174/Glass-Connectors/4-Way.html</v>
      </c>
      <c r="C748" t="str">
        <f t="shared" si="22"/>
        <v>INSERT INTO url_rewrite (entity_type, entity_id, redirect_type, store_id, request_path, target_path) VALUES ('custom', 0, 301, 1,'64971/37174/Glass-Connectors/4-Way.html',(SELECT CONCAT(url_path, '.html') FROM catalog_category_flat_store_1 WHERE entity_id=624));</v>
      </c>
      <c r="D748" t="str">
        <f t="shared" si="23"/>
        <v>UPDATE url_rewrite SET request_path = '64971/37174/Glass-Connectors/4-Way.html' WHERE entity_type='custom' AND target_path=(SELECT CONCAT(url_path, '.html') FROM catalog_category_flat_store_1 WHERE entity_id=624);</v>
      </c>
    </row>
    <row r="749" spans="1:4" x14ac:dyDescent="0.25">
      <c r="A749">
        <f>categories!B749</f>
        <v>625</v>
      </c>
      <c r="B749" t="str">
        <f>SUBSTITUTE(SUBSTITUTE(categories!H749,"\","/"),"www.americanretailsupply.com/","")</f>
        <v>64971/37175/Glass-Connectors/Hinge.html</v>
      </c>
      <c r="C749" t="str">
        <f t="shared" si="22"/>
        <v>INSERT INTO url_rewrite (entity_type, entity_id, redirect_type, store_id, request_path, target_path) VALUES ('custom', 0, 301, 1,'64971/37175/Glass-Connectors/Hinge.html',(SELECT CONCAT(url_path, '.html') FROM catalog_category_flat_store_1 WHERE entity_id=625));</v>
      </c>
      <c r="D749" t="str">
        <f t="shared" si="23"/>
        <v>UPDATE url_rewrite SET request_path = '64971/37175/Glass-Connectors/Hinge.html' WHERE entity_type='custom' AND target_path=(SELECT CONCAT(url_path, '.html') FROM catalog_category_flat_store_1 WHERE entity_id=625);</v>
      </c>
    </row>
    <row r="750" spans="1:4" x14ac:dyDescent="0.25">
      <c r="A750">
        <f>categories!B750</f>
        <v>626</v>
      </c>
      <c r="B750" t="str">
        <f>SUBSTITUTE(SUBSTITUTE(categories!H750,"\","/"),"www.americanretailsupply.com/","")</f>
        <v>64971/37176/Glass-Connectors/Hasp.html</v>
      </c>
      <c r="C750" t="str">
        <f t="shared" si="22"/>
        <v>INSERT INTO url_rewrite (entity_type, entity_id, redirect_type, store_id, request_path, target_path) VALUES ('custom', 0, 301, 1,'64971/37176/Glass-Connectors/Hasp.html',(SELECT CONCAT(url_path, '.html') FROM catalog_category_flat_store_1 WHERE entity_id=626));</v>
      </c>
      <c r="D750" t="str">
        <f t="shared" si="23"/>
        <v>UPDATE url_rewrite SET request_path = '64971/37176/Glass-Connectors/Hasp.html' WHERE entity_type='custom' AND target_path=(SELECT CONCAT(url_path, '.html') FROM catalog_category_flat_store_1 WHERE entity_id=626);</v>
      </c>
    </row>
    <row r="751" spans="1:4" x14ac:dyDescent="0.25">
      <c r="A751">
        <f>categories!B751</f>
        <v>627</v>
      </c>
      <c r="B751" t="str">
        <f>SUBSTITUTE(SUBSTITUTE(categories!H751,"\","/"),"www.americanretailsupply.com/","")</f>
        <v>64971/47634/Glass-Connectors/Combination-Lock.html</v>
      </c>
      <c r="C751" t="str">
        <f t="shared" si="22"/>
        <v>INSERT INTO url_rewrite (entity_type, entity_id, redirect_type, store_id, request_path, target_path) VALUES ('custom', 0, 301, 1,'64971/47634/Glass-Connectors/Combination-Lock.html',(SELECT CONCAT(url_path, '.html') FROM catalog_category_flat_store_1 WHERE entity_id=627));</v>
      </c>
      <c r="D751" t="str">
        <f t="shared" si="23"/>
        <v>UPDATE url_rewrite SET request_path = '64971/47634/Glass-Connectors/Combination-Lock.html' WHERE entity_type='custom' AND target_path=(SELECT CONCAT(url_path, '.html') FROM catalog_category_flat_store_1 WHERE entity_id=627);</v>
      </c>
    </row>
    <row r="752" spans="1:4" x14ac:dyDescent="0.25">
      <c r="A752">
        <f>categories!B752</f>
        <v>628</v>
      </c>
      <c r="B752" t="str">
        <f>SUBSTITUTE(SUBSTITUTE(categories!H752,"\","/"),"www.americanretailsupply.com/","")</f>
        <v>64971/47635/Glass-Connectors/Clear-Shelf-Rests.html</v>
      </c>
      <c r="C752" t="str">
        <f t="shared" si="22"/>
        <v>INSERT INTO url_rewrite (entity_type, entity_id, redirect_type, store_id, request_path, target_path) VALUES ('custom', 0, 301, 1,'64971/47635/Glass-Connectors/Clear-Shelf-Rests.html',(SELECT CONCAT(url_path, '.html') FROM catalog_category_flat_store_1 WHERE entity_id=628));</v>
      </c>
      <c r="D752" t="str">
        <f t="shared" si="23"/>
        <v>UPDATE url_rewrite SET request_path = '64971/47635/Glass-Connectors/Clear-Shelf-Rests.html' WHERE entity_type='custom' AND target_path=(SELECT CONCAT(url_path, '.html') FROM catalog_category_flat_store_1 WHERE entity_id=628);</v>
      </c>
    </row>
    <row r="753" spans="1:4" x14ac:dyDescent="0.25">
      <c r="A753">
        <f>categories!B753</f>
        <v>629</v>
      </c>
      <c r="B753" t="str">
        <f>SUBSTITUTE(SUBSTITUTE(categories!H753,"\","/"),"www.americanretailsupply.com/","")</f>
        <v>64971/231679/Glass-Connectors/3-Way-Adjustable.html</v>
      </c>
      <c r="C753" t="str">
        <f t="shared" si="22"/>
        <v>INSERT INTO url_rewrite (entity_type, entity_id, redirect_type, store_id, request_path, target_path) VALUES ('custom', 0, 301, 1,'64971/231679/Glass-Connectors/3-Way-Adjustable.html',(SELECT CONCAT(url_path, '.html') FROM catalog_category_flat_store_1 WHERE entity_id=629));</v>
      </c>
      <c r="D753" t="str">
        <f t="shared" si="23"/>
        <v>UPDATE url_rewrite SET request_path = '64971/231679/Glass-Connectors/3-Way-Adjustable.html' WHERE entity_type='custom' AND target_path=(SELECT CONCAT(url_path, '.html') FROM catalog_category_flat_store_1 WHERE entity_id=629);</v>
      </c>
    </row>
    <row r="754" spans="1:4" x14ac:dyDescent="0.25">
      <c r="A754">
        <f>categories!B754</f>
        <v>631</v>
      </c>
      <c r="B754" t="str">
        <f>SUBSTITUTE(SUBSTITUTE(categories!H754,"\","/"),"www.americanretailsupply.com/","")</f>
        <v>64947/2701/Gridwall--Slatgrid-Panels/Slatgrid-Panels.html</v>
      </c>
      <c r="C754" t="str">
        <f t="shared" si="22"/>
        <v>INSERT INTO url_rewrite (entity_type, entity_id, redirect_type, store_id, request_path, target_path) VALUES ('custom', 0, 301, 1,'64947/2701/Gridwall--Slatgrid-Panels/Slatgrid-Panels.html',(SELECT CONCAT(url_path, '.html') FROM catalog_category_flat_store_1 WHERE entity_id=631));</v>
      </c>
      <c r="D754" t="str">
        <f t="shared" si="23"/>
        <v>UPDATE url_rewrite SET request_path = '64947/2701/Gridwall--Slatgrid-Panels/Slatgrid-Panels.html' WHERE entity_type='custom' AND target_path=(SELECT CONCAT(url_path, '.html') FROM catalog_category_flat_store_1 WHERE entity_id=631);</v>
      </c>
    </row>
    <row r="755" spans="1:4" x14ac:dyDescent="0.25">
      <c r="A755">
        <f>categories!B755</f>
        <v>632</v>
      </c>
      <c r="B755" t="str">
        <f>SUBSTITUTE(SUBSTITUTE(categories!H755,"\","/"),"www.americanretailsupply.com/","")</f>
        <v>64947/2704/Gridwall--Slatgrid-Panels/Gridwall-Panels.html</v>
      </c>
      <c r="C755" t="str">
        <f t="shared" si="22"/>
        <v>INSERT INTO url_rewrite (entity_type, entity_id, redirect_type, store_id, request_path, target_path) VALUES ('custom', 0, 301, 1,'64947/2704/Gridwall--Slatgrid-Panels/Gridwall-Panels.html',(SELECT CONCAT(url_path, '.html') FROM catalog_category_flat_store_1 WHERE entity_id=632));</v>
      </c>
      <c r="D755" t="str">
        <f t="shared" si="23"/>
        <v>UPDATE url_rewrite SET request_path = '64947/2704/Gridwall--Slatgrid-Panels/Gridwall-Panels.html' WHERE entity_type='custom' AND target_path=(SELECT CONCAT(url_path, '.html') FROM catalog_category_flat_store_1 WHERE entity_id=632);</v>
      </c>
    </row>
    <row r="756" spans="1:4" x14ac:dyDescent="0.25">
      <c r="A756">
        <f>categories!B756</f>
        <v>634</v>
      </c>
      <c r="B756" t="str">
        <f>SUBSTITUTE(SUBSTITUTE(categories!H756,"\","/"),"www.americanretailsupply.com/","")</f>
        <v>64951/36212/Gridwall-Connectors/Joining-Clips.html</v>
      </c>
      <c r="C756" t="str">
        <f t="shared" si="22"/>
        <v>INSERT INTO url_rewrite (entity_type, entity_id, redirect_type, store_id, request_path, target_path) VALUES ('custom', 0, 301, 1,'64951/36212/Gridwall-Connectors/Joining-Clips.html',(SELECT CONCAT(url_path, '.html') FROM catalog_category_flat_store_1 WHERE entity_id=634));</v>
      </c>
      <c r="D756" t="str">
        <f t="shared" si="23"/>
        <v>UPDATE url_rewrite SET request_path = '64951/36212/Gridwall-Connectors/Joining-Clips.html' WHERE entity_type='custom' AND target_path=(SELECT CONCAT(url_path, '.html') FROM catalog_category_flat_store_1 WHERE entity_id=634);</v>
      </c>
    </row>
    <row r="757" spans="1:4" x14ac:dyDescent="0.25">
      <c r="A757">
        <f>categories!B757</f>
        <v>635</v>
      </c>
      <c r="B757" t="str">
        <f>SUBSTITUTE(SUBSTITUTE(categories!H757,"\","/"),"www.americanretailsupply.com/","")</f>
        <v>64951/36213/Gridwall-Connectors/Wall-to-Grid-Bracket.html</v>
      </c>
      <c r="C757" t="str">
        <f t="shared" si="22"/>
        <v>INSERT INTO url_rewrite (entity_type, entity_id, redirect_type, store_id, request_path, target_path) VALUES ('custom', 0, 301, 1,'64951/36213/Gridwall-Connectors/Wall-to-Grid-Bracket.html',(SELECT CONCAT(url_path, '.html') FROM catalog_category_flat_store_1 WHERE entity_id=635));</v>
      </c>
      <c r="D757" t="str">
        <f t="shared" si="23"/>
        <v>UPDATE url_rewrite SET request_path = '64951/36213/Gridwall-Connectors/Wall-to-Grid-Bracket.html' WHERE entity_type='custom' AND target_path=(SELECT CONCAT(url_path, '.html') FROM catalog_category_flat_store_1 WHERE entity_id=635);</v>
      </c>
    </row>
    <row r="758" spans="1:4" x14ac:dyDescent="0.25">
      <c r="A758">
        <f>categories!B758</f>
        <v>636</v>
      </c>
      <c r="B758" t="str">
        <f>SUBSTITUTE(SUBSTITUTE(categories!H758,"\","/"),"www.americanretailsupply.com/","")</f>
        <v>64951/36214/Gridwall-Connectors/Universal-Standard-to-Grid-Bracket.html</v>
      </c>
      <c r="C758" t="str">
        <f t="shared" si="22"/>
        <v>INSERT INTO url_rewrite (entity_type, entity_id, redirect_type, store_id, request_path, target_path) VALUES ('custom', 0, 301, 1,'64951/36214/Gridwall-Connectors/Universal-Standard-to-Grid-Bracket.html',(SELECT CONCAT(url_path, '.html') FROM catalog_category_flat_store_1 WHERE entity_id=636));</v>
      </c>
      <c r="D758" t="str">
        <f t="shared" si="23"/>
        <v>UPDATE url_rewrite SET request_path = '64951/36214/Gridwall-Connectors/Universal-Standard-to-Grid-Bracket.html' WHERE entity_type='custom' AND target_path=(SELECT CONCAT(url_path, '.html') FROM catalog_category_flat_store_1 WHERE entity_id=636);</v>
      </c>
    </row>
    <row r="759" spans="1:4" x14ac:dyDescent="0.25">
      <c r="A759">
        <f>categories!B759</f>
        <v>637</v>
      </c>
      <c r="B759" t="str">
        <f>SUBSTITUTE(SUBSTITUTE(categories!H759,"\","/"),"www.americanretailsupply.com/","")</f>
        <v>64951/36216/Gridwall-Connectors/Slatwall-to-Grid-Bracket.html</v>
      </c>
      <c r="C759" t="str">
        <f t="shared" si="22"/>
        <v>INSERT INTO url_rewrite (entity_type, entity_id, redirect_type, store_id, request_path, target_path) VALUES ('custom', 0, 301, 1,'64951/36216/Gridwall-Connectors/Slatwall-to-Grid-Bracket.html',(SELECT CONCAT(url_path, '.html') FROM catalog_category_flat_store_1 WHERE entity_id=637));</v>
      </c>
      <c r="D759" t="str">
        <f t="shared" si="23"/>
        <v>UPDATE url_rewrite SET request_path = '64951/36216/Gridwall-Connectors/Slatwall-to-Grid-Bracket.html' WHERE entity_type='custom' AND target_path=(SELECT CONCAT(url_path, '.html') FROM catalog_category_flat_store_1 WHERE entity_id=637);</v>
      </c>
    </row>
    <row r="760" spans="1:4" x14ac:dyDescent="0.25">
      <c r="A760">
        <f>categories!B760</f>
        <v>638</v>
      </c>
      <c r="B760" t="str">
        <f>SUBSTITUTE(SUBSTITUTE(categories!H760,"\","/"),"www.americanretailsupply.com/","")</f>
        <v>64951/228793/Gridwall-Connectors/Cable-Ties.html</v>
      </c>
      <c r="C760" t="str">
        <f t="shared" si="22"/>
        <v>INSERT INTO url_rewrite (entity_type, entity_id, redirect_type, store_id, request_path, target_path) VALUES ('custom', 0, 301, 1,'64951/228793/Gridwall-Connectors/Cable-Ties.html',(SELECT CONCAT(url_path, '.html') FROM catalog_category_flat_store_1 WHERE entity_id=638));</v>
      </c>
      <c r="D760" t="str">
        <f t="shared" si="23"/>
        <v>UPDATE url_rewrite SET request_path = '64951/228793/Gridwall-Connectors/Cable-Ties.html' WHERE entity_type='custom' AND target_path=(SELECT CONCAT(url_path, '.html') FROM catalog_category_flat_store_1 WHERE entity_id=638);</v>
      </c>
    </row>
    <row r="761" spans="1:4" x14ac:dyDescent="0.25">
      <c r="A761">
        <f>categories!B761</f>
        <v>640</v>
      </c>
      <c r="B761" t="str">
        <f>SUBSTITUTE(SUBSTITUTE(categories!H761,"\","/"),"www.americanretailsupply.com/","")</f>
        <v>64950/35393/Gridwall-Display-Bases/Gridwall-Gondola-Base.html</v>
      </c>
      <c r="C761" t="str">
        <f t="shared" si="22"/>
        <v>INSERT INTO url_rewrite (entity_type, entity_id, redirect_type, store_id, request_path, target_path) VALUES ('custom', 0, 301, 1,'64950/35393/Gridwall-Display-Bases/Gridwall-Gondola-Base.html',(SELECT CONCAT(url_path, '.html') FROM catalog_category_flat_store_1 WHERE entity_id=640));</v>
      </c>
      <c r="D761" t="str">
        <f t="shared" si="23"/>
        <v>UPDATE url_rewrite SET request_path = '64950/35393/Gridwall-Display-Bases/Gridwall-Gondola-Base.html' WHERE entity_type='custom' AND target_path=(SELECT CONCAT(url_path, '.html') FROM catalog_category_flat_store_1 WHERE entity_id=640);</v>
      </c>
    </row>
    <row r="762" spans="1:4" x14ac:dyDescent="0.25">
      <c r="A762">
        <f>categories!B762</f>
        <v>641</v>
      </c>
      <c r="B762" t="str">
        <f>SUBSTITUTE(SUBSTITUTE(categories!H762,"\","/"),"www.americanretailsupply.com/","")</f>
        <v>64950/35394/Gridwall-Display-Bases/Star-Base.html</v>
      </c>
      <c r="C762" t="str">
        <f t="shared" si="22"/>
        <v>INSERT INTO url_rewrite (entity_type, entity_id, redirect_type, store_id, request_path, target_path) VALUES ('custom', 0, 301, 1,'64950/35394/Gridwall-Display-Bases/Star-Base.html',(SELECT CONCAT(url_path, '.html') FROM catalog_category_flat_store_1 WHERE entity_id=641));</v>
      </c>
      <c r="D762" t="str">
        <f t="shared" si="23"/>
        <v>UPDATE url_rewrite SET request_path = '64950/35394/Gridwall-Display-Bases/Star-Base.html' WHERE entity_type='custom' AND target_path=(SELECT CONCAT(url_path, '.html') FROM catalog_category_flat_store_1 WHERE entity_id=641);</v>
      </c>
    </row>
    <row r="763" spans="1:4" x14ac:dyDescent="0.25">
      <c r="A763">
        <f>categories!B763</f>
        <v>642</v>
      </c>
      <c r="B763" t="str">
        <f>SUBSTITUTE(SUBSTITUTE(categories!H763,"\","/"),"www.americanretailsupply.com/","")</f>
        <v>64950/35395/Gridwall-Display-Bases/Gridwall-Display-Legs.html</v>
      </c>
      <c r="C763" t="str">
        <f t="shared" si="22"/>
        <v>INSERT INTO url_rewrite (entity_type, entity_id, redirect_type, store_id, request_path, target_path) VALUES ('custom', 0, 301, 1,'64950/35395/Gridwall-Display-Bases/Gridwall-Display-Legs.html',(SELECT CONCAT(url_path, '.html') FROM catalog_category_flat_store_1 WHERE entity_id=642));</v>
      </c>
      <c r="D763" t="str">
        <f t="shared" si="23"/>
        <v>UPDATE url_rewrite SET request_path = '64950/35395/Gridwall-Display-Bases/Gridwall-Display-Legs.html' WHERE entity_type='custom' AND target_path=(SELECT CONCAT(url_path, '.html') FROM catalog_category_flat_store_1 WHERE entity_id=642);</v>
      </c>
    </row>
    <row r="764" spans="1:4" x14ac:dyDescent="0.25">
      <c r="A764">
        <f>categories!B764</f>
        <v>643</v>
      </c>
      <c r="B764" t="str">
        <f>SUBSTITUTE(SUBSTITUTE(categories!H764,"\","/"),"www.americanretailsupply.com/","")</f>
        <v>64950/35396/Gridwall-Display-Bases/Triangle-Base.html</v>
      </c>
      <c r="C764" t="str">
        <f t="shared" si="22"/>
        <v>INSERT INTO url_rewrite (entity_type, entity_id, redirect_type, store_id, request_path, target_path) VALUES ('custom', 0, 301, 1,'64950/35396/Gridwall-Display-Bases/Triangle-Base.html',(SELECT CONCAT(url_path, '.html') FROM catalog_category_flat_store_1 WHERE entity_id=643));</v>
      </c>
      <c r="D764" t="str">
        <f t="shared" si="23"/>
        <v>UPDATE url_rewrite SET request_path = '64950/35396/Gridwall-Display-Bases/Triangle-Base.html' WHERE entity_type='custom' AND target_path=(SELECT CONCAT(url_path, '.html') FROM catalog_category_flat_store_1 WHERE entity_id=643);</v>
      </c>
    </row>
    <row r="765" spans="1:4" x14ac:dyDescent="0.25">
      <c r="A765">
        <f>categories!B765</f>
        <v>645</v>
      </c>
      <c r="B765" t="str">
        <f>SUBSTITUTE(SUBSTITUTE(categories!H765,"\","/"),"www.americanretailsupply.com/","")</f>
        <v>64948/34096/Gridwall-Metal-Attachments/Gridwall-Flat-Wire-Shelf.html</v>
      </c>
      <c r="C765" t="str">
        <f t="shared" si="22"/>
        <v>INSERT INTO url_rewrite (entity_type, entity_id, redirect_type, store_id, request_path, target_path) VALUES ('custom', 0, 301, 1,'64948/34096/Gridwall-Metal-Attachments/Gridwall-Flat-Wire-Shelf.html',(SELECT CONCAT(url_path, '.html') FROM catalog_category_flat_store_1 WHERE entity_id=645));</v>
      </c>
      <c r="D765" t="str">
        <f t="shared" si="23"/>
        <v>UPDATE url_rewrite SET request_path = '64948/34096/Gridwall-Metal-Attachments/Gridwall-Flat-Wire-Shelf.html' WHERE entity_type='custom' AND target_path=(SELECT CONCAT(url_path, '.html') FROM catalog_category_flat_store_1 WHERE entity_id=645);</v>
      </c>
    </row>
    <row r="766" spans="1:4" x14ac:dyDescent="0.25">
      <c r="A766">
        <f>categories!B766</f>
        <v>646</v>
      </c>
      <c r="B766" t="str">
        <f>SUBSTITUTE(SUBSTITUTE(categories!H766,"\","/"),"www.americanretailsupply.com/","")</f>
        <v>64948/34302/Gridwall-Metal-Attachments/Shelf-Rest-with-Rubber-Buttons-for-Glass-Shelves.html</v>
      </c>
      <c r="C766" t="str">
        <f t="shared" si="22"/>
        <v>INSERT INTO url_rewrite (entity_type, entity_id, redirect_type, store_id, request_path, target_path) VALUES ('custom', 0, 301, 1,'64948/34302/Gridwall-Metal-Attachments/Shelf-Rest-with-Rubber-Buttons-for-Glass-Shelves.html',(SELECT CONCAT(url_path, '.html') FROM catalog_category_flat_store_1 WHERE entity_id=646));</v>
      </c>
      <c r="D766" t="str">
        <f t="shared" si="23"/>
        <v>UPDATE url_rewrite SET request_path = '64948/34302/Gridwall-Metal-Attachments/Shelf-Rest-with-Rubber-Buttons-for-Glass-Shelves.html' WHERE entity_type='custom' AND target_path=(SELECT CONCAT(url_path, '.html') FROM catalog_category_flat_store_1 WHERE entity_id=646);</v>
      </c>
    </row>
    <row r="767" spans="1:4" x14ac:dyDescent="0.25">
      <c r="A767">
        <f>categories!B767</f>
        <v>647</v>
      </c>
      <c r="B767" t="str">
        <f>SUBSTITUTE(SUBSTITUTE(categories!H767,"\","/"),"www.americanretailsupply.com/","")</f>
        <v>64948/35383/Gridwall-Metal-Attachments/Gridwall-Heavy-Duty-Hook-14-Diameter-90-tip.html</v>
      </c>
      <c r="C767" t="str">
        <f t="shared" si="22"/>
        <v>INSERT INTO url_rewrite (entity_type, entity_id, redirect_type, store_id, request_path, target_path) VALUES ('custom', 0, 301, 1,'64948/35383/Gridwall-Metal-Attachments/Gridwall-Heavy-Duty-Hook-14-Diameter-90-tip.html',(SELECT CONCAT(url_path, '.html') FROM catalog_category_flat_store_1 WHERE entity_id=647));</v>
      </c>
      <c r="D767" t="str">
        <f t="shared" si="23"/>
        <v>UPDATE url_rewrite SET request_path = '64948/35383/Gridwall-Metal-Attachments/Gridwall-Heavy-Duty-Hook-14-Diameter-90-tip.html' WHERE entity_type='custom' AND target_path=(SELECT CONCAT(url_path, '.html') FROM catalog_category_flat_store_1 WHERE entity_id=647);</v>
      </c>
    </row>
    <row r="768" spans="1:4" x14ac:dyDescent="0.25">
      <c r="A768">
        <f>categories!B768</f>
        <v>648</v>
      </c>
      <c r="B768" t="str">
        <f>SUBSTITUTE(SUBSTITUTE(categories!H768,"\","/"),"www.americanretailsupply.com/","")</f>
        <v>64948/35384/Gridwall-Metal-Attachments/Gridwall-Heavy-Duty-Hook-14-Diameter-45-tip.html</v>
      </c>
      <c r="C768" t="str">
        <f t="shared" si="22"/>
        <v>INSERT INTO url_rewrite (entity_type, entity_id, redirect_type, store_id, request_path, target_path) VALUES ('custom', 0, 301, 1,'64948/35384/Gridwall-Metal-Attachments/Gridwall-Heavy-Duty-Hook-14-Diameter-45-tip.html',(SELECT CONCAT(url_path, '.html') FROM catalog_category_flat_store_1 WHERE entity_id=648));</v>
      </c>
      <c r="D768" t="str">
        <f t="shared" si="23"/>
        <v>UPDATE url_rewrite SET request_path = '64948/35384/Gridwall-Metal-Attachments/Gridwall-Heavy-Duty-Hook-14-Diameter-45-tip.html' WHERE entity_type='custom' AND target_path=(SELECT CONCAT(url_path, '.html') FROM catalog_category_flat_store_1 WHERE entity_id=648);</v>
      </c>
    </row>
    <row r="769" spans="1:4" x14ac:dyDescent="0.25">
      <c r="A769">
        <f>categories!B769</f>
        <v>649</v>
      </c>
      <c r="B769" t="str">
        <f>SUBSTITUTE(SUBSTITUTE(categories!H769,"\","/"),"www.americanretailsupply.com/","")</f>
        <v>64948/35385/Gridwall-Metal-Attachments/Gridwall-Hook--Regular-Duty.html</v>
      </c>
      <c r="C769" t="str">
        <f t="shared" si="22"/>
        <v>INSERT INTO url_rewrite (entity_type, entity_id, redirect_type, store_id, request_path, target_path) VALUES ('custom', 0, 301, 1,'64948/35385/Gridwall-Metal-Attachments/Gridwall-Hook--Regular-Duty.html',(SELECT CONCAT(url_path, '.html') FROM catalog_category_flat_store_1 WHERE entity_id=649));</v>
      </c>
      <c r="D769" t="str">
        <f t="shared" si="23"/>
        <v>UPDATE url_rewrite SET request_path = '64948/35385/Gridwall-Metal-Attachments/Gridwall-Hook--Regular-Duty.html' WHERE entity_type='custom' AND target_path=(SELECT CONCAT(url_path, '.html') FROM catalog_category_flat_store_1 WHERE entity_id=649);</v>
      </c>
    </row>
    <row r="770" spans="1:4" x14ac:dyDescent="0.25">
      <c r="A770">
        <f>categories!B770</f>
        <v>650</v>
      </c>
      <c r="B770" t="str">
        <f>SUBSTITUTE(SUBSTITUTE(categories!H770,"\","/"),"www.americanretailsupply.com/","")</f>
        <v>64948/35386/Gridwall-Metal-Attachments/Gridwall-Straight-Faceout.html</v>
      </c>
      <c r="C770" t="str">
        <f t="shared" si="22"/>
        <v>INSERT INTO url_rewrite (entity_type, entity_id, redirect_type, store_id, request_path, target_path) VALUES ('custom', 0, 301, 1,'64948/35386/Gridwall-Metal-Attachments/Gridwall-Straight-Faceout.html',(SELECT CONCAT(url_path, '.html') FROM catalog_category_flat_store_1 WHERE entity_id=650));</v>
      </c>
      <c r="D770" t="str">
        <f t="shared" si="23"/>
        <v>UPDATE url_rewrite SET request_path = '64948/35386/Gridwall-Metal-Attachments/Gridwall-Straight-Faceout.html' WHERE entity_type='custom' AND target_path=(SELECT CONCAT(url_path, '.html') FROM catalog_category_flat_store_1 WHERE entity_id=650);</v>
      </c>
    </row>
    <row r="771" spans="1:4" x14ac:dyDescent="0.25">
      <c r="A771">
        <f>categories!B771</f>
        <v>651</v>
      </c>
      <c r="B771" t="str">
        <f>SUBSTITUTE(SUBSTITUTE(categories!H771,"\","/"),"www.americanretailsupply.com/","")</f>
        <v>64948/35387/Gridwall-Metal-Attachments/Gridwall-Waterfall-with-Ball-Stops.html</v>
      </c>
      <c r="C771" t="str">
        <f t="shared" ref="C771:C834" si="24">"INSERT INTO url_rewrite (entity_type, entity_id, redirect_type, store_id, request_path, target_path) VALUES ('custom', 0, 301, 1,'"&amp;B771&amp;"',(SELECT CONCAT(url_path, '.html') FROM catalog_category_flat_store_1 WHERE entity_id="&amp;A771&amp;"));"</f>
        <v>INSERT INTO url_rewrite (entity_type, entity_id, redirect_type, store_id, request_path, target_path) VALUES ('custom', 0, 301, 1,'64948/35387/Gridwall-Metal-Attachments/Gridwall-Waterfall-with-Ball-Stops.html',(SELECT CONCAT(url_path, '.html') FROM catalog_category_flat_store_1 WHERE entity_id=651));</v>
      </c>
      <c r="D771" t="str">
        <f t="shared" ref="D771:D834" si="25">"UPDATE url_rewrite SET request_path = '"&amp;B771&amp;"' WHERE entity_type='custom' AND target_path=(SELECT CONCAT(url_path, '.html') FROM catalog_category_flat_store_1 WHERE entity_id="&amp;A771&amp;");"</f>
        <v>UPDATE url_rewrite SET request_path = '64948/35387/Gridwall-Metal-Attachments/Gridwall-Waterfall-with-Ball-Stops.html' WHERE entity_type='custom' AND target_path=(SELECT CONCAT(url_path, '.html') FROM catalog_category_flat_store_1 WHERE entity_id=651);</v>
      </c>
    </row>
    <row r="772" spans="1:4" x14ac:dyDescent="0.25">
      <c r="A772">
        <f>categories!B772</f>
        <v>652</v>
      </c>
      <c r="B772" t="str">
        <f>SUBSTITUTE(SUBSTITUTE(categories!H772,"\","/"),"www.americanretailsupply.com/","")</f>
        <v>64948/35388/Gridwall-Metal-Attachments/Gridwall-Waterfall-with-Hooks.html</v>
      </c>
      <c r="C772" t="str">
        <f t="shared" si="24"/>
        <v>INSERT INTO url_rewrite (entity_type, entity_id, redirect_type, store_id, request_path, target_path) VALUES ('custom', 0, 301, 1,'64948/35388/Gridwall-Metal-Attachments/Gridwall-Waterfall-with-Hooks.html',(SELECT CONCAT(url_path, '.html') FROM catalog_category_flat_store_1 WHERE entity_id=652));</v>
      </c>
      <c r="D772" t="str">
        <f t="shared" si="25"/>
        <v>UPDATE url_rewrite SET request_path = '64948/35388/Gridwall-Metal-Attachments/Gridwall-Waterfall-with-Hooks.html' WHERE entity_type='custom' AND target_path=(SELECT CONCAT(url_path, '.html') FROM catalog_category_flat_store_1 WHERE entity_id=652);</v>
      </c>
    </row>
    <row r="773" spans="1:4" x14ac:dyDescent="0.25">
      <c r="A773">
        <f>categories!B773</f>
        <v>653</v>
      </c>
      <c r="B773" t="str">
        <f>SUBSTITUTE(SUBSTITUTE(categories!H773,"\","/"),"www.americanretailsupply.com/","")</f>
        <v>64948/35389/Gridwall-Metal-Attachments/Gridwall-U-Shaped-Hangrod-Bracket.html</v>
      </c>
      <c r="C773" t="str">
        <f t="shared" si="24"/>
        <v>INSERT INTO url_rewrite (entity_type, entity_id, redirect_type, store_id, request_path, target_path) VALUES ('custom', 0, 301, 1,'64948/35389/Gridwall-Metal-Attachments/Gridwall-U-Shaped-Hangrod-Bracket.html',(SELECT CONCAT(url_path, '.html') FROM catalog_category_flat_store_1 WHERE entity_id=653));</v>
      </c>
      <c r="D773" t="str">
        <f t="shared" si="25"/>
        <v>UPDATE url_rewrite SET request_path = '64948/35389/Gridwall-Metal-Attachments/Gridwall-U-Shaped-Hangrod-Bracket.html' WHERE entity_type='custom' AND target_path=(SELECT CONCAT(url_path, '.html') FROM catalog_category_flat_store_1 WHERE entity_id=653);</v>
      </c>
    </row>
    <row r="774" spans="1:4" x14ac:dyDescent="0.25">
      <c r="A774">
        <f>categories!B774</f>
        <v>654</v>
      </c>
      <c r="B774" t="str">
        <f>SUBSTITUTE(SUBSTITUTE(categories!H774,"\","/"),"www.americanretailsupply.com/","")</f>
        <v>64948/35390/Gridwall-Metal-Attachments/Gridwall-Hangrod-Quarter-Circle-Bracket.html</v>
      </c>
      <c r="C774" t="str">
        <f t="shared" si="24"/>
        <v>INSERT INTO url_rewrite (entity_type, entity_id, redirect_type, store_id, request_path, target_path) VALUES ('custom', 0, 301, 1,'64948/35390/Gridwall-Metal-Attachments/Gridwall-Hangrod-Quarter-Circle-Bracket.html',(SELECT CONCAT(url_path, '.html') FROM catalog_category_flat_store_1 WHERE entity_id=654));</v>
      </c>
      <c r="D774" t="str">
        <f t="shared" si="25"/>
        <v>UPDATE url_rewrite SET request_path = '64948/35390/Gridwall-Metal-Attachments/Gridwall-Hangrod-Quarter-Circle-Bracket.html' WHERE entity_type='custom' AND target_path=(SELECT CONCAT(url_path, '.html') FROM catalog_category_flat_store_1 WHERE entity_id=654);</v>
      </c>
    </row>
    <row r="775" spans="1:4" x14ac:dyDescent="0.25">
      <c r="A775">
        <f>categories!B775</f>
        <v>655</v>
      </c>
      <c r="B775" t="str">
        <f>SUBSTITUTE(SUBSTITUTE(categories!H775,"\","/"),"www.americanretailsupply.com/","")</f>
        <v>64948/35391/Gridwall-Metal-Attachments/Gridwall-Bracket-for-Hangrod-Straight.html</v>
      </c>
      <c r="C775" t="str">
        <f t="shared" si="24"/>
        <v>INSERT INTO url_rewrite (entity_type, entity_id, redirect_type, store_id, request_path, target_path) VALUES ('custom', 0, 301, 1,'64948/35391/Gridwall-Metal-Attachments/Gridwall-Bracket-for-Hangrod-Straight.html',(SELECT CONCAT(url_path, '.html') FROM catalog_category_flat_store_1 WHERE entity_id=655));</v>
      </c>
      <c r="D775" t="str">
        <f t="shared" si="25"/>
        <v>UPDATE url_rewrite SET request_path = '64948/35391/Gridwall-Metal-Attachments/Gridwall-Bracket-for-Hangrod-Straight.html' WHERE entity_type='custom' AND target_path=(SELECT CONCAT(url_path, '.html') FROM catalog_category_flat_store_1 WHERE entity_id=655);</v>
      </c>
    </row>
    <row r="776" spans="1:4" x14ac:dyDescent="0.25">
      <c r="A776">
        <f>categories!B776</f>
        <v>656</v>
      </c>
      <c r="B776" t="str">
        <f>SUBSTITUTE(SUBSTITUTE(categories!H776,"\","/"),"www.americanretailsupply.com/","")</f>
        <v>64948/35392/Gridwall-Metal-Attachments/Gridwall-Picture-Hanger.html</v>
      </c>
      <c r="C776" t="str">
        <f t="shared" si="24"/>
        <v>INSERT INTO url_rewrite (entity_type, entity_id, redirect_type, store_id, request_path, target_path) VALUES ('custom', 0, 301, 1,'64948/35392/Gridwall-Metal-Attachments/Gridwall-Picture-Hanger.html',(SELECT CONCAT(url_path, '.html') FROM catalog_category_flat_store_1 WHERE entity_id=656));</v>
      </c>
      <c r="D776" t="str">
        <f t="shared" si="25"/>
        <v>UPDATE url_rewrite SET request_path = '64948/35392/Gridwall-Metal-Attachments/Gridwall-Picture-Hanger.html' WHERE entity_type='custom' AND target_path=(SELECT CONCAT(url_path, '.html') FROM catalog_category_flat_store_1 WHERE entity_id=656);</v>
      </c>
    </row>
    <row r="777" spans="1:4" x14ac:dyDescent="0.25">
      <c r="A777">
        <f>categories!B777</f>
        <v>657</v>
      </c>
      <c r="B777" t="str">
        <f>SUBSTITUTE(SUBSTITUTE(categories!H777,"\","/"),"www.americanretailsupply.com/","")</f>
        <v>64948/35825/Gridwall-Metal-Attachments/Slant-Shelf-with-Lip.html</v>
      </c>
      <c r="C777" t="str">
        <f t="shared" si="24"/>
        <v>INSERT INTO url_rewrite (entity_type, entity_id, redirect_type, store_id, request_path, target_path) VALUES ('custom', 0, 301, 1,'64948/35825/Gridwall-Metal-Attachments/Slant-Shelf-with-Lip.html',(SELECT CONCAT(url_path, '.html') FROM catalog_category_flat_store_1 WHERE entity_id=657));</v>
      </c>
      <c r="D777" t="str">
        <f t="shared" si="25"/>
        <v>UPDATE url_rewrite SET request_path = '64948/35825/Gridwall-Metal-Attachments/Slant-Shelf-with-Lip.html' WHERE entity_type='custom' AND target_path=(SELECT CONCAT(url_path, '.html') FROM catalog_category_flat_store_1 WHERE entity_id=657);</v>
      </c>
    </row>
    <row r="778" spans="1:4" x14ac:dyDescent="0.25">
      <c r="A778">
        <f>categories!B778</f>
        <v>658</v>
      </c>
      <c r="B778" t="str">
        <f>SUBSTITUTE(SUBSTITUTE(categories!H778,"\","/"),"www.americanretailsupply.com/","")</f>
        <v>64948/35826/Gridwall-Metal-Attachments/Multi-Wire-Baskets-for-Slatwall-Gridwall-Pegboard.html</v>
      </c>
      <c r="C778" t="str">
        <f t="shared" si="24"/>
        <v>INSERT INTO url_rewrite (entity_type, entity_id, redirect_type, store_id, request_path, target_path) VALUES ('custom', 0, 301, 1,'64948/35826/Gridwall-Metal-Attachments/Multi-Wire-Baskets-for-Slatwall-Gridwall-Pegboard.html',(SELECT CONCAT(url_path, '.html') FROM catalog_category_flat_store_1 WHERE entity_id=658));</v>
      </c>
      <c r="D778" t="str">
        <f t="shared" si="25"/>
        <v>UPDATE url_rewrite SET request_path = '64948/35826/Gridwall-Metal-Attachments/Multi-Wire-Baskets-for-Slatwall-Gridwall-Pegboard.html' WHERE entity_type='custom' AND target_path=(SELECT CONCAT(url_path, '.html') FROM catalog_category_flat_store_1 WHERE entity_id=658);</v>
      </c>
    </row>
    <row r="779" spans="1:4" x14ac:dyDescent="0.25">
      <c r="A779">
        <f>categories!B779</f>
        <v>659</v>
      </c>
      <c r="B779" t="str">
        <f>SUBSTITUTE(SUBSTITUTE(categories!H779,"\","/"),"www.americanretailsupply.com/","")</f>
        <v>64948/35829/Gridwall-Metal-Attachments/Triangle-Shelf.html</v>
      </c>
      <c r="C779" t="str">
        <f t="shared" si="24"/>
        <v>INSERT INTO url_rewrite (entity_type, entity_id, redirect_type, store_id, request_path, target_path) VALUES ('custom', 0, 301, 1,'64948/35829/Gridwall-Metal-Attachments/Triangle-Shelf.html',(SELECT CONCAT(url_path, '.html') FROM catalog_category_flat_store_1 WHERE entity_id=659));</v>
      </c>
      <c r="D779" t="str">
        <f t="shared" si="25"/>
        <v>UPDATE url_rewrite SET request_path = '64948/35829/Gridwall-Metal-Attachments/Triangle-Shelf.html' WHERE entity_type='custom' AND target_path=(SELECT CONCAT(url_path, '.html') FROM catalog_category_flat_store_1 WHERE entity_id=659);</v>
      </c>
    </row>
    <row r="780" spans="1:4" x14ac:dyDescent="0.25">
      <c r="A780">
        <f>categories!B780</f>
        <v>660</v>
      </c>
      <c r="B780" t="str">
        <f>SUBSTITUTE(SUBSTITUTE(categories!H780,"\","/"),"www.americanretailsupply.com/","")</f>
        <v>64948/35830/Gridwall-Metal-Attachments/Flat-Shelf-with-Lip.html</v>
      </c>
      <c r="C780" t="str">
        <f t="shared" si="24"/>
        <v>INSERT INTO url_rewrite (entity_type, entity_id, redirect_type, store_id, request_path, target_path) VALUES ('custom', 0, 301, 1,'64948/35830/Gridwall-Metal-Attachments/Flat-Shelf-with-Lip.html',(SELECT CONCAT(url_path, '.html') FROM catalog_category_flat_store_1 WHERE entity_id=660));</v>
      </c>
      <c r="D780" t="str">
        <f t="shared" si="25"/>
        <v>UPDATE url_rewrite SET request_path = '64948/35830/Gridwall-Metal-Attachments/Flat-Shelf-with-Lip.html' WHERE entity_type='custom' AND target_path=(SELECT CONCAT(url_path, '.html') FROM catalog_category_flat_store_1 WHERE entity_id=660);</v>
      </c>
    </row>
    <row r="781" spans="1:4" x14ac:dyDescent="0.25">
      <c r="A781">
        <f>categories!B781</f>
        <v>661</v>
      </c>
      <c r="B781" t="str">
        <f>SUBSTITUTE(SUBSTITUTE(categories!H781,"\","/"),"www.americanretailsupply.com/","")</f>
        <v>64948/35869/Gridwall-Metal-Attachments/Gridwall-Wire-Easel.html</v>
      </c>
      <c r="C781" t="str">
        <f t="shared" si="24"/>
        <v>INSERT INTO url_rewrite (entity_type, entity_id, redirect_type, store_id, request_path, target_path) VALUES ('custom', 0, 301, 1,'64948/35869/Gridwall-Metal-Attachments/Gridwall-Wire-Easel.html',(SELECT CONCAT(url_path, '.html') FROM catalog_category_flat_store_1 WHERE entity_id=661));</v>
      </c>
      <c r="D781" t="str">
        <f t="shared" si="25"/>
        <v>UPDATE url_rewrite SET request_path = '64948/35869/Gridwall-Metal-Attachments/Gridwall-Wire-Easel.html' WHERE entity_type='custom' AND target_path=(SELECT CONCAT(url_path, '.html') FROM catalog_category_flat_store_1 WHERE entity_id=661);</v>
      </c>
    </row>
    <row r="782" spans="1:4" x14ac:dyDescent="0.25">
      <c r="A782">
        <f>categories!B782</f>
        <v>662</v>
      </c>
      <c r="B782" t="str">
        <f>SUBSTITUTE(SUBSTITUTE(categories!H782,"\","/"),"www.americanretailsupply.com/","")</f>
        <v>64948/36205/Gridwall-Metal-Attachments/Gridwall-Standard-Brackets.html</v>
      </c>
      <c r="C782" t="str">
        <f t="shared" si="24"/>
        <v>INSERT INTO url_rewrite (entity_type, entity_id, redirect_type, store_id, request_path, target_path) VALUES ('custom', 0, 301, 1,'64948/36205/Gridwall-Metal-Attachments/Gridwall-Standard-Brackets.html',(SELECT CONCAT(url_path, '.html') FROM catalog_category_flat_store_1 WHERE entity_id=662));</v>
      </c>
      <c r="D782" t="str">
        <f t="shared" si="25"/>
        <v>UPDATE url_rewrite SET request_path = '64948/36205/Gridwall-Metal-Attachments/Gridwall-Standard-Brackets.html' WHERE entity_type='custom' AND target_path=(SELECT CONCAT(url_path, '.html') FROM catalog_category_flat_store_1 WHERE entity_id=662);</v>
      </c>
    </row>
    <row r="783" spans="1:4" x14ac:dyDescent="0.25">
      <c r="A783">
        <f>categories!B783</f>
        <v>663</v>
      </c>
      <c r="B783" t="str">
        <f>SUBSTITUTE(SUBSTITUTE(categories!H783,"\","/"),"www.americanretailsupply.com/","")</f>
        <v>64948/36208/Gridwall-Metal-Attachments/Gridwall-Bracket-for-Merchandising-Bar.html</v>
      </c>
      <c r="C783" t="str">
        <f t="shared" si="24"/>
        <v>INSERT INTO url_rewrite (entity_type, entity_id, redirect_type, store_id, request_path, target_path) VALUES ('custom', 0, 301, 1,'64948/36208/Gridwall-Metal-Attachments/Gridwall-Bracket-for-Merchandising-Bar.html',(SELECT CONCAT(url_path, '.html') FROM catalog_category_flat_store_1 WHERE entity_id=663));</v>
      </c>
      <c r="D783" t="str">
        <f t="shared" si="25"/>
        <v>UPDATE url_rewrite SET request_path = '64948/36208/Gridwall-Metal-Attachments/Gridwall-Bracket-for-Merchandising-Bar.html' WHERE entity_type='custom' AND target_path=(SELECT CONCAT(url_path, '.html') FROM catalog_category_flat_store_1 WHERE entity_id=663);</v>
      </c>
    </row>
    <row r="784" spans="1:4" x14ac:dyDescent="0.25">
      <c r="A784">
        <f>categories!B784</f>
        <v>664</v>
      </c>
      <c r="B784" t="str">
        <f>SUBSTITUTE(SUBSTITUTE(categories!H784,"\","/"),"www.americanretailsupply.com/","")</f>
        <v>64948/36209/Gridwall-Metal-Attachments/Gridwall-Bracket-for-Hangrod.html</v>
      </c>
      <c r="C784" t="str">
        <f t="shared" si="24"/>
        <v>INSERT INTO url_rewrite (entity_type, entity_id, redirect_type, store_id, request_path, target_path) VALUES ('custom', 0, 301, 1,'64948/36209/Gridwall-Metal-Attachments/Gridwall-Bracket-for-Hangrod.html',(SELECT CONCAT(url_path, '.html') FROM catalog_category_flat_store_1 WHERE entity_id=664));</v>
      </c>
      <c r="D784" t="str">
        <f t="shared" si="25"/>
        <v>UPDATE url_rewrite SET request_path = '64948/36209/Gridwall-Metal-Attachments/Gridwall-Bracket-for-Hangrod.html' WHERE entity_type='custom' AND target_path=(SELECT CONCAT(url_path, '.html') FROM catalog_category_flat_store_1 WHERE entity_id=664);</v>
      </c>
    </row>
    <row r="785" spans="1:4" x14ac:dyDescent="0.25">
      <c r="A785">
        <f>categories!B785</f>
        <v>665</v>
      </c>
      <c r="B785" t="str">
        <f>SUBSTITUTE(SUBSTITUTE(categories!H785,"\","/"),"www.americanretailsupply.com/","")</f>
        <v>64948/228801/Gridwall-Metal-Attachments/Black-Gridwall-Hooks.html</v>
      </c>
      <c r="C785" t="str">
        <f t="shared" si="24"/>
        <v>INSERT INTO url_rewrite (entity_type, entity_id, redirect_type, store_id, request_path, target_path) VALUES ('custom', 0, 301, 1,'64948/228801/Gridwall-Metal-Attachments/Black-Gridwall-Hooks.html',(SELECT CONCAT(url_path, '.html') FROM catalog_category_flat_store_1 WHERE entity_id=665));</v>
      </c>
      <c r="D785" t="str">
        <f t="shared" si="25"/>
        <v>UPDATE url_rewrite SET request_path = '64948/228801/Gridwall-Metal-Attachments/Black-Gridwall-Hooks.html' WHERE entity_type='custom' AND target_path=(SELECT CONCAT(url_path, '.html') FROM catalog_category_flat_store_1 WHERE entity_id=665);</v>
      </c>
    </row>
    <row r="786" spans="1:4" x14ac:dyDescent="0.25">
      <c r="A786">
        <f>categories!B786</f>
        <v>667</v>
      </c>
      <c r="B786" t="str">
        <f>SUBSTITUTE(SUBSTITUTE(categories!H786,"\","/"),"www.americanretailsupply.com/","")</f>
        <v>65195/36366/Hangers/Chrome-Finish-Hangers.html</v>
      </c>
      <c r="C786" t="str">
        <f t="shared" si="24"/>
        <v>INSERT INTO url_rewrite (entity_type, entity_id, redirect_type, store_id, request_path, target_path) VALUES ('custom', 0, 301, 1,'65195/36366/Hangers/Chrome-Finish-Hangers.html',(SELECT CONCAT(url_path, '.html') FROM catalog_category_flat_store_1 WHERE entity_id=667));</v>
      </c>
      <c r="D786" t="str">
        <f t="shared" si="25"/>
        <v>UPDATE url_rewrite SET request_path = '65195/36366/Hangers/Chrome-Finish-Hangers.html' WHERE entity_type='custom' AND target_path=(SELECT CONCAT(url_path, '.html') FROM catalog_category_flat_store_1 WHERE entity_id=667);</v>
      </c>
    </row>
    <row r="787" spans="1:4" x14ac:dyDescent="0.25">
      <c r="A787">
        <f>categories!B787</f>
        <v>668</v>
      </c>
      <c r="B787" t="str">
        <f>SUBSTITUTE(SUBSTITUTE(categories!H787,"\","/"),"www.americanretailsupply.com/","")</f>
        <v>65195/36386/Hangers/Hanger-Accessories.html</v>
      </c>
      <c r="C787" t="str">
        <f t="shared" si="24"/>
        <v>INSERT INTO url_rewrite (entity_type, entity_id, redirect_type, store_id, request_path, target_path) VALUES ('custom', 0, 301, 1,'65195/36386/Hangers/Hanger-Accessories.html',(SELECT CONCAT(url_path, '.html') FROM catalog_category_flat_store_1 WHERE entity_id=668));</v>
      </c>
      <c r="D787" t="str">
        <f t="shared" si="25"/>
        <v>UPDATE url_rewrite SET request_path = '65195/36386/Hangers/Hanger-Accessories.html' WHERE entity_type='custom' AND target_path=(SELECT CONCAT(url_path, '.html') FROM catalog_category_flat_store_1 WHERE entity_id=668);</v>
      </c>
    </row>
    <row r="788" spans="1:4" x14ac:dyDescent="0.25">
      <c r="A788">
        <f>categories!B788</f>
        <v>669</v>
      </c>
      <c r="B788" t="str">
        <f>SUBSTITUTE(SUBSTITUTE(categories!H788,"\","/"),"www.americanretailsupply.com/","")</f>
        <v>65195/36793/Hangers/Wooden-Top-Hangers.html</v>
      </c>
      <c r="C788" t="str">
        <f t="shared" si="24"/>
        <v>INSERT INTO url_rewrite (entity_type, entity_id, redirect_type, store_id, request_path, target_path) VALUES ('custom', 0, 301, 1,'65195/36793/Hangers/Wooden-Top-Hangers.html',(SELECT CONCAT(url_path, '.html') FROM catalog_category_flat_store_1 WHERE entity_id=669));</v>
      </c>
      <c r="D788" t="str">
        <f t="shared" si="25"/>
        <v>UPDATE url_rewrite SET request_path = '65195/36793/Hangers/Wooden-Top-Hangers.html' WHERE entity_type='custom' AND target_path=(SELECT CONCAT(url_path, '.html') FROM catalog_category_flat_store_1 WHERE entity_id=669);</v>
      </c>
    </row>
    <row r="789" spans="1:4" x14ac:dyDescent="0.25">
      <c r="A789">
        <f>categories!B789</f>
        <v>670</v>
      </c>
      <c r="B789" t="str">
        <f>SUBSTITUTE(SUBSTITUTE(categories!H789,"\","/"),"www.americanretailsupply.com/","")</f>
        <v>65195/36794/Hangers/Wooden-Contoured-Suit-Hangers.html</v>
      </c>
      <c r="C789" t="str">
        <f t="shared" si="24"/>
        <v>INSERT INTO url_rewrite (entity_type, entity_id, redirect_type, store_id, request_path, target_path) VALUES ('custom', 0, 301, 1,'65195/36794/Hangers/Wooden-Contoured-Suit-Hangers.html',(SELECT CONCAT(url_path, '.html') FROM catalog_category_flat_store_1 WHERE entity_id=670));</v>
      </c>
      <c r="D789" t="str">
        <f t="shared" si="25"/>
        <v>UPDATE url_rewrite SET request_path = '65195/36794/Hangers/Wooden-Contoured-Suit-Hangers.html' WHERE entity_type='custom' AND target_path=(SELECT CONCAT(url_path, '.html') FROM catalog_category_flat_store_1 WHERE entity_id=670);</v>
      </c>
    </row>
    <row r="790" spans="1:4" x14ac:dyDescent="0.25">
      <c r="A790">
        <f>categories!B790</f>
        <v>671</v>
      </c>
      <c r="B790" t="str">
        <f>SUBSTITUTE(SUBSTITUTE(categories!H790,"\","/"),"www.americanretailsupply.com/","")</f>
        <v>65195/36796/Hangers/Wooden-Pant-and-Shirt-Hangers.html</v>
      </c>
      <c r="C790" t="str">
        <f t="shared" si="24"/>
        <v>INSERT INTO url_rewrite (entity_type, entity_id, redirect_type, store_id, request_path, target_path) VALUES ('custom', 0, 301, 1,'65195/36796/Hangers/Wooden-Pant-and-Shirt-Hangers.html',(SELECT CONCAT(url_path, '.html') FROM catalog_category_flat_store_1 WHERE entity_id=671));</v>
      </c>
      <c r="D790" t="str">
        <f t="shared" si="25"/>
        <v>UPDATE url_rewrite SET request_path = '65195/36796/Hangers/Wooden-Pant-and-Shirt-Hangers.html' WHERE entity_type='custom' AND target_path=(SELECT CONCAT(url_path, '.html') FROM catalog_category_flat_store_1 WHERE entity_id=671);</v>
      </c>
    </row>
    <row r="791" spans="1:4" x14ac:dyDescent="0.25">
      <c r="A791">
        <f>categories!B791</f>
        <v>672</v>
      </c>
      <c r="B791" t="str">
        <f>SUBSTITUTE(SUBSTITUTE(categories!H791,"\","/"),"www.americanretailsupply.com/","")</f>
        <v>65195/47586/Hangers/Top-Hangers-with-Metal-Swivel-Hook.html</v>
      </c>
      <c r="C791" t="str">
        <f t="shared" si="24"/>
        <v>INSERT INTO url_rewrite (entity_type, entity_id, redirect_type, store_id, request_path, target_path) VALUES ('custom', 0, 301, 1,'65195/47586/Hangers/Top-Hangers-with-Metal-Swivel-Hook.html',(SELECT CONCAT(url_path, '.html') FROM catalog_category_flat_store_1 WHERE entity_id=672));</v>
      </c>
      <c r="D791" t="str">
        <f t="shared" si="25"/>
        <v>UPDATE url_rewrite SET request_path = '65195/47586/Hangers/Top-Hangers-with-Metal-Swivel-Hook.html' WHERE entity_type='custom' AND target_path=(SELECT CONCAT(url_path, '.html') FROM catalog_category_flat_store_1 WHERE entity_id=672);</v>
      </c>
    </row>
    <row r="792" spans="1:4" x14ac:dyDescent="0.25">
      <c r="A792">
        <f>categories!B792</f>
        <v>673</v>
      </c>
      <c r="B792" t="str">
        <f>SUBSTITUTE(SUBSTITUTE(categories!H792,"\","/"),"www.americanretailsupply.com/","")</f>
        <v>65195/47616/Hangers/PantSkirt-Hangers-w-Metal-Swivel-Hook.html</v>
      </c>
      <c r="C792" t="str">
        <f t="shared" si="24"/>
        <v>INSERT INTO url_rewrite (entity_type, entity_id, redirect_type, store_id, request_path, target_path) VALUES ('custom', 0, 301, 1,'65195/47616/Hangers/PantSkirt-Hangers-w-Metal-Swivel-Hook.html',(SELECT CONCAT(url_path, '.html') FROM catalog_category_flat_store_1 WHERE entity_id=673));</v>
      </c>
      <c r="D792" t="str">
        <f t="shared" si="25"/>
        <v>UPDATE url_rewrite SET request_path = '65195/47616/Hangers/PantSkirt-Hangers-w-Metal-Swivel-Hook.html' WHERE entity_type='custom' AND target_path=(SELECT CONCAT(url_path, '.html') FROM catalog_category_flat_store_1 WHERE entity_id=673);</v>
      </c>
    </row>
    <row r="793" spans="1:4" x14ac:dyDescent="0.25">
      <c r="A793">
        <f>categories!B793</f>
        <v>674</v>
      </c>
      <c r="B793" t="str">
        <f>SUBSTITUTE(SUBSTITUTE(categories!H793,"\","/"),"www.americanretailsupply.com/","")</f>
        <v>65195/47623/Hangers/Suit-Hangers.html</v>
      </c>
      <c r="C793" t="str">
        <f t="shared" si="24"/>
        <v>INSERT INTO url_rewrite (entity_type, entity_id, redirect_type, store_id, request_path, target_path) VALUES ('custom', 0, 301, 1,'65195/47623/Hangers/Suit-Hangers.html',(SELECT CONCAT(url_path, '.html') FROM catalog_category_flat_store_1 WHERE entity_id=674));</v>
      </c>
      <c r="D793" t="str">
        <f t="shared" si="25"/>
        <v>UPDATE url_rewrite SET request_path = '65195/47623/Hangers/Suit-Hangers.html' WHERE entity_type='custom' AND target_path=(SELECT CONCAT(url_path, '.html') FROM catalog_category_flat_store_1 WHERE entity_id=674);</v>
      </c>
    </row>
    <row r="794" spans="1:4" x14ac:dyDescent="0.25">
      <c r="A794">
        <f>categories!B794</f>
        <v>675</v>
      </c>
      <c r="B794" t="str">
        <f>SUBSTITUTE(SUBSTITUTE(categories!H794,"\","/"),"www.americanretailsupply.com/","")</f>
        <v>65195/47627/Hangers/Outerwear-Hangers.html</v>
      </c>
      <c r="C794" t="str">
        <f t="shared" si="24"/>
        <v>INSERT INTO url_rewrite (entity_type, entity_id, redirect_type, store_id, request_path, target_path) VALUES ('custom', 0, 301, 1,'65195/47627/Hangers/Outerwear-Hangers.html',(SELECT CONCAT(url_path, '.html') FROM catalog_category_flat_store_1 WHERE entity_id=675));</v>
      </c>
      <c r="D794" t="str">
        <f t="shared" si="25"/>
        <v>UPDATE url_rewrite SET request_path = '65195/47627/Hangers/Outerwear-Hangers.html' WHERE entity_type='custom' AND target_path=(SELECT CONCAT(url_path, '.html') FROM catalog_category_flat_store_1 WHERE entity_id=675);</v>
      </c>
    </row>
    <row r="795" spans="1:4" x14ac:dyDescent="0.25">
      <c r="A795">
        <f>categories!B795</f>
        <v>676</v>
      </c>
      <c r="B795" t="str">
        <f>SUBSTITUTE(SUBSTITUTE(categories!H795,"\","/"),"www.americanretailsupply.com/","")</f>
        <v>65195/437272/Hangers/Specialty-Hangers.html</v>
      </c>
      <c r="C795" t="str">
        <f t="shared" si="24"/>
        <v>INSERT INTO url_rewrite (entity_type, entity_id, redirect_type, store_id, request_path, target_path) VALUES ('custom', 0, 301, 1,'65195/437272/Hangers/Specialty-Hangers.html',(SELECT CONCAT(url_path, '.html') FROM catalog_category_flat_store_1 WHERE entity_id=676));</v>
      </c>
      <c r="D795" t="str">
        <f t="shared" si="25"/>
        <v>UPDATE url_rewrite SET request_path = '65195/437272/Hangers/Specialty-Hangers.html' WHERE entity_type='custom' AND target_path=(SELECT CONCAT(url_path, '.html') FROM catalog_category_flat_store_1 WHERE entity_id=676);</v>
      </c>
    </row>
    <row r="796" spans="1:4" x14ac:dyDescent="0.25">
      <c r="A796">
        <f>categories!B796</f>
        <v>678</v>
      </c>
      <c r="B796" t="str">
        <f>SUBSTITUTE(SUBSTITUTE(categories!H796,"\","/"),"www.americanretailsupply.com/","")</f>
        <v>64961/37826/Hangrod/Hangrod-Accessories.html</v>
      </c>
      <c r="C796" t="str">
        <f t="shared" si="24"/>
        <v>INSERT INTO url_rewrite (entity_type, entity_id, redirect_type, store_id, request_path, target_path) VALUES ('custom', 0, 301, 1,'64961/37826/Hangrod/Hangrod-Accessories.html',(SELECT CONCAT(url_path, '.html') FROM catalog_category_flat_store_1 WHERE entity_id=678));</v>
      </c>
      <c r="D796" t="str">
        <f t="shared" si="25"/>
        <v>UPDATE url_rewrite SET request_path = '64961/37826/Hangrod/Hangrod-Accessories.html' WHERE entity_type='custom' AND target_path=(SELECT CONCAT(url_path, '.html') FROM catalog_category_flat_store_1 WHERE entity_id=678);</v>
      </c>
    </row>
    <row r="797" spans="1:4" x14ac:dyDescent="0.25">
      <c r="A797">
        <f>categories!B797</f>
        <v>679</v>
      </c>
      <c r="B797" t="str">
        <f>SUBSTITUTE(SUBSTITUTE(categories!H797,"\","/"),"www.americanretailsupply.com/","")</f>
        <v>64961/37833/Hangrod/Hangrod.html</v>
      </c>
      <c r="C797" t="str">
        <f t="shared" si="24"/>
        <v>INSERT INTO url_rewrite (entity_type, entity_id, redirect_type, store_id, request_path, target_path) VALUES ('custom', 0, 301, 1,'64961/37833/Hangrod/Hangrod.html',(SELECT CONCAT(url_path, '.html') FROM catalog_category_flat_store_1 WHERE entity_id=679));</v>
      </c>
      <c r="D797" t="str">
        <f t="shared" si="25"/>
        <v>UPDATE url_rewrite SET request_path = '64961/37833/Hangrod/Hangrod.html' WHERE entity_type='custom' AND target_path=(SELECT CONCAT(url_path, '.html') FROM catalog_category_flat_store_1 WHERE entity_id=679);</v>
      </c>
    </row>
    <row r="798" spans="1:4" x14ac:dyDescent="0.25">
      <c r="A798">
        <f>categories!B798</f>
        <v>682</v>
      </c>
      <c r="B798" t="str">
        <f>SUBSTITUTE(SUBSTITUTE(categories!H798,"\","/"),"www.americanretailsupply.com/","")</f>
        <v>64831/47106/Hardwood-Showcases/Sit--Down-Showcase.html</v>
      </c>
      <c r="C798" t="str">
        <f t="shared" si="24"/>
        <v>INSERT INTO url_rewrite (entity_type, entity_id, redirect_type, store_id, request_path, target_path) VALUES ('custom', 0, 301, 1,'64831/47106/Hardwood-Showcases/Sit--Down-Showcase.html',(SELECT CONCAT(url_path, '.html') FROM catalog_category_flat_store_1 WHERE entity_id=682));</v>
      </c>
      <c r="D798" t="str">
        <f t="shared" si="25"/>
        <v>UPDATE url_rewrite SET request_path = '64831/47106/Hardwood-Showcases/Sit--Down-Showcase.html' WHERE entity_type='custom' AND target_path=(SELECT CONCAT(url_path, '.html') FROM catalog_category_flat_store_1 WHERE entity_id=682);</v>
      </c>
    </row>
    <row r="799" spans="1:4" x14ac:dyDescent="0.25">
      <c r="A799">
        <f>categories!B799</f>
        <v>683</v>
      </c>
      <c r="B799" t="str">
        <f>SUBSTITUTE(SUBSTITUTE(categories!H799,"\","/"),"www.americanretailsupply.com/","")</f>
        <v>64831/47107/Hardwood-Showcases/Extended-Vision-Display-Case.html</v>
      </c>
      <c r="C799" t="str">
        <f t="shared" si="24"/>
        <v>INSERT INTO url_rewrite (entity_type, entity_id, redirect_type, store_id, request_path, target_path) VALUES ('custom', 0, 301, 1,'64831/47107/Hardwood-Showcases/Extended-Vision-Display-Case.html',(SELECT CONCAT(url_path, '.html') FROM catalog_category_flat_store_1 WHERE entity_id=683));</v>
      </c>
      <c r="D799" t="str">
        <f t="shared" si="25"/>
        <v>UPDATE url_rewrite SET request_path = '64831/47107/Hardwood-Showcases/Extended-Vision-Display-Case.html' WHERE entity_type='custom' AND target_path=(SELECT CONCAT(url_path, '.html') FROM catalog_category_flat_store_1 WHERE entity_id=683);</v>
      </c>
    </row>
    <row r="800" spans="1:4" x14ac:dyDescent="0.25">
      <c r="A800">
        <f>categories!B800</f>
        <v>684</v>
      </c>
      <c r="B800" t="str">
        <f>SUBSTITUTE(SUBSTITUTE(categories!H800,"\","/"),"www.americanretailsupply.com/","")</f>
        <v>64831/47108/Hardwood-Showcases/Full-Vision-Displays.html</v>
      </c>
      <c r="C800" t="str">
        <f t="shared" si="24"/>
        <v>INSERT INTO url_rewrite (entity_type, entity_id, redirect_type, store_id, request_path, target_path) VALUES ('custom', 0, 301, 1,'64831/47108/Hardwood-Showcases/Full-Vision-Displays.html',(SELECT CONCAT(url_path, '.html') FROM catalog_category_flat_store_1 WHERE entity_id=684));</v>
      </c>
      <c r="D800" t="str">
        <f t="shared" si="25"/>
        <v>UPDATE url_rewrite SET request_path = '64831/47108/Hardwood-Showcases/Full-Vision-Displays.html' WHERE entity_type='custom' AND target_path=(SELECT CONCAT(url_path, '.html') FROM catalog_category_flat_store_1 WHERE entity_id=684);</v>
      </c>
    </row>
    <row r="801" spans="1:4" x14ac:dyDescent="0.25">
      <c r="A801">
        <f>categories!B801</f>
        <v>685</v>
      </c>
      <c r="B801" t="str">
        <f>SUBSTITUTE(SUBSTITUTE(categories!H801,"\","/"),"www.americanretailsupply.com/","")</f>
        <v>64831/47111/Hardwood-Showcases/Showcase--Cashwrap-Combo-Cases.html</v>
      </c>
      <c r="C801" t="str">
        <f t="shared" si="24"/>
        <v>INSERT INTO url_rewrite (entity_type, entity_id, redirect_type, store_id, request_path, target_path) VALUES ('custom', 0, 301, 1,'64831/47111/Hardwood-Showcases/Showcase--Cashwrap-Combo-Cases.html',(SELECT CONCAT(url_path, '.html') FROM catalog_category_flat_store_1 WHERE entity_id=685));</v>
      </c>
      <c r="D801" t="str">
        <f t="shared" si="25"/>
        <v>UPDATE url_rewrite SET request_path = '64831/47111/Hardwood-Showcases/Showcase--Cashwrap-Combo-Cases.html' WHERE entity_type='custom' AND target_path=(SELECT CONCAT(url_path, '.html') FROM catalog_category_flat_store_1 WHERE entity_id=685);</v>
      </c>
    </row>
    <row r="802" spans="1:4" x14ac:dyDescent="0.25">
      <c r="A802">
        <f>categories!B802</f>
        <v>686</v>
      </c>
      <c r="B802" t="str">
        <f>SUBSTITUTE(SUBSTITUTE(categories!H802,"\","/"),"www.americanretailsupply.com/","")</f>
        <v>64831/47113/Hardwood-Showcases/Half-Vision-Displays.html</v>
      </c>
      <c r="C802" t="str">
        <f t="shared" si="24"/>
        <v>INSERT INTO url_rewrite (entity_type, entity_id, redirect_type, store_id, request_path, target_path) VALUES ('custom', 0, 301, 1,'64831/47113/Hardwood-Showcases/Half-Vision-Displays.html',(SELECT CONCAT(url_path, '.html') FROM catalog_category_flat_store_1 WHERE entity_id=686));</v>
      </c>
      <c r="D802" t="str">
        <f t="shared" si="25"/>
        <v>UPDATE url_rewrite SET request_path = '64831/47113/Hardwood-Showcases/Half-Vision-Displays.html' WHERE entity_type='custom' AND target_path=(SELECT CONCAT(url_path, '.html') FROM catalog_category_flat_store_1 WHERE entity_id=686);</v>
      </c>
    </row>
    <row r="803" spans="1:4" x14ac:dyDescent="0.25">
      <c r="A803">
        <f>categories!B803</f>
        <v>687</v>
      </c>
      <c r="B803" t="str">
        <f>SUBSTITUTE(SUBSTITUTE(categories!H803,"\","/"),"www.americanretailsupply.com/","")</f>
        <v>64831/47114/Hardwood-Showcases/Jewelry-Top-Vision-Displays.html</v>
      </c>
      <c r="C803" t="str">
        <f t="shared" si="24"/>
        <v>INSERT INTO url_rewrite (entity_type, entity_id, redirect_type, store_id, request_path, target_path) VALUES ('custom', 0, 301, 1,'64831/47114/Hardwood-Showcases/Jewelry-Top-Vision-Displays.html',(SELECT CONCAT(url_path, '.html') FROM catalog_category_flat_store_1 WHERE entity_id=687));</v>
      </c>
      <c r="D803" t="str">
        <f t="shared" si="25"/>
        <v>UPDATE url_rewrite SET request_path = '64831/47114/Hardwood-Showcases/Jewelry-Top-Vision-Displays.html' WHERE entity_type='custom' AND target_path=(SELECT CONCAT(url_path, '.html') FROM catalog_category_flat_store_1 WHERE entity_id=687);</v>
      </c>
    </row>
    <row r="804" spans="1:4" x14ac:dyDescent="0.25">
      <c r="A804">
        <f>categories!B804</f>
        <v>688</v>
      </c>
      <c r="B804" t="str">
        <f>SUBSTITUTE(SUBSTITUTE(categories!H804,"\","/"),"www.americanretailsupply.com/","")</f>
        <v>64831/47115/Hardwood-Showcases/Cashwrap.html</v>
      </c>
      <c r="C804" t="str">
        <f t="shared" si="24"/>
        <v>INSERT INTO url_rewrite (entity_type, entity_id, redirect_type, store_id, request_path, target_path) VALUES ('custom', 0, 301, 1,'64831/47115/Hardwood-Showcases/Cashwrap.html',(SELECT CONCAT(url_path, '.html') FROM catalog_category_flat_store_1 WHERE entity_id=688));</v>
      </c>
      <c r="D804" t="str">
        <f t="shared" si="25"/>
        <v>UPDATE url_rewrite SET request_path = '64831/47115/Hardwood-Showcases/Cashwrap.html' WHERE entity_type='custom' AND target_path=(SELECT CONCAT(url_path, '.html') FROM catalog_category_flat_store_1 WHERE entity_id=688);</v>
      </c>
    </row>
    <row r="805" spans="1:4" x14ac:dyDescent="0.25">
      <c r="A805">
        <f>categories!B805</f>
        <v>689</v>
      </c>
      <c r="B805" t="str">
        <f>SUBSTITUTE(SUBSTITUTE(categories!H805,"\","/"),"www.americanretailsupply.com/","")</f>
        <v>64831/47116/Hardwood-Showcases/ETagere-Open-Shelf-Display-wMirror-Bottom.html</v>
      </c>
      <c r="C805" t="str">
        <f t="shared" si="24"/>
        <v>INSERT INTO url_rewrite (entity_type, entity_id, redirect_type, store_id, request_path, target_path) VALUES ('custom', 0, 301, 1,'64831/47116/Hardwood-Showcases/ETagere-Open-Shelf-Display-wMirror-Bottom.html',(SELECT CONCAT(url_path, '.html') FROM catalog_category_flat_store_1 WHERE entity_id=689));</v>
      </c>
      <c r="D805" t="str">
        <f t="shared" si="25"/>
        <v>UPDATE url_rewrite SET request_path = '64831/47116/Hardwood-Showcases/ETagere-Open-Shelf-Display-wMirror-Bottom.html' WHERE entity_type='custom' AND target_path=(SELECT CONCAT(url_path, '.html') FROM catalog_category_flat_store_1 WHERE entity_id=689);</v>
      </c>
    </row>
    <row r="806" spans="1:4" x14ac:dyDescent="0.25">
      <c r="A806">
        <f>categories!B806</f>
        <v>690</v>
      </c>
      <c r="B806" t="str">
        <f>SUBSTITUTE(SUBSTITUTE(categories!H806,"\","/"),"www.americanretailsupply.com/","")</f>
        <v>64831/47117/Hardwood-Showcases/Special-Cases.html</v>
      </c>
      <c r="C806" t="str">
        <f t="shared" si="24"/>
        <v>INSERT INTO url_rewrite (entity_type, entity_id, redirect_type, store_id, request_path, target_path) VALUES ('custom', 0, 301, 1,'64831/47117/Hardwood-Showcases/Special-Cases.html',(SELECT CONCAT(url_path, '.html') FROM catalog_category_flat_store_1 WHERE entity_id=690));</v>
      </c>
      <c r="D806" t="str">
        <f t="shared" si="25"/>
        <v>UPDATE url_rewrite SET request_path = '64831/47117/Hardwood-Showcases/Special-Cases.html' WHERE entity_type='custom' AND target_path=(SELECT CONCAT(url_path, '.html') FROM catalog_category_flat_store_1 WHERE entity_id=690);</v>
      </c>
    </row>
    <row r="807" spans="1:4" x14ac:dyDescent="0.25">
      <c r="A807">
        <f>categories!B807</f>
        <v>691</v>
      </c>
      <c r="B807" t="str">
        <f>SUBSTITUTE(SUBSTITUTE(categories!H807,"\","/"),"www.americanretailsupply.com/","")</f>
        <v>64831/47125/Hardwood-Showcases/Classic-Tower-Displays.html</v>
      </c>
      <c r="C807" t="str">
        <f t="shared" si="24"/>
        <v>INSERT INTO url_rewrite (entity_type, entity_id, redirect_type, store_id, request_path, target_path) VALUES ('custom', 0, 301, 1,'64831/47125/Hardwood-Showcases/Classic-Tower-Displays.html',(SELECT CONCAT(url_path, '.html') FROM catalog_category_flat_store_1 WHERE entity_id=691));</v>
      </c>
      <c r="D807" t="str">
        <f t="shared" si="25"/>
        <v>UPDATE url_rewrite SET request_path = '64831/47125/Hardwood-Showcases/Classic-Tower-Displays.html' WHERE entity_type='custom' AND target_path=(SELECT CONCAT(url_path, '.html') FROM catalog_category_flat_store_1 WHERE entity_id=691);</v>
      </c>
    </row>
    <row r="808" spans="1:4" x14ac:dyDescent="0.25">
      <c r="A808">
        <f>categories!B808</f>
        <v>692</v>
      </c>
      <c r="B808" t="str">
        <f>SUBSTITUTE(SUBSTITUTE(categories!H808,"\","/"),"www.americanretailsupply.com/","")</f>
        <v>64831/47127/Hardwood-Showcases/Queen-Anne-Tower-Cases.html</v>
      </c>
      <c r="C808" t="str">
        <f t="shared" si="24"/>
        <v>INSERT INTO url_rewrite (entity_type, entity_id, redirect_type, store_id, request_path, target_path) VALUES ('custom', 0, 301, 1,'64831/47127/Hardwood-Showcases/Queen-Anne-Tower-Cases.html',(SELECT CONCAT(url_path, '.html') FROM catalog_category_flat_store_1 WHERE entity_id=692));</v>
      </c>
      <c r="D808" t="str">
        <f t="shared" si="25"/>
        <v>UPDATE url_rewrite SET request_path = '64831/47127/Hardwood-Showcases/Queen-Anne-Tower-Cases.html' WHERE entity_type='custom' AND target_path=(SELECT CONCAT(url_path, '.html') FROM catalog_category_flat_store_1 WHERE entity_id=692);</v>
      </c>
    </row>
    <row r="809" spans="1:4" x14ac:dyDescent="0.25">
      <c r="A809">
        <f>categories!B809</f>
        <v>693</v>
      </c>
      <c r="B809" t="str">
        <f>SUBSTITUTE(SUBSTITUTE(categories!H809,"\","/"),"www.americanretailsupply.com/","")</f>
        <v>64831/47227/Hardwood-Showcases/Classic-Towers-Stretched-Version.html</v>
      </c>
      <c r="C809" t="str">
        <f t="shared" si="24"/>
        <v>INSERT INTO url_rewrite (entity_type, entity_id, redirect_type, store_id, request_path, target_path) VALUES ('custom', 0, 301, 1,'64831/47227/Hardwood-Showcases/Classic-Towers-Stretched-Version.html',(SELECT CONCAT(url_path, '.html') FROM catalog_category_flat_store_1 WHERE entity_id=693));</v>
      </c>
      <c r="D809" t="str">
        <f t="shared" si="25"/>
        <v>UPDATE url_rewrite SET request_path = '64831/47227/Hardwood-Showcases/Classic-Towers-Stretched-Version.html' WHERE entity_type='custom' AND target_path=(SELECT CONCAT(url_path, '.html') FROM catalog_category_flat_store_1 WHERE entity_id=693);</v>
      </c>
    </row>
    <row r="810" spans="1:4" x14ac:dyDescent="0.25">
      <c r="A810">
        <f>categories!B810</f>
        <v>694</v>
      </c>
      <c r="B810" t="str">
        <f>SUBSTITUTE(SUBSTITUTE(categories!H810,"\","/"),"www.americanretailsupply.com/","")</f>
        <v>64831/47233/Hardwood-Showcases/Countertop-Cases.html</v>
      </c>
      <c r="C810" t="str">
        <f t="shared" si="24"/>
        <v>INSERT INTO url_rewrite (entity_type, entity_id, redirect_type, store_id, request_path, target_path) VALUES ('custom', 0, 301, 1,'64831/47233/Hardwood-Showcases/Countertop-Cases.html',(SELECT CONCAT(url_path, '.html') FROM catalog_category_flat_store_1 WHERE entity_id=694));</v>
      </c>
      <c r="D810" t="str">
        <f t="shared" si="25"/>
        <v>UPDATE url_rewrite SET request_path = '64831/47233/Hardwood-Showcases/Countertop-Cases.html' WHERE entity_type='custom' AND target_path=(SELECT CONCAT(url_path, '.html') FROM catalog_category_flat_store_1 WHERE entity_id=694);</v>
      </c>
    </row>
    <row r="811" spans="1:4" x14ac:dyDescent="0.25">
      <c r="A811">
        <f>categories!B811</f>
        <v>695</v>
      </c>
      <c r="B811" t="str">
        <f>SUBSTITUTE(SUBSTITUTE(categories!H811,"\","/"),"www.americanretailsupply.com/","")</f>
        <v>64831/47969/Hardwood-Showcases/Collectors-Series-Upright-Displays.html</v>
      </c>
      <c r="C811" t="str">
        <f t="shared" si="24"/>
        <v>INSERT INTO url_rewrite (entity_type, entity_id, redirect_type, store_id, request_path, target_path) VALUES ('custom', 0, 301, 1,'64831/47969/Hardwood-Showcases/Collectors-Series-Upright-Displays.html',(SELECT CONCAT(url_path, '.html') FROM catalog_category_flat_store_1 WHERE entity_id=695));</v>
      </c>
      <c r="D811" t="str">
        <f t="shared" si="25"/>
        <v>UPDATE url_rewrite SET request_path = '64831/47969/Hardwood-Showcases/Collectors-Series-Upright-Displays.html' WHERE entity_type='custom' AND target_path=(SELECT CONCAT(url_path, '.html') FROM catalog_category_flat_store_1 WHERE entity_id=695);</v>
      </c>
    </row>
    <row r="812" spans="1:4" x14ac:dyDescent="0.25">
      <c r="A812">
        <f>categories!B812</f>
        <v>696</v>
      </c>
      <c r="B812" t="str">
        <f>SUBSTITUTE(SUBSTITUTE(categories!H812,"\","/"),"www.americanretailsupply.com/","")</f>
        <v>64831/47983/Hardwood-Showcases/Showcase-Bench.html</v>
      </c>
      <c r="C812" t="str">
        <f t="shared" si="24"/>
        <v>INSERT INTO url_rewrite (entity_type, entity_id, redirect_type, store_id, request_path, target_path) VALUES ('custom', 0, 301, 1,'64831/47983/Hardwood-Showcases/Showcase-Bench.html',(SELECT CONCAT(url_path, '.html') FROM catalog_category_flat_store_1 WHERE entity_id=696));</v>
      </c>
      <c r="D812" t="str">
        <f t="shared" si="25"/>
        <v>UPDATE url_rewrite SET request_path = '64831/47983/Hardwood-Showcases/Showcase-Bench.html' WHERE entity_type='custom' AND target_path=(SELECT CONCAT(url_path, '.html') FROM catalog_category_flat_store_1 WHERE entity_id=696);</v>
      </c>
    </row>
    <row r="813" spans="1:4" x14ac:dyDescent="0.25">
      <c r="A813">
        <f>categories!B813</f>
        <v>697</v>
      </c>
      <c r="B813" t="str">
        <f>SUBSTITUTE(SUBSTITUTE(categories!H813,"\","/"),"www.americanretailsupply.com/","")</f>
        <v>64831/442764/Hardwood-Showcases/Queen-Anne-Jewelry-Cases.html</v>
      </c>
      <c r="C813" t="str">
        <f t="shared" si="24"/>
        <v>INSERT INTO url_rewrite (entity_type, entity_id, redirect_type, store_id, request_path, target_path) VALUES ('custom', 0, 301, 1,'64831/442764/Hardwood-Showcases/Queen-Anne-Jewelry-Cases.html',(SELECT CONCAT(url_path, '.html') FROM catalog_category_flat_store_1 WHERE entity_id=697));</v>
      </c>
      <c r="D813" t="str">
        <f t="shared" si="25"/>
        <v>UPDATE url_rewrite SET request_path = '64831/442764/Hardwood-Showcases/Queen-Anne-Jewelry-Cases.html' WHERE entity_type='custom' AND target_path=(SELECT CONCAT(url_path, '.html') FROM catalog_category_flat_store_1 WHERE entity_id=697);</v>
      </c>
    </row>
    <row r="814" spans="1:4" x14ac:dyDescent="0.25">
      <c r="A814">
        <f>categories!B814</f>
        <v>698</v>
      </c>
      <c r="B814" t="str">
        <f>SUBSTITUTE(SUBSTITUTE(categories!H814,"\","/"),"www.americanretailsupply.com/","")</f>
        <v>64831/442765/Hardwood-Showcases/Queen-Anne-Wrap-Counters.html</v>
      </c>
      <c r="C814" t="str">
        <f t="shared" si="24"/>
        <v>INSERT INTO url_rewrite (entity_type, entity_id, redirect_type, store_id, request_path, target_path) VALUES ('custom', 0, 301, 1,'64831/442765/Hardwood-Showcases/Queen-Anne-Wrap-Counters.html',(SELECT CONCAT(url_path, '.html') FROM catalog_category_flat_store_1 WHERE entity_id=698));</v>
      </c>
      <c r="D814" t="str">
        <f t="shared" si="25"/>
        <v>UPDATE url_rewrite SET request_path = '64831/442765/Hardwood-Showcases/Queen-Anne-Wrap-Counters.html' WHERE entity_type='custom' AND target_path=(SELECT CONCAT(url_path, '.html') FROM catalog_category_flat_store_1 WHERE entity_id=698);</v>
      </c>
    </row>
    <row r="815" spans="1:4" x14ac:dyDescent="0.25">
      <c r="A815">
        <f>categories!B815</f>
        <v>699</v>
      </c>
      <c r="B815" t="str">
        <f>SUBSTITUTE(SUBSTITUTE(categories!H815,"\","/"),"www.americanretailsupply.com/","")</f>
        <v>64831/442767/Hardwood-Showcases/Queen-Anne-Fullview-Cases.html</v>
      </c>
      <c r="C815" t="str">
        <f t="shared" si="24"/>
        <v>INSERT INTO url_rewrite (entity_type, entity_id, redirect_type, store_id, request_path, target_path) VALUES ('custom', 0, 301, 1,'64831/442767/Hardwood-Showcases/Queen-Anne-Fullview-Cases.html',(SELECT CONCAT(url_path, '.html') FROM catalog_category_flat_store_1 WHERE entity_id=699));</v>
      </c>
      <c r="D815" t="str">
        <f t="shared" si="25"/>
        <v>UPDATE url_rewrite SET request_path = '64831/442767/Hardwood-Showcases/Queen-Anne-Fullview-Cases.html' WHERE entity_type='custom' AND target_path=(SELECT CONCAT(url_path, '.html') FROM catalog_category_flat_store_1 WHERE entity_id=699);</v>
      </c>
    </row>
    <row r="816" spans="1:4" x14ac:dyDescent="0.25">
      <c r="A816">
        <f>categories!B816</f>
        <v>700</v>
      </c>
      <c r="B816" t="str">
        <f>SUBSTITUTE(SUBSTITUTE(categories!H816,"\","/"),"www.americanretailsupply.com/","")</f>
        <v>64831/442800/Hardwood-Showcases/Museum-Style-Tower-Displays.html</v>
      </c>
      <c r="C816" t="str">
        <f t="shared" si="24"/>
        <v>INSERT INTO url_rewrite (entity_type, entity_id, redirect_type, store_id, request_path, target_path) VALUES ('custom', 0, 301, 1,'64831/442800/Hardwood-Showcases/Museum-Style-Tower-Displays.html',(SELECT CONCAT(url_path, '.html') FROM catalog_category_flat_store_1 WHERE entity_id=700));</v>
      </c>
      <c r="D816" t="str">
        <f t="shared" si="25"/>
        <v>UPDATE url_rewrite SET request_path = '64831/442800/Hardwood-Showcases/Museum-Style-Tower-Displays.html' WHERE entity_type='custom' AND target_path=(SELECT CONCAT(url_path, '.html') FROM catalog_category_flat_store_1 WHERE entity_id=700);</v>
      </c>
    </row>
    <row r="817" spans="1:4" x14ac:dyDescent="0.25">
      <c r="A817">
        <f>categories!B817</f>
        <v>701</v>
      </c>
      <c r="B817" t="str">
        <f>SUBSTITUTE(SUBSTITUTE(categories!H817,"\","/"),"www.americanretailsupply.com/","")</f>
        <v>64831/442801/Hardwood-Showcases/Museum-Style-Countertop-Displays.html</v>
      </c>
      <c r="C817" t="str">
        <f t="shared" si="24"/>
        <v>INSERT INTO url_rewrite (entity_type, entity_id, redirect_type, store_id, request_path, target_path) VALUES ('custom', 0, 301, 1,'64831/442801/Hardwood-Showcases/Museum-Style-Countertop-Displays.html',(SELECT CONCAT(url_path, '.html') FROM catalog_category_flat_store_1 WHERE entity_id=701));</v>
      </c>
      <c r="D817" t="str">
        <f t="shared" si="25"/>
        <v>UPDATE url_rewrite SET request_path = '64831/442801/Hardwood-Showcases/Museum-Style-Countertop-Displays.html' WHERE entity_type='custom' AND target_path=(SELECT CONCAT(url_path, '.html') FROM catalog_category_flat_store_1 WHERE entity_id=701);</v>
      </c>
    </row>
    <row r="818" spans="1:4" x14ac:dyDescent="0.25">
      <c r="A818">
        <f>categories!B818</f>
        <v>703</v>
      </c>
      <c r="B818" t="str">
        <f>SUBSTITUTE(SUBSTITUTE(categories!H818,"\","/"),"www.americanretailsupply.com/","")</f>
        <v>65166/156995/Head-Forms/Ladies-Abstact-Fiberglass-Head.html</v>
      </c>
      <c r="C818" t="str">
        <f t="shared" si="24"/>
        <v>INSERT INTO url_rewrite (entity_type, entity_id, redirect_type, store_id, request_path, target_path) VALUES ('custom', 0, 301, 1,'65166/156995/Head-Forms/Ladies-Abstact-Fiberglass-Head.html',(SELECT CONCAT(url_path, '.html') FROM catalog_category_flat_store_1 WHERE entity_id=703));</v>
      </c>
      <c r="D818" t="str">
        <f t="shared" si="25"/>
        <v>UPDATE url_rewrite SET request_path = '65166/156995/Head-Forms/Ladies-Abstact-Fiberglass-Head.html' WHERE entity_type='custom' AND target_path=(SELECT CONCAT(url_path, '.html') FROM catalog_category_flat_store_1 WHERE entity_id=703);</v>
      </c>
    </row>
    <row r="819" spans="1:4" x14ac:dyDescent="0.25">
      <c r="A819">
        <f>categories!B819</f>
        <v>704</v>
      </c>
      <c r="B819" t="str">
        <f>SUBSTITUTE(SUBSTITUTE(categories!H819,"\","/"),"www.americanretailsupply.com/","")</f>
        <v>65166/703691/Head-Forms/Styrofoam-Heads.html</v>
      </c>
      <c r="C819" t="str">
        <f t="shared" si="24"/>
        <v>INSERT INTO url_rewrite (entity_type, entity_id, redirect_type, store_id, request_path, target_path) VALUES ('custom', 0, 301, 1,'65166/703691/Head-Forms/Styrofoam-Heads.html',(SELECT CONCAT(url_path, '.html') FROM catalog_category_flat_store_1 WHERE entity_id=704));</v>
      </c>
      <c r="D819" t="str">
        <f t="shared" si="25"/>
        <v>UPDATE url_rewrite SET request_path = '65166/703691/Head-Forms/Styrofoam-Heads.html' WHERE entity_type='custom' AND target_path=(SELECT CONCAT(url_path, '.html') FROM catalog_category_flat_store_1 WHERE entity_id=704);</v>
      </c>
    </row>
    <row r="820" spans="1:4" x14ac:dyDescent="0.25">
      <c r="A820">
        <f>categories!B820</f>
        <v>706</v>
      </c>
      <c r="B820" t="str">
        <f>SUBSTITUTE(SUBSTITUTE(categories!H820,"\","/"),"www.americanretailsupply.com/","")</f>
        <v>64710/747887/Hi-Wall-2-Piece-Boxes--Lids/Hi-Wall-2-Piece-White-Boxes--Lids.html</v>
      </c>
      <c r="C820" t="str">
        <f t="shared" si="24"/>
        <v>INSERT INTO url_rewrite (entity_type, entity_id, redirect_type, store_id, request_path, target_path) VALUES ('custom', 0, 301, 1,'64710/747887/Hi-Wall-2-Piece-Boxes--Lids/Hi-Wall-2-Piece-White-Boxes--Lids.html',(SELECT CONCAT(url_path, '.html') FROM catalog_category_flat_store_1 WHERE entity_id=706));</v>
      </c>
      <c r="D820" t="str">
        <f t="shared" si="25"/>
        <v>UPDATE url_rewrite SET request_path = '64710/747887/Hi-Wall-2-Piece-Boxes--Lids/Hi-Wall-2-Piece-White-Boxes--Lids.html' WHERE entity_type='custom' AND target_path=(SELECT CONCAT(url_path, '.html') FROM catalog_category_flat_store_1 WHERE entity_id=706);</v>
      </c>
    </row>
    <row r="821" spans="1:4" x14ac:dyDescent="0.25">
      <c r="A821">
        <f>categories!B821</f>
        <v>707</v>
      </c>
      <c r="B821" t="str">
        <f>SUBSTITUTE(SUBSTITUTE(categories!H821,"\","/"),"www.americanretailsupply.com/","")</f>
        <v>64710/748773/Hi-Wall-2-Piece-Boxes--Lids/Hi-Wall-2-Piece-Gold-Boxes--Lids.html</v>
      </c>
      <c r="C821" t="str">
        <f t="shared" si="24"/>
        <v>INSERT INTO url_rewrite (entity_type, entity_id, redirect_type, store_id, request_path, target_path) VALUES ('custom', 0, 301, 1,'64710/748773/Hi-Wall-2-Piece-Boxes--Lids/Hi-Wall-2-Piece-Gold-Boxes--Lids.html',(SELECT CONCAT(url_path, '.html') FROM catalog_category_flat_store_1 WHERE entity_id=707));</v>
      </c>
      <c r="D821" t="str">
        <f t="shared" si="25"/>
        <v>UPDATE url_rewrite SET request_path = '64710/748773/Hi-Wall-2-Piece-Boxes--Lids/Hi-Wall-2-Piece-Gold-Boxes--Lids.html' WHERE entity_type='custom' AND target_path=(SELECT CONCAT(url_path, '.html') FROM catalog_category_flat_store_1 WHERE entity_id=707);</v>
      </c>
    </row>
    <row r="822" spans="1:4" x14ac:dyDescent="0.25">
      <c r="A822">
        <f>categories!B822</f>
        <v>708</v>
      </c>
      <c r="B822" t="str">
        <f>SUBSTITUTE(SUBSTITUTE(categories!H822,"\","/"),"www.americanretailsupply.com/","")</f>
        <v>64710/748775/Hi-Wall-2-Piece-Boxes--Lids/Hi-Wall-2-Piece-Black-Swirl-Boxes--Lids.html</v>
      </c>
      <c r="C822" t="str">
        <f t="shared" si="24"/>
        <v>INSERT INTO url_rewrite (entity_type, entity_id, redirect_type, store_id, request_path, target_path) VALUES ('custom', 0, 301, 1,'64710/748775/Hi-Wall-2-Piece-Boxes--Lids/Hi-Wall-2-Piece-Black-Swirl-Boxes--Lids.html',(SELECT CONCAT(url_path, '.html') FROM catalog_category_flat_store_1 WHERE entity_id=708));</v>
      </c>
      <c r="D822" t="str">
        <f t="shared" si="25"/>
        <v>UPDATE url_rewrite SET request_path = '64710/748775/Hi-Wall-2-Piece-Boxes--Lids/Hi-Wall-2-Piece-Black-Swirl-Boxes--Lids.html' WHERE entity_type='custom' AND target_path=(SELECT CONCAT(url_path, '.html') FROM catalog_category_flat_store_1 WHERE entity_id=708);</v>
      </c>
    </row>
    <row r="823" spans="1:4" x14ac:dyDescent="0.25">
      <c r="A823">
        <f>categories!B823</f>
        <v>709</v>
      </c>
      <c r="B823" t="str">
        <f>SUBSTITUTE(SUBSTITUTE(categories!H823,"\","/"),"www.americanretailsupply.com/","")</f>
        <v>64710/748776/Hi-Wall-2-Piece-Boxes--Lids/Hi-Wall-2-Piece-Red-Boxes--Lids.html</v>
      </c>
      <c r="C823" t="str">
        <f t="shared" si="24"/>
        <v>INSERT INTO url_rewrite (entity_type, entity_id, redirect_type, store_id, request_path, target_path) VALUES ('custom', 0, 301, 1,'64710/748776/Hi-Wall-2-Piece-Boxes--Lids/Hi-Wall-2-Piece-Red-Boxes--Lids.html',(SELECT CONCAT(url_path, '.html') FROM catalog_category_flat_store_1 WHERE entity_id=709));</v>
      </c>
      <c r="D823" t="str">
        <f t="shared" si="25"/>
        <v>UPDATE url_rewrite SET request_path = '64710/748776/Hi-Wall-2-Piece-Boxes--Lids/Hi-Wall-2-Piece-Red-Boxes--Lids.html' WHERE entity_type='custom' AND target_path=(SELECT CONCAT(url_path, '.html') FROM catalog_category_flat_store_1 WHERE entity_id=709);</v>
      </c>
    </row>
    <row r="824" spans="1:4" x14ac:dyDescent="0.25">
      <c r="A824">
        <f>categories!B824</f>
        <v>711</v>
      </c>
      <c r="B824" t="str">
        <f>SUBSTITUTE(SUBSTITUTE(categories!H824,"\","/"),"www.americanretailsupply.com/","")</f>
        <v>65074/20290/High-Density-Plastic-Bags/High-Density-Plastic-Merchandise-Bags.html</v>
      </c>
      <c r="C824" t="str">
        <f t="shared" si="24"/>
        <v>INSERT INTO url_rewrite (entity_type, entity_id, redirect_type, store_id, request_path, target_path) VALUES ('custom', 0, 301, 1,'65074/20290/High-Density-Plastic-Bags/High-Density-Plastic-Merchandise-Bags.html',(SELECT CONCAT(url_path, '.html') FROM catalog_category_flat_store_1 WHERE entity_id=711));</v>
      </c>
      <c r="D824" t="str">
        <f t="shared" si="25"/>
        <v>UPDATE url_rewrite SET request_path = '65074/20290/High-Density-Plastic-Bags/High-Density-Plastic-Merchandise-Bags.html' WHERE entity_type='custom' AND target_path=(SELECT CONCAT(url_path, '.html') FROM catalog_category_flat_store_1 WHERE entity_id=711);</v>
      </c>
    </row>
    <row r="825" spans="1:4" x14ac:dyDescent="0.25">
      <c r="A825">
        <f>categories!B825</f>
        <v>712</v>
      </c>
      <c r="B825" t="str">
        <f>SUBSTITUTE(SUBSTITUTE(categories!H825,"\","/"),"www.americanretailsupply.com/","")</f>
        <v>65074/20297/High-Density-Plastic-Bags/Plastic-Bag-Accessories.html</v>
      </c>
      <c r="C825" t="str">
        <f t="shared" si="24"/>
        <v>INSERT INTO url_rewrite (entity_type, entity_id, redirect_type, store_id, request_path, target_path) VALUES ('custom', 0, 301, 1,'65074/20297/High-Density-Plastic-Bags/Plastic-Bag-Accessories.html',(SELECT CONCAT(url_path, '.html') FROM catalog_category_flat_store_1 WHERE entity_id=712));</v>
      </c>
      <c r="D825" t="str">
        <f t="shared" si="25"/>
        <v>UPDATE url_rewrite SET request_path = '65074/20297/High-Density-Plastic-Bags/Plastic-Bag-Accessories.html' WHERE entity_type='custom' AND target_path=(SELECT CONCAT(url_path, '.html') FROM catalog_category_flat_store_1 WHERE entity_id=712);</v>
      </c>
    </row>
    <row r="826" spans="1:4" x14ac:dyDescent="0.25">
      <c r="A826">
        <f>categories!B826</f>
        <v>713</v>
      </c>
      <c r="B826" t="str">
        <f>SUBSTITUTE(SUBSTITUTE(categories!H826,"\","/"),"www.americanretailsupply.com/","")</f>
        <v>65074/49169/High-Density-Plastic-Bags/Hi-Density-Plastic-Bags-with-T-Shirt-Handle.html</v>
      </c>
      <c r="C826" t="str">
        <f t="shared" si="24"/>
        <v>INSERT INTO url_rewrite (entity_type, entity_id, redirect_type, store_id, request_path, target_path) VALUES ('custom', 0, 301, 1,'65074/49169/High-Density-Plastic-Bags/Hi-Density-Plastic-Bags-with-T-Shirt-Handle.html',(SELECT CONCAT(url_path, '.html') FROM catalog_category_flat_store_1 WHERE entity_id=713));</v>
      </c>
      <c r="D826" t="str">
        <f t="shared" si="25"/>
        <v>UPDATE url_rewrite SET request_path = '65074/49169/High-Density-Plastic-Bags/Hi-Density-Plastic-Bags-with-T-Shirt-Handle.html' WHERE entity_type='custom' AND target_path=(SELECT CONCAT(url_path, '.html') FROM catalog_category_flat_store_1 WHERE entity_id=713);</v>
      </c>
    </row>
    <row r="827" spans="1:4" x14ac:dyDescent="0.25">
      <c r="A827">
        <f>categories!B827</f>
        <v>714</v>
      </c>
      <c r="B827" t="str">
        <f>SUBSTITUTE(SUBSTITUTE(categories!H827,"\","/"),"www.americanretailsupply.com/","")</f>
        <v>65074/227781/High-Density-Plastic-Bags/AmeriTote-High-Density-Plastic-Shopping-Bags.html</v>
      </c>
      <c r="C827" t="str">
        <f t="shared" si="24"/>
        <v>INSERT INTO url_rewrite (entity_type, entity_id, redirect_type, store_id, request_path, target_path) VALUES ('custom', 0, 301, 1,'65074/227781/High-Density-Plastic-Bags/AmeriTote-High-Density-Plastic-Shopping-Bags.html',(SELECT CONCAT(url_path, '.html') FROM catalog_category_flat_store_1 WHERE entity_id=714));</v>
      </c>
      <c r="D827" t="str">
        <f t="shared" si="25"/>
        <v>UPDATE url_rewrite SET request_path = '65074/227781/High-Density-Plastic-Bags/AmeriTote-High-Density-Plastic-Shopping-Bags.html' WHERE entity_type='custom' AND target_path=(SELECT CONCAT(url_path, '.html') FROM catalog_category_flat_store_1 WHERE entity_id=714);</v>
      </c>
    </row>
    <row r="828" spans="1:4" x14ac:dyDescent="0.25">
      <c r="A828">
        <f>categories!B828</f>
        <v>716</v>
      </c>
      <c r="B828" t="str">
        <f>SUBSTITUTE(SUBSTITUTE(categories!H828,"\","/"),"www.americanretailsupply.com/","")</f>
        <v>64832/172187/High-Tech-Showcases/Full-Sized-Quarter-Vision-Jewelry-Showcase.html</v>
      </c>
      <c r="C828" t="str">
        <f t="shared" si="24"/>
        <v>INSERT INTO url_rewrite (entity_type, entity_id, redirect_type, store_id, request_path, target_path) VALUES ('custom', 0, 301, 1,'64832/172187/High-Tech-Showcases/Full-Sized-Quarter-Vision-Jewelry-Showcase.html',(SELECT CONCAT(url_path, '.html') FROM catalog_category_flat_store_1 WHERE entity_id=716));</v>
      </c>
      <c r="D828" t="str">
        <f t="shared" si="25"/>
        <v>UPDATE url_rewrite SET request_path = '64832/172187/High-Tech-Showcases/Full-Sized-Quarter-Vision-Jewelry-Showcase.html' WHERE entity_type='custom' AND target_path=(SELECT CONCAT(url_path, '.html') FROM catalog_category_flat_store_1 WHERE entity_id=716);</v>
      </c>
    </row>
    <row r="829" spans="1:4" x14ac:dyDescent="0.25">
      <c r="A829">
        <f>categories!B829</f>
        <v>717</v>
      </c>
      <c r="B829" t="str">
        <f>SUBSTITUTE(SUBSTITUTE(categories!H829,"\","/"),"www.americanretailsupply.com/","")</f>
        <v>64832/172189/High-Tech-Showcases/Full-Sized-Quarter-Vision-Curved-Jewelry-Corner-Showcase.html</v>
      </c>
      <c r="C829" t="str">
        <f t="shared" si="24"/>
        <v>INSERT INTO url_rewrite (entity_type, entity_id, redirect_type, store_id, request_path, target_path) VALUES ('custom', 0, 301, 1,'64832/172189/High-Tech-Showcases/Full-Sized-Quarter-Vision-Curved-Jewelry-Corner-Showcase.html',(SELECT CONCAT(url_path, '.html') FROM catalog_category_flat_store_1 WHERE entity_id=717));</v>
      </c>
      <c r="D829" t="str">
        <f t="shared" si="25"/>
        <v>UPDATE url_rewrite SET request_path = '64832/172189/High-Tech-Showcases/Full-Sized-Quarter-Vision-Curved-Jewelry-Corner-Showcase.html' WHERE entity_type='custom' AND target_path=(SELECT CONCAT(url_path, '.html') FROM catalog_category_flat_store_1 WHERE entity_id=717);</v>
      </c>
    </row>
    <row r="830" spans="1:4" x14ac:dyDescent="0.25">
      <c r="A830">
        <f>categories!B830</f>
        <v>718</v>
      </c>
      <c r="B830" t="str">
        <f>SUBSTITUTE(SUBSTITUTE(categories!H830,"\","/"),"www.americanretailsupply.com/","")</f>
        <v>64832/172190/High-Tech-Showcases/Full-Sized-Quarter-Vision-Corner-Jewelry-Showcase.html</v>
      </c>
      <c r="C830" t="str">
        <f t="shared" si="24"/>
        <v>INSERT INTO url_rewrite (entity_type, entity_id, redirect_type, store_id, request_path, target_path) VALUES ('custom', 0, 301, 1,'64832/172190/High-Tech-Showcases/Full-Sized-Quarter-Vision-Corner-Jewelry-Showcase.html',(SELECT CONCAT(url_path, '.html') FROM catalog_category_flat_store_1 WHERE entity_id=718));</v>
      </c>
      <c r="D830" t="str">
        <f t="shared" si="25"/>
        <v>UPDATE url_rewrite SET request_path = '64832/172190/High-Tech-Showcases/Full-Sized-Quarter-Vision-Corner-Jewelry-Showcase.html' WHERE entity_type='custom' AND target_path=(SELECT CONCAT(url_path, '.html') FROM catalog_category_flat_store_1 WHERE entity_id=718);</v>
      </c>
    </row>
    <row r="831" spans="1:4" x14ac:dyDescent="0.25">
      <c r="A831">
        <f>categories!B831</f>
        <v>719</v>
      </c>
      <c r="B831" t="str">
        <f>SUBSTITUTE(SUBSTITUTE(categories!H831,"\","/"),"www.americanretailsupply.com/","")</f>
        <v>64832/172191/High-Tech-Showcases/Full-Sized-Full-Vision-Showcase.html</v>
      </c>
      <c r="C831" t="str">
        <f t="shared" si="24"/>
        <v>INSERT INTO url_rewrite (entity_type, entity_id, redirect_type, store_id, request_path, target_path) VALUES ('custom', 0, 301, 1,'64832/172191/High-Tech-Showcases/Full-Sized-Full-Vision-Showcase.html',(SELECT CONCAT(url_path, '.html') FROM catalog_category_flat_store_1 WHERE entity_id=719));</v>
      </c>
      <c r="D831" t="str">
        <f t="shared" si="25"/>
        <v>UPDATE url_rewrite SET request_path = '64832/172191/High-Tech-Showcases/Full-Sized-Full-Vision-Showcase.html' WHERE entity_type='custom' AND target_path=(SELECT CONCAT(url_path, '.html') FROM catalog_category_flat_store_1 WHERE entity_id=719);</v>
      </c>
    </row>
    <row r="832" spans="1:4" x14ac:dyDescent="0.25">
      <c r="A832">
        <f>categories!B832</f>
        <v>720</v>
      </c>
      <c r="B832" t="str">
        <f>SUBSTITUTE(SUBSTITUTE(categories!H832,"\","/"),"www.americanretailsupply.com/","")</f>
        <v>64832/172197/High-Tech-Showcases/Cash-Wrap-Cabinet.html</v>
      </c>
      <c r="C832" t="str">
        <f t="shared" si="24"/>
        <v>INSERT INTO url_rewrite (entity_type, entity_id, redirect_type, store_id, request_path, target_path) VALUES ('custom', 0, 301, 1,'64832/172197/High-Tech-Showcases/Cash-Wrap-Cabinet.html',(SELECT CONCAT(url_path, '.html') FROM catalog_category_flat_store_1 WHERE entity_id=720));</v>
      </c>
      <c r="D832" t="str">
        <f t="shared" si="25"/>
        <v>UPDATE url_rewrite SET request_path = '64832/172197/High-Tech-Showcases/Cash-Wrap-Cabinet.html' WHERE entity_type='custom' AND target_path=(SELECT CONCAT(url_path, '.html') FROM catalog_category_flat_store_1 WHERE entity_id=720);</v>
      </c>
    </row>
    <row r="833" spans="1:4" x14ac:dyDescent="0.25">
      <c r="A833">
        <f>categories!B833</f>
        <v>721</v>
      </c>
      <c r="B833" t="str">
        <f>SUBSTITUTE(SUBSTITUTE(categories!H833,"\","/"),"www.americanretailsupply.com/","")</f>
        <v>64832/172201/High-Tech-Showcases/Full-Sized-Quarter-Vision-Jewelry-Showcase-wWood-Sides.html</v>
      </c>
      <c r="C833" t="str">
        <f t="shared" si="24"/>
        <v>INSERT INTO url_rewrite (entity_type, entity_id, redirect_type, store_id, request_path, target_path) VALUES ('custom', 0, 301, 1,'64832/172201/High-Tech-Showcases/Full-Sized-Quarter-Vision-Jewelry-Showcase-wWood-Sides.html',(SELECT CONCAT(url_path, '.html') FROM catalog_category_flat_store_1 WHERE entity_id=721));</v>
      </c>
      <c r="D833" t="str">
        <f t="shared" si="25"/>
        <v>UPDATE url_rewrite SET request_path = '64832/172201/High-Tech-Showcases/Full-Sized-Quarter-Vision-Jewelry-Showcase-wWood-Sides.html' WHERE entity_type='custom' AND target_path=(SELECT CONCAT(url_path, '.html') FROM catalog_category_flat_store_1 WHERE entity_id=721);</v>
      </c>
    </row>
    <row r="834" spans="1:4" x14ac:dyDescent="0.25">
      <c r="A834">
        <f>categories!B834</f>
        <v>722</v>
      </c>
      <c r="B834" t="str">
        <f>SUBSTITUTE(SUBSTITUTE(categories!H834,"\","/"),"www.americanretailsupply.com/","")</f>
        <v>64832/172206/High-Tech-Showcases/Full-Sized-Half-Vision-Showcase.html</v>
      </c>
      <c r="C834" t="str">
        <f t="shared" si="24"/>
        <v>INSERT INTO url_rewrite (entity_type, entity_id, redirect_type, store_id, request_path, target_path) VALUES ('custom', 0, 301, 1,'64832/172206/High-Tech-Showcases/Full-Sized-Half-Vision-Showcase.html',(SELECT CONCAT(url_path, '.html') FROM catalog_category_flat_store_1 WHERE entity_id=722));</v>
      </c>
      <c r="D834" t="str">
        <f t="shared" si="25"/>
        <v>UPDATE url_rewrite SET request_path = '64832/172206/High-Tech-Showcases/Full-Sized-Half-Vision-Showcase.html' WHERE entity_type='custom' AND target_path=(SELECT CONCAT(url_path, '.html') FROM catalog_category_flat_store_1 WHERE entity_id=722);</v>
      </c>
    </row>
    <row r="835" spans="1:4" x14ac:dyDescent="0.25">
      <c r="A835">
        <f>categories!B835</f>
        <v>723</v>
      </c>
      <c r="B835" t="str">
        <f>SUBSTITUTE(SUBSTITUTE(categories!H835,"\","/"),"www.americanretailsupply.com/","")</f>
        <v>64832/172207/High-Tech-Showcases/Hexagon-Free-Standing-Jewelry-Display-Case.html</v>
      </c>
      <c r="C835" t="str">
        <f t="shared" ref="C835:C898" si="26">"INSERT INTO url_rewrite (entity_type, entity_id, redirect_type, store_id, request_path, target_path) VALUES ('custom', 0, 301, 1,'"&amp;B835&amp;"',(SELECT CONCAT(url_path, '.html') FROM catalog_category_flat_store_1 WHERE entity_id="&amp;A835&amp;"));"</f>
        <v>INSERT INTO url_rewrite (entity_type, entity_id, redirect_type, store_id, request_path, target_path) VALUES ('custom', 0, 301, 1,'64832/172207/High-Tech-Showcases/Hexagon-Free-Standing-Jewelry-Display-Case.html',(SELECT CONCAT(url_path, '.html') FROM catalog_category_flat_store_1 WHERE entity_id=723));</v>
      </c>
      <c r="D835" t="str">
        <f t="shared" ref="D835:D898" si="27">"UPDATE url_rewrite SET request_path = '"&amp;B835&amp;"' WHERE entity_type='custom' AND target_path=(SELECT CONCAT(url_path, '.html') FROM catalog_category_flat_store_1 WHERE entity_id="&amp;A835&amp;");"</f>
        <v>UPDATE url_rewrite SET request_path = '64832/172207/High-Tech-Showcases/Hexagon-Free-Standing-Jewelry-Display-Case.html' WHERE entity_type='custom' AND target_path=(SELECT CONCAT(url_path, '.html') FROM catalog_category_flat_store_1 WHERE entity_id=723);</v>
      </c>
    </row>
    <row r="836" spans="1:4" x14ac:dyDescent="0.25">
      <c r="A836">
        <f>categories!B836</f>
        <v>724</v>
      </c>
      <c r="B836" t="str">
        <f>SUBSTITUTE(SUBSTITUTE(categories!H836,"\","/"),"www.americanretailsupply.com/","")</f>
        <v>64832/172239/High-Tech-Showcases/Curved-Wall-48-Wide-Display-Case-with-Storage.html</v>
      </c>
      <c r="C836" t="str">
        <f t="shared" si="26"/>
        <v>INSERT INTO url_rewrite (entity_type, entity_id, redirect_type, store_id, request_path, target_path) VALUES ('custom', 0, 301, 1,'64832/172239/High-Tech-Showcases/Curved-Wall-48-Wide-Display-Case-with-Storage.html',(SELECT CONCAT(url_path, '.html') FROM catalog_category_flat_store_1 WHERE entity_id=724));</v>
      </c>
      <c r="D836" t="str">
        <f t="shared" si="27"/>
        <v>UPDATE url_rewrite SET request_path = '64832/172239/High-Tech-Showcases/Curved-Wall-48-Wide-Display-Case-with-Storage.html' WHERE entity_type='custom' AND target_path=(SELECT CONCAT(url_path, '.html') FROM catalog_category_flat_store_1 WHERE entity_id=724);</v>
      </c>
    </row>
    <row r="837" spans="1:4" x14ac:dyDescent="0.25">
      <c r="A837">
        <f>categories!B837</f>
        <v>725</v>
      </c>
      <c r="B837" t="str">
        <f>SUBSTITUTE(SUBSTITUTE(categories!H837,"\","/"),"www.americanretailsupply.com/","")</f>
        <v>64832/172249/High-Tech-Showcases/Curved-Wall-45-Glass-Display-Case-No-Storage.html</v>
      </c>
      <c r="C837" t="str">
        <f t="shared" si="26"/>
        <v>INSERT INTO url_rewrite (entity_type, entity_id, redirect_type, store_id, request_path, target_path) VALUES ('custom', 0, 301, 1,'64832/172249/High-Tech-Showcases/Curved-Wall-45-Glass-Display-Case-No-Storage.html',(SELECT CONCAT(url_path, '.html') FROM catalog_category_flat_store_1 WHERE entity_id=725));</v>
      </c>
      <c r="D837" t="str">
        <f t="shared" si="27"/>
        <v>UPDATE url_rewrite SET request_path = '64832/172249/High-Tech-Showcases/Curved-Wall-45-Glass-Display-Case-No-Storage.html' WHERE entity_type='custom' AND target_path=(SELECT CONCAT(url_path, '.html') FROM catalog_category_flat_store_1 WHERE entity_id=725);</v>
      </c>
    </row>
    <row r="838" spans="1:4" x14ac:dyDescent="0.25">
      <c r="A838">
        <f>categories!B838</f>
        <v>726</v>
      </c>
      <c r="B838" t="str">
        <f>SUBSTITUTE(SUBSTITUTE(categories!H838,"\","/"),"www.americanretailsupply.com/","")</f>
        <v>64832/172259/High-Tech-Showcases/Hexagon-Stretched-Tower-Display-Case.html</v>
      </c>
      <c r="C838" t="str">
        <f t="shared" si="26"/>
        <v>INSERT INTO url_rewrite (entity_type, entity_id, redirect_type, store_id, request_path, target_path) VALUES ('custom', 0, 301, 1,'64832/172259/High-Tech-Showcases/Hexagon-Stretched-Tower-Display-Case.html',(SELECT CONCAT(url_path, '.html') FROM catalog_category_flat_store_1 WHERE entity_id=726));</v>
      </c>
      <c r="D838" t="str">
        <f t="shared" si="27"/>
        <v>UPDATE url_rewrite SET request_path = '64832/172259/High-Tech-Showcases/Hexagon-Stretched-Tower-Display-Case.html' WHERE entity_type='custom' AND target_path=(SELECT CONCAT(url_path, '.html') FROM catalog_category_flat_store_1 WHERE entity_id=726);</v>
      </c>
    </row>
    <row r="839" spans="1:4" x14ac:dyDescent="0.25">
      <c r="A839">
        <f>categories!B839</f>
        <v>727</v>
      </c>
      <c r="B839" t="str">
        <f>SUBSTITUTE(SUBSTITUTE(categories!H839,"\","/"),"www.americanretailsupply.com/","")</f>
        <v>64832/172260/High-Tech-Showcases/Hexagon-Revolving-Tower-Display-Case-with-Storage.html</v>
      </c>
      <c r="C839" t="str">
        <f t="shared" si="26"/>
        <v>INSERT INTO url_rewrite (entity_type, entity_id, redirect_type, store_id, request_path, target_path) VALUES ('custom', 0, 301, 1,'64832/172260/High-Tech-Showcases/Hexagon-Revolving-Tower-Display-Case-with-Storage.html',(SELECT CONCAT(url_path, '.html') FROM catalog_category_flat_store_1 WHERE entity_id=727));</v>
      </c>
      <c r="D839" t="str">
        <f t="shared" si="27"/>
        <v>UPDATE url_rewrite SET request_path = '64832/172260/High-Tech-Showcases/Hexagon-Revolving-Tower-Display-Case-with-Storage.html' WHERE entity_type='custom' AND target_path=(SELECT CONCAT(url_path, '.html') FROM catalog_category_flat_store_1 WHERE entity_id=727);</v>
      </c>
    </row>
    <row r="840" spans="1:4" x14ac:dyDescent="0.25">
      <c r="A840">
        <f>categories!B840</f>
        <v>728</v>
      </c>
      <c r="B840" t="str">
        <f>SUBSTITUTE(SUBSTITUTE(categories!H840,"\","/"),"www.americanretailsupply.com/","")</f>
        <v>64832/172262/High-Tech-Showcases/Hexagon-Counter-Top-Display-Case.html</v>
      </c>
      <c r="C840" t="str">
        <f t="shared" si="26"/>
        <v>INSERT INTO url_rewrite (entity_type, entity_id, redirect_type, store_id, request_path, target_path) VALUES ('custom', 0, 301, 1,'64832/172262/High-Tech-Showcases/Hexagon-Counter-Top-Display-Case.html',(SELECT CONCAT(url_path, '.html') FROM catalog_category_flat_store_1 WHERE entity_id=728));</v>
      </c>
      <c r="D840" t="str">
        <f t="shared" si="27"/>
        <v>UPDATE url_rewrite SET request_path = '64832/172262/High-Tech-Showcases/Hexagon-Counter-Top-Display-Case.html' WHERE entity_type='custom' AND target_path=(SELECT CONCAT(url_path, '.html') FROM catalog_category_flat_store_1 WHERE entity_id=728);</v>
      </c>
    </row>
    <row r="841" spans="1:4" x14ac:dyDescent="0.25">
      <c r="A841">
        <f>categories!B841</f>
        <v>729</v>
      </c>
      <c r="B841" t="str">
        <f>SUBSTITUTE(SUBSTITUTE(categories!H841,"\","/"),"www.americanretailsupply.com/","")</f>
        <v>64832/583774/High-Tech-Showcases/Compact-Square-Tower-Display-Case.html</v>
      </c>
      <c r="C841" t="str">
        <f t="shared" si="26"/>
        <v>INSERT INTO url_rewrite (entity_type, entity_id, redirect_type, store_id, request_path, target_path) VALUES ('custom', 0, 301, 1,'64832/583774/High-Tech-Showcases/Compact-Square-Tower-Display-Case.html',(SELECT CONCAT(url_path, '.html') FROM catalog_category_flat_store_1 WHERE entity_id=729));</v>
      </c>
      <c r="D841" t="str">
        <f t="shared" si="27"/>
        <v>UPDATE url_rewrite SET request_path = '64832/583774/High-Tech-Showcases/Compact-Square-Tower-Display-Case.html' WHERE entity_type='custom' AND target_path=(SELECT CONCAT(url_path, '.html') FROM catalog_category_flat_store_1 WHERE entity_id=729);</v>
      </c>
    </row>
    <row r="842" spans="1:4" x14ac:dyDescent="0.25">
      <c r="A842">
        <f>categories!B842</f>
        <v>730</v>
      </c>
      <c r="B842" t="str">
        <f>SUBSTITUTE(SUBSTITUTE(categories!H842,"\","/"),"www.americanretailsupply.com/","")</f>
        <v>64832/583775/High-Tech-Showcases/Curved-Wall-40-Wide-Display-no-Storage.html</v>
      </c>
      <c r="C842" t="str">
        <f t="shared" si="26"/>
        <v>INSERT INTO url_rewrite (entity_type, entity_id, redirect_type, store_id, request_path, target_path) VALUES ('custom', 0, 301, 1,'64832/583775/High-Tech-Showcases/Curved-Wall-40-Wide-Display-no-Storage.html',(SELECT CONCAT(url_path, '.html') FROM catalog_category_flat_store_1 WHERE entity_id=730));</v>
      </c>
      <c r="D842" t="str">
        <f t="shared" si="27"/>
        <v>UPDATE url_rewrite SET request_path = '64832/583775/High-Tech-Showcases/Curved-Wall-40-Wide-Display-no-Storage.html' WHERE entity_type='custom' AND target_path=(SELECT CONCAT(url_path, '.html') FROM catalog_category_flat_store_1 WHERE entity_id=730);</v>
      </c>
    </row>
    <row r="843" spans="1:4" x14ac:dyDescent="0.25">
      <c r="A843">
        <f>categories!B843</f>
        <v>731</v>
      </c>
      <c r="B843" t="str">
        <f>SUBSTITUTE(SUBSTITUTE(categories!H843,"\","/"),"www.americanretailsupply.com/","")</f>
        <v>64832/583778/High-Tech-Showcases/Full-Sized-Quarter-Vision-Jewelry-Showcase-with-Pedastal-Ends.html</v>
      </c>
      <c r="C843" t="str">
        <f t="shared" si="26"/>
        <v>INSERT INTO url_rewrite (entity_type, entity_id, redirect_type, store_id, request_path, target_path) VALUES ('custom', 0, 301, 1,'64832/583778/High-Tech-Showcases/Full-Sized-Quarter-Vision-Jewelry-Showcase-with-Pedastal-Ends.html',(SELECT CONCAT(url_path, '.html') FROM catalog_category_flat_store_1 WHERE entity_id=731));</v>
      </c>
      <c r="D843" t="str">
        <f t="shared" si="27"/>
        <v>UPDATE url_rewrite SET request_path = '64832/583778/High-Tech-Showcases/Full-Sized-Quarter-Vision-Jewelry-Showcase-with-Pedastal-Ends.html' WHERE entity_type='custom' AND target_path=(SELECT CONCAT(url_path, '.html') FROM catalog_category_flat_store_1 WHERE entity_id=731);</v>
      </c>
    </row>
    <row r="844" spans="1:4" x14ac:dyDescent="0.25">
      <c r="A844">
        <f>categories!B844</f>
        <v>732</v>
      </c>
      <c r="B844" t="str">
        <f>SUBSTITUTE(SUBSTITUTE(categories!H844,"\","/"),"www.americanretailsupply.com/","")</f>
        <v>64832/583842/High-Tech-Showcases/Full-Sized-Quarter-Vision-Jewelry-Case-with-Angled-Corners.html</v>
      </c>
      <c r="C844" t="str">
        <f t="shared" si="26"/>
        <v>INSERT INTO url_rewrite (entity_type, entity_id, redirect_type, store_id, request_path, target_path) VALUES ('custom', 0, 301, 1,'64832/583842/High-Tech-Showcases/Full-Sized-Quarter-Vision-Jewelry-Case-with-Angled-Corners.html',(SELECT CONCAT(url_path, '.html') FROM catalog_category_flat_store_1 WHERE entity_id=732));</v>
      </c>
      <c r="D844" t="str">
        <f t="shared" si="27"/>
        <v>UPDATE url_rewrite SET request_path = '64832/583842/High-Tech-Showcases/Full-Sized-Quarter-Vision-Jewelry-Case-with-Angled-Corners.html' WHERE entity_type='custom' AND target_path=(SELECT CONCAT(url_path, '.html') FROM catalog_category_flat_store_1 WHERE entity_id=732);</v>
      </c>
    </row>
    <row r="845" spans="1:4" x14ac:dyDescent="0.25">
      <c r="A845">
        <f>categories!B845</f>
        <v>733</v>
      </c>
      <c r="B845" t="str">
        <f>SUBSTITUTE(SUBSTITUTE(categories!H845,"\","/"),"www.americanretailsupply.com/","")</f>
        <v>64832/583941/High-Tech-Showcases/Curved-Tower-Display-Case.html</v>
      </c>
      <c r="C845" t="str">
        <f t="shared" si="26"/>
        <v>INSERT INTO url_rewrite (entity_type, entity_id, redirect_type, store_id, request_path, target_path) VALUES ('custom', 0, 301, 1,'64832/583941/High-Tech-Showcases/Curved-Tower-Display-Case.html',(SELECT CONCAT(url_path, '.html') FROM catalog_category_flat_store_1 WHERE entity_id=733));</v>
      </c>
      <c r="D845" t="str">
        <f t="shared" si="27"/>
        <v>UPDATE url_rewrite SET request_path = '64832/583941/High-Tech-Showcases/Curved-Tower-Display-Case.html' WHERE entity_type='custom' AND target_path=(SELECT CONCAT(url_path, '.html') FROM catalog_category_flat_store_1 WHERE entity_id=733);</v>
      </c>
    </row>
    <row r="846" spans="1:4" x14ac:dyDescent="0.25">
      <c r="A846">
        <f>categories!B846</f>
        <v>734</v>
      </c>
      <c r="B846" t="str">
        <f>SUBSTITUTE(SUBSTITUTE(categories!H846,"\","/"),"www.americanretailsupply.com/","")</f>
        <v>64832/585062/High-Tech-Showcases/Hexagon-Freestanding-Jewelry-Display-Case-Top-Only.html</v>
      </c>
      <c r="C846" t="str">
        <f t="shared" si="26"/>
        <v>INSERT INTO url_rewrite (entity_type, entity_id, redirect_type, store_id, request_path, target_path) VALUES ('custom', 0, 301, 1,'64832/585062/High-Tech-Showcases/Hexagon-Freestanding-Jewelry-Display-Case-Top-Only.html',(SELECT CONCAT(url_path, '.html') FROM catalog_category_flat_store_1 WHERE entity_id=734));</v>
      </c>
      <c r="D846" t="str">
        <f t="shared" si="27"/>
        <v>UPDATE url_rewrite SET request_path = '64832/585062/High-Tech-Showcases/Hexagon-Freestanding-Jewelry-Display-Case-Top-Only.html' WHERE entity_type='custom' AND target_path=(SELECT CONCAT(url_path, '.html') FROM catalog_category_flat_store_1 WHERE entity_id=734);</v>
      </c>
    </row>
    <row r="847" spans="1:4" x14ac:dyDescent="0.25">
      <c r="A847">
        <f>categories!B847</f>
        <v>736</v>
      </c>
      <c r="B847" t="str">
        <f>SUBSTITUTE(SUBSTITUTE(categories!H847,"\","/"),"www.americanretailsupply.com/","")</f>
        <v>65011/732117/Holiday-Boxes/Reindeer-Dance.html</v>
      </c>
      <c r="C847" t="str">
        <f t="shared" si="26"/>
        <v>INSERT INTO url_rewrite (entity_type, entity_id, redirect_type, store_id, request_path, target_path) VALUES ('custom', 0, 301, 1,'65011/732117/Holiday-Boxes/Reindeer-Dance.html',(SELECT CONCAT(url_path, '.html') FROM catalog_category_flat_store_1 WHERE entity_id=736));</v>
      </c>
      <c r="D847" t="str">
        <f t="shared" si="27"/>
        <v>UPDATE url_rewrite SET request_path = '65011/732117/Holiday-Boxes/Reindeer-Dance.html' WHERE entity_type='custom' AND target_path=(SELECT CONCAT(url_path, '.html') FROM catalog_category_flat_store_1 WHERE entity_id=736);</v>
      </c>
    </row>
    <row r="848" spans="1:4" x14ac:dyDescent="0.25">
      <c r="A848">
        <f>categories!B848</f>
        <v>737</v>
      </c>
      <c r="B848" t="str">
        <f>SUBSTITUTE(SUBSTITUTE(categories!H848,"\","/"),"www.americanretailsupply.com/","")</f>
        <v>65011/732118/Holiday-Boxes/Riveting-Ribbons.html</v>
      </c>
      <c r="C848" t="str">
        <f t="shared" si="26"/>
        <v>INSERT INTO url_rewrite (entity_type, entity_id, redirect_type, store_id, request_path, target_path) VALUES ('custom', 0, 301, 1,'65011/732118/Holiday-Boxes/Riveting-Ribbons.html',(SELECT CONCAT(url_path, '.html') FROM catalog_category_flat_store_1 WHERE entity_id=737));</v>
      </c>
      <c r="D848" t="str">
        <f t="shared" si="27"/>
        <v>UPDATE url_rewrite SET request_path = '65011/732118/Holiday-Boxes/Riveting-Ribbons.html' WHERE entity_type='custom' AND target_path=(SELECT CONCAT(url_path, '.html') FROM catalog_category_flat_store_1 WHERE entity_id=737);</v>
      </c>
    </row>
    <row r="849" spans="1:4" x14ac:dyDescent="0.25">
      <c r="A849">
        <f>categories!B849</f>
        <v>739</v>
      </c>
      <c r="B849" t="str">
        <f>SUBSTITUTE(SUBSTITUTE(categories!H849,"\","/"),"www.americanretailsupply.com/","")</f>
        <v>64723/50821/Holiday-Giftwrap/Christmas-and-Holiday-Giftwrap-2.html</v>
      </c>
      <c r="C849" t="str">
        <f t="shared" si="26"/>
        <v>INSERT INTO url_rewrite (entity_type, entity_id, redirect_type, store_id, request_path, target_path) VALUES ('custom', 0, 301, 1,'64723/50821/Holiday-Giftwrap/Christmas-and-Holiday-Giftwrap-2.html',(SELECT CONCAT(url_path, '.html') FROM catalog_category_flat_store_1 WHERE entity_id=739));</v>
      </c>
      <c r="D849" t="str">
        <f t="shared" si="27"/>
        <v>UPDATE url_rewrite SET request_path = '64723/50821/Holiday-Giftwrap/Christmas-and-Holiday-Giftwrap-2.html' WHERE entity_type='custom' AND target_path=(SELECT CONCAT(url_path, '.html') FROM catalog_category_flat_store_1 WHERE entity_id=739);</v>
      </c>
    </row>
    <row r="850" spans="1:4" x14ac:dyDescent="0.25">
      <c r="A850">
        <f>categories!B850</f>
        <v>740</v>
      </c>
      <c r="B850" t="str">
        <f>SUBSTITUTE(SUBSTITUTE(categories!H850,"\","/"),"www.americanretailsupply.com/","")</f>
        <v>64723/50843/Holiday-Giftwrap/Christmas-and-Holiday-Giftwrap-1.html</v>
      </c>
      <c r="C850" t="str">
        <f t="shared" si="26"/>
        <v>INSERT INTO url_rewrite (entity_type, entity_id, redirect_type, store_id, request_path, target_path) VALUES ('custom', 0, 301, 1,'64723/50843/Holiday-Giftwrap/Christmas-and-Holiday-Giftwrap-1.html',(SELECT CONCAT(url_path, '.html') FROM catalog_category_flat_store_1 WHERE entity_id=740));</v>
      </c>
      <c r="D850" t="str">
        <f t="shared" si="27"/>
        <v>UPDATE url_rewrite SET request_path = '64723/50843/Holiday-Giftwrap/Christmas-and-Holiday-Giftwrap-1.html' WHERE entity_type='custom' AND target_path=(SELECT CONCAT(url_path, '.html') FROM catalog_category_flat_store_1 WHERE entity_id=740);</v>
      </c>
    </row>
    <row r="851" spans="1:4" x14ac:dyDescent="0.25">
      <c r="A851">
        <f>categories!B851</f>
        <v>742</v>
      </c>
      <c r="B851" t="str">
        <f>SUBSTITUTE(SUBSTITUTE(categories!H851,"\","/"),"www.americanretailsupply.com/","")</f>
        <v>65001/28612/Holiday-Patterned-Tissue-Paper/Printed-Tissue-Paper-Assortment-Packs.html</v>
      </c>
      <c r="C851" t="str">
        <f t="shared" si="26"/>
        <v>INSERT INTO url_rewrite (entity_type, entity_id, redirect_type, store_id, request_path, target_path) VALUES ('custom', 0, 301, 1,'65001/28612/Holiday-Patterned-Tissue-Paper/Printed-Tissue-Paper-Assortment-Packs.html',(SELECT CONCAT(url_path, '.html') FROM catalog_category_flat_store_1 WHERE entity_id=742));</v>
      </c>
      <c r="D851" t="str">
        <f t="shared" si="27"/>
        <v>UPDATE url_rewrite SET request_path = '65001/28612/Holiday-Patterned-Tissue-Paper/Printed-Tissue-Paper-Assortment-Packs.html' WHERE entity_type='custom' AND target_path=(SELECT CONCAT(url_path, '.html') FROM catalog_category_flat_store_1 WHERE entity_id=742);</v>
      </c>
    </row>
    <row r="852" spans="1:4" x14ac:dyDescent="0.25">
      <c r="A852">
        <f>categories!B852</f>
        <v>743</v>
      </c>
      <c r="B852" t="str">
        <f>SUBSTITUTE(SUBSTITUTE(categories!H852,"\","/"),"www.americanretailsupply.com/","")</f>
        <v>65001/223362/Holiday-Patterned-Tissue-Paper/Holiday--Christmas-Printed-Tissue-Paper.html</v>
      </c>
      <c r="C852" t="str">
        <f t="shared" si="26"/>
        <v>INSERT INTO url_rewrite (entity_type, entity_id, redirect_type, store_id, request_path, target_path) VALUES ('custom', 0, 301, 1,'65001/223362/Holiday-Patterned-Tissue-Paper/Holiday--Christmas-Printed-Tissue-Paper.html',(SELECT CONCAT(url_path, '.html') FROM catalog_category_flat_store_1 WHERE entity_id=743));</v>
      </c>
      <c r="D852" t="str">
        <f t="shared" si="27"/>
        <v>UPDATE url_rewrite SET request_path = '65001/223362/Holiday-Patterned-Tissue-Paper/Holiday--Christmas-Printed-Tissue-Paper.html' WHERE entity_type='custom' AND target_path=(SELECT CONCAT(url_path, '.html') FROM catalog_category_flat_store_1 WHERE entity_id=743);</v>
      </c>
    </row>
    <row r="853" spans="1:4" x14ac:dyDescent="0.25">
      <c r="A853">
        <f>categories!B853</f>
        <v>745</v>
      </c>
      <c r="B853" t="str">
        <f>SUBSTITUTE(SUBSTITUTE(categories!H853,"\","/"),"www.americanretailsupply.com/","")</f>
        <v>64999/752414/Holiday-Patterns-Plastic-Bags/Holiday-AmeriTotes-Hi--Density-in-Solid-Colors.html</v>
      </c>
      <c r="C853" t="str">
        <f t="shared" si="26"/>
        <v>INSERT INTO url_rewrite (entity_type, entity_id, redirect_type, store_id, request_path, target_path) VALUES ('custom', 0, 301, 1,'64999/752414/Holiday-Patterns-Plastic-Bags/Holiday-AmeriTotes-Hi--Density-in-Solid-Colors.html',(SELECT CONCAT(url_path, '.html') FROM catalog_category_flat_store_1 WHERE entity_id=745));</v>
      </c>
      <c r="D853" t="str">
        <f t="shared" si="27"/>
        <v>UPDATE url_rewrite SET request_path = '64999/752414/Holiday-Patterns-Plastic-Bags/Holiday-AmeriTotes-Hi--Density-in-Solid-Colors.html' WHERE entity_type='custom' AND target_path=(SELECT CONCAT(url_path, '.html') FROM catalog_category_flat_store_1 WHERE entity_id=745);</v>
      </c>
    </row>
    <row r="854" spans="1:4" x14ac:dyDescent="0.25">
      <c r="A854">
        <f>categories!B854</f>
        <v>746</v>
      </c>
      <c r="B854" t="str">
        <f>SUBSTITUTE(SUBSTITUTE(categories!H854,"\","/"),"www.americanretailsupply.com/","")</f>
        <v>64999/752422/Holiday-Patterns-Plastic-Bags/Gloss-Christmas-Plastic-Merchandise-Bags.html</v>
      </c>
      <c r="C854" t="str">
        <f t="shared" si="26"/>
        <v>INSERT INTO url_rewrite (entity_type, entity_id, redirect_type, store_id, request_path, target_path) VALUES ('custom', 0, 301, 1,'64999/752422/Holiday-Patterns-Plastic-Bags/Gloss-Christmas-Plastic-Merchandise-Bags.html',(SELECT CONCAT(url_path, '.html') FROM catalog_category_flat_store_1 WHERE entity_id=746));</v>
      </c>
      <c r="D854" t="str">
        <f t="shared" si="27"/>
        <v>UPDATE url_rewrite SET request_path = '64999/752422/Holiday-Patterns-Plastic-Bags/Gloss-Christmas-Plastic-Merchandise-Bags.html' WHERE entity_type='custom' AND target_path=(SELECT CONCAT(url_path, '.html') FROM catalog_category_flat_store_1 WHERE entity_id=746);</v>
      </c>
    </row>
    <row r="855" spans="1:4" x14ac:dyDescent="0.25">
      <c r="A855">
        <f>categories!B855</f>
        <v>747</v>
      </c>
      <c r="B855" t="str">
        <f>SUBSTITUTE(SUBSTITUTE(categories!H855,"\","/"),"www.americanretailsupply.com/","")</f>
        <v>64999/762170/Holiday-Patterns-Plastic-Bags/Printed-Plastic-Holiday-Bags.html</v>
      </c>
      <c r="C855" t="str">
        <f t="shared" si="26"/>
        <v>INSERT INTO url_rewrite (entity_type, entity_id, redirect_type, store_id, request_path, target_path) VALUES ('custom', 0, 301, 1,'64999/762170/Holiday-Patterns-Plastic-Bags/Printed-Plastic-Holiday-Bags.html',(SELECT CONCAT(url_path, '.html') FROM catalog_category_flat_store_1 WHERE entity_id=747));</v>
      </c>
      <c r="D855" t="str">
        <f t="shared" si="27"/>
        <v>UPDATE url_rewrite SET request_path = '64999/762170/Holiday-Patterns-Plastic-Bags/Printed-Plastic-Holiday-Bags.html' WHERE entity_type='custom' AND target_path=(SELECT CONCAT(url_path, '.html') FROM catalog_category_flat_store_1 WHERE entity_id=747);</v>
      </c>
    </row>
    <row r="856" spans="1:4" x14ac:dyDescent="0.25">
      <c r="A856">
        <f>categories!B856</f>
        <v>749</v>
      </c>
      <c r="B856" t="str">
        <f>SUBSTITUTE(SUBSTITUTE(categories!H856,"\","/"),"www.americanretailsupply.com/","")</f>
        <v>65167/156998/Hosiery--Sock-Displays/Female-Leg.html</v>
      </c>
      <c r="C856" t="str">
        <f t="shared" si="26"/>
        <v>INSERT INTO url_rewrite (entity_type, entity_id, redirect_type, store_id, request_path, target_path) VALUES ('custom', 0, 301, 1,'65167/156998/Hosiery--Sock-Displays/Female-Leg.html',(SELECT CONCAT(url_path, '.html') FROM catalog_category_flat_store_1 WHERE entity_id=749));</v>
      </c>
      <c r="D856" t="str">
        <f t="shared" si="27"/>
        <v>UPDATE url_rewrite SET request_path = '65167/156998/Hosiery--Sock-Displays/Female-Leg.html' WHERE entity_type='custom' AND target_path=(SELECT CONCAT(url_path, '.html') FROM catalog_category_flat_store_1 WHERE entity_id=749);</v>
      </c>
    </row>
    <row r="857" spans="1:4" x14ac:dyDescent="0.25">
      <c r="A857">
        <f>categories!B857</f>
        <v>750</v>
      </c>
      <c r="B857" t="str">
        <f>SUBSTITUTE(SUBSTITUTE(categories!H857,"\","/"),"www.americanretailsupply.com/","")</f>
        <v>65167/156999/Hosiery--Sock-Displays/Athletic-Mens-Sock-Display.html</v>
      </c>
      <c r="C857" t="str">
        <f t="shared" si="26"/>
        <v>INSERT INTO url_rewrite (entity_type, entity_id, redirect_type, store_id, request_path, target_path) VALUES ('custom', 0, 301, 1,'65167/156999/Hosiery--Sock-Displays/Athletic-Mens-Sock-Display.html',(SELECT CONCAT(url_path, '.html') FROM catalog_category_flat_store_1 WHERE entity_id=750));</v>
      </c>
      <c r="D857" t="str">
        <f t="shared" si="27"/>
        <v>UPDATE url_rewrite SET request_path = '65167/156999/Hosiery--Sock-Displays/Athletic-Mens-Sock-Display.html' WHERE entity_type='custom' AND target_path=(SELECT CONCAT(url_path, '.html') FROM catalog_category_flat_store_1 WHERE entity_id=750);</v>
      </c>
    </row>
    <row r="858" spans="1:4" x14ac:dyDescent="0.25">
      <c r="A858">
        <f>categories!B858</f>
        <v>752</v>
      </c>
      <c r="B858" t="str">
        <f>SUBSTITUTE(SUBSTITUTE(categories!H858,"\","/"),"www.americanretailsupply.com/","")</f>
        <v>64852/22329/Impulse-Sealers--Shrink-Wrap/Shrink-Wrap-Film-and-Bags.html</v>
      </c>
      <c r="C858" t="str">
        <f t="shared" si="26"/>
        <v>INSERT INTO url_rewrite (entity_type, entity_id, redirect_type, store_id, request_path, target_path) VALUES ('custom', 0, 301, 1,'64852/22329/Impulse-Sealers--Shrink-Wrap/Shrink-Wrap-Film-and-Bags.html',(SELECT CONCAT(url_path, '.html') FROM catalog_category_flat_store_1 WHERE entity_id=752));</v>
      </c>
      <c r="D858" t="str">
        <f t="shared" si="27"/>
        <v>UPDATE url_rewrite SET request_path = '64852/22329/Impulse-Sealers--Shrink-Wrap/Shrink-Wrap-Film-and-Bags.html' WHERE entity_type='custom' AND target_path=(SELECT CONCAT(url_path, '.html') FROM catalog_category_flat_store_1 WHERE entity_id=752);</v>
      </c>
    </row>
    <row r="859" spans="1:4" x14ac:dyDescent="0.25">
      <c r="A859">
        <f>categories!B859</f>
        <v>753</v>
      </c>
      <c r="B859" t="str">
        <f>SUBSTITUTE(SUBSTITUTE(categories!H859,"\","/"),"www.americanretailsupply.com/","")</f>
        <v>10290/48242/Impulse-Sealers--Shrink-Wrap/Impulse-Sealers.html</v>
      </c>
      <c r="C859" t="str">
        <f t="shared" si="26"/>
        <v>INSERT INTO url_rewrite (entity_type, entity_id, redirect_type, store_id, request_path, target_path) VALUES ('custom', 0, 301, 1,'10290/48242/Impulse-Sealers--Shrink-Wrap/Impulse-Sealers.html',(SELECT CONCAT(url_path, '.html') FROM catalog_category_flat_store_1 WHERE entity_id=753));</v>
      </c>
      <c r="D859" t="str">
        <f t="shared" si="27"/>
        <v>UPDATE url_rewrite SET request_path = '10290/48242/Impulse-Sealers--Shrink-Wrap/Impulse-Sealers.html' WHERE entity_type='custom' AND target_path=(SELECT CONCAT(url_path, '.html') FROM catalog_category_flat_store_1 WHERE entity_id=753);</v>
      </c>
    </row>
    <row r="860" spans="1:4" x14ac:dyDescent="0.25">
      <c r="A860">
        <f>categories!B860</f>
        <v>754</v>
      </c>
      <c r="B860" t="str">
        <f>SUBSTITUTE(SUBSTITUTE(categories!H860,"\","/"),"www.americanretailsupply.com/","")</f>
        <v>64852/48243/Impulse-Sealers--Shrink-Wrap/Impulse-Sealer-Replacement-Kit.html</v>
      </c>
      <c r="C860" t="str">
        <f t="shared" si="26"/>
        <v>INSERT INTO url_rewrite (entity_type, entity_id, redirect_type, store_id, request_path, target_path) VALUES ('custom', 0, 301, 1,'64852/48243/Impulse-Sealers--Shrink-Wrap/Impulse-Sealer-Replacement-Kit.html',(SELECT CONCAT(url_path, '.html') FROM catalog_category_flat_store_1 WHERE entity_id=754));</v>
      </c>
      <c r="D860" t="str">
        <f t="shared" si="27"/>
        <v>UPDATE url_rewrite SET request_path = '64852/48243/Impulse-Sealers--Shrink-Wrap/Impulse-Sealer-Replacement-Kit.html' WHERE entity_type='custom' AND target_path=(SELECT CONCAT(url_path, '.html') FROM catalog_category_flat_store_1 WHERE entity_id=754);</v>
      </c>
    </row>
    <row r="861" spans="1:4" x14ac:dyDescent="0.25">
      <c r="A861">
        <f>categories!B861</f>
        <v>755</v>
      </c>
      <c r="B861" t="str">
        <f>SUBSTITUTE(SUBSTITUTE(categories!H861,"\","/"),"www.americanretailsupply.com/","")</f>
        <v>64852/153428/Impulse-Sealers--Shrink-Wrap/Shrink-Wrap-Systems.html</v>
      </c>
      <c r="C861" t="str">
        <f t="shared" si="26"/>
        <v>INSERT INTO url_rewrite (entity_type, entity_id, redirect_type, store_id, request_path, target_path) VALUES ('custom', 0, 301, 1,'64852/153428/Impulse-Sealers--Shrink-Wrap/Shrink-Wrap-Systems.html',(SELECT CONCAT(url_path, '.html') FROM catalog_category_flat_store_1 WHERE entity_id=755));</v>
      </c>
      <c r="D861" t="str">
        <f t="shared" si="27"/>
        <v>UPDATE url_rewrite SET request_path = '64852/153428/Impulse-Sealers--Shrink-Wrap/Shrink-Wrap-Systems.html' WHERE entity_type='custom' AND target_path=(SELECT CONCAT(url_path, '.html') FROM catalog_category_flat_store_1 WHERE entity_id=755);</v>
      </c>
    </row>
    <row r="862" spans="1:4" x14ac:dyDescent="0.25">
      <c r="A862">
        <f>categories!B862</f>
        <v>756</v>
      </c>
      <c r="B862" t="str">
        <f>SUBSTITUTE(SUBSTITUTE(categories!H862,"\","/"),"www.americanretailsupply.com/","")</f>
        <v>64852/153429/Impulse-Sealers--Shrink-Wrap/Shrink-Wrap-Heat-Gun.html</v>
      </c>
      <c r="C862" t="str">
        <f t="shared" si="26"/>
        <v>INSERT INTO url_rewrite (entity_type, entity_id, redirect_type, store_id, request_path, target_path) VALUES ('custom', 0, 301, 1,'64852/153429/Impulse-Sealers--Shrink-Wrap/Shrink-Wrap-Heat-Gun.html',(SELECT CONCAT(url_path, '.html') FROM catalog_category_flat_store_1 WHERE entity_id=756));</v>
      </c>
      <c r="D862" t="str">
        <f t="shared" si="27"/>
        <v>UPDATE url_rewrite SET request_path = '64852/153429/Impulse-Sealers--Shrink-Wrap/Shrink-Wrap-Heat-Gun.html' WHERE entity_type='custom' AND target_path=(SELECT CONCAT(url_path, '.html') FROM catalog_category_flat_store_1 WHERE entity_id=756);</v>
      </c>
    </row>
    <row r="863" spans="1:4" x14ac:dyDescent="0.25">
      <c r="A863">
        <f>categories!B863</f>
        <v>757</v>
      </c>
      <c r="B863" t="str">
        <f>SUBSTITUTE(SUBSTITUTE(categories!H863,"\","/"),"www.americanretailsupply.com/","")</f>
        <v>64852/153430/Impulse-Sealers--Shrink-Wrap/6-Hand-Crimper-and-or-Sealer.html</v>
      </c>
      <c r="C863" t="str">
        <f t="shared" si="26"/>
        <v>INSERT INTO url_rewrite (entity_type, entity_id, redirect_type, store_id, request_path, target_path) VALUES ('custom', 0, 301, 1,'64852/153430/Impulse-Sealers--Shrink-Wrap/6-Hand-Crimper-and-or-Sealer.html',(SELECT CONCAT(url_path, '.html') FROM catalog_category_flat_store_1 WHERE entity_id=757));</v>
      </c>
      <c r="D863" t="str">
        <f t="shared" si="27"/>
        <v>UPDATE url_rewrite SET request_path = '64852/153430/Impulse-Sealers--Shrink-Wrap/6-Hand-Crimper-and-or-Sealer.html' WHERE entity_type='custom' AND target_path=(SELECT CONCAT(url_path, '.html') FROM catalog_category_flat_store_1 WHERE entity_id=757);</v>
      </c>
    </row>
    <row r="864" spans="1:4" x14ac:dyDescent="0.25">
      <c r="A864">
        <f>categories!B864</f>
        <v>758</v>
      </c>
      <c r="B864" t="str">
        <f>SUBSTITUTE(SUBSTITUTE(categories!H864,"\","/"),"www.americanretailsupply.com/","")</f>
        <v>64852/153431/Impulse-Sealers--Shrink-Wrap/Shrink-Wrap-Replacement-Kit.html</v>
      </c>
      <c r="C864" t="str">
        <f t="shared" si="26"/>
        <v>INSERT INTO url_rewrite (entity_type, entity_id, redirect_type, store_id, request_path, target_path) VALUES ('custom', 0, 301, 1,'64852/153431/Impulse-Sealers--Shrink-Wrap/Shrink-Wrap-Replacement-Kit.html',(SELECT CONCAT(url_path, '.html') FROM catalog_category_flat_store_1 WHERE entity_id=758));</v>
      </c>
      <c r="D864" t="str">
        <f t="shared" si="27"/>
        <v>UPDATE url_rewrite SET request_path = '64852/153431/Impulse-Sealers--Shrink-Wrap/Shrink-Wrap-Replacement-Kit.html' WHERE entity_type='custom' AND target_path=(SELECT CONCAT(url_path, '.html') FROM catalog_category_flat_store_1 WHERE entity_id=758);</v>
      </c>
    </row>
    <row r="865" spans="1:4" x14ac:dyDescent="0.25">
      <c r="A865">
        <f>categories!B865</f>
        <v>760</v>
      </c>
      <c r="B865" t="str">
        <f>SUBSTITUTE(SUBSTITUTE(categories!H865,"\","/"),"www.americanretailsupply.com/","")</f>
        <v>64712/439478/Italian-Boxes/Matte-Gold-Linen-Collection.html</v>
      </c>
      <c r="C865" t="str">
        <f t="shared" si="26"/>
        <v>INSERT INTO url_rewrite (entity_type, entity_id, redirect_type, store_id, request_path, target_path) VALUES ('custom', 0, 301, 1,'64712/439478/Italian-Boxes/Matte-Gold-Linen-Collection.html',(SELECT CONCAT(url_path, '.html') FROM catalog_category_flat_store_1 WHERE entity_id=760));</v>
      </c>
      <c r="D865" t="str">
        <f t="shared" si="27"/>
        <v>UPDATE url_rewrite SET request_path = '64712/439478/Italian-Boxes/Matte-Gold-Linen-Collection.html' WHERE entity_type='custom' AND target_path=(SELECT CONCAT(url_path, '.html') FROM catalog_category_flat_store_1 WHERE entity_id=760);</v>
      </c>
    </row>
    <row r="866" spans="1:4" x14ac:dyDescent="0.25">
      <c r="A866">
        <f>categories!B866</f>
        <v>761</v>
      </c>
      <c r="B866" t="str">
        <f>SUBSTITUTE(SUBSTITUTE(categories!H866,"\","/"),"www.americanretailsupply.com/","")</f>
        <v>64712/441391/Italian-Boxes/White-Gloss-Collection.html</v>
      </c>
      <c r="C866" t="str">
        <f t="shared" si="26"/>
        <v>INSERT INTO url_rewrite (entity_type, entity_id, redirect_type, store_id, request_path, target_path) VALUES ('custom', 0, 301, 1,'64712/441391/Italian-Boxes/White-Gloss-Collection.html',(SELECT CONCAT(url_path, '.html') FROM catalog_category_flat_store_1 WHERE entity_id=761));</v>
      </c>
      <c r="D866" t="str">
        <f t="shared" si="27"/>
        <v>UPDATE url_rewrite SET request_path = '64712/441391/Italian-Boxes/White-Gloss-Collection.html' WHERE entity_type='custom' AND target_path=(SELECT CONCAT(url_path, '.html') FROM catalog_category_flat_store_1 WHERE entity_id=761);</v>
      </c>
    </row>
    <row r="867" spans="1:4" x14ac:dyDescent="0.25">
      <c r="A867">
        <f>categories!B867</f>
        <v>762</v>
      </c>
      <c r="B867" t="str">
        <f>SUBSTITUTE(SUBSTITUTE(categories!H867,"\","/"),"www.americanretailsupply.com/","")</f>
        <v>64712/441474/Italian-Boxes/Chocolate-Linen-Collection.html</v>
      </c>
      <c r="C867" t="str">
        <f t="shared" si="26"/>
        <v>INSERT INTO url_rewrite (entity_type, entity_id, redirect_type, store_id, request_path, target_path) VALUES ('custom', 0, 301, 1,'64712/441474/Italian-Boxes/Chocolate-Linen-Collection.html',(SELECT CONCAT(url_path, '.html') FROM catalog_category_flat_store_1 WHERE entity_id=762));</v>
      </c>
      <c r="D867" t="str">
        <f t="shared" si="27"/>
        <v>UPDATE url_rewrite SET request_path = '64712/441474/Italian-Boxes/Chocolate-Linen-Collection.html' WHERE entity_type='custom' AND target_path=(SELECT CONCAT(url_path, '.html') FROM catalog_category_flat_store_1 WHERE entity_id=762);</v>
      </c>
    </row>
    <row r="868" spans="1:4" x14ac:dyDescent="0.25">
      <c r="A868">
        <f>categories!B868</f>
        <v>764</v>
      </c>
      <c r="B868" t="str">
        <f>SUBSTITUTE(SUBSTITUTE(categories!H868,"\","/"),"www.americanretailsupply.com/","")</f>
        <v>64915/33973/Jewelry-Apparel-Eyewear-Displays/Acrylic-Apparel-Ball-Waterfall.html</v>
      </c>
      <c r="C868" t="str">
        <f t="shared" si="26"/>
        <v>INSERT INTO url_rewrite (entity_type, entity_id, redirect_type, store_id, request_path, target_path) VALUES ('custom', 0, 301, 1,'64915/33973/Jewelry-Apparel-Eyewear-Displays/Acrylic-Apparel-Ball-Waterfall.html',(SELECT CONCAT(url_path, '.html') FROM catalog_category_flat_store_1 WHERE entity_id=764));</v>
      </c>
      <c r="D868" t="str">
        <f t="shared" si="27"/>
        <v>UPDATE url_rewrite SET request_path = '64915/33973/Jewelry-Apparel-Eyewear-Displays/Acrylic-Apparel-Ball-Waterfall.html' WHERE entity_type='custom' AND target_path=(SELECT CONCAT(url_path, '.html') FROM catalog_category_flat_store_1 WHERE entity_id=764);</v>
      </c>
    </row>
    <row r="869" spans="1:4" x14ac:dyDescent="0.25">
      <c r="A869">
        <f>categories!B869</f>
        <v>765</v>
      </c>
      <c r="B869" t="str">
        <f>SUBSTITUTE(SUBSTITUTE(categories!H869,"\","/"),"www.americanretailsupply.com/","")</f>
        <v>64915/33974/Jewelry-Apparel-Eyewear-Displays/Acrylic-Apparel-Folding-Boards.html</v>
      </c>
      <c r="C869" t="str">
        <f t="shared" si="26"/>
        <v>INSERT INTO url_rewrite (entity_type, entity_id, redirect_type, store_id, request_path, target_path) VALUES ('custom', 0, 301, 1,'64915/33974/Jewelry-Apparel-Eyewear-Displays/Acrylic-Apparel-Folding-Boards.html',(SELECT CONCAT(url_path, '.html') FROM catalog_category_flat_store_1 WHERE entity_id=765));</v>
      </c>
      <c r="D869" t="str">
        <f t="shared" si="27"/>
        <v>UPDATE url_rewrite SET request_path = '64915/33974/Jewelry-Apparel-Eyewear-Displays/Acrylic-Apparel-Folding-Boards.html' WHERE entity_type='custom' AND target_path=(SELECT CONCAT(url_path, '.html') FROM catalog_category_flat_store_1 WHERE entity_id=765);</v>
      </c>
    </row>
    <row r="870" spans="1:4" x14ac:dyDescent="0.25">
      <c r="A870">
        <f>categories!B870</f>
        <v>766</v>
      </c>
      <c r="B870" t="str">
        <f>SUBSTITUTE(SUBSTITUTE(categories!H870,"\","/"),"www.americanretailsupply.com/","")</f>
        <v>64915/33975/Jewelry-Apparel-Eyewear-Displays/Acrylic-Apparel-Hanger-Strip.html</v>
      </c>
      <c r="C870" t="str">
        <f t="shared" si="26"/>
        <v>INSERT INTO url_rewrite (entity_type, entity_id, redirect_type, store_id, request_path, target_path) VALUES ('custom', 0, 301, 1,'64915/33975/Jewelry-Apparel-Eyewear-Displays/Acrylic-Apparel-Hanger-Strip.html',(SELECT CONCAT(url_path, '.html') FROM catalog_category_flat_store_1 WHERE entity_id=766));</v>
      </c>
      <c r="D870" t="str">
        <f t="shared" si="27"/>
        <v>UPDATE url_rewrite SET request_path = '64915/33975/Jewelry-Apparel-Eyewear-Displays/Acrylic-Apparel-Hanger-Strip.html' WHERE entity_type='custom' AND target_path=(SELECT CONCAT(url_path, '.html') FROM catalog_category_flat_store_1 WHERE entity_id=766);</v>
      </c>
    </row>
    <row r="871" spans="1:4" x14ac:dyDescent="0.25">
      <c r="A871">
        <f>categories!B871</f>
        <v>767</v>
      </c>
      <c r="B871" t="str">
        <f>SUBSTITUTE(SUBSTITUTE(categories!H871,"\","/"),"www.americanretailsupply.com/","")</f>
        <v>64915/33977/Jewelry-Apparel-Eyewear-Displays/Acrylic-Apparel-Slatwall-T-shirt-Display.html</v>
      </c>
      <c r="C871" t="str">
        <f t="shared" si="26"/>
        <v>INSERT INTO url_rewrite (entity_type, entity_id, redirect_type, store_id, request_path, target_path) VALUES ('custom', 0, 301, 1,'64915/33977/Jewelry-Apparel-Eyewear-Displays/Acrylic-Apparel-Slatwall-T-shirt-Display.html',(SELECT CONCAT(url_path, '.html') FROM catalog_category_flat_store_1 WHERE entity_id=767));</v>
      </c>
      <c r="D871" t="str">
        <f t="shared" si="27"/>
        <v>UPDATE url_rewrite SET request_path = '64915/33977/Jewelry-Apparel-Eyewear-Displays/Acrylic-Apparel-Slatwall-T-shirt-Display.html' WHERE entity_type='custom' AND target_path=(SELECT CONCAT(url_path, '.html') FROM catalog_category_flat_store_1 WHERE entity_id=767);</v>
      </c>
    </row>
    <row r="872" spans="1:4" x14ac:dyDescent="0.25">
      <c r="A872">
        <f>categories!B872</f>
        <v>768</v>
      </c>
      <c r="B872" t="str">
        <f>SUBSTITUTE(SUBSTITUTE(categories!H872,"\","/"),"www.americanretailsupply.com/","")</f>
        <v>64915/33980/Jewelry-Apparel-Eyewear-Displays/Acrylic-Apparel-Bins.html</v>
      </c>
      <c r="C872" t="str">
        <f t="shared" si="26"/>
        <v>INSERT INTO url_rewrite (entity_type, entity_id, redirect_type, store_id, request_path, target_path) VALUES ('custom', 0, 301, 1,'64915/33980/Jewelry-Apparel-Eyewear-Displays/Acrylic-Apparel-Bins.html',(SELECT CONCAT(url_path, '.html') FROM catalog_category_flat_store_1 WHERE entity_id=768));</v>
      </c>
      <c r="D872" t="str">
        <f t="shared" si="27"/>
        <v>UPDATE url_rewrite SET request_path = '64915/33980/Jewelry-Apparel-Eyewear-Displays/Acrylic-Apparel-Bins.html' WHERE entity_type='custom' AND target_path=(SELECT CONCAT(url_path, '.html') FROM catalog_category_flat_store_1 WHERE entity_id=768);</v>
      </c>
    </row>
    <row r="873" spans="1:4" x14ac:dyDescent="0.25">
      <c r="A873">
        <f>categories!B873</f>
        <v>769</v>
      </c>
      <c r="B873" t="str">
        <f>SUBSTITUTE(SUBSTITUTE(categories!H873,"\","/"),"www.americanretailsupply.com/","")</f>
        <v>64915/33988/Jewelry-Apparel-Eyewear-Displays/Acrylic-Apparel-Belt-and-Tie-Displays.html</v>
      </c>
      <c r="C873" t="str">
        <f t="shared" si="26"/>
        <v>INSERT INTO url_rewrite (entity_type, entity_id, redirect_type, store_id, request_path, target_path) VALUES ('custom', 0, 301, 1,'64915/33988/Jewelry-Apparel-Eyewear-Displays/Acrylic-Apparel-Belt-and-Tie-Displays.html',(SELECT CONCAT(url_path, '.html') FROM catalog_category_flat_store_1 WHERE entity_id=769));</v>
      </c>
      <c r="D873" t="str">
        <f t="shared" si="27"/>
        <v>UPDATE url_rewrite SET request_path = '64915/33988/Jewelry-Apparel-Eyewear-Displays/Acrylic-Apparel-Belt-and-Tie-Displays.html' WHERE entity_type='custom' AND target_path=(SELECT CONCAT(url_path, '.html') FROM catalog_category_flat_store_1 WHERE entity_id=769);</v>
      </c>
    </row>
    <row r="874" spans="1:4" x14ac:dyDescent="0.25">
      <c r="A874">
        <f>categories!B874</f>
        <v>770</v>
      </c>
      <c r="B874" t="str">
        <f>SUBSTITUTE(SUBSTITUTE(categories!H874,"\","/"),"www.americanretailsupply.com/","")</f>
        <v>64915/33992/Jewelry-Apparel-Eyewear-Displays/Acrylic-Apparel-Scarf-Ring-Displayer.html</v>
      </c>
      <c r="C874" t="str">
        <f t="shared" si="26"/>
        <v>INSERT INTO url_rewrite (entity_type, entity_id, redirect_type, store_id, request_path, target_path) VALUES ('custom', 0, 301, 1,'64915/33992/Jewelry-Apparel-Eyewear-Displays/Acrylic-Apparel-Scarf-Ring-Displayer.html',(SELECT CONCAT(url_path, '.html') FROM catalog_category_flat_store_1 WHERE entity_id=770));</v>
      </c>
      <c r="D874" t="str">
        <f t="shared" si="27"/>
        <v>UPDATE url_rewrite SET request_path = '64915/33992/Jewelry-Apparel-Eyewear-Displays/Acrylic-Apparel-Scarf-Ring-Displayer.html' WHERE entity_type='custom' AND target_path=(SELECT CONCAT(url_path, '.html') FROM catalog_category_flat_store_1 WHERE entity_id=770);</v>
      </c>
    </row>
    <row r="875" spans="1:4" x14ac:dyDescent="0.25">
      <c r="A875">
        <f>categories!B875</f>
        <v>771</v>
      </c>
      <c r="B875" t="str">
        <f>SUBSTITUTE(SUBSTITUTE(categories!H875,"\","/"),"www.americanretailsupply.com/","")</f>
        <v>64915/34062/Jewelry-Apparel-Eyewear-Displays/Glass-Dome-Display-with-Hardwood-Base.html</v>
      </c>
      <c r="C875" t="str">
        <f t="shared" si="26"/>
        <v>INSERT INTO url_rewrite (entity_type, entity_id, redirect_type, store_id, request_path, target_path) VALUES ('custom', 0, 301, 1,'64915/34062/Jewelry-Apparel-Eyewear-Displays/Glass-Dome-Display-with-Hardwood-Base.html',(SELECT CONCAT(url_path, '.html') FROM catalog_category_flat_store_1 WHERE entity_id=771));</v>
      </c>
      <c r="D875" t="str">
        <f t="shared" si="27"/>
        <v>UPDATE url_rewrite SET request_path = '64915/34062/Jewelry-Apparel-Eyewear-Displays/Glass-Dome-Display-with-Hardwood-Base.html' WHERE entity_type='custom' AND target_path=(SELECT CONCAT(url_path, '.html') FROM catalog_category_flat_store_1 WHERE entity_id=771);</v>
      </c>
    </row>
    <row r="876" spans="1:4" x14ac:dyDescent="0.25">
      <c r="A876">
        <f>categories!B876</f>
        <v>772</v>
      </c>
      <c r="B876" t="str">
        <f>SUBSTITUTE(SUBSTITUTE(categories!H876,"\","/"),"www.americanretailsupply.com/","")</f>
        <v>64915/34072/Jewelry-Apparel-Eyewear-Displays/Acrylic-Revolving-Security-Eyewear-Displays.html</v>
      </c>
      <c r="C876" t="str">
        <f t="shared" si="26"/>
        <v>INSERT INTO url_rewrite (entity_type, entity_id, redirect_type, store_id, request_path, target_path) VALUES ('custom', 0, 301, 1,'64915/34072/Jewelry-Apparel-Eyewear-Displays/Acrylic-Revolving-Security-Eyewear-Displays.html',(SELECT CONCAT(url_path, '.html') FROM catalog_category_flat_store_1 WHERE entity_id=772));</v>
      </c>
      <c r="D876" t="str">
        <f t="shared" si="27"/>
        <v>UPDATE url_rewrite SET request_path = '64915/34072/Jewelry-Apparel-Eyewear-Displays/Acrylic-Revolving-Security-Eyewear-Displays.html' WHERE entity_type='custom' AND target_path=(SELECT CONCAT(url_path, '.html') FROM catalog_category_flat_store_1 WHERE entity_id=772);</v>
      </c>
    </row>
    <row r="877" spans="1:4" x14ac:dyDescent="0.25">
      <c r="A877">
        <f>categories!B877</f>
        <v>773</v>
      </c>
      <c r="B877" t="str">
        <f>SUBSTITUTE(SUBSTITUTE(categories!H877,"\","/"),"www.americanretailsupply.com/","")</f>
        <v>64915/34073/Jewelry-Apparel-Eyewear-Displays/Acrylic-Countertop-Eyewear-Displays.html</v>
      </c>
      <c r="C877" t="str">
        <f t="shared" si="26"/>
        <v>INSERT INTO url_rewrite (entity_type, entity_id, redirect_type, store_id, request_path, target_path) VALUES ('custom', 0, 301, 1,'64915/34073/Jewelry-Apparel-Eyewear-Displays/Acrylic-Countertop-Eyewear-Displays.html',(SELECT CONCAT(url_path, '.html') FROM catalog_category_flat_store_1 WHERE entity_id=773));</v>
      </c>
      <c r="D877" t="str">
        <f t="shared" si="27"/>
        <v>UPDATE url_rewrite SET request_path = '64915/34073/Jewelry-Apparel-Eyewear-Displays/Acrylic-Countertop-Eyewear-Displays.html' WHERE entity_type='custom' AND target_path=(SELECT CONCAT(url_path, '.html') FROM catalog_category_flat_store_1 WHERE entity_id=773);</v>
      </c>
    </row>
    <row r="878" spans="1:4" x14ac:dyDescent="0.25">
      <c r="A878">
        <f>categories!B878</f>
        <v>774</v>
      </c>
      <c r="B878" t="str">
        <f>SUBSTITUTE(SUBSTITUTE(categories!H878,"\","/"),"www.americanretailsupply.com/","")</f>
        <v>64915/34075/Jewelry-Apparel-Eyewear-Displays/Acrylic-Freestanding-Eyewear-Displays.html</v>
      </c>
      <c r="C878" t="str">
        <f t="shared" si="26"/>
        <v>INSERT INTO url_rewrite (entity_type, entity_id, redirect_type, store_id, request_path, target_path) VALUES ('custom', 0, 301, 1,'64915/34075/Jewelry-Apparel-Eyewear-Displays/Acrylic-Freestanding-Eyewear-Displays.html',(SELECT CONCAT(url_path, '.html') FROM catalog_category_flat_store_1 WHERE entity_id=774));</v>
      </c>
      <c r="D878" t="str">
        <f t="shared" si="27"/>
        <v>UPDATE url_rewrite SET request_path = '64915/34075/Jewelry-Apparel-Eyewear-Displays/Acrylic-Freestanding-Eyewear-Displays.html' WHERE entity_type='custom' AND target_path=(SELECT CONCAT(url_path, '.html') FROM catalog_category_flat_store_1 WHERE entity_id=774);</v>
      </c>
    </row>
    <row r="879" spans="1:4" x14ac:dyDescent="0.25">
      <c r="A879">
        <f>categories!B879</f>
        <v>775</v>
      </c>
      <c r="B879" t="str">
        <f>SUBSTITUTE(SUBSTITUTE(categories!H879,"\","/"),"www.americanretailsupply.com/","")</f>
        <v>64915/34077/Jewelry-Apparel-Eyewear-Displays/Acrylic--Eyewear-Display-Rods.html</v>
      </c>
      <c r="C879" t="str">
        <f t="shared" si="26"/>
        <v>INSERT INTO url_rewrite (entity_type, entity_id, redirect_type, store_id, request_path, target_path) VALUES ('custom', 0, 301, 1,'64915/34077/Jewelry-Apparel-Eyewear-Displays/Acrylic--Eyewear-Display-Rods.html',(SELECT CONCAT(url_path, '.html') FROM catalog_category_flat_store_1 WHERE entity_id=775));</v>
      </c>
      <c r="D879" t="str">
        <f t="shared" si="27"/>
        <v>UPDATE url_rewrite SET request_path = '64915/34077/Jewelry-Apparel-Eyewear-Displays/Acrylic--Eyewear-Display-Rods.html' WHERE entity_type='custom' AND target_path=(SELECT CONCAT(url_path, '.html') FROM catalog_category_flat_store_1 WHERE entity_id=775);</v>
      </c>
    </row>
    <row r="880" spans="1:4" x14ac:dyDescent="0.25">
      <c r="A880">
        <f>categories!B880</f>
        <v>776</v>
      </c>
      <c r="B880" t="str">
        <f>SUBSTITUTE(SUBSTITUTE(categories!H880,"\","/"),"www.americanretailsupply.com/","")</f>
        <v>64915/576323/Jewelry-Apparel-Eyewear-Displays/Acrylic-Revolving-Eyewear-Display.html</v>
      </c>
      <c r="C880" t="str">
        <f t="shared" si="26"/>
        <v>INSERT INTO url_rewrite (entity_type, entity_id, redirect_type, store_id, request_path, target_path) VALUES ('custom', 0, 301, 1,'64915/576323/Jewelry-Apparel-Eyewear-Displays/Acrylic-Revolving-Eyewear-Display.html',(SELECT CONCAT(url_path, '.html') FROM catalog_category_flat_store_1 WHERE entity_id=776));</v>
      </c>
      <c r="D880" t="str">
        <f t="shared" si="27"/>
        <v>UPDATE url_rewrite SET request_path = '64915/576323/Jewelry-Apparel-Eyewear-Displays/Acrylic-Revolving-Eyewear-Display.html' WHERE entity_type='custom' AND target_path=(SELECT CONCAT(url_path, '.html') FROM catalog_category_flat_store_1 WHERE entity_id=776);</v>
      </c>
    </row>
    <row r="881" spans="1:4" x14ac:dyDescent="0.25">
      <c r="A881">
        <f>categories!B881</f>
        <v>777</v>
      </c>
      <c r="B881" t="str">
        <f>SUBSTITUTE(SUBSTITUTE(categories!H881,"\","/"),"www.americanretailsupply.com/","")</f>
        <v>64915/576362/Jewelry-Apparel-Eyewear-Displays/Molded-Acrylic-Watch-Displays.html</v>
      </c>
      <c r="C881" t="str">
        <f t="shared" si="26"/>
        <v>INSERT INTO url_rewrite (entity_type, entity_id, redirect_type, store_id, request_path, target_path) VALUES ('custom', 0, 301, 1,'64915/576362/Jewelry-Apparel-Eyewear-Displays/Molded-Acrylic-Watch-Displays.html',(SELECT CONCAT(url_path, '.html') FROM catalog_category_flat_store_1 WHERE entity_id=777));</v>
      </c>
      <c r="D881" t="str">
        <f t="shared" si="27"/>
        <v>UPDATE url_rewrite SET request_path = '64915/576362/Jewelry-Apparel-Eyewear-Displays/Molded-Acrylic-Watch-Displays.html' WHERE entity_type='custom' AND target_path=(SELECT CONCAT(url_path, '.html') FROM catalog_category_flat_store_1 WHERE entity_id=777);</v>
      </c>
    </row>
    <row r="882" spans="1:4" x14ac:dyDescent="0.25">
      <c r="A882">
        <f>categories!B882</f>
        <v>778</v>
      </c>
      <c r="B882" t="str">
        <f>SUBSTITUTE(SUBSTITUTE(categories!H882,"\","/"),"www.americanretailsupply.com/","")</f>
        <v>64915/576363/Jewelry-Apparel-Eyewear-Displays/Clutch-Bag-Acrylic-Riser.html</v>
      </c>
      <c r="C882" t="str">
        <f t="shared" si="26"/>
        <v>INSERT INTO url_rewrite (entity_type, entity_id, redirect_type, store_id, request_path, target_path) VALUES ('custom', 0, 301, 1,'64915/576363/Jewelry-Apparel-Eyewear-Displays/Clutch-Bag-Acrylic-Riser.html',(SELECT CONCAT(url_path, '.html') FROM catalog_category_flat_store_1 WHERE entity_id=778));</v>
      </c>
      <c r="D882" t="str">
        <f t="shared" si="27"/>
        <v>UPDATE url_rewrite SET request_path = '64915/576363/Jewelry-Apparel-Eyewear-Displays/Clutch-Bag-Acrylic-Riser.html' WHERE entity_type='custom' AND target_path=(SELECT CONCAT(url_path, '.html') FROM catalog_category_flat_store_1 WHERE entity_id=778);</v>
      </c>
    </row>
    <row r="883" spans="1:4" x14ac:dyDescent="0.25">
      <c r="A883">
        <f>categories!B883</f>
        <v>779</v>
      </c>
      <c r="B883" t="str">
        <f>SUBSTITUTE(SUBSTITUTE(categories!H883,"\","/"),"www.americanretailsupply.com/","")</f>
        <v>64915/779376/Jewelry-Apparel-Eyewear-Displays/Acrylic-Earring-Card-Displays.html</v>
      </c>
      <c r="C883" t="str">
        <f t="shared" si="26"/>
        <v>INSERT INTO url_rewrite (entity_type, entity_id, redirect_type, store_id, request_path, target_path) VALUES ('custom', 0, 301, 1,'64915/779376/Jewelry-Apparel-Eyewear-Displays/Acrylic-Earring-Card-Displays.html',(SELECT CONCAT(url_path, '.html') FROM catalog_category_flat_store_1 WHERE entity_id=779));</v>
      </c>
      <c r="D883" t="str">
        <f t="shared" si="27"/>
        <v>UPDATE url_rewrite SET request_path = '64915/779376/Jewelry-Apparel-Eyewear-Displays/Acrylic-Earring-Card-Displays.html' WHERE entity_type='custom' AND target_path=(SELECT CONCAT(url_path, '.html') FROM catalog_category_flat_store_1 WHERE entity_id=779);</v>
      </c>
    </row>
    <row r="884" spans="1:4" x14ac:dyDescent="0.25">
      <c r="A884">
        <f>categories!B884</f>
        <v>780</v>
      </c>
      <c r="B884" t="str">
        <f>SUBSTITUTE(SUBSTITUTE(categories!H884,"\","/"),"www.americanretailsupply.com/","")</f>
        <v>64915/779406/Jewelry-Apparel-Eyewear-Displays/Acrylic-T-Bar-Jewelry-Displays.html</v>
      </c>
      <c r="C884" t="str">
        <f t="shared" si="26"/>
        <v>INSERT INTO url_rewrite (entity_type, entity_id, redirect_type, store_id, request_path, target_path) VALUES ('custom', 0, 301, 1,'64915/779406/Jewelry-Apparel-Eyewear-Displays/Acrylic-T-Bar-Jewelry-Displays.html',(SELECT CONCAT(url_path, '.html') FROM catalog_category_flat_store_1 WHERE entity_id=780));</v>
      </c>
      <c r="D884" t="str">
        <f t="shared" si="27"/>
        <v>UPDATE url_rewrite SET request_path = '64915/779406/Jewelry-Apparel-Eyewear-Displays/Acrylic-T-Bar-Jewelry-Displays.html' WHERE entity_type='custom' AND target_path=(SELECT CONCAT(url_path, '.html') FROM catalog_category_flat_store_1 WHERE entity_id=780);</v>
      </c>
    </row>
    <row r="885" spans="1:4" x14ac:dyDescent="0.25">
      <c r="A885">
        <f>categories!B885</f>
        <v>782</v>
      </c>
      <c r="B885" t="str">
        <f>SUBSTITUTE(SUBSTITUTE(categories!H885,"\","/"),"www.americanretailsupply.com/","")</f>
        <v>64708/757042/Jewelry-Boxes/White-Swirl-Jewelry-Boxes.html</v>
      </c>
      <c r="C885" t="str">
        <f t="shared" si="26"/>
        <v>INSERT INTO url_rewrite (entity_type, entity_id, redirect_type, store_id, request_path, target_path) VALUES ('custom', 0, 301, 1,'64708/757042/Jewelry-Boxes/White-Swirl-Jewelry-Boxes.html',(SELECT CONCAT(url_path, '.html') FROM catalog_category_flat_store_1 WHERE entity_id=782));</v>
      </c>
      <c r="D885" t="str">
        <f t="shared" si="27"/>
        <v>UPDATE url_rewrite SET request_path = '64708/757042/Jewelry-Boxes/White-Swirl-Jewelry-Boxes.html' WHERE entity_type='custom' AND target_path=(SELECT CONCAT(url_path, '.html') FROM catalog_category_flat_store_1 WHERE entity_id=782);</v>
      </c>
    </row>
    <row r="886" spans="1:4" x14ac:dyDescent="0.25">
      <c r="A886">
        <f>categories!B886</f>
        <v>783</v>
      </c>
      <c r="B886" t="str">
        <f>SUBSTITUTE(SUBSTITUTE(categories!H886,"\","/"),"www.americanretailsupply.com/","")</f>
        <v>64708/757055/Jewelry-Boxes/Natural-Kraft-Jewelry-Boxes.html</v>
      </c>
      <c r="C886" t="str">
        <f t="shared" si="26"/>
        <v>INSERT INTO url_rewrite (entity_type, entity_id, redirect_type, store_id, request_path, target_path) VALUES ('custom', 0, 301, 1,'64708/757055/Jewelry-Boxes/Natural-Kraft-Jewelry-Boxes.html',(SELECT CONCAT(url_path, '.html') FROM catalog_category_flat_store_1 WHERE entity_id=783));</v>
      </c>
      <c r="D886" t="str">
        <f t="shared" si="27"/>
        <v>UPDATE url_rewrite SET request_path = '64708/757055/Jewelry-Boxes/Natural-Kraft-Jewelry-Boxes.html' WHERE entity_type='custom' AND target_path=(SELECT CONCAT(url_path, '.html') FROM catalog_category_flat_store_1 WHERE entity_id=783);</v>
      </c>
    </row>
    <row r="887" spans="1:4" x14ac:dyDescent="0.25">
      <c r="A887">
        <f>categories!B887</f>
        <v>784</v>
      </c>
      <c r="B887" t="str">
        <f>SUBSTITUTE(SUBSTITUTE(categories!H887,"\","/"),"www.americanretailsupply.com/","")</f>
        <v>64708/757060/Jewelry-Boxes/Silver-and-Gold-Foil-Jewelry-Boxes.html</v>
      </c>
      <c r="C887" t="str">
        <f t="shared" si="26"/>
        <v>INSERT INTO url_rewrite (entity_type, entity_id, redirect_type, store_id, request_path, target_path) VALUES ('custom', 0, 301, 1,'64708/757060/Jewelry-Boxes/Silver-and-Gold-Foil-Jewelry-Boxes.html',(SELECT CONCAT(url_path, '.html') FROM catalog_category_flat_store_1 WHERE entity_id=784));</v>
      </c>
      <c r="D887" t="str">
        <f t="shared" si="27"/>
        <v>UPDATE url_rewrite SET request_path = '64708/757060/Jewelry-Boxes/Silver-and-Gold-Foil-Jewelry-Boxes.html' WHERE entity_type='custom' AND target_path=(SELECT CONCAT(url_path, '.html') FROM catalog_category_flat_store_1 WHERE entity_id=784);</v>
      </c>
    </row>
    <row r="888" spans="1:4" x14ac:dyDescent="0.25">
      <c r="A888">
        <f>categories!B888</f>
        <v>785</v>
      </c>
      <c r="B888" t="str">
        <f>SUBSTITUTE(SUBSTITUTE(categories!H888,"\","/"),"www.americanretailsupply.com/","")</f>
        <v>64708/757063/Jewelry-Boxes/White-View-Top-Jewelry-Boxes.html</v>
      </c>
      <c r="C888" t="str">
        <f t="shared" si="26"/>
        <v>INSERT INTO url_rewrite (entity_type, entity_id, redirect_type, store_id, request_path, target_path) VALUES ('custom', 0, 301, 1,'64708/757063/Jewelry-Boxes/White-View-Top-Jewelry-Boxes.html',(SELECT CONCAT(url_path, '.html') FROM catalog_category_flat_store_1 WHERE entity_id=785));</v>
      </c>
      <c r="D888" t="str">
        <f t="shared" si="27"/>
        <v>UPDATE url_rewrite SET request_path = '64708/757063/Jewelry-Boxes/White-View-Top-Jewelry-Boxes.html' WHERE entity_type='custom' AND target_path=(SELECT CONCAT(url_path, '.html') FROM catalog_category_flat_store_1 WHERE entity_id=785);</v>
      </c>
    </row>
    <row r="889" spans="1:4" x14ac:dyDescent="0.25">
      <c r="A889">
        <f>categories!B889</f>
        <v>786</v>
      </c>
      <c r="B889" t="str">
        <f>SUBSTITUTE(SUBSTITUTE(categories!H889,"\","/"),"www.americanretailsupply.com/","")</f>
        <v>64708/757064/Jewelry-Boxes/Colored-Kraft-Jewelry-Boxes.html</v>
      </c>
      <c r="C889" t="str">
        <f t="shared" si="26"/>
        <v>INSERT INTO url_rewrite (entity_type, entity_id, redirect_type, store_id, request_path, target_path) VALUES ('custom', 0, 301, 1,'64708/757064/Jewelry-Boxes/Colored-Kraft-Jewelry-Boxes.html',(SELECT CONCAT(url_path, '.html') FROM catalog_category_flat_store_1 WHERE entity_id=786));</v>
      </c>
      <c r="D889" t="str">
        <f t="shared" si="27"/>
        <v>UPDATE url_rewrite SET request_path = '64708/757064/Jewelry-Boxes/Colored-Kraft-Jewelry-Boxes.html' WHERE entity_type='custom' AND target_path=(SELECT CONCAT(url_path, '.html') FROM catalog_category_flat_store_1 WHERE entity_id=786);</v>
      </c>
    </row>
    <row r="890" spans="1:4" x14ac:dyDescent="0.25">
      <c r="A890">
        <f>categories!B890</f>
        <v>787</v>
      </c>
      <c r="B890" t="str">
        <f>SUBSTITUTE(SUBSTITUTE(categories!H890,"\","/"),"www.americanretailsupply.com/","")</f>
        <v>64708/757070/Jewelry-Boxes/Chocolate-Embossed-Jewelry-Boxes.html</v>
      </c>
      <c r="C890" t="str">
        <f t="shared" si="26"/>
        <v>INSERT INTO url_rewrite (entity_type, entity_id, redirect_type, store_id, request_path, target_path) VALUES ('custom', 0, 301, 1,'64708/757070/Jewelry-Boxes/Chocolate-Embossed-Jewelry-Boxes.html',(SELECT CONCAT(url_path, '.html') FROM catalog_category_flat_store_1 WHERE entity_id=787));</v>
      </c>
      <c r="D890" t="str">
        <f t="shared" si="27"/>
        <v>UPDATE url_rewrite SET request_path = '64708/757070/Jewelry-Boxes/Chocolate-Embossed-Jewelry-Boxes.html' WHERE entity_type='custom' AND target_path=(SELECT CONCAT(url_path, '.html') FROM catalog_category_flat_store_1 WHERE entity_id=787);</v>
      </c>
    </row>
    <row r="891" spans="1:4" x14ac:dyDescent="0.25">
      <c r="A891">
        <f>categories!B891</f>
        <v>788</v>
      </c>
      <c r="B891" t="str">
        <f>SUBSTITUTE(SUBSTITUTE(categories!H891,"\","/"),"www.americanretailsupply.com/","")</f>
        <v>64708/757073/Jewelry-Boxes/Black-Embossed-Jewelry-Boxes.html</v>
      </c>
      <c r="C891" t="str">
        <f t="shared" si="26"/>
        <v>INSERT INTO url_rewrite (entity_type, entity_id, redirect_type, store_id, request_path, target_path) VALUES ('custom', 0, 301, 1,'64708/757073/Jewelry-Boxes/Black-Embossed-Jewelry-Boxes.html',(SELECT CONCAT(url_path, '.html') FROM catalog_category_flat_store_1 WHERE entity_id=788));</v>
      </c>
      <c r="D891" t="str">
        <f t="shared" si="27"/>
        <v>UPDATE url_rewrite SET request_path = '64708/757073/Jewelry-Boxes/Black-Embossed-Jewelry-Boxes.html' WHERE entity_type='custom' AND target_path=(SELECT CONCAT(url_path, '.html') FROM catalog_category_flat_store_1 WHERE entity_id=788);</v>
      </c>
    </row>
    <row r="892" spans="1:4" x14ac:dyDescent="0.25">
      <c r="A892">
        <f>categories!B892</f>
        <v>789</v>
      </c>
      <c r="B892" t="str">
        <f>SUBSTITUTE(SUBSTITUTE(categories!H892,"\","/"),"www.americanretailsupply.com/","")</f>
        <v>64708/757075/Jewelry-Boxes/Jewelry-Box-Assortments.html</v>
      </c>
      <c r="C892" t="str">
        <f t="shared" si="26"/>
        <v>INSERT INTO url_rewrite (entity_type, entity_id, redirect_type, store_id, request_path, target_path) VALUES ('custom', 0, 301, 1,'64708/757075/Jewelry-Boxes/Jewelry-Box-Assortments.html',(SELECT CONCAT(url_path, '.html') FROM catalog_category_flat_store_1 WHERE entity_id=789));</v>
      </c>
      <c r="D892" t="str">
        <f t="shared" si="27"/>
        <v>UPDATE url_rewrite SET request_path = '64708/757075/Jewelry-Boxes/Jewelry-Box-Assortments.html' WHERE entity_type='custom' AND target_path=(SELECT CONCAT(url_path, '.html') FROM catalog_category_flat_store_1 WHERE entity_id=789);</v>
      </c>
    </row>
    <row r="893" spans="1:4" x14ac:dyDescent="0.25">
      <c r="A893">
        <f>categories!B893</f>
        <v>790</v>
      </c>
      <c r="B893" t="str">
        <f>SUBSTITUTE(SUBSTITUTE(categories!H893,"\","/"),"www.americanretailsupply.com/","")</f>
        <v>64708/778648/Jewelry-Boxes/Leopard-Patterned-Jewelry-Boxes.html</v>
      </c>
      <c r="C893" t="str">
        <f t="shared" si="26"/>
        <v>INSERT INTO url_rewrite (entity_type, entity_id, redirect_type, store_id, request_path, target_path) VALUES ('custom', 0, 301, 1,'64708/778648/Jewelry-Boxes/Leopard-Patterned-Jewelry-Boxes.html',(SELECT CONCAT(url_path, '.html') FROM catalog_category_flat_store_1 WHERE entity_id=790));</v>
      </c>
      <c r="D893" t="str">
        <f t="shared" si="27"/>
        <v>UPDATE url_rewrite SET request_path = '64708/778648/Jewelry-Boxes/Leopard-Patterned-Jewelry-Boxes.html' WHERE entity_type='custom' AND target_path=(SELECT CONCAT(url_path, '.html') FROM catalog_category_flat_store_1 WHERE entity_id=790);</v>
      </c>
    </row>
    <row r="894" spans="1:4" x14ac:dyDescent="0.25">
      <c r="A894">
        <f>categories!B894</f>
        <v>791</v>
      </c>
      <c r="B894" t="str">
        <f>SUBSTITUTE(SUBSTITUTE(categories!H894,"\","/"),"www.americanretailsupply.com/","")</f>
        <v>64708/778649/Jewelry-Boxes/Zebra-Patterned-Jewelry-Boxes.html</v>
      </c>
      <c r="C894" t="str">
        <f t="shared" si="26"/>
        <v>INSERT INTO url_rewrite (entity_type, entity_id, redirect_type, store_id, request_path, target_path) VALUES ('custom', 0, 301, 1,'64708/778649/Jewelry-Boxes/Zebra-Patterned-Jewelry-Boxes.html',(SELECT CONCAT(url_path, '.html') FROM catalog_category_flat_store_1 WHERE entity_id=791));</v>
      </c>
      <c r="D894" t="str">
        <f t="shared" si="27"/>
        <v>UPDATE url_rewrite SET request_path = '64708/778649/Jewelry-Boxes/Zebra-Patterned-Jewelry-Boxes.html' WHERE entity_type='custom' AND target_path=(SELECT CONCAT(url_path, '.html') FROM catalog_category_flat_store_1 WHERE entity_id=791);</v>
      </c>
    </row>
    <row r="895" spans="1:4" x14ac:dyDescent="0.25">
      <c r="A895">
        <f>categories!B895</f>
        <v>792</v>
      </c>
      <c r="B895" t="str">
        <f>SUBSTITUTE(SUBSTITUTE(categories!H895,"\","/"),"www.americanretailsupply.com/","")</f>
        <v>64708/792889/Jewelry-Boxes/Economy-Natural-Kraft-Jewelry-Boxes.html</v>
      </c>
      <c r="C895" t="str">
        <f t="shared" si="26"/>
        <v>INSERT INTO url_rewrite (entity_type, entity_id, redirect_type, store_id, request_path, target_path) VALUES ('custom', 0, 301, 1,'64708/792889/Jewelry-Boxes/Economy-Natural-Kraft-Jewelry-Boxes.html',(SELECT CONCAT(url_path, '.html') FROM catalog_category_flat_store_1 WHERE entity_id=792));</v>
      </c>
      <c r="D895" t="str">
        <f t="shared" si="27"/>
        <v>UPDATE url_rewrite SET request_path = '64708/792889/Jewelry-Boxes/Economy-Natural-Kraft-Jewelry-Boxes.html' WHERE entity_type='custom' AND target_path=(SELECT CONCAT(url_path, '.html') FROM catalog_category_flat_store_1 WHERE entity_id=792);</v>
      </c>
    </row>
    <row r="896" spans="1:4" x14ac:dyDescent="0.25">
      <c r="A896">
        <f>categories!B896</f>
        <v>794</v>
      </c>
      <c r="B896" t="str">
        <f>SUBSTITUTE(SUBSTITUTE(categories!H896,"\","/"),"www.americanretailsupply.com/","")</f>
        <v>64716/783223/Jewelry-Boxes-with-Hinged-Lids/White-Faux-Leather-Hinged-Jewelry-Boxes.html</v>
      </c>
      <c r="C896" t="str">
        <f t="shared" si="26"/>
        <v>INSERT INTO url_rewrite (entity_type, entity_id, redirect_type, store_id, request_path, target_path) VALUES ('custom', 0, 301, 1,'64716/783223/Jewelry-Boxes-with-Hinged-Lids/White-Faux-Leather-Hinged-Jewelry-Boxes.html',(SELECT CONCAT(url_path, '.html') FROM catalog_category_flat_store_1 WHERE entity_id=794));</v>
      </c>
      <c r="D896" t="str">
        <f t="shared" si="27"/>
        <v>UPDATE url_rewrite SET request_path = '64716/783223/Jewelry-Boxes-with-Hinged-Lids/White-Faux-Leather-Hinged-Jewelry-Boxes.html' WHERE entity_type='custom' AND target_path=(SELECT CONCAT(url_path, '.html') FROM catalog_category_flat_store_1 WHERE entity_id=794);</v>
      </c>
    </row>
    <row r="897" spans="1:4" x14ac:dyDescent="0.25">
      <c r="A897">
        <f>categories!B897</f>
        <v>795</v>
      </c>
      <c r="B897" t="str">
        <f>SUBSTITUTE(SUBSTITUTE(categories!H897,"\","/"),"www.americanretailsupply.com/","")</f>
        <v>64716/783224/Jewelry-Boxes-with-Hinged-Lids/Black-Velvet-with-Gold-Trim-Hinged-Jewelry-Boxes.html</v>
      </c>
      <c r="C897" t="str">
        <f t="shared" si="26"/>
        <v>INSERT INTO url_rewrite (entity_type, entity_id, redirect_type, store_id, request_path, target_path) VALUES ('custom', 0, 301, 1,'64716/783224/Jewelry-Boxes-with-Hinged-Lids/Black-Velvet-with-Gold-Trim-Hinged-Jewelry-Boxes.html',(SELECT CONCAT(url_path, '.html') FROM catalog_category_flat_store_1 WHERE entity_id=795));</v>
      </c>
      <c r="D897" t="str">
        <f t="shared" si="27"/>
        <v>UPDATE url_rewrite SET request_path = '64716/783224/Jewelry-Boxes-with-Hinged-Lids/Black-Velvet-with-Gold-Trim-Hinged-Jewelry-Boxes.html' WHERE entity_type='custom' AND target_path=(SELECT CONCAT(url_path, '.html') FROM catalog_category_flat_store_1 WHERE entity_id=795);</v>
      </c>
    </row>
    <row r="898" spans="1:4" x14ac:dyDescent="0.25">
      <c r="A898">
        <f>categories!B898</f>
        <v>796</v>
      </c>
      <c r="B898" t="str">
        <f>SUBSTITUTE(SUBSTITUTE(categories!H898,"\","/"),"www.americanretailsupply.com/","")</f>
        <v>64716/783225/Jewelry-Boxes-with-Hinged-Lids/Rosewood-Veneer-Hinged-Jewelry-Boxes.html</v>
      </c>
      <c r="C898" t="str">
        <f t="shared" si="26"/>
        <v>INSERT INTO url_rewrite (entity_type, entity_id, redirect_type, store_id, request_path, target_path) VALUES ('custom', 0, 301, 1,'64716/783225/Jewelry-Boxes-with-Hinged-Lids/Rosewood-Veneer-Hinged-Jewelry-Boxes.html',(SELECT CONCAT(url_path, '.html') FROM catalog_category_flat_store_1 WHERE entity_id=796));</v>
      </c>
      <c r="D898" t="str">
        <f t="shared" si="27"/>
        <v>UPDATE url_rewrite SET request_path = '64716/783225/Jewelry-Boxes-with-Hinged-Lids/Rosewood-Veneer-Hinged-Jewelry-Boxes.html' WHERE entity_type='custom' AND target_path=(SELECT CONCAT(url_path, '.html') FROM catalog_category_flat_store_1 WHERE entity_id=796);</v>
      </c>
    </row>
    <row r="899" spans="1:4" x14ac:dyDescent="0.25">
      <c r="A899">
        <f>categories!B899</f>
        <v>798</v>
      </c>
      <c r="B899" t="str">
        <f>SUBSTITUTE(SUBSTITUTE(categories!H899,"\","/"),"www.americanretailsupply.com/","")</f>
        <v>64791/18450/Jewelry-Pouches/Velveteen-Drawstring-Pouches.html</v>
      </c>
      <c r="C899" t="str">
        <f t="shared" ref="C899:C962" si="28">"INSERT INTO url_rewrite (entity_type, entity_id, redirect_type, store_id, request_path, target_path) VALUES ('custom', 0, 301, 1,'"&amp;B899&amp;"',(SELECT CONCAT(url_path, '.html') FROM catalog_category_flat_store_1 WHERE entity_id="&amp;A899&amp;"));"</f>
        <v>INSERT INTO url_rewrite (entity_type, entity_id, redirect_type, store_id, request_path, target_path) VALUES ('custom', 0, 301, 1,'64791/18450/Jewelry-Pouches/Velveteen-Drawstring-Pouches.html',(SELECT CONCAT(url_path, '.html') FROM catalog_category_flat_store_1 WHERE entity_id=798));</v>
      </c>
      <c r="D899" t="str">
        <f t="shared" ref="D899:D962" si="29">"UPDATE url_rewrite SET request_path = '"&amp;B899&amp;"' WHERE entity_type='custom' AND target_path=(SELECT CONCAT(url_path, '.html') FROM catalog_category_flat_store_1 WHERE entity_id="&amp;A899&amp;");"</f>
        <v>UPDATE url_rewrite SET request_path = '64791/18450/Jewelry-Pouches/Velveteen-Drawstring-Pouches.html' WHERE entity_type='custom' AND target_path=(SELECT CONCAT(url_path, '.html') FROM catalog_category_flat_store_1 WHERE entity_id=798);</v>
      </c>
    </row>
    <row r="900" spans="1:4" x14ac:dyDescent="0.25">
      <c r="A900">
        <f>categories!B900</f>
        <v>799</v>
      </c>
      <c r="B900" t="str">
        <f>SUBSTITUTE(SUBSTITUTE(categories!H900,"\","/"),"www.americanretailsupply.com/","")</f>
        <v>64791/166167/Jewelry-Pouches/Leatherette-Drawstring-Pouches.html</v>
      </c>
      <c r="C900" t="str">
        <f t="shared" si="28"/>
        <v>INSERT INTO url_rewrite (entity_type, entity_id, redirect_type, store_id, request_path, target_path) VALUES ('custom', 0, 301, 1,'64791/166167/Jewelry-Pouches/Leatherette-Drawstring-Pouches.html',(SELECT CONCAT(url_path, '.html') FROM catalog_category_flat_store_1 WHERE entity_id=799));</v>
      </c>
      <c r="D900" t="str">
        <f t="shared" si="29"/>
        <v>UPDATE url_rewrite SET request_path = '64791/166167/Jewelry-Pouches/Leatherette-Drawstring-Pouches.html' WHERE entity_type='custom' AND target_path=(SELECT CONCAT(url_path, '.html') FROM catalog_category_flat_store_1 WHERE entity_id=799);</v>
      </c>
    </row>
    <row r="901" spans="1:4" x14ac:dyDescent="0.25">
      <c r="A901">
        <f>categories!B901</f>
        <v>801</v>
      </c>
      <c r="B901" t="str">
        <f>SUBSTITUTE(SUBSTITUTE(categories!H901,"\","/"),"www.americanretailsupply.com/","")</f>
        <v>64794/37344/Jewelry-Riser-Sets/Hexagon-Riser-Set.html</v>
      </c>
      <c r="C901" t="str">
        <f t="shared" si="28"/>
        <v>INSERT INTO url_rewrite (entity_type, entity_id, redirect_type, store_id, request_path, target_path) VALUES ('custom', 0, 301, 1,'64794/37344/Jewelry-Riser-Sets/Hexagon-Riser-Set.html',(SELECT CONCAT(url_path, '.html') FROM catalog_category_flat_store_1 WHERE entity_id=801));</v>
      </c>
      <c r="D901" t="str">
        <f t="shared" si="29"/>
        <v>UPDATE url_rewrite SET request_path = '64794/37344/Jewelry-Riser-Sets/Hexagon-Riser-Set.html' WHERE entity_type='custom' AND target_path=(SELECT CONCAT(url_path, '.html') FROM catalog_category_flat_store_1 WHERE entity_id=801);</v>
      </c>
    </row>
    <row r="902" spans="1:4" x14ac:dyDescent="0.25">
      <c r="A902">
        <f>categories!B902</f>
        <v>803</v>
      </c>
      <c r="B902" t="str">
        <f>SUBSTITUTE(SUBSTITUTE(categories!H902,"\","/"),"www.americanretailsupply.com/","")</f>
        <v>64790/36354/Jewelry-Supplies/U--Pins.html</v>
      </c>
      <c r="C902" t="str">
        <f t="shared" si="28"/>
        <v>INSERT INTO url_rewrite (entity_type, entity_id, redirect_type, store_id, request_path, target_path) VALUES ('custom', 0, 301, 1,'64790/36354/Jewelry-Supplies/U--Pins.html',(SELECT CONCAT(url_path, '.html') FROM catalog_category_flat_store_1 WHERE entity_id=803));</v>
      </c>
      <c r="D902" t="str">
        <f t="shared" si="29"/>
        <v>UPDATE url_rewrite SET request_path = '64790/36354/Jewelry-Supplies/U--Pins.html' WHERE entity_type='custom' AND target_path=(SELECT CONCAT(url_path, '.html') FROM catalog_category_flat_store_1 WHERE entity_id=803);</v>
      </c>
    </row>
    <row r="903" spans="1:4" x14ac:dyDescent="0.25">
      <c r="A903">
        <f>categories!B903</f>
        <v>804</v>
      </c>
      <c r="B903" t="str">
        <f>SUBSTITUTE(SUBSTITUTE(categories!H903,"\","/"),"www.americanretailsupply.com/","")</f>
        <v>64790/37341/Jewelry-Supplies/Adhesive-Back-for-Earring-Cards.html</v>
      </c>
      <c r="C903" t="str">
        <f t="shared" si="28"/>
        <v>INSERT INTO url_rewrite (entity_type, entity_id, redirect_type, store_id, request_path, target_path) VALUES ('custom', 0, 301, 1,'64790/37341/Jewelry-Supplies/Adhesive-Back-for-Earring-Cards.html',(SELECT CONCAT(url_path, '.html') FROM catalog_category_flat_store_1 WHERE entity_id=804));</v>
      </c>
      <c r="D903" t="str">
        <f t="shared" si="29"/>
        <v>UPDATE url_rewrite SET request_path = '64790/37341/Jewelry-Supplies/Adhesive-Back-for-Earring-Cards.html' WHERE entity_type='custom' AND target_path=(SELECT CONCAT(url_path, '.html') FROM catalog_category_flat_store_1 WHERE entity_id=804);</v>
      </c>
    </row>
    <row r="904" spans="1:4" x14ac:dyDescent="0.25">
      <c r="A904">
        <f>categories!B904</f>
        <v>805</v>
      </c>
      <c r="B904" t="str">
        <f>SUBSTITUTE(SUBSTITUTE(categories!H904,"\","/"),"www.americanretailsupply.com/","")</f>
        <v>64790/37343/Jewelry-Supplies/White-Puff-Pad-Plain-Earring-Cards.html</v>
      </c>
      <c r="C904" t="str">
        <f t="shared" si="28"/>
        <v>INSERT INTO url_rewrite (entity_type, entity_id, redirect_type, store_id, request_path, target_path) VALUES ('custom', 0, 301, 1,'64790/37343/Jewelry-Supplies/White-Puff-Pad-Plain-Earring-Cards.html',(SELECT CONCAT(url_path, '.html') FROM catalog_category_flat_store_1 WHERE entity_id=805));</v>
      </c>
      <c r="D904" t="str">
        <f t="shared" si="29"/>
        <v>UPDATE url_rewrite SET request_path = '64790/37343/Jewelry-Supplies/White-Puff-Pad-Plain-Earring-Cards.html' WHERE entity_type='custom' AND target_path=(SELECT CONCAT(url_path, '.html') FROM catalog_category_flat_store_1 WHERE entity_id=805);</v>
      </c>
    </row>
    <row r="905" spans="1:4" x14ac:dyDescent="0.25">
      <c r="A905">
        <f>categories!B905</f>
        <v>806</v>
      </c>
      <c r="B905" t="str">
        <f>SUBSTITUTE(SUBSTITUTE(categories!H905,"\","/"),"www.americanretailsupply.com/","")</f>
        <v>64790/37352/Jewelry-Supplies/Jewelry-Tags-wSilk-Strings.html</v>
      </c>
      <c r="C905" t="str">
        <f t="shared" si="28"/>
        <v>INSERT INTO url_rewrite (entity_type, entity_id, redirect_type, store_id, request_path, target_path) VALUES ('custom', 0, 301, 1,'64790/37352/Jewelry-Supplies/Jewelry-Tags-wSilk-Strings.html',(SELECT CONCAT(url_path, '.html') FROM catalog_category_flat_store_1 WHERE entity_id=806));</v>
      </c>
      <c r="D905" t="str">
        <f t="shared" si="29"/>
        <v>UPDATE url_rewrite SET request_path = '64790/37352/Jewelry-Supplies/Jewelry-Tags-wSilk-Strings.html' WHERE entity_type='custom' AND target_path=(SELECT CONCAT(url_path, '.html') FROM catalog_category_flat_store_1 WHERE entity_id=806);</v>
      </c>
    </row>
    <row r="906" spans="1:4" x14ac:dyDescent="0.25">
      <c r="A906">
        <f>categories!B906</f>
        <v>807</v>
      </c>
      <c r="B906" t="str">
        <f>SUBSTITUTE(SUBSTITUTE(categories!H906,"\","/"),"www.americanretailsupply.com/","")</f>
        <v>64790/37353/Jewelry-Supplies/Dumbell-Labels.html</v>
      </c>
      <c r="C906" t="str">
        <f t="shared" si="28"/>
        <v>INSERT INTO url_rewrite (entity_type, entity_id, redirect_type, store_id, request_path, target_path) VALUES ('custom', 0, 301, 1,'64790/37353/Jewelry-Supplies/Dumbell-Labels.html',(SELECT CONCAT(url_path, '.html') FROM catalog_category_flat_store_1 WHERE entity_id=807));</v>
      </c>
      <c r="D906" t="str">
        <f t="shared" si="29"/>
        <v>UPDATE url_rewrite SET request_path = '64790/37353/Jewelry-Supplies/Dumbell-Labels.html' WHERE entity_type='custom' AND target_path=(SELECT CONCAT(url_path, '.html') FROM catalog_category_flat_store_1 WHERE entity_id=807);</v>
      </c>
    </row>
    <row r="907" spans="1:4" x14ac:dyDescent="0.25">
      <c r="A907">
        <f>categories!B907</f>
        <v>808</v>
      </c>
      <c r="B907" t="str">
        <f>SUBSTITUTE(SUBSTITUTE(categories!H907,"\","/"),"www.americanretailsupply.com/","")</f>
        <v>64790/47775/Jewelry-Supplies/Black-Hanging-Earring-Cards.html</v>
      </c>
      <c r="C907" t="str">
        <f t="shared" si="28"/>
        <v>INSERT INTO url_rewrite (entity_type, entity_id, redirect_type, store_id, request_path, target_path) VALUES ('custom', 0, 301, 1,'64790/47775/Jewelry-Supplies/Black-Hanging-Earring-Cards.html',(SELECT CONCAT(url_path, '.html') FROM catalog_category_flat_store_1 WHERE entity_id=808));</v>
      </c>
      <c r="D907" t="str">
        <f t="shared" si="29"/>
        <v>UPDATE url_rewrite SET request_path = '64790/47775/Jewelry-Supplies/Black-Hanging-Earring-Cards.html' WHERE entity_type='custom' AND target_path=(SELECT CONCAT(url_path, '.html') FROM catalog_category_flat_store_1 WHERE entity_id=808);</v>
      </c>
    </row>
    <row r="908" spans="1:4" x14ac:dyDescent="0.25">
      <c r="A908">
        <f>categories!B908</f>
        <v>809</v>
      </c>
      <c r="B908" t="str">
        <f>SUBSTITUTE(SUBSTITUTE(categories!H908,"\","/"),"www.americanretailsupply.com/","")</f>
        <v>64790/231609/Jewelry-Supplies/Showcase-Signs.html</v>
      </c>
      <c r="C908" t="str">
        <f t="shared" si="28"/>
        <v>INSERT INTO url_rewrite (entity_type, entity_id, redirect_type, store_id, request_path, target_path) VALUES ('custom', 0, 301, 1,'64790/231609/Jewelry-Supplies/Showcase-Signs.html',(SELECT CONCAT(url_path, '.html') FROM catalog_category_flat_store_1 WHERE entity_id=809));</v>
      </c>
      <c r="D908" t="str">
        <f t="shared" si="29"/>
        <v>UPDATE url_rewrite SET request_path = '64790/231609/Jewelry-Supplies/Showcase-Signs.html' WHERE entity_type='custom' AND target_path=(SELECT CONCAT(url_path, '.html') FROM catalog_category_flat_store_1 WHERE entity_id=809);</v>
      </c>
    </row>
    <row r="909" spans="1:4" x14ac:dyDescent="0.25">
      <c r="A909">
        <f>categories!B909</f>
        <v>810</v>
      </c>
      <c r="B909" t="str">
        <f>SUBSTITUTE(SUBSTITUTE(categories!H909,"\","/"),"www.americanretailsupply.com/","")</f>
        <v>64790/255319/Jewelry-Supplies/Jewelry-Polishing-Cloth.html</v>
      </c>
      <c r="C909" t="str">
        <f t="shared" si="28"/>
        <v>INSERT INTO url_rewrite (entity_type, entity_id, redirect_type, store_id, request_path, target_path) VALUES ('custom', 0, 301, 1,'64790/255319/Jewelry-Supplies/Jewelry-Polishing-Cloth.html',(SELECT CONCAT(url_path, '.html') FROM catalog_category_flat_store_1 WHERE entity_id=810));</v>
      </c>
      <c r="D909" t="str">
        <f t="shared" si="29"/>
        <v>UPDATE url_rewrite SET request_path = '64790/255319/Jewelry-Supplies/Jewelry-Polishing-Cloth.html' WHERE entity_type='custom' AND target_path=(SELECT CONCAT(url_path, '.html') FROM catalog_category_flat_store_1 WHERE entity_id=810);</v>
      </c>
    </row>
    <row r="910" spans="1:4" x14ac:dyDescent="0.25">
      <c r="A910">
        <f>categories!B910</f>
        <v>811</v>
      </c>
      <c r="B910" t="str">
        <f>SUBSTITUTE(SUBSTITUTE(categories!H910,"\","/"),"www.americanretailsupply.com/","")</f>
        <v>64790/734729/Jewelry-Supplies/NecklaceBracelet-Hanging-Cards.html</v>
      </c>
      <c r="C910" t="str">
        <f t="shared" si="28"/>
        <v>INSERT INTO url_rewrite (entity_type, entity_id, redirect_type, store_id, request_path, target_path) VALUES ('custom', 0, 301, 1,'64790/734729/Jewelry-Supplies/NecklaceBracelet-Hanging-Cards.html',(SELECT CONCAT(url_path, '.html') FROM catalog_category_flat_store_1 WHERE entity_id=811));</v>
      </c>
      <c r="D910" t="str">
        <f t="shared" si="29"/>
        <v>UPDATE url_rewrite SET request_path = '64790/734729/Jewelry-Supplies/NecklaceBracelet-Hanging-Cards.html' WHERE entity_type='custom' AND target_path=(SELECT CONCAT(url_path, '.html') FROM catalog_category_flat_store_1 WHERE entity_id=811);</v>
      </c>
    </row>
    <row r="911" spans="1:4" x14ac:dyDescent="0.25">
      <c r="A911">
        <f>categories!B911</f>
        <v>812</v>
      </c>
      <c r="B911" t="str">
        <f>SUBSTITUTE(SUBSTITUTE(categories!H911,"\","/"),"www.americanretailsupply.com/","")</f>
        <v>64790/756290/Jewelry-Supplies/Clear-OPP-Bags-with-Recloseable-Bottom-Flap.html</v>
      </c>
      <c r="C911" t="str">
        <f t="shared" si="28"/>
        <v>INSERT INTO url_rewrite (entity_type, entity_id, redirect_type, store_id, request_path, target_path) VALUES ('custom', 0, 301, 1,'64790/756290/Jewelry-Supplies/Clear-OPP-Bags-with-Recloseable-Bottom-Flap.html',(SELECT CONCAT(url_path, '.html') FROM catalog_category_flat_store_1 WHERE entity_id=812));</v>
      </c>
      <c r="D911" t="str">
        <f t="shared" si="29"/>
        <v>UPDATE url_rewrite SET request_path = '64790/756290/Jewelry-Supplies/Clear-OPP-Bags-with-Recloseable-Bottom-Flap.html' WHERE entity_type='custom' AND target_path=(SELECT CONCAT(url_path, '.html') FROM catalog_category_flat_store_1 WHERE entity_id=812);</v>
      </c>
    </row>
    <row r="912" spans="1:4" x14ac:dyDescent="0.25">
      <c r="A912">
        <f>categories!B912</f>
        <v>814</v>
      </c>
      <c r="B912" t="str">
        <f>SUBSTITUTE(SUBSTITUTE(categories!H912,"\","/"),"www.americanretailsupply.com/","")</f>
        <v>64793/37337/Jewelry-Trays--Inserts/Jewelry-Circle-Display-Pads.html</v>
      </c>
      <c r="C912" t="str">
        <f t="shared" si="28"/>
        <v>INSERT INTO url_rewrite (entity_type, entity_id, redirect_type, store_id, request_path, target_path) VALUES ('custom', 0, 301, 1,'64793/37337/Jewelry-Trays--Inserts/Jewelry-Circle-Display-Pads.html',(SELECT CONCAT(url_path, '.html') FROM catalog_category_flat_store_1 WHERE entity_id=814));</v>
      </c>
      <c r="D912" t="str">
        <f t="shared" si="29"/>
        <v>UPDATE url_rewrite SET request_path = '64793/37337/Jewelry-Trays--Inserts/Jewelry-Circle-Display-Pads.html' WHERE entity_type='custom' AND target_path=(SELECT CONCAT(url_path, '.html') FROM catalog_category_flat_store_1 WHERE entity_id=814);</v>
      </c>
    </row>
    <row r="913" spans="1:4" x14ac:dyDescent="0.25">
      <c r="A913">
        <f>categories!B913</f>
        <v>815</v>
      </c>
      <c r="B913" t="str">
        <f>SUBSTITUTE(SUBSTITUTE(categories!H913,"\","/"),"www.americanretailsupply.com/","")</f>
        <v>64793/37340/Jewelry-Trays--Inserts/Jewelry-Rectangle-Display-Pads.html</v>
      </c>
      <c r="C913" t="str">
        <f t="shared" si="28"/>
        <v>INSERT INTO url_rewrite (entity_type, entity_id, redirect_type, store_id, request_path, target_path) VALUES ('custom', 0, 301, 1,'64793/37340/Jewelry-Trays--Inserts/Jewelry-Rectangle-Display-Pads.html',(SELECT CONCAT(url_path, '.html') FROM catalog_category_flat_store_1 WHERE entity_id=815));</v>
      </c>
      <c r="D913" t="str">
        <f t="shared" si="29"/>
        <v>UPDATE url_rewrite SET request_path = '64793/37340/Jewelry-Trays--Inserts/Jewelry-Rectangle-Display-Pads.html' WHERE entity_type='custom' AND target_path=(SELECT CONCAT(url_path, '.html') FROM catalog_category_flat_store_1 WHERE entity_id=815);</v>
      </c>
    </row>
    <row r="914" spans="1:4" x14ac:dyDescent="0.25">
      <c r="A914">
        <f>categories!B914</f>
        <v>816</v>
      </c>
      <c r="B914" t="str">
        <f>SUBSTITUTE(SUBSTITUTE(categories!H914,"\","/"),"www.americanretailsupply.com/","")</f>
        <v>64793/37776/Jewelry-Trays--Inserts/Jewelry-Display-Trays.html</v>
      </c>
      <c r="C914" t="str">
        <f t="shared" si="28"/>
        <v>INSERT INTO url_rewrite (entity_type, entity_id, redirect_type, store_id, request_path, target_path) VALUES ('custom', 0, 301, 1,'64793/37776/Jewelry-Trays--Inserts/Jewelry-Display-Trays.html',(SELECT CONCAT(url_path, '.html') FROM catalog_category_flat_store_1 WHERE entity_id=816));</v>
      </c>
      <c r="D914" t="str">
        <f t="shared" si="29"/>
        <v>UPDATE url_rewrite SET request_path = '64793/37776/Jewelry-Trays--Inserts/Jewelry-Display-Trays.html' WHERE entity_type='custom' AND target_path=(SELECT CONCAT(url_path, '.html') FROM catalog_category_flat_store_1 WHERE entity_id=816);</v>
      </c>
    </row>
    <row r="915" spans="1:4" x14ac:dyDescent="0.25">
      <c r="A915">
        <f>categories!B915</f>
        <v>817</v>
      </c>
      <c r="B915" t="str">
        <f>SUBSTITUTE(SUBSTITUTE(categories!H915,"\","/"),"www.americanretailsupply.com/","")</f>
        <v>64793/37779/Jewelry-Trays--Inserts/Jewelry-Tray-Inserts-and-Liners.html</v>
      </c>
      <c r="C915" t="str">
        <f t="shared" si="28"/>
        <v>INSERT INTO url_rewrite (entity_type, entity_id, redirect_type, store_id, request_path, target_path) VALUES ('custom', 0, 301, 1,'64793/37779/Jewelry-Trays--Inserts/Jewelry-Tray-Inserts-and-Liners.html',(SELECT CONCAT(url_path, '.html') FROM catalog_category_flat_store_1 WHERE entity_id=817));</v>
      </c>
      <c r="D915" t="str">
        <f t="shared" si="29"/>
        <v>UPDATE url_rewrite SET request_path = '64793/37779/Jewelry-Trays--Inserts/Jewelry-Tray-Inserts-and-Liners.html' WHERE entity_type='custom' AND target_path=(SELECT CONCAT(url_path, '.html') FROM catalog_category_flat_store_1 WHERE entity_id=817);</v>
      </c>
    </row>
    <row r="916" spans="1:4" x14ac:dyDescent="0.25">
      <c r="A916">
        <f>categories!B916</f>
        <v>818</v>
      </c>
      <c r="B916" t="str">
        <f>SUBSTITUTE(SUBSTITUTE(categories!H916,"\","/"),"www.americanretailsupply.com/","")</f>
        <v>64793/37780/Jewelry-Trays--Inserts/Jewelry-Tray-Carrying-Cases.html</v>
      </c>
      <c r="C916" t="str">
        <f t="shared" si="28"/>
        <v>INSERT INTO url_rewrite (entity_type, entity_id, redirect_type, store_id, request_path, target_path) VALUES ('custom', 0, 301, 1,'64793/37780/Jewelry-Trays--Inserts/Jewelry-Tray-Carrying-Cases.html',(SELECT CONCAT(url_path, '.html') FROM catalog_category_flat_store_1 WHERE entity_id=818));</v>
      </c>
      <c r="D916" t="str">
        <f t="shared" si="29"/>
        <v>UPDATE url_rewrite SET request_path = '64793/37780/Jewelry-Trays--Inserts/Jewelry-Tray-Carrying-Cases.html' WHERE entity_type='custom' AND target_path=(SELECT CONCAT(url_path, '.html') FROM catalog_category_flat_store_1 WHERE entity_id=818);</v>
      </c>
    </row>
    <row r="917" spans="1:4" x14ac:dyDescent="0.25">
      <c r="A917">
        <f>categories!B917</f>
        <v>820</v>
      </c>
      <c r="B917" t="str">
        <f>SUBSTITUTE(SUBSTITUTE(categories!H917,"\","/"),"www.americanretailsupply.com/","")</f>
        <v>64720/757841/JR-GiftWrap/Baby-Giftwrap.html</v>
      </c>
      <c r="C917" t="str">
        <f t="shared" si="28"/>
        <v>INSERT INTO url_rewrite (entity_type, entity_id, redirect_type, store_id, request_path, target_path) VALUES ('custom', 0, 301, 1,'64720/757841/JR-GiftWrap/Baby-Giftwrap.html',(SELECT CONCAT(url_path, '.html') FROM catalog_category_flat_store_1 WHERE entity_id=820));</v>
      </c>
      <c r="D917" t="str">
        <f t="shared" si="29"/>
        <v>UPDATE url_rewrite SET request_path = '64720/757841/JR-GiftWrap/Baby-Giftwrap.html' WHERE entity_type='custom' AND target_path=(SELECT CONCAT(url_path, '.html') FROM catalog_category_flat_store_1 WHERE entity_id=820);</v>
      </c>
    </row>
    <row r="918" spans="1:4" x14ac:dyDescent="0.25">
      <c r="A918">
        <f>categories!B918</f>
        <v>821</v>
      </c>
      <c r="B918" t="str">
        <f>SUBSTITUTE(SUBSTITUTE(categories!H918,"\","/"),"www.americanretailsupply.com/","")</f>
        <v>64720/757842/JR-GiftWrap/Birthday--Celebration-Giftwrap.html</v>
      </c>
      <c r="C918" t="str">
        <f t="shared" si="28"/>
        <v>INSERT INTO url_rewrite (entity_type, entity_id, redirect_type, store_id, request_path, target_path) VALUES ('custom', 0, 301, 1,'64720/757842/JR-GiftWrap/Birthday--Celebration-Giftwrap.html',(SELECT CONCAT(url_path, '.html') FROM catalog_category_flat_store_1 WHERE entity_id=821));</v>
      </c>
      <c r="D918" t="str">
        <f t="shared" si="29"/>
        <v>UPDATE url_rewrite SET request_path = '64720/757842/JR-GiftWrap/Birthday--Celebration-Giftwrap.html' WHERE entity_type='custom' AND target_path=(SELECT CONCAT(url_path, '.html') FROM catalog_category_flat_store_1 WHERE entity_id=821);</v>
      </c>
    </row>
    <row r="919" spans="1:4" x14ac:dyDescent="0.25">
      <c r="A919">
        <f>categories!B919</f>
        <v>822</v>
      </c>
      <c r="B919" t="str">
        <f>SUBSTITUTE(SUBSTITUTE(categories!H919,"\","/"),"www.americanretailsupply.com/","")</f>
        <v>64720/757843/JR-GiftWrap/Floral-Giftwrap.html</v>
      </c>
      <c r="C919" t="str">
        <f t="shared" si="28"/>
        <v>INSERT INTO url_rewrite (entity_type, entity_id, redirect_type, store_id, request_path, target_path) VALUES ('custom', 0, 301, 1,'64720/757843/JR-GiftWrap/Floral-Giftwrap.html',(SELECT CONCAT(url_path, '.html') FROM catalog_category_flat_store_1 WHERE entity_id=822));</v>
      </c>
      <c r="D919" t="str">
        <f t="shared" si="29"/>
        <v>UPDATE url_rewrite SET request_path = '64720/757843/JR-GiftWrap/Floral-Giftwrap.html' WHERE entity_type='custom' AND target_path=(SELECT CONCAT(url_path, '.html') FROM catalog_category_flat_store_1 WHERE entity_id=822);</v>
      </c>
    </row>
    <row r="920" spans="1:4" x14ac:dyDescent="0.25">
      <c r="A920">
        <f>categories!B920</f>
        <v>823</v>
      </c>
      <c r="B920" t="str">
        <f>SUBSTITUTE(SUBSTITUTE(categories!H920,"\","/"),"www.americanretailsupply.com/","")</f>
        <v>64720/757844/JR-GiftWrap/Masculine-Giftwrap.html</v>
      </c>
      <c r="C920" t="str">
        <f t="shared" si="28"/>
        <v>INSERT INTO url_rewrite (entity_type, entity_id, redirect_type, store_id, request_path, target_path) VALUES ('custom', 0, 301, 1,'64720/757844/JR-GiftWrap/Masculine-Giftwrap.html',(SELECT CONCAT(url_path, '.html') FROM catalog_category_flat_store_1 WHERE entity_id=823));</v>
      </c>
      <c r="D920" t="str">
        <f t="shared" si="29"/>
        <v>UPDATE url_rewrite SET request_path = '64720/757844/JR-GiftWrap/Masculine-Giftwrap.html' WHERE entity_type='custom' AND target_path=(SELECT CONCAT(url_path, '.html') FROM catalog_category_flat_store_1 WHERE entity_id=823);</v>
      </c>
    </row>
    <row r="921" spans="1:4" x14ac:dyDescent="0.25">
      <c r="A921">
        <f>categories!B921</f>
        <v>824</v>
      </c>
      <c r="B921" t="str">
        <f>SUBSTITUTE(SUBSTITUTE(categories!H921,"\","/"),"www.americanretailsupply.com/","")</f>
        <v>64720/757845/JR-GiftWrap/Wedding-Bridal-and-Anniversary-Giftwrap.html</v>
      </c>
      <c r="C921" t="str">
        <f t="shared" si="28"/>
        <v>INSERT INTO url_rewrite (entity_type, entity_id, redirect_type, store_id, request_path, target_path) VALUES ('custom', 0, 301, 1,'64720/757845/JR-GiftWrap/Wedding-Bridal-and-Anniversary-Giftwrap.html',(SELECT CONCAT(url_path, '.html') FROM catalog_category_flat_store_1 WHERE entity_id=824));</v>
      </c>
      <c r="D921" t="str">
        <f t="shared" si="29"/>
        <v>UPDATE url_rewrite SET request_path = '64720/757845/JR-GiftWrap/Wedding-Bridal-and-Anniversary-Giftwrap.html' WHERE entity_type='custom' AND target_path=(SELECT CONCAT(url_path, '.html') FROM catalog_category_flat_store_1 WHERE entity_id=824);</v>
      </c>
    </row>
    <row r="922" spans="1:4" x14ac:dyDescent="0.25">
      <c r="A922">
        <f>categories!B922</f>
        <v>825</v>
      </c>
      <c r="B922" t="str">
        <f>SUBSTITUTE(SUBSTITUTE(categories!H922,"\","/"),"www.americanretailsupply.com/","")</f>
        <v>64720/757846/JR-GiftWrap/Double-Sided--Kraft-Giftwrap.html</v>
      </c>
      <c r="C922" t="str">
        <f t="shared" si="28"/>
        <v>INSERT INTO url_rewrite (entity_type, entity_id, redirect_type, store_id, request_path, target_path) VALUES ('custom', 0, 301, 1,'64720/757846/JR-GiftWrap/Double-Sided--Kraft-Giftwrap.html',(SELECT CONCAT(url_path, '.html') FROM catalog_category_flat_store_1 WHERE entity_id=825));</v>
      </c>
      <c r="D922" t="str">
        <f t="shared" si="29"/>
        <v>UPDATE url_rewrite SET request_path = '64720/757846/JR-GiftWrap/Double-Sided--Kraft-Giftwrap.html' WHERE entity_type='custom' AND target_path=(SELECT CONCAT(url_path, '.html') FROM catalog_category_flat_store_1 WHERE entity_id=825);</v>
      </c>
    </row>
    <row r="923" spans="1:4" x14ac:dyDescent="0.25">
      <c r="A923">
        <f>categories!B923</f>
        <v>826</v>
      </c>
      <c r="B923" t="str">
        <f>SUBSTITUTE(SUBSTITUTE(categories!H923,"\","/"),"www.americanretailsupply.com/","")</f>
        <v>64720/757848/JR-GiftWrap/Matte-Solid-Giftwrap.html</v>
      </c>
      <c r="C923" t="str">
        <f t="shared" si="28"/>
        <v>INSERT INTO url_rewrite (entity_type, entity_id, redirect_type, store_id, request_path, target_path) VALUES ('custom', 0, 301, 1,'64720/757848/JR-GiftWrap/Matte-Solid-Giftwrap.html',(SELECT CONCAT(url_path, '.html') FROM catalog_category_flat_store_1 WHERE entity_id=826));</v>
      </c>
      <c r="D923" t="str">
        <f t="shared" si="29"/>
        <v>UPDATE url_rewrite SET request_path = '64720/757848/JR-GiftWrap/Matte-Solid-Giftwrap.html' WHERE entity_type='custom' AND target_path=(SELECT CONCAT(url_path, '.html') FROM catalog_category_flat_store_1 WHERE entity_id=826);</v>
      </c>
    </row>
    <row r="924" spans="1:4" x14ac:dyDescent="0.25">
      <c r="A924">
        <f>categories!B924</f>
        <v>827</v>
      </c>
      <c r="B924" t="str">
        <f>SUBSTITUTE(SUBSTITUTE(categories!H924,"\","/"),"www.americanretailsupply.com/","")</f>
        <v>64720/787769/JR-GiftWrap/Graphic-Giftwrap.html</v>
      </c>
      <c r="C924" t="str">
        <f t="shared" si="28"/>
        <v>INSERT INTO url_rewrite (entity_type, entity_id, redirect_type, store_id, request_path, target_path) VALUES ('custom', 0, 301, 1,'64720/787769/JR-GiftWrap/Graphic-Giftwrap.html',(SELECT CONCAT(url_path, '.html') FROM catalog_category_flat_store_1 WHERE entity_id=827));</v>
      </c>
      <c r="D924" t="str">
        <f t="shared" si="29"/>
        <v>UPDATE url_rewrite SET request_path = '64720/787769/JR-GiftWrap/Graphic-Giftwrap.html' WHERE entity_type='custom' AND target_path=(SELECT CONCAT(url_path, '.html') FROM catalog_category_flat_store_1 WHERE entity_id=827);</v>
      </c>
    </row>
    <row r="925" spans="1:4" x14ac:dyDescent="0.25">
      <c r="A925">
        <f>categories!B925</f>
        <v>828</v>
      </c>
      <c r="B925" t="str">
        <f>SUBSTITUTE(SUBSTITUTE(categories!H925,"\","/"),"www.americanretailsupply.com/","")</f>
        <v>64720/787770/JR-GiftWrap/Juvenile-Giftwrap.html</v>
      </c>
      <c r="C925" t="str">
        <f t="shared" si="28"/>
        <v>INSERT INTO url_rewrite (entity_type, entity_id, redirect_type, store_id, request_path, target_path) VALUES ('custom', 0, 301, 1,'64720/787770/JR-GiftWrap/Juvenile-Giftwrap.html',(SELECT CONCAT(url_path, '.html') FROM catalog_category_flat_store_1 WHERE entity_id=828));</v>
      </c>
      <c r="D925" t="str">
        <f t="shared" si="29"/>
        <v>UPDATE url_rewrite SET request_path = '64720/787770/JR-GiftWrap/Juvenile-Giftwrap.html' WHERE entity_type='custom' AND target_path=(SELECT CONCAT(url_path, '.html') FROM catalog_category_flat_store_1 WHERE entity_id=828);</v>
      </c>
    </row>
    <row r="926" spans="1:4" x14ac:dyDescent="0.25">
      <c r="A926">
        <f>categories!B926</f>
        <v>829</v>
      </c>
      <c r="B926" t="str">
        <f>SUBSTITUTE(SUBSTITUTE(categories!H926,"\","/"),"www.americanretailsupply.com/","")</f>
        <v>64720/787771/JR-GiftWrap/Valentine-Giftwrap.html</v>
      </c>
      <c r="C926" t="str">
        <f t="shared" si="28"/>
        <v>INSERT INTO url_rewrite (entity_type, entity_id, redirect_type, store_id, request_path, target_path) VALUES ('custom', 0, 301, 1,'64720/787771/JR-GiftWrap/Valentine-Giftwrap.html',(SELECT CONCAT(url_path, '.html') FROM catalog_category_flat_store_1 WHERE entity_id=829));</v>
      </c>
      <c r="D926" t="str">
        <f t="shared" si="29"/>
        <v>UPDATE url_rewrite SET request_path = '64720/787771/JR-GiftWrap/Valentine-Giftwrap.html' WHERE entity_type='custom' AND target_path=(SELECT CONCAT(url_path, '.html') FROM catalog_category_flat_store_1 WHERE entity_id=829);</v>
      </c>
    </row>
    <row r="927" spans="1:4" x14ac:dyDescent="0.25">
      <c r="A927">
        <f>categories!B927</f>
        <v>831</v>
      </c>
      <c r="B927" t="str">
        <f>SUBSTITUTE(SUBSTITUTE(categories!H927,"\","/"),"www.americanretailsupply.com/","")</f>
        <v>65164/740768/Kidz-Klub-Mannequins/Kidz-Klub-4--yr-old-Unisex----White.html</v>
      </c>
      <c r="C927" t="str">
        <f t="shared" si="28"/>
        <v>INSERT INTO url_rewrite (entity_type, entity_id, redirect_type, store_id, request_path, target_path) VALUES ('custom', 0, 301, 1,'65164/740768/Kidz-Klub-Mannequins/Kidz-Klub-4--yr-old-Unisex----White.html',(SELECT CONCAT(url_path, '.html') FROM catalog_category_flat_store_1 WHERE entity_id=831));</v>
      </c>
      <c r="D927" t="str">
        <f t="shared" si="29"/>
        <v>UPDATE url_rewrite SET request_path = '65164/740768/Kidz-Klub-Mannequins/Kidz-Klub-4--yr-old-Unisex----White.html' WHERE entity_type='custom' AND target_path=(SELECT CONCAT(url_path, '.html') FROM catalog_category_flat_store_1 WHERE entity_id=831);</v>
      </c>
    </row>
    <row r="928" spans="1:4" x14ac:dyDescent="0.25">
      <c r="A928">
        <f>categories!B928</f>
        <v>832</v>
      </c>
      <c r="B928" t="str">
        <f>SUBSTITUTE(SUBSTITUTE(categories!H928,"\","/"),"www.americanretailsupply.com/","")</f>
        <v>65164/740769/Kidz-Klub-Mannequins/Kidz-Klub-6--yr-old-Unisex----White.html</v>
      </c>
      <c r="C928" t="str">
        <f t="shared" si="28"/>
        <v>INSERT INTO url_rewrite (entity_type, entity_id, redirect_type, store_id, request_path, target_path) VALUES ('custom', 0, 301, 1,'65164/740769/Kidz-Klub-Mannequins/Kidz-Klub-6--yr-old-Unisex----White.html',(SELECT CONCAT(url_path, '.html') FROM catalog_category_flat_store_1 WHERE entity_id=832));</v>
      </c>
      <c r="D928" t="str">
        <f t="shared" si="29"/>
        <v>UPDATE url_rewrite SET request_path = '65164/740769/Kidz-Klub-Mannequins/Kidz-Klub-6--yr-old-Unisex----White.html' WHERE entity_type='custom' AND target_path=(SELECT CONCAT(url_path, '.html') FROM catalog_category_flat_store_1 WHERE entity_id=832);</v>
      </c>
    </row>
    <row r="929" spans="1:4" x14ac:dyDescent="0.25">
      <c r="A929">
        <f>categories!B929</f>
        <v>833</v>
      </c>
      <c r="B929" t="str">
        <f>SUBSTITUTE(SUBSTITUTE(categories!H929,"\","/"),"www.americanretailsupply.com/","")</f>
        <v>65164/740770/Kidz-Klub-Mannequins/Kidz-Klub-6--yr-old-Seated-Unisex----White.html</v>
      </c>
      <c r="C929" t="str">
        <f t="shared" si="28"/>
        <v>INSERT INTO url_rewrite (entity_type, entity_id, redirect_type, store_id, request_path, target_path) VALUES ('custom', 0, 301, 1,'65164/740770/Kidz-Klub-Mannequins/Kidz-Klub-6--yr-old-Seated-Unisex----White.html',(SELECT CONCAT(url_path, '.html') FROM catalog_category_flat_store_1 WHERE entity_id=833));</v>
      </c>
      <c r="D929" t="str">
        <f t="shared" si="29"/>
        <v>UPDATE url_rewrite SET request_path = '65164/740770/Kidz-Klub-Mannequins/Kidz-Klub-6--yr-old-Seated-Unisex----White.html' WHERE entity_type='custom' AND target_path=(SELECT CONCAT(url_path, '.html') FROM catalog_category_flat_store_1 WHERE entity_id=833);</v>
      </c>
    </row>
    <row r="930" spans="1:4" x14ac:dyDescent="0.25">
      <c r="A930">
        <f>categories!B930</f>
        <v>834</v>
      </c>
      <c r="B930" t="str">
        <f>SUBSTITUTE(SUBSTITUTE(categories!H930,"\","/"),"www.americanretailsupply.com/","")</f>
        <v>65164/740771/Kidz-Klub-Mannequins/Kidz-Klub-8--yr-old-Unisex----White.html</v>
      </c>
      <c r="C930" t="str">
        <f t="shared" si="28"/>
        <v>INSERT INTO url_rewrite (entity_type, entity_id, redirect_type, store_id, request_path, target_path) VALUES ('custom', 0, 301, 1,'65164/740771/Kidz-Klub-Mannequins/Kidz-Klub-8--yr-old-Unisex----White.html',(SELECT CONCAT(url_path, '.html') FROM catalog_category_flat_store_1 WHERE entity_id=834));</v>
      </c>
      <c r="D930" t="str">
        <f t="shared" si="29"/>
        <v>UPDATE url_rewrite SET request_path = '65164/740771/Kidz-Klub-Mannequins/Kidz-Klub-8--yr-old-Unisex----White.html' WHERE entity_type='custom' AND target_path=(SELECT CONCAT(url_path, '.html') FROM catalog_category_flat_store_1 WHERE entity_id=834);</v>
      </c>
    </row>
    <row r="931" spans="1:4" x14ac:dyDescent="0.25">
      <c r="A931">
        <f>categories!B931</f>
        <v>835</v>
      </c>
      <c r="B931" t="str">
        <f>SUBSTITUTE(SUBSTITUTE(categories!H931,"\","/"),"www.americanretailsupply.com/","")</f>
        <v>65164/740772/Kidz-Klub-Mannequins/Kidz-Klub-10--yr-old-Unisex----White.html</v>
      </c>
      <c r="C931" t="str">
        <f t="shared" si="28"/>
        <v>INSERT INTO url_rewrite (entity_type, entity_id, redirect_type, store_id, request_path, target_path) VALUES ('custom', 0, 301, 1,'65164/740772/Kidz-Klub-Mannequins/Kidz-Klub-10--yr-old-Unisex----White.html',(SELECT CONCAT(url_path, '.html') FROM catalog_category_flat_store_1 WHERE entity_id=835));</v>
      </c>
      <c r="D931" t="str">
        <f t="shared" si="29"/>
        <v>UPDATE url_rewrite SET request_path = '65164/740772/Kidz-Klub-Mannequins/Kidz-Klub-10--yr-old-Unisex----White.html' WHERE entity_type='custom' AND target_path=(SELECT CONCAT(url_path, '.html') FROM catalog_category_flat_store_1 WHERE entity_id=835);</v>
      </c>
    </row>
    <row r="932" spans="1:4" x14ac:dyDescent="0.25">
      <c r="A932">
        <f>categories!B932</f>
        <v>836</v>
      </c>
      <c r="B932" t="str">
        <f>SUBSTITUTE(SUBSTITUTE(categories!H932,"\","/"),"www.americanretailsupply.com/","")</f>
        <v>65164/740773/Kidz-Klub-Mannequins/Kidz-Klub-12--yr-old-Unisex----White.html</v>
      </c>
      <c r="C932" t="str">
        <f t="shared" si="28"/>
        <v>INSERT INTO url_rewrite (entity_type, entity_id, redirect_type, store_id, request_path, target_path) VALUES ('custom', 0, 301, 1,'65164/740773/Kidz-Klub-Mannequins/Kidz-Klub-12--yr-old-Unisex----White.html',(SELECT CONCAT(url_path, '.html') FROM catalog_category_flat_store_1 WHERE entity_id=836));</v>
      </c>
      <c r="D932" t="str">
        <f t="shared" si="29"/>
        <v>UPDATE url_rewrite SET request_path = '65164/740773/Kidz-Klub-Mannequins/Kidz-Klub-12--yr-old-Unisex----White.html' WHERE entity_type='custom' AND target_path=(SELECT CONCAT(url_path, '.html') FROM catalog_category_flat_store_1 WHERE entity_id=836);</v>
      </c>
    </row>
    <row r="933" spans="1:4" x14ac:dyDescent="0.25">
      <c r="A933">
        <f>categories!B933</f>
        <v>838</v>
      </c>
      <c r="B933" t="str">
        <f>SUBSTITUTE(SUBSTITUTE(categories!H933,"\","/"),"www.americanretailsupply.com/","")</f>
        <v>65351/785525/Kraft-Paper-GiftWrap/A-La-Carte-Gift-Wraps.html</v>
      </c>
      <c r="C933" t="str">
        <f t="shared" si="28"/>
        <v>INSERT INTO url_rewrite (entity_type, entity_id, redirect_type, store_id, request_path, target_path) VALUES ('custom', 0, 301, 1,'65351/785525/Kraft-Paper-GiftWrap/A-La-Carte-Gift-Wraps.html',(SELECT CONCAT(url_path, '.html') FROM catalog_category_flat_store_1 WHERE entity_id=838));</v>
      </c>
      <c r="D933" t="str">
        <f t="shared" si="29"/>
        <v>UPDATE url_rewrite SET request_path = '65351/785525/Kraft-Paper-GiftWrap/A-La-Carte-Gift-Wraps.html' WHERE entity_type='custom' AND target_path=(SELECT CONCAT(url_path, '.html') FROM catalog_category_flat_store_1 WHERE entity_id=838);</v>
      </c>
    </row>
    <row r="934" spans="1:4" x14ac:dyDescent="0.25">
      <c r="A934">
        <f>categories!B934</f>
        <v>840</v>
      </c>
      <c r="B934" t="str">
        <f>SUBSTITUTE(SUBSTITUTE(categories!H934,"\","/"),"www.americanretailsupply.com/","")</f>
        <v>64493/778892/Labels--Stickers/Special-Occasion-Gift-Labels.html</v>
      </c>
      <c r="C934" t="str">
        <f t="shared" si="28"/>
        <v>INSERT INTO url_rewrite (entity_type, entity_id, redirect_type, store_id, request_path, target_path) VALUES ('custom', 0, 301, 1,'64493/778892/Labels--Stickers/Special-Occasion-Gift-Labels.html',(SELECT CONCAT(url_path, '.html') FROM catalog_category_flat_store_1 WHERE entity_id=840));</v>
      </c>
      <c r="D934" t="str">
        <f t="shared" si="29"/>
        <v>UPDATE url_rewrite SET request_path = '64493/778892/Labels--Stickers/Special-Occasion-Gift-Labels.html' WHERE entity_type='custom' AND target_path=(SELECT CONCAT(url_path, '.html') FROM catalog_category_flat_store_1 WHERE entity_id=840);</v>
      </c>
    </row>
    <row r="935" spans="1:4" x14ac:dyDescent="0.25">
      <c r="A935">
        <f>categories!B935</f>
        <v>842</v>
      </c>
      <c r="B935" t="str">
        <f>SUBSTITUTE(SUBSTITUTE(categories!H935,"\","/"),"www.americanretailsupply.com/","")</f>
        <v>64830/174386/LaminateMetal-Showcases/Full-Vision-Showcases.html</v>
      </c>
      <c r="C935" t="str">
        <f t="shared" si="28"/>
        <v>INSERT INTO url_rewrite (entity_type, entity_id, redirect_type, store_id, request_path, target_path) VALUES ('custom', 0, 301, 1,'64830/174386/LaminateMetal-Showcases/Full-Vision-Showcases.html',(SELECT CONCAT(url_path, '.html') FROM catalog_category_flat_store_1 WHERE entity_id=842));</v>
      </c>
      <c r="D935" t="str">
        <f t="shared" si="29"/>
        <v>UPDATE url_rewrite SET request_path = '64830/174386/LaminateMetal-Showcases/Full-Vision-Showcases.html' WHERE entity_type='custom' AND target_path=(SELECT CONCAT(url_path, '.html') FROM catalog_category_flat_store_1 WHERE entity_id=842);</v>
      </c>
    </row>
    <row r="936" spans="1:4" x14ac:dyDescent="0.25">
      <c r="A936">
        <f>categories!B936</f>
        <v>843</v>
      </c>
      <c r="B936" t="str">
        <f>SUBSTITUTE(SUBSTITUTE(categories!H936,"\","/"),"www.americanretailsupply.com/","")</f>
        <v>64830/174387/LaminateMetal-Showcases/Corner-Fill-Display-Cases.html</v>
      </c>
      <c r="C936" t="str">
        <f t="shared" si="28"/>
        <v>INSERT INTO url_rewrite (entity_type, entity_id, redirect_type, store_id, request_path, target_path) VALUES ('custom', 0, 301, 1,'64830/174387/LaminateMetal-Showcases/Corner-Fill-Display-Cases.html',(SELECT CONCAT(url_path, '.html') FROM catalog_category_flat_store_1 WHERE entity_id=843));</v>
      </c>
      <c r="D936" t="str">
        <f t="shared" si="29"/>
        <v>UPDATE url_rewrite SET request_path = '64830/174387/LaminateMetal-Showcases/Corner-Fill-Display-Cases.html' WHERE entity_type='custom' AND target_path=(SELECT CONCAT(url_path, '.html') FROM catalog_category_flat_store_1 WHERE entity_id=843);</v>
      </c>
    </row>
    <row r="937" spans="1:4" x14ac:dyDescent="0.25">
      <c r="A937">
        <f>categories!B937</f>
        <v>844</v>
      </c>
      <c r="B937" t="str">
        <f>SUBSTITUTE(SUBSTITUTE(categories!H937,"\","/"),"www.americanretailsupply.com/","")</f>
        <v>64830/174443/LaminateMetal-Showcases/Upright-Display.html</v>
      </c>
      <c r="C937" t="str">
        <f t="shared" si="28"/>
        <v>INSERT INTO url_rewrite (entity_type, entity_id, redirect_type, store_id, request_path, target_path) VALUES ('custom', 0, 301, 1,'64830/174443/LaminateMetal-Showcases/Upright-Display.html',(SELECT CONCAT(url_path, '.html') FROM catalog_category_flat_store_1 WHERE entity_id=844));</v>
      </c>
      <c r="D937" t="str">
        <f t="shared" si="29"/>
        <v>UPDATE url_rewrite SET request_path = '64830/174443/LaminateMetal-Showcases/Upright-Display.html' WHERE entity_type='custom' AND target_path=(SELECT CONCAT(url_path, '.html') FROM catalog_category_flat_store_1 WHERE entity_id=844);</v>
      </c>
    </row>
    <row r="938" spans="1:4" x14ac:dyDescent="0.25">
      <c r="A938">
        <f>categories!B938</f>
        <v>845</v>
      </c>
      <c r="B938" t="str">
        <f>SUBSTITUTE(SUBSTITUTE(categories!H938,"\","/"),"www.americanretailsupply.com/","")</f>
        <v>64830/174472/LaminateMetal-Showcases/Ledge-Counters.html</v>
      </c>
      <c r="C938" t="str">
        <f t="shared" si="28"/>
        <v>INSERT INTO url_rewrite (entity_type, entity_id, redirect_type, store_id, request_path, target_path) VALUES ('custom', 0, 301, 1,'64830/174472/LaminateMetal-Showcases/Ledge-Counters.html',(SELECT CONCAT(url_path, '.html') FROM catalog_category_flat_store_1 WHERE entity_id=845));</v>
      </c>
      <c r="D938" t="str">
        <f t="shared" si="29"/>
        <v>UPDATE url_rewrite SET request_path = '64830/174472/LaminateMetal-Showcases/Ledge-Counters.html' WHERE entity_type='custom' AND target_path=(SELECT CONCAT(url_path, '.html') FROM catalog_category_flat_store_1 WHERE entity_id=845);</v>
      </c>
    </row>
    <row r="939" spans="1:4" x14ac:dyDescent="0.25">
      <c r="A939">
        <f>categories!B939</f>
        <v>846</v>
      </c>
      <c r="B939" t="str">
        <f>SUBSTITUTE(SUBSTITUTE(categories!H939,"\","/"),"www.americanretailsupply.com/","")</f>
        <v>64830/174475/LaminateMetal-Showcases/Display-Table.html</v>
      </c>
      <c r="C939" t="str">
        <f t="shared" si="28"/>
        <v>INSERT INTO url_rewrite (entity_type, entity_id, redirect_type, store_id, request_path, target_path) VALUES ('custom', 0, 301, 1,'64830/174475/LaminateMetal-Showcases/Display-Table.html',(SELECT CONCAT(url_path, '.html') FROM catalog_category_flat_store_1 WHERE entity_id=846));</v>
      </c>
      <c r="D939" t="str">
        <f t="shared" si="29"/>
        <v>UPDATE url_rewrite SET request_path = '64830/174475/LaminateMetal-Showcases/Display-Table.html' WHERE entity_type='custom' AND target_path=(SELECT CONCAT(url_path, '.html') FROM catalog_category_flat_store_1 WHERE entity_id=846);</v>
      </c>
    </row>
    <row r="940" spans="1:4" x14ac:dyDescent="0.25">
      <c r="A940">
        <f>categories!B940</f>
        <v>847</v>
      </c>
      <c r="B940" t="str">
        <f>SUBSTITUTE(SUBSTITUTE(categories!H940,"\","/"),"www.americanretailsupply.com/","")</f>
        <v>64830/174476/LaminateMetal-Showcases/Tall-Counter-Display-Case.html</v>
      </c>
      <c r="C940" t="str">
        <f t="shared" si="28"/>
        <v>INSERT INTO url_rewrite (entity_type, entity_id, redirect_type, store_id, request_path, target_path) VALUES ('custom', 0, 301, 1,'64830/174476/LaminateMetal-Showcases/Tall-Counter-Display-Case.html',(SELECT CONCAT(url_path, '.html') FROM catalog_category_flat_store_1 WHERE entity_id=847));</v>
      </c>
      <c r="D940" t="str">
        <f t="shared" si="29"/>
        <v>UPDATE url_rewrite SET request_path = '64830/174476/LaminateMetal-Showcases/Tall-Counter-Display-Case.html' WHERE entity_type='custom' AND target_path=(SELECT CONCAT(url_path, '.html') FROM catalog_category_flat_store_1 WHERE entity_id=847);</v>
      </c>
    </row>
    <row r="941" spans="1:4" x14ac:dyDescent="0.25">
      <c r="A941">
        <f>categories!B941</f>
        <v>848</v>
      </c>
      <c r="B941" t="str">
        <f>SUBSTITUTE(SUBSTITUTE(categories!H941,"\","/"),"www.americanretailsupply.com/","")</f>
        <v>64830/174477/LaminateMetal-Showcases/Alcove-Mirror.html</v>
      </c>
      <c r="C941" t="str">
        <f t="shared" si="28"/>
        <v>INSERT INTO url_rewrite (entity_type, entity_id, redirect_type, store_id, request_path, target_path) VALUES ('custom', 0, 301, 1,'64830/174477/LaminateMetal-Showcases/Alcove-Mirror.html',(SELECT CONCAT(url_path, '.html') FROM catalog_category_flat_store_1 WHERE entity_id=848));</v>
      </c>
      <c r="D941" t="str">
        <f t="shared" si="29"/>
        <v>UPDATE url_rewrite SET request_path = '64830/174477/LaminateMetal-Showcases/Alcove-Mirror.html' WHERE entity_type='custom' AND target_path=(SELECT CONCAT(url_path, '.html') FROM catalog_category_flat_store_1 WHERE entity_id=848);</v>
      </c>
    </row>
    <row r="942" spans="1:4" x14ac:dyDescent="0.25">
      <c r="A942">
        <f>categories!B942</f>
        <v>849</v>
      </c>
      <c r="B942" t="str">
        <f>SUBSTITUTE(SUBSTITUTE(categories!H942,"\","/"),"www.americanretailsupply.com/","")</f>
        <v>64830/175983/LaminateMetal-Showcases/Rear-Access-Corner-Display-Cases.html</v>
      </c>
      <c r="C942" t="str">
        <f t="shared" si="28"/>
        <v>INSERT INTO url_rewrite (entity_type, entity_id, redirect_type, store_id, request_path, target_path) VALUES ('custom', 0, 301, 1,'64830/175983/LaminateMetal-Showcases/Rear-Access-Corner-Display-Cases.html',(SELECT CONCAT(url_path, '.html') FROM catalog_category_flat_store_1 WHERE entity_id=849));</v>
      </c>
      <c r="D942" t="str">
        <f t="shared" si="29"/>
        <v>UPDATE url_rewrite SET request_path = '64830/175983/LaminateMetal-Showcases/Rear-Access-Corner-Display-Cases.html' WHERE entity_type='custom' AND target_path=(SELECT CONCAT(url_path, '.html') FROM catalog_category_flat_store_1 WHERE entity_id=849);</v>
      </c>
    </row>
    <row r="943" spans="1:4" x14ac:dyDescent="0.25">
      <c r="A943">
        <f>categories!B943</f>
        <v>850</v>
      </c>
      <c r="B943" t="str">
        <f>SUBSTITUTE(SUBSTITUTE(categories!H943,"\","/"),"www.americanretailsupply.com/","")</f>
        <v>64830/175995/LaminateMetal-Showcases/Half-Vision-Showcases.html</v>
      </c>
      <c r="C943" t="str">
        <f t="shared" si="28"/>
        <v>INSERT INTO url_rewrite (entity_type, entity_id, redirect_type, store_id, request_path, target_path) VALUES ('custom', 0, 301, 1,'64830/175995/LaminateMetal-Showcases/Half-Vision-Showcases.html',(SELECT CONCAT(url_path, '.html') FROM catalog_category_flat_store_1 WHERE entity_id=850));</v>
      </c>
      <c r="D943" t="str">
        <f t="shared" si="29"/>
        <v>UPDATE url_rewrite SET request_path = '64830/175995/LaminateMetal-Showcases/Half-Vision-Showcases.html' WHERE entity_type='custom' AND target_path=(SELECT CONCAT(url_path, '.html') FROM catalog_category_flat_store_1 WHERE entity_id=850);</v>
      </c>
    </row>
    <row r="944" spans="1:4" x14ac:dyDescent="0.25">
      <c r="A944">
        <f>categories!B944</f>
        <v>851</v>
      </c>
      <c r="B944" t="str">
        <f>SUBSTITUTE(SUBSTITUTE(categories!H944,"\","/"),"www.americanretailsupply.com/","")</f>
        <v>64830/175996/LaminateMetal-Showcases/Jewelry-Display-Showcases.html</v>
      </c>
      <c r="C944" t="str">
        <f t="shared" si="28"/>
        <v>INSERT INTO url_rewrite (entity_type, entity_id, redirect_type, store_id, request_path, target_path) VALUES ('custom', 0, 301, 1,'64830/175996/LaminateMetal-Showcases/Jewelry-Display-Showcases.html',(SELECT CONCAT(url_path, '.html') FROM catalog_category_flat_store_1 WHERE entity_id=851));</v>
      </c>
      <c r="D944" t="str">
        <f t="shared" si="29"/>
        <v>UPDATE url_rewrite SET request_path = '64830/175996/LaminateMetal-Showcases/Jewelry-Display-Showcases.html' WHERE entity_type='custom' AND target_path=(SELECT CONCAT(url_path, '.html') FROM catalog_category_flat_store_1 WHERE entity_id=851);</v>
      </c>
    </row>
    <row r="945" spans="1:4" x14ac:dyDescent="0.25">
      <c r="A945">
        <f>categories!B945</f>
        <v>852</v>
      </c>
      <c r="B945" t="str">
        <f>SUBSTITUTE(SUBSTITUTE(categories!H945,"\","/"),"www.americanretailsupply.com/","")</f>
        <v>64830/175998/LaminateMetal-Showcases/Extra-Vision-Showcases.html</v>
      </c>
      <c r="C945" t="str">
        <f t="shared" si="28"/>
        <v>INSERT INTO url_rewrite (entity_type, entity_id, redirect_type, store_id, request_path, target_path) VALUES ('custom', 0, 301, 1,'64830/175998/LaminateMetal-Showcases/Extra-Vision-Showcases.html',(SELECT CONCAT(url_path, '.html') FROM catalog_category_flat_store_1 WHERE entity_id=852));</v>
      </c>
      <c r="D945" t="str">
        <f t="shared" si="29"/>
        <v>UPDATE url_rewrite SET request_path = '64830/175998/LaminateMetal-Showcases/Extra-Vision-Showcases.html' WHERE entity_type='custom' AND target_path=(SELECT CONCAT(url_path, '.html') FROM catalog_category_flat_store_1 WHERE entity_id=852);</v>
      </c>
    </row>
    <row r="946" spans="1:4" x14ac:dyDescent="0.25">
      <c r="A946">
        <f>categories!B946</f>
        <v>853</v>
      </c>
      <c r="B946" t="str">
        <f>SUBSTITUTE(SUBSTITUTE(categories!H946,"\","/"),"www.americanretailsupply.com/","")</f>
        <v>64830/175999/LaminateMetal-Showcases/Slimline-Towers.html</v>
      </c>
      <c r="C946" t="str">
        <f t="shared" si="28"/>
        <v>INSERT INTO url_rewrite (entity_type, entity_id, redirect_type, store_id, request_path, target_path) VALUES ('custom', 0, 301, 1,'64830/175999/LaminateMetal-Showcases/Slimline-Towers.html',(SELECT CONCAT(url_path, '.html') FROM catalog_category_flat_store_1 WHERE entity_id=853));</v>
      </c>
      <c r="D946" t="str">
        <f t="shared" si="29"/>
        <v>UPDATE url_rewrite SET request_path = '64830/175999/LaminateMetal-Showcases/Slimline-Towers.html' WHERE entity_type='custom' AND target_path=(SELECT CONCAT(url_path, '.html') FROM catalog_category_flat_store_1 WHERE entity_id=853);</v>
      </c>
    </row>
    <row r="947" spans="1:4" x14ac:dyDescent="0.25">
      <c r="A947">
        <f>categories!B947</f>
        <v>854</v>
      </c>
      <c r="B947" t="str">
        <f>SUBSTITUTE(SUBSTITUTE(categories!H947,"\","/"),"www.americanretailsupply.com/","")</f>
        <v>64830/176000/LaminateMetal-Showcases/Fineline-Tower-Glass-Display-Cases.html</v>
      </c>
      <c r="C947" t="str">
        <f t="shared" si="28"/>
        <v>INSERT INTO url_rewrite (entity_type, entity_id, redirect_type, store_id, request_path, target_path) VALUES ('custom', 0, 301, 1,'64830/176000/LaminateMetal-Showcases/Fineline-Tower-Glass-Display-Cases.html',(SELECT CONCAT(url_path, '.html') FROM catalog_category_flat_store_1 WHERE entity_id=854));</v>
      </c>
      <c r="D947" t="str">
        <f t="shared" si="29"/>
        <v>UPDATE url_rewrite SET request_path = '64830/176000/LaminateMetal-Showcases/Fineline-Tower-Glass-Display-Cases.html' WHERE entity_type='custom' AND target_path=(SELECT CONCAT(url_path, '.html') FROM catalog_category_flat_store_1 WHERE entity_id=854);</v>
      </c>
    </row>
    <row r="948" spans="1:4" x14ac:dyDescent="0.25">
      <c r="A948">
        <f>categories!B948</f>
        <v>855</v>
      </c>
      <c r="B948" t="str">
        <f>SUBSTITUTE(SUBSTITUTE(categories!H948,"\","/"),"www.americanretailsupply.com/","")</f>
        <v>64830/176003/LaminateMetal-Showcases/Wrap-Counters.html</v>
      </c>
      <c r="C948" t="str">
        <f t="shared" si="28"/>
        <v>INSERT INTO url_rewrite (entity_type, entity_id, redirect_type, store_id, request_path, target_path) VALUES ('custom', 0, 301, 1,'64830/176003/LaminateMetal-Showcases/Wrap-Counters.html',(SELECT CONCAT(url_path, '.html') FROM catalog_category_flat_store_1 WHERE entity_id=855));</v>
      </c>
      <c r="D948" t="str">
        <f t="shared" si="29"/>
        <v>UPDATE url_rewrite SET request_path = '64830/176003/LaminateMetal-Showcases/Wrap-Counters.html' WHERE entity_type='custom' AND target_path=(SELECT CONCAT(url_path, '.html') FROM catalog_category_flat_store_1 WHERE entity_id=855);</v>
      </c>
    </row>
    <row r="949" spans="1:4" x14ac:dyDescent="0.25">
      <c r="A949">
        <f>categories!B949</f>
        <v>856</v>
      </c>
      <c r="B949" t="str">
        <f>SUBSTITUTE(SUBSTITUTE(categories!H949,"\","/"),"www.americanretailsupply.com/","")</f>
        <v>64830/176004/LaminateMetal-Showcases/Cash-Register-Stands.html</v>
      </c>
      <c r="C949" t="str">
        <f t="shared" si="28"/>
        <v>INSERT INTO url_rewrite (entity_type, entity_id, redirect_type, store_id, request_path, target_path) VALUES ('custom', 0, 301, 1,'64830/176004/LaminateMetal-Showcases/Cash-Register-Stands.html',(SELECT CONCAT(url_path, '.html') FROM catalog_category_flat_store_1 WHERE entity_id=856));</v>
      </c>
      <c r="D949" t="str">
        <f t="shared" si="29"/>
        <v>UPDATE url_rewrite SET request_path = '64830/176004/LaminateMetal-Showcases/Cash-Register-Stands.html' WHERE entity_type='custom' AND target_path=(SELECT CONCAT(url_path, '.html') FROM catalog_category_flat_store_1 WHERE entity_id=856);</v>
      </c>
    </row>
    <row r="950" spans="1:4" x14ac:dyDescent="0.25">
      <c r="A950">
        <f>categories!B950</f>
        <v>858</v>
      </c>
      <c r="B950" t="str">
        <f>SUBSTITUTE(SUBSTITUTE(categories!H950,"\","/"),"www.americanretailsupply.com/","")</f>
        <v>64847/773401/Lights/Showcase-Light-Kits-and-Locks.html</v>
      </c>
      <c r="C950" t="str">
        <f t="shared" si="28"/>
        <v>INSERT INTO url_rewrite (entity_type, entity_id, redirect_type, store_id, request_path, target_path) VALUES ('custom', 0, 301, 1,'64847/773401/Lights/Showcase-Light-Kits-and-Locks.html',(SELECT CONCAT(url_path, '.html') FROM catalog_category_flat_store_1 WHERE entity_id=858));</v>
      </c>
      <c r="D950" t="str">
        <f t="shared" si="29"/>
        <v>UPDATE url_rewrite SET request_path = '64847/773401/Lights/Showcase-Light-Kits-and-Locks.html' WHERE entity_type='custom' AND target_path=(SELECT CONCAT(url_path, '.html') FROM catalog_category_flat_store_1 WHERE entity_id=858);</v>
      </c>
    </row>
    <row r="951" spans="1:4" x14ac:dyDescent="0.25">
      <c r="A951">
        <f>categories!B951</f>
        <v>859</v>
      </c>
      <c r="B951" t="str">
        <f>SUBSTITUTE(SUBSTITUTE(categories!H951,"\","/"),"www.americanretailsupply.com/","")</f>
        <v>64847/776995/Lights/Flexible-LED-Light-Strip.html</v>
      </c>
      <c r="C951" t="str">
        <f t="shared" si="28"/>
        <v>INSERT INTO url_rewrite (entity_type, entity_id, redirect_type, store_id, request_path, target_path) VALUES ('custom', 0, 301, 1,'64847/776995/Lights/Flexible-LED-Light-Strip.html',(SELECT CONCAT(url_path, '.html') FROM catalog_category_flat_store_1 WHERE entity_id=859));</v>
      </c>
      <c r="D951" t="str">
        <f t="shared" si="29"/>
        <v>UPDATE url_rewrite SET request_path = '64847/776995/Lights/Flexible-LED-Light-Strip.html' WHERE entity_type='custom' AND target_path=(SELECT CONCAT(url_path, '.html') FROM catalog_category_flat_store_1 WHERE entity_id=859);</v>
      </c>
    </row>
    <row r="952" spans="1:4" x14ac:dyDescent="0.25">
      <c r="A952">
        <f>categories!B952</f>
        <v>861</v>
      </c>
      <c r="B952" t="str">
        <f>SUBSTITUTE(SUBSTITUTE(categories!H952,"\","/"),"www.americanretailsupply.com/","")</f>
        <v>64786/775233/Linen-Jewelry-Displays/Necklace-Jewelry-Displays.html</v>
      </c>
      <c r="C952" t="str">
        <f t="shared" si="28"/>
        <v>INSERT INTO url_rewrite (entity_type, entity_id, redirect_type, store_id, request_path, target_path) VALUES ('custom', 0, 301, 1,'64786/775233/Linen-Jewelry-Displays/Necklace-Jewelry-Displays.html',(SELECT CONCAT(url_path, '.html') FROM catalog_category_flat_store_1 WHERE entity_id=861));</v>
      </c>
      <c r="D952" t="str">
        <f t="shared" si="29"/>
        <v>UPDATE url_rewrite SET request_path = '64786/775233/Linen-Jewelry-Displays/Necklace-Jewelry-Displays.html' WHERE entity_type='custom' AND target_path=(SELECT CONCAT(url_path, '.html') FROM catalog_category_flat_store_1 WHERE entity_id=861);</v>
      </c>
    </row>
    <row r="953" spans="1:4" x14ac:dyDescent="0.25">
      <c r="A953">
        <f>categories!B953</f>
        <v>862</v>
      </c>
      <c r="B953" t="str">
        <f>SUBSTITUTE(SUBSTITUTE(categories!H953,"\","/"),"www.americanretailsupply.com/","")</f>
        <v>64786/775234/Linen-Jewelry-Displays/T--Bar-Jewelry-Displays.html</v>
      </c>
      <c r="C953" t="str">
        <f t="shared" si="28"/>
        <v>INSERT INTO url_rewrite (entity_type, entity_id, redirect_type, store_id, request_path, target_path) VALUES ('custom', 0, 301, 1,'64786/775234/Linen-Jewelry-Displays/T--Bar-Jewelry-Displays.html',(SELECT CONCAT(url_path, '.html') FROM catalog_category_flat_store_1 WHERE entity_id=862));</v>
      </c>
      <c r="D953" t="str">
        <f t="shared" si="29"/>
        <v>UPDATE url_rewrite SET request_path = '64786/775234/Linen-Jewelry-Displays/T--Bar-Jewelry-Displays.html' WHERE entity_type='custom' AND target_path=(SELECT CONCAT(url_path, '.html') FROM catalog_category_flat_store_1 WHERE entity_id=862);</v>
      </c>
    </row>
    <row r="954" spans="1:4" x14ac:dyDescent="0.25">
      <c r="A954">
        <f>categories!B954</f>
        <v>863</v>
      </c>
      <c r="B954" t="str">
        <f>SUBSTITUTE(SUBSTITUTE(categories!H954,"\","/"),"www.americanretailsupply.com/","")</f>
        <v>64786/775235/Linen-Jewelry-Displays/Earring-Displays.html</v>
      </c>
      <c r="C954" t="str">
        <f t="shared" si="28"/>
        <v>INSERT INTO url_rewrite (entity_type, entity_id, redirect_type, store_id, request_path, target_path) VALUES ('custom', 0, 301, 1,'64786/775235/Linen-Jewelry-Displays/Earring-Displays.html',(SELECT CONCAT(url_path, '.html') FROM catalog_category_flat_store_1 WHERE entity_id=863));</v>
      </c>
      <c r="D954" t="str">
        <f t="shared" si="29"/>
        <v>UPDATE url_rewrite SET request_path = '64786/775235/Linen-Jewelry-Displays/Earring-Displays.html' WHERE entity_type='custom' AND target_path=(SELECT CONCAT(url_path, '.html') FROM catalog_category_flat_store_1 WHERE entity_id=863);</v>
      </c>
    </row>
    <row r="955" spans="1:4" x14ac:dyDescent="0.25">
      <c r="A955">
        <f>categories!B955</f>
        <v>865</v>
      </c>
      <c r="B955" t="str">
        <f>SUBSTITUTE(SUBSTITUTE(categories!H955,"\","/"),"www.americanretailsupply.com/","")</f>
        <v>65181/561663/Literature-Racks/24-Pocket-Literature-Spinner.html</v>
      </c>
      <c r="C955" t="str">
        <f t="shared" si="28"/>
        <v>INSERT INTO url_rewrite (entity_type, entity_id, redirect_type, store_id, request_path, target_path) VALUES ('custom', 0, 301, 1,'65181/561663/Literature-Racks/24-Pocket-Literature-Spinner.html',(SELECT CONCAT(url_path, '.html') FROM catalog_category_flat_store_1 WHERE entity_id=865));</v>
      </c>
      <c r="D955" t="str">
        <f t="shared" si="29"/>
        <v>UPDATE url_rewrite SET request_path = '65181/561663/Literature-Racks/24-Pocket-Literature-Spinner.html' WHERE entity_type='custom' AND target_path=(SELECT CONCAT(url_path, '.html') FROM catalog_category_flat_store_1 WHERE entity_id=865);</v>
      </c>
    </row>
    <row r="956" spans="1:4" x14ac:dyDescent="0.25">
      <c r="A956">
        <f>categories!B956</f>
        <v>866</v>
      </c>
      <c r="B956" t="str">
        <f>SUBSTITUTE(SUBSTITUTE(categories!H956,"\","/"),"www.americanretailsupply.com/","")</f>
        <v>65181/561665/Literature-Racks/Decora-Literature-Stand.html</v>
      </c>
      <c r="C956" t="str">
        <f t="shared" si="28"/>
        <v>INSERT INTO url_rewrite (entity_type, entity_id, redirect_type, store_id, request_path, target_path) VALUES ('custom', 0, 301, 1,'65181/561665/Literature-Racks/Decora-Literature-Stand.html',(SELECT CONCAT(url_path, '.html') FROM catalog_category_flat_store_1 WHERE entity_id=866));</v>
      </c>
      <c r="D956" t="str">
        <f t="shared" si="29"/>
        <v>UPDATE url_rewrite SET request_path = '65181/561665/Literature-Racks/Decora-Literature-Stand.html' WHERE entity_type='custom' AND target_path=(SELECT CONCAT(url_path, '.html') FROM catalog_category_flat_store_1 WHERE entity_id=866);</v>
      </c>
    </row>
    <row r="957" spans="1:4" x14ac:dyDescent="0.25">
      <c r="A957">
        <f>categories!B957</f>
        <v>867</v>
      </c>
      <c r="B957" t="str">
        <f>SUBSTITUTE(SUBSTITUTE(categories!H957,"\","/"),"www.americanretailsupply.com/","")</f>
        <v>65181/561739/Literature-Racks/24-Pocket-Combo-Spinner.html</v>
      </c>
      <c r="C957" t="str">
        <f t="shared" si="28"/>
        <v>INSERT INTO url_rewrite (entity_type, entity_id, redirect_type, store_id, request_path, target_path) VALUES ('custom', 0, 301, 1,'65181/561739/Literature-Racks/24-Pocket-Combo-Spinner.html',(SELECT CONCAT(url_path, '.html') FROM catalog_category_flat_store_1 WHERE entity_id=867));</v>
      </c>
      <c r="D957" t="str">
        <f t="shared" si="29"/>
        <v>UPDATE url_rewrite SET request_path = '65181/561739/Literature-Racks/24-Pocket-Combo-Spinner.html' WHERE entity_type='custom' AND target_path=(SELECT CONCAT(url_path, '.html') FROM catalog_category_flat_store_1 WHERE entity_id=867);</v>
      </c>
    </row>
    <row r="958" spans="1:4" x14ac:dyDescent="0.25">
      <c r="A958">
        <f>categories!B958</f>
        <v>868</v>
      </c>
      <c r="B958" t="str">
        <f>SUBSTITUTE(SUBSTITUTE(categories!H958,"\","/"),"www.americanretailsupply.com/","")</f>
        <v>65181/561792/Literature-Racks/24-Pocket-Spinner.html</v>
      </c>
      <c r="C958" t="str">
        <f t="shared" si="28"/>
        <v>INSERT INTO url_rewrite (entity_type, entity_id, redirect_type, store_id, request_path, target_path) VALUES ('custom', 0, 301, 1,'65181/561792/Literature-Racks/24-Pocket-Spinner.html',(SELECT CONCAT(url_path, '.html') FROM catalog_category_flat_store_1 WHERE entity_id=868));</v>
      </c>
      <c r="D958" t="str">
        <f t="shared" si="29"/>
        <v>UPDATE url_rewrite SET request_path = '65181/561792/Literature-Racks/24-Pocket-Spinner.html' WHERE entity_type='custom' AND target_path=(SELECT CONCAT(url_path, '.html') FROM catalog_category_flat_store_1 WHERE entity_id=868);</v>
      </c>
    </row>
    <row r="959" spans="1:4" x14ac:dyDescent="0.25">
      <c r="A959">
        <f>categories!B959</f>
        <v>869</v>
      </c>
      <c r="B959" t="str">
        <f>SUBSTITUTE(SUBSTITUTE(categories!H959,"\","/"),"www.americanretailsupply.com/","")</f>
        <v>65181/561793/Literature-Racks/Postcard-Spinner.html</v>
      </c>
      <c r="C959" t="str">
        <f t="shared" si="28"/>
        <v>INSERT INTO url_rewrite (entity_type, entity_id, redirect_type, store_id, request_path, target_path) VALUES ('custom', 0, 301, 1,'65181/561793/Literature-Racks/Postcard-Spinner.html',(SELECT CONCAT(url_path, '.html') FROM catalog_category_flat_store_1 WHERE entity_id=869));</v>
      </c>
      <c r="D959" t="str">
        <f t="shared" si="29"/>
        <v>UPDATE url_rewrite SET request_path = '65181/561793/Literature-Racks/Postcard-Spinner.html' WHERE entity_type='custom' AND target_path=(SELECT CONCAT(url_path, '.html') FROM catalog_category_flat_store_1 WHERE entity_id=869);</v>
      </c>
    </row>
    <row r="960" spans="1:4" x14ac:dyDescent="0.25">
      <c r="A960">
        <f>categories!B960</f>
        <v>870</v>
      </c>
      <c r="B960" t="str">
        <f>SUBSTITUTE(SUBSTITUTE(categories!H960,"\","/"),"www.americanretailsupply.com/","")</f>
        <v>65181/561794/Literature-Racks/16-Pocket-Calendar-Spinner.html</v>
      </c>
      <c r="C960" t="str">
        <f t="shared" si="28"/>
        <v>INSERT INTO url_rewrite (entity_type, entity_id, redirect_type, store_id, request_path, target_path) VALUES ('custom', 0, 301, 1,'65181/561794/Literature-Racks/16-Pocket-Calendar-Spinner.html',(SELECT CONCAT(url_path, '.html') FROM catalog_category_flat_store_1 WHERE entity_id=870));</v>
      </c>
      <c r="D960" t="str">
        <f t="shared" si="29"/>
        <v>UPDATE url_rewrite SET request_path = '65181/561794/Literature-Racks/16-Pocket-Calendar-Spinner.html' WHERE entity_type='custom' AND target_path=(SELECT CONCAT(url_path, '.html') FROM catalog_category_flat_store_1 WHERE entity_id=870);</v>
      </c>
    </row>
    <row r="961" spans="1:4" x14ac:dyDescent="0.25">
      <c r="A961">
        <f>categories!B961</f>
        <v>871</v>
      </c>
      <c r="B961" t="str">
        <f>SUBSTITUTE(SUBSTITUTE(categories!H961,"\","/"),"www.americanretailsupply.com/","")</f>
        <v>65181/561795/Literature-Racks/24-Pocket-4-78-Spinner.html</v>
      </c>
      <c r="C961" t="str">
        <f t="shared" si="28"/>
        <v>INSERT INTO url_rewrite (entity_type, entity_id, redirect_type, store_id, request_path, target_path) VALUES ('custom', 0, 301, 1,'65181/561795/Literature-Racks/24-Pocket-4-78-Spinner.html',(SELECT CONCAT(url_path, '.html') FROM catalog_category_flat_store_1 WHERE entity_id=871));</v>
      </c>
      <c r="D961" t="str">
        <f t="shared" si="29"/>
        <v>UPDATE url_rewrite SET request_path = '65181/561795/Literature-Racks/24-Pocket-4-78-Spinner.html' WHERE entity_type='custom' AND target_path=(SELECT CONCAT(url_path, '.html') FROM catalog_category_flat_store_1 WHERE entity_id=871);</v>
      </c>
    </row>
    <row r="962" spans="1:4" x14ac:dyDescent="0.25">
      <c r="A962">
        <f>categories!B962</f>
        <v>872</v>
      </c>
      <c r="B962" t="str">
        <f>SUBSTITUTE(SUBSTITUTE(categories!H962,"\","/"),"www.americanretailsupply.com/","")</f>
        <v>65181/561796/Literature-Racks/48-Pocket--Spinner.html</v>
      </c>
      <c r="C962" t="str">
        <f t="shared" si="28"/>
        <v>INSERT INTO url_rewrite (entity_type, entity_id, redirect_type, store_id, request_path, target_path) VALUES ('custom', 0, 301, 1,'65181/561796/Literature-Racks/48-Pocket--Spinner.html',(SELECT CONCAT(url_path, '.html') FROM catalog_category_flat_store_1 WHERE entity_id=872));</v>
      </c>
      <c r="D962" t="str">
        <f t="shared" si="29"/>
        <v>UPDATE url_rewrite SET request_path = '65181/561796/Literature-Racks/48-Pocket--Spinner.html' WHERE entity_type='custom' AND target_path=(SELECT CONCAT(url_path, '.html') FROM catalog_category_flat_store_1 WHERE entity_id=872);</v>
      </c>
    </row>
    <row r="963" spans="1:4" x14ac:dyDescent="0.25">
      <c r="A963">
        <f>categories!B963</f>
        <v>873</v>
      </c>
      <c r="B963" t="str">
        <f>SUBSTITUTE(SUBSTITUTE(categories!H963,"\","/"),"www.americanretailsupply.com/","")</f>
        <v>65181/734986/Literature-Racks/Black-20-Pocket-Magazine-Merchandiser.html</v>
      </c>
      <c r="C963" t="str">
        <f t="shared" ref="C963:C1026" si="30">"INSERT INTO url_rewrite (entity_type, entity_id, redirect_type, store_id, request_path, target_path) VALUES ('custom', 0, 301, 1,'"&amp;B963&amp;"',(SELECT CONCAT(url_path, '.html') FROM catalog_category_flat_store_1 WHERE entity_id="&amp;A963&amp;"));"</f>
        <v>INSERT INTO url_rewrite (entity_type, entity_id, redirect_type, store_id, request_path, target_path) VALUES ('custom', 0, 301, 1,'65181/734986/Literature-Racks/Black-20-Pocket-Magazine-Merchandiser.html',(SELECT CONCAT(url_path, '.html') FROM catalog_category_flat_store_1 WHERE entity_id=873));</v>
      </c>
      <c r="D963" t="str">
        <f t="shared" ref="D963:D1026" si="31">"UPDATE url_rewrite SET request_path = '"&amp;B963&amp;"' WHERE entity_type='custom' AND target_path=(SELECT CONCAT(url_path, '.html') FROM catalog_category_flat_store_1 WHERE entity_id="&amp;A963&amp;");"</f>
        <v>UPDATE url_rewrite SET request_path = '65181/734986/Literature-Racks/Black-20-Pocket-Magazine-Merchandiser.html' WHERE entity_type='custom' AND target_path=(SELECT CONCAT(url_path, '.html') FROM catalog_category_flat_store_1 WHERE entity_id=873);</v>
      </c>
    </row>
    <row r="964" spans="1:4" x14ac:dyDescent="0.25">
      <c r="A964">
        <f>categories!B964</f>
        <v>875</v>
      </c>
      <c r="B964" t="str">
        <f>SUBSTITUTE(SUBSTITUTE(categories!H964,"\","/"),"www.americanretailsupply.com/","")</f>
        <v>65073/20299/Low-Density-Plastic-Bags/Super-Gloss-Plastic-Merchandise-Bags.html</v>
      </c>
      <c r="C964" t="str">
        <f t="shared" si="30"/>
        <v>INSERT INTO url_rewrite (entity_type, entity_id, redirect_type, store_id, request_path, target_path) VALUES ('custom', 0, 301, 1,'65073/20299/Low-Density-Plastic-Bags/Super-Gloss-Plastic-Merchandise-Bags.html',(SELECT CONCAT(url_path, '.html') FROM catalog_category_flat_store_1 WHERE entity_id=875));</v>
      </c>
      <c r="D964" t="str">
        <f t="shared" si="31"/>
        <v>UPDATE url_rewrite SET request_path = '65073/20299/Low-Density-Plastic-Bags/Super-Gloss-Plastic-Merchandise-Bags.html' WHERE entity_type='custom' AND target_path=(SELECT CONCAT(url_path, '.html') FROM catalog_category_flat_store_1 WHERE entity_id=875);</v>
      </c>
    </row>
    <row r="965" spans="1:4" x14ac:dyDescent="0.25">
      <c r="A965">
        <f>categories!B965</f>
        <v>876</v>
      </c>
      <c r="B965" t="str">
        <f>SUBSTITUTE(SUBSTITUTE(categories!H965,"\","/"),"www.americanretailsupply.com/","")</f>
        <v>65073/744108/Low-Density-Plastic-Bags/Heavy-Duty-Reusable-T-Shirt-Bags.html</v>
      </c>
      <c r="C965" t="str">
        <f t="shared" si="30"/>
        <v>INSERT INTO url_rewrite (entity_type, entity_id, redirect_type, store_id, request_path, target_path) VALUES ('custom', 0, 301, 1,'65073/744108/Low-Density-Plastic-Bags/Heavy-Duty-Reusable-T-Shirt-Bags.html',(SELECT CONCAT(url_path, '.html') FROM catalog_category_flat_store_1 WHERE entity_id=876));</v>
      </c>
      <c r="D965" t="str">
        <f t="shared" si="31"/>
        <v>UPDATE url_rewrite SET request_path = '65073/744108/Low-Density-Plastic-Bags/Heavy-Duty-Reusable-T-Shirt-Bags.html' WHERE entity_type='custom' AND target_path=(SELECT CONCAT(url_path, '.html') FROM catalog_category_flat_store_1 WHERE entity_id=876);</v>
      </c>
    </row>
    <row r="966" spans="1:4" x14ac:dyDescent="0.25">
      <c r="A966">
        <f>categories!B966</f>
        <v>879</v>
      </c>
      <c r="B966" t="str">
        <f>SUBSTITUTE(SUBSTITUTE(categories!H966,"\","/"),"www.americanretailsupply.com/","")</f>
        <v>64816/1909/Melamine--Bullnose-Shelves/Melamine-Shelving.html</v>
      </c>
      <c r="C966" t="str">
        <f t="shared" si="30"/>
        <v>INSERT INTO url_rewrite (entity_type, entity_id, redirect_type, store_id, request_path, target_path) VALUES ('custom', 0, 301, 1,'64816/1909/Melamine--Bullnose-Shelves/Melamine-Shelving.html',(SELECT CONCAT(url_path, '.html') FROM catalog_category_flat_store_1 WHERE entity_id=879));</v>
      </c>
      <c r="D966" t="str">
        <f t="shared" si="31"/>
        <v>UPDATE url_rewrite SET request_path = '64816/1909/Melamine--Bullnose-Shelves/Melamine-Shelving.html' WHERE entity_type='custom' AND target_path=(SELECT CONCAT(url_path, '.html') FROM catalog_category_flat_store_1 WHERE entity_id=879);</v>
      </c>
    </row>
    <row r="967" spans="1:4" x14ac:dyDescent="0.25">
      <c r="A967">
        <f>categories!B967</f>
        <v>880</v>
      </c>
      <c r="B967" t="str">
        <f>SUBSTITUTE(SUBSTITUTE(categories!H967,"\","/"),"www.americanretailsupply.com/","")</f>
        <v>64816/1910/Melamine--Bullnose-Shelves/Bull-Nose-Shelving-in-Solid-Colors.html</v>
      </c>
      <c r="C967" t="str">
        <f t="shared" si="30"/>
        <v>INSERT INTO url_rewrite (entity_type, entity_id, redirect_type, store_id, request_path, target_path) VALUES ('custom', 0, 301, 1,'64816/1910/Melamine--Bullnose-Shelves/Bull-Nose-Shelving-in-Solid-Colors.html',(SELECT CONCAT(url_path, '.html') FROM catalog_category_flat_store_1 WHERE entity_id=880));</v>
      </c>
      <c r="D967" t="str">
        <f t="shared" si="31"/>
        <v>UPDATE url_rewrite SET request_path = '64816/1910/Melamine--Bullnose-Shelves/Bull-Nose-Shelving-in-Solid-Colors.html' WHERE entity_type='custom' AND target_path=(SELECT CONCAT(url_path, '.html') FROM catalog_category_flat_store_1 WHERE entity_id=880);</v>
      </c>
    </row>
    <row r="968" spans="1:4" x14ac:dyDescent="0.25">
      <c r="A968">
        <f>categories!B968</f>
        <v>881</v>
      </c>
      <c r="B968" t="str">
        <f>SUBSTITUTE(SUBSTITUTE(categories!H968,"\","/"),"www.americanretailsupply.com/","")</f>
        <v>64816/231709/Melamine--Bullnose-Shelves/Bull-Nose-Shelving----Wood-Grain.html</v>
      </c>
      <c r="C968" t="str">
        <f t="shared" si="30"/>
        <v>INSERT INTO url_rewrite (entity_type, entity_id, redirect_type, store_id, request_path, target_path) VALUES ('custom', 0, 301, 1,'64816/231709/Melamine--Bullnose-Shelves/Bull-Nose-Shelving----Wood-Grain.html',(SELECT CONCAT(url_path, '.html') FROM catalog_category_flat_store_1 WHERE entity_id=881));</v>
      </c>
      <c r="D968" t="str">
        <f t="shared" si="31"/>
        <v>UPDATE url_rewrite SET request_path = '64816/231709/Melamine--Bullnose-Shelves/Bull-Nose-Shelving----Wood-Grain.html' WHERE entity_type='custom' AND target_path=(SELECT CONCAT(url_path, '.html') FROM catalog_category_flat_store_1 WHERE entity_id=881);</v>
      </c>
    </row>
    <row r="969" spans="1:4" x14ac:dyDescent="0.25">
      <c r="A969">
        <f>categories!B969</f>
        <v>883</v>
      </c>
      <c r="B969" t="str">
        <f>SUBSTITUTE(SUBSTITUTE(categories!H969,"\","/"),"www.americanretailsupply.com/","")</f>
        <v>65208/563391/Melamine-Bases-for-Glass-Displays/Oval-Glass-Cube-Display-Base.html</v>
      </c>
      <c r="C969" t="str">
        <f t="shared" si="30"/>
        <v>INSERT INTO url_rewrite (entity_type, entity_id, redirect_type, store_id, request_path, target_path) VALUES ('custom', 0, 301, 1,'65208/563391/Melamine-Bases-for-Glass-Displays/Oval-Glass-Cube-Display-Base.html',(SELECT CONCAT(url_path, '.html') FROM catalog_category_flat_store_1 WHERE entity_id=883));</v>
      </c>
      <c r="D969" t="str">
        <f t="shared" si="31"/>
        <v>UPDATE url_rewrite SET request_path = '65208/563391/Melamine-Bases-for-Glass-Displays/Oval-Glass-Cube-Display-Base.html' WHERE entity_type='custom' AND target_path=(SELECT CONCAT(url_path, '.html') FROM catalog_category_flat_store_1 WHERE entity_id=883);</v>
      </c>
    </row>
    <row r="970" spans="1:4" x14ac:dyDescent="0.25">
      <c r="A970">
        <f>categories!B970</f>
        <v>885</v>
      </c>
      <c r="B970" t="str">
        <f>SUBSTITUTE(SUBSTITUTE(categories!H970,"\","/"),"www.americanretailsupply.com/","")</f>
        <v>64864/2074/Merchandising-Aids/Merchandise-Strips.html</v>
      </c>
      <c r="C970" t="str">
        <f t="shared" si="30"/>
        <v>INSERT INTO url_rewrite (entity_type, entity_id, redirect_type, store_id, request_path, target_path) VALUES ('custom', 0, 301, 1,'64864/2074/Merchandising-Aids/Merchandise-Strips.html',(SELECT CONCAT(url_path, '.html') FROM catalog_category_flat_store_1 WHERE entity_id=885));</v>
      </c>
      <c r="D970" t="str">
        <f t="shared" si="31"/>
        <v>UPDATE url_rewrite SET request_path = '64864/2074/Merchandising-Aids/Merchandise-Strips.html' WHERE entity_type='custom' AND target_path=(SELECT CONCAT(url_path, '.html') FROM catalog_category_flat_store_1 WHERE entity_id=885);</v>
      </c>
    </row>
    <row r="971" spans="1:4" x14ac:dyDescent="0.25">
      <c r="A971">
        <f>categories!B971</f>
        <v>886</v>
      </c>
      <c r="B971" t="str">
        <f>SUBSTITUTE(SUBSTITUTE(categories!H971,"\","/"),"www.americanretailsupply.com/","")</f>
        <v>64864/12523/Merchandising-Aids/Front-Runners.html</v>
      </c>
      <c r="C971" t="str">
        <f t="shared" si="30"/>
        <v>INSERT INTO url_rewrite (entity_type, entity_id, redirect_type, store_id, request_path, target_path) VALUES ('custom', 0, 301, 1,'64864/12523/Merchandising-Aids/Front-Runners.html',(SELECT CONCAT(url_path, '.html') FROM catalog_category_flat_store_1 WHERE entity_id=886));</v>
      </c>
      <c r="D971" t="str">
        <f t="shared" si="31"/>
        <v>UPDATE url_rewrite SET request_path = '64864/12523/Merchandising-Aids/Front-Runners.html' WHERE entity_type='custom' AND target_path=(SELECT CONCAT(url_path, '.html') FROM catalog_category_flat_store_1 WHERE entity_id=886);</v>
      </c>
    </row>
    <row r="972" spans="1:4" x14ac:dyDescent="0.25">
      <c r="A972">
        <f>categories!B972</f>
        <v>887</v>
      </c>
      <c r="B972" t="str">
        <f>SUBSTITUTE(SUBSTITUTE(categories!H972,"\","/"),"www.americanretailsupply.com/","")</f>
        <v>64864/12524/Merchandising-Aids/Adhesive-Hang-Tags.html</v>
      </c>
      <c r="C972" t="str">
        <f t="shared" si="30"/>
        <v>INSERT INTO url_rewrite (entity_type, entity_id, redirect_type, store_id, request_path, target_path) VALUES ('custom', 0, 301, 1,'64864/12524/Merchandising-Aids/Adhesive-Hang-Tags.html',(SELECT CONCAT(url_path, '.html') FROM catalog_category_flat_store_1 WHERE entity_id=887));</v>
      </c>
      <c r="D972" t="str">
        <f t="shared" si="31"/>
        <v>UPDATE url_rewrite SET request_path = '64864/12524/Merchandising-Aids/Adhesive-Hang-Tags.html' WHERE entity_type='custom' AND target_path=(SELECT CONCAT(url_path, '.html') FROM catalog_category_flat_store_1 WHERE entity_id=887);</v>
      </c>
    </row>
    <row r="973" spans="1:4" x14ac:dyDescent="0.25">
      <c r="A973">
        <f>categories!B973</f>
        <v>888</v>
      </c>
      <c r="B973" t="str">
        <f>SUBSTITUTE(SUBSTITUTE(categories!H973,"\","/"),"www.americanretailsupply.com/","")</f>
        <v>64864/12526/Merchandising-Aids/Adhesive-Label-Release.html</v>
      </c>
      <c r="C973" t="str">
        <f t="shared" si="30"/>
        <v>INSERT INTO url_rewrite (entity_type, entity_id, redirect_type, store_id, request_path, target_path) VALUES ('custom', 0, 301, 1,'64864/12526/Merchandising-Aids/Adhesive-Label-Release.html',(SELECT CONCAT(url_path, '.html') FROM catalog_category_flat_store_1 WHERE entity_id=888));</v>
      </c>
      <c r="D973" t="str">
        <f t="shared" si="31"/>
        <v>UPDATE url_rewrite SET request_path = '64864/12526/Merchandising-Aids/Adhesive-Label-Release.html' WHERE entity_type='custom' AND target_path=(SELECT CONCAT(url_path, '.html') FROM catalog_category_flat_store_1 WHERE entity_id=888);</v>
      </c>
    </row>
    <row r="974" spans="1:4" x14ac:dyDescent="0.25">
      <c r="A974">
        <f>categories!B974</f>
        <v>889</v>
      </c>
      <c r="B974" t="str">
        <f>SUBSTITUTE(SUBSTITUTE(categories!H974,"\","/"),"www.americanretailsupply.com/","")</f>
        <v>64864/12527/Merchandising-Aids/Price-Channel-Molding.html</v>
      </c>
      <c r="C974" t="str">
        <f t="shared" si="30"/>
        <v>INSERT INTO url_rewrite (entity_type, entity_id, redirect_type, store_id, request_path, target_path) VALUES ('custom', 0, 301, 1,'64864/12527/Merchandising-Aids/Price-Channel-Molding.html',(SELECT CONCAT(url_path, '.html') FROM catalog_category_flat_store_1 WHERE entity_id=889));</v>
      </c>
      <c r="D974" t="str">
        <f t="shared" si="31"/>
        <v>UPDATE url_rewrite SET request_path = '64864/12527/Merchandising-Aids/Price-Channel-Molding.html' WHERE entity_type='custom' AND target_path=(SELECT CONCAT(url_path, '.html') FROM catalog_category_flat_store_1 WHERE entity_id=889);</v>
      </c>
    </row>
    <row r="975" spans="1:4" x14ac:dyDescent="0.25">
      <c r="A975">
        <f>categories!B975</f>
        <v>890</v>
      </c>
      <c r="B975" t="str">
        <f>SUBSTITUTE(SUBSTITUTE(categories!H975,"\","/"),"www.americanretailsupply.com/","")</f>
        <v>64864/48280/Merchandising-Aids/Junior-Flip-Up-Ostrich-Feather-Duster-Retractable.html</v>
      </c>
      <c r="C975" t="str">
        <f t="shared" si="30"/>
        <v>INSERT INTO url_rewrite (entity_type, entity_id, redirect_type, store_id, request_path, target_path) VALUES ('custom', 0, 301, 1,'64864/48280/Merchandising-Aids/Junior-Flip-Up-Ostrich-Feather-Duster-Retractable.html',(SELECT CONCAT(url_path, '.html') FROM catalog_category_flat_store_1 WHERE entity_id=890));</v>
      </c>
      <c r="D975" t="str">
        <f t="shared" si="31"/>
        <v>UPDATE url_rewrite SET request_path = '64864/48280/Merchandising-Aids/Junior-Flip-Up-Ostrich-Feather-Duster-Retractable.html' WHERE entity_type='custom' AND target_path=(SELECT CONCAT(url_path, '.html') FROM catalog_category_flat_store_1 WHERE entity_id=890);</v>
      </c>
    </row>
    <row r="976" spans="1:4" x14ac:dyDescent="0.25">
      <c r="A976">
        <f>categories!B976</f>
        <v>891</v>
      </c>
      <c r="B976" t="str">
        <f>SUBSTITUTE(SUBSTITUTE(categories!H976,"\","/"),"www.americanretailsupply.com/","")</f>
        <v>64864/173487/Merchandising-Aids/Label--Sign-Holders.html</v>
      </c>
      <c r="C976" t="str">
        <f t="shared" si="30"/>
        <v>INSERT INTO url_rewrite (entity_type, entity_id, redirect_type, store_id, request_path, target_path) VALUES ('custom', 0, 301, 1,'64864/173487/Merchandising-Aids/Label--Sign-Holders.html',(SELECT CONCAT(url_path, '.html') FROM catalog_category_flat_store_1 WHERE entity_id=891));</v>
      </c>
      <c r="D976" t="str">
        <f t="shared" si="31"/>
        <v>UPDATE url_rewrite SET request_path = '64864/173487/Merchandising-Aids/Label--Sign-Holders.html' WHERE entity_type='custom' AND target_path=(SELECT CONCAT(url_path, '.html') FROM catalog_category_flat_store_1 WHERE entity_id=891);</v>
      </c>
    </row>
    <row r="977" spans="1:4" x14ac:dyDescent="0.25">
      <c r="A977">
        <f>categories!B977</f>
        <v>892</v>
      </c>
      <c r="B977" t="str">
        <f>SUBSTITUTE(SUBSTITUTE(categories!H977,"\","/"),"www.americanretailsupply.com/","")</f>
        <v>64864/173488/Merchandising-Aids/Chain-Kits.html</v>
      </c>
      <c r="C977" t="str">
        <f t="shared" si="30"/>
        <v>INSERT INTO url_rewrite (entity_type, entity_id, redirect_type, store_id, request_path, target_path) VALUES ('custom', 0, 301, 1,'64864/173488/Merchandising-Aids/Chain-Kits.html',(SELECT CONCAT(url_path, '.html') FROM catalog_category_flat_store_1 WHERE entity_id=892));</v>
      </c>
      <c r="D977" t="str">
        <f t="shared" si="31"/>
        <v>UPDATE url_rewrite SET request_path = '64864/173488/Merchandising-Aids/Chain-Kits.html' WHERE entity_type='custom' AND target_path=(SELECT CONCAT(url_path, '.html') FROM catalog_category_flat_store_1 WHERE entity_id=892);</v>
      </c>
    </row>
    <row r="978" spans="1:4" x14ac:dyDescent="0.25">
      <c r="A978">
        <f>categories!B978</f>
        <v>893</v>
      </c>
      <c r="B978" t="str">
        <f>SUBSTITUTE(SUBSTITUTE(categories!H978,"\","/"),"www.americanretailsupply.com/","")</f>
        <v>17769/173489/Merchandising-Aids/Hooks-and-Clips.html</v>
      </c>
      <c r="C978" t="str">
        <f t="shared" si="30"/>
        <v>INSERT INTO url_rewrite (entity_type, entity_id, redirect_type, store_id, request_path, target_path) VALUES ('custom', 0, 301, 1,'17769/173489/Merchandising-Aids/Hooks-and-Clips.html',(SELECT CONCAT(url_path, '.html') FROM catalog_category_flat_store_1 WHERE entity_id=893));</v>
      </c>
      <c r="D978" t="str">
        <f t="shared" si="31"/>
        <v>UPDATE url_rewrite SET request_path = '17769/173489/Merchandising-Aids/Hooks-and-Clips.html' WHERE entity_type='custom' AND target_path=(SELECT CONCAT(url_path, '.html') FROM catalog_category_flat_store_1 WHERE entity_id=893);</v>
      </c>
    </row>
    <row r="979" spans="1:4" x14ac:dyDescent="0.25">
      <c r="A979">
        <f>categories!B979</f>
        <v>894</v>
      </c>
      <c r="B979" t="str">
        <f>SUBSTITUTE(SUBSTITUTE(categories!H979,"\","/"),"www.americanretailsupply.com/","")</f>
        <v>64864/228911/Merchandising-Aids/SKU-Divider-Strips.html</v>
      </c>
      <c r="C979" t="str">
        <f t="shared" si="30"/>
        <v>INSERT INTO url_rewrite (entity_type, entity_id, redirect_type, store_id, request_path, target_path) VALUES ('custom', 0, 301, 1,'64864/228911/Merchandising-Aids/SKU-Divider-Strips.html',(SELECT CONCAT(url_path, '.html') FROM catalog_category_flat_store_1 WHERE entity_id=894));</v>
      </c>
      <c r="D979" t="str">
        <f t="shared" si="31"/>
        <v>UPDATE url_rewrite SET request_path = '64864/228911/Merchandising-Aids/SKU-Divider-Strips.html' WHERE entity_type='custom' AND target_path=(SELECT CONCAT(url_path, '.html') FROM catalog_category_flat_store_1 WHERE entity_id=894);</v>
      </c>
    </row>
    <row r="980" spans="1:4" x14ac:dyDescent="0.25">
      <c r="A980">
        <f>categories!B980</f>
        <v>896</v>
      </c>
      <c r="B980" t="str">
        <f>SUBSTITUTE(SUBSTITUTE(categories!H980,"\","/"),"www.americanretailsupply.com/","")</f>
        <v>64864/777693/Merchandising-Aids/Clear-Bumper-Buttons.html</v>
      </c>
      <c r="C980" t="str">
        <f t="shared" si="30"/>
        <v>INSERT INTO url_rewrite (entity_type, entity_id, redirect_type, store_id, request_path, target_path) VALUES ('custom', 0, 301, 1,'64864/777693/Merchandising-Aids/Clear-Bumper-Buttons.html',(SELECT CONCAT(url_path, '.html') FROM catalog_category_flat_store_1 WHERE entity_id=896));</v>
      </c>
      <c r="D980" t="str">
        <f t="shared" si="31"/>
        <v>UPDATE url_rewrite SET request_path = '64864/777693/Merchandising-Aids/Clear-Bumper-Buttons.html' WHERE entity_type='custom' AND target_path=(SELECT CONCAT(url_path, '.html') FROM catalog_category_flat_store_1 WHERE entity_id=896);</v>
      </c>
    </row>
    <row r="981" spans="1:4" x14ac:dyDescent="0.25">
      <c r="A981">
        <f>categories!B981</f>
        <v>898</v>
      </c>
      <c r="B981" t="str">
        <f>SUBSTITUTE(SUBSTITUTE(categories!H981,"\","/"),"www.americanretailsupply.com/","")</f>
        <v>64959/37837/Merchandising-Bars/12-x-1-12-Rectangle-Merchandise-Bars.html</v>
      </c>
      <c r="C981" t="str">
        <f t="shared" si="30"/>
        <v>INSERT INTO url_rewrite (entity_type, entity_id, redirect_type, store_id, request_path, target_path) VALUES ('custom', 0, 301, 1,'64959/37837/Merchandising-Bars/12-x-1-12-Rectangle-Merchandise-Bars.html',(SELECT CONCAT(url_path, '.html') FROM catalog_category_flat_store_1 WHERE entity_id=898));</v>
      </c>
      <c r="D981" t="str">
        <f t="shared" si="31"/>
        <v>UPDATE url_rewrite SET request_path = '64959/37837/Merchandising-Bars/12-x-1-12-Rectangle-Merchandise-Bars.html' WHERE entity_type='custom' AND target_path=(SELECT CONCAT(url_path, '.html') FROM catalog_category_flat_store_1 WHERE entity_id=898);</v>
      </c>
    </row>
    <row r="982" spans="1:4" x14ac:dyDescent="0.25">
      <c r="A982">
        <f>categories!B982</f>
        <v>899</v>
      </c>
      <c r="B982" t="str">
        <f>SUBSTITUTE(SUBSTITUTE(categories!H982,"\","/"),"www.americanretailsupply.com/","")</f>
        <v>64959/37839/Merchandising-Bars/Merchandise-Bar-Accessories.html</v>
      </c>
      <c r="C982" t="str">
        <f t="shared" si="30"/>
        <v>INSERT INTO url_rewrite (entity_type, entity_id, redirect_type, store_id, request_path, target_path) VALUES ('custom', 0, 301, 1,'64959/37839/Merchandising-Bars/Merchandise-Bar-Accessories.html',(SELECT CONCAT(url_path, '.html') FROM catalog_category_flat_store_1 WHERE entity_id=899));</v>
      </c>
      <c r="D982" t="str">
        <f t="shared" si="31"/>
        <v>UPDATE url_rewrite SET request_path = '64959/37839/Merchandising-Bars/Merchandise-Bar-Accessories.html' WHERE entity_type='custom' AND target_path=(SELECT CONCAT(url_path, '.html') FROM catalog_category_flat_store_1 WHERE entity_id=899);</v>
      </c>
    </row>
    <row r="983" spans="1:4" x14ac:dyDescent="0.25">
      <c r="A983">
        <f>categories!B983</f>
        <v>901</v>
      </c>
      <c r="B983" t="str">
        <f>SUBSTITUTE(SUBSTITUTE(categories!H983,"\","/"),"www.americanretailsupply.com/","")</f>
        <v>64739/19682/Metallic-Bows--Ribbon/Glitter-Star-Bows.html</v>
      </c>
      <c r="C983" t="str">
        <f t="shared" si="30"/>
        <v>INSERT INTO url_rewrite (entity_type, entity_id, redirect_type, store_id, request_path, target_path) VALUES ('custom', 0, 301, 1,'64739/19682/Metallic-Bows--Ribbon/Glitter-Star-Bows.html',(SELECT CONCAT(url_path, '.html') FROM catalog_category_flat_store_1 WHERE entity_id=901));</v>
      </c>
      <c r="D983" t="str">
        <f t="shared" si="31"/>
        <v>UPDATE url_rewrite SET request_path = '64739/19682/Metallic-Bows--Ribbon/Glitter-Star-Bows.html' WHERE entity_type='custom' AND target_path=(SELECT CONCAT(url_path, '.html') FROM catalog_category_flat_store_1 WHERE entity_id=901);</v>
      </c>
    </row>
    <row r="984" spans="1:4" x14ac:dyDescent="0.25">
      <c r="A984">
        <f>categories!B984</f>
        <v>902</v>
      </c>
      <c r="B984" t="str">
        <f>SUBSTITUTE(SUBSTITUTE(categories!H984,"\","/"),"www.americanretailsupply.com/","")</f>
        <v>64739/19864/Metallic-Bows--Ribbon/Glitter-Ribbon.html</v>
      </c>
      <c r="C984" t="str">
        <f t="shared" si="30"/>
        <v>INSERT INTO url_rewrite (entity_type, entity_id, redirect_type, store_id, request_path, target_path) VALUES ('custom', 0, 301, 1,'64739/19864/Metallic-Bows--Ribbon/Glitter-Ribbon.html',(SELECT CONCAT(url_path, '.html') FROM catalog_category_flat_store_1 WHERE entity_id=902));</v>
      </c>
      <c r="D984" t="str">
        <f t="shared" si="31"/>
        <v>UPDATE url_rewrite SET request_path = '64739/19864/Metallic-Bows--Ribbon/Glitter-Ribbon.html' WHERE entity_type='custom' AND target_path=(SELECT CONCAT(url_path, '.html') FROM catalog_category_flat_store_1 WHERE entity_id=902);</v>
      </c>
    </row>
    <row r="985" spans="1:4" x14ac:dyDescent="0.25">
      <c r="A985">
        <f>categories!B985</f>
        <v>903</v>
      </c>
      <c r="B985" t="str">
        <f>SUBSTITUTE(SUBSTITUTE(categories!H985,"\","/"),"www.americanretailsupply.com/","")</f>
        <v>64739/19923/Metallic-Bows--Ribbon/Glitter-Perfect-Bows.html</v>
      </c>
      <c r="C985" t="str">
        <f t="shared" si="30"/>
        <v>INSERT INTO url_rewrite (entity_type, entity_id, redirect_type, store_id, request_path, target_path) VALUES ('custom', 0, 301, 1,'64739/19923/Metallic-Bows--Ribbon/Glitter-Perfect-Bows.html',(SELECT CONCAT(url_path, '.html') FROM catalog_category_flat_store_1 WHERE entity_id=903));</v>
      </c>
      <c r="D985" t="str">
        <f t="shared" si="31"/>
        <v>UPDATE url_rewrite SET request_path = '64739/19923/Metallic-Bows--Ribbon/Glitter-Perfect-Bows.html' WHERE entity_type='custom' AND target_path=(SELECT CONCAT(url_path, '.html') FROM catalog_category_flat_store_1 WHERE entity_id=903);</v>
      </c>
    </row>
    <row r="986" spans="1:4" x14ac:dyDescent="0.25">
      <c r="A986">
        <f>categories!B986</f>
        <v>904</v>
      </c>
      <c r="B986" t="str">
        <f>SUBSTITUTE(SUBSTITUTE(categories!H986,"\","/"),"www.americanretailsupply.com/","")</f>
        <v>64739/172822/Metallic-Bows--Ribbon/Herringbone-Tinsel-Ribbon.html</v>
      </c>
      <c r="C986" t="str">
        <f t="shared" si="30"/>
        <v>INSERT INTO url_rewrite (entity_type, entity_id, redirect_type, store_id, request_path, target_path) VALUES ('custom', 0, 301, 1,'64739/172822/Metallic-Bows--Ribbon/Herringbone-Tinsel-Ribbon.html',(SELECT CONCAT(url_path, '.html') FROM catalog_category_flat_store_1 WHERE entity_id=904));</v>
      </c>
      <c r="D986" t="str">
        <f t="shared" si="31"/>
        <v>UPDATE url_rewrite SET request_path = '64739/172822/Metallic-Bows--Ribbon/Herringbone-Tinsel-Ribbon.html' WHERE entity_type='custom' AND target_path=(SELECT CONCAT(url_path, '.html') FROM catalog_category_flat_store_1 WHERE entity_id=904);</v>
      </c>
    </row>
    <row r="987" spans="1:4" x14ac:dyDescent="0.25">
      <c r="A987">
        <f>categories!B987</f>
        <v>907</v>
      </c>
      <c r="B987" t="str">
        <f>SUBSTITUTE(SUBSTITUTE(categories!H987,"\","/"),"www.americanretailsupply.com/","")</f>
        <v>64930/1437/Meto-1--2-Line-Price-Guns/Meto-1600-1-Line-Price-Gun.html</v>
      </c>
      <c r="C987" t="str">
        <f t="shared" si="30"/>
        <v>INSERT INTO url_rewrite (entity_type, entity_id, redirect_type, store_id, request_path, target_path) VALUES ('custom', 0, 301, 1,'64930/1437/Meto-1--2-Line-Price-Guns/Meto-1600-1-Line-Price-Gun.html',(SELECT CONCAT(url_path, '.html') FROM catalog_category_flat_store_1 WHERE entity_id=907));</v>
      </c>
      <c r="D987" t="str">
        <f t="shared" si="31"/>
        <v>UPDATE url_rewrite SET request_path = '64930/1437/Meto-1--2-Line-Price-Guns/Meto-1600-1-Line-Price-Gun.html' WHERE entity_type='custom' AND target_path=(SELECT CONCAT(url_path, '.html') FROM catalog_category_flat_store_1 WHERE entity_id=907);</v>
      </c>
    </row>
    <row r="988" spans="1:4" x14ac:dyDescent="0.25">
      <c r="A988">
        <f>categories!B988</f>
        <v>908</v>
      </c>
      <c r="B988" t="str">
        <f>SUBSTITUTE(SUBSTITUTE(categories!H988,"\","/"),"www.americanretailsupply.com/","")</f>
        <v>64930/1558/Meto-1--2-Line-Price-Guns/Meto-1600-Series-Labels.html</v>
      </c>
      <c r="C988" t="str">
        <f t="shared" si="30"/>
        <v>INSERT INTO url_rewrite (entity_type, entity_id, redirect_type, store_id, request_path, target_path) VALUES ('custom', 0, 301, 1,'64930/1558/Meto-1--2-Line-Price-Guns/Meto-1600-Series-Labels.html',(SELECT CONCAT(url_path, '.html') FROM catalog_category_flat_store_1 WHERE entity_id=908));</v>
      </c>
      <c r="D988" t="str">
        <f t="shared" si="31"/>
        <v>UPDATE url_rewrite SET request_path = '64930/1558/Meto-1--2-Line-Price-Guns/Meto-1600-Series-Labels.html' WHERE entity_type='custom' AND target_path=(SELECT CONCAT(url_path, '.html') FROM catalog_category_flat_store_1 WHERE entity_id=908);</v>
      </c>
    </row>
    <row r="989" spans="1:4" x14ac:dyDescent="0.25">
      <c r="A989">
        <f>categories!B989</f>
        <v>909</v>
      </c>
      <c r="B989" t="str">
        <f>SUBSTITUTE(SUBSTITUTE(categories!H989,"\","/"),"www.americanretailsupply.com/","")</f>
        <v>64930/1559/Meto-1--2-Line-Price-Guns/Meto-Ink-Rollers.html</v>
      </c>
      <c r="C989" t="str">
        <f t="shared" si="30"/>
        <v>INSERT INTO url_rewrite (entity_type, entity_id, redirect_type, store_id, request_path, target_path) VALUES ('custom', 0, 301, 1,'64930/1559/Meto-1--2-Line-Price-Guns/Meto-Ink-Rollers.html',(SELECT CONCAT(url_path, '.html') FROM catalog_category_flat_store_1 WHERE entity_id=909));</v>
      </c>
      <c r="D989" t="str">
        <f t="shared" si="31"/>
        <v>UPDATE url_rewrite SET request_path = '64930/1559/Meto-1--2-Line-Price-Guns/Meto-Ink-Rollers.html' WHERE entity_type='custom' AND target_path=(SELECT CONCAT(url_path, '.html') FROM catalog_category_flat_store_1 WHERE entity_id=909);</v>
      </c>
    </row>
    <row r="990" spans="1:4" x14ac:dyDescent="0.25">
      <c r="A990">
        <f>categories!B990</f>
        <v>910</v>
      </c>
      <c r="B990" t="str">
        <f>SUBSTITUTE(SUBSTITUTE(categories!H990,"\","/"),"www.americanretailsupply.com/","")</f>
        <v>64930/1560/Meto-1--2-Line-Price-Guns/Meto-Labeler-Holster.html</v>
      </c>
      <c r="C990" t="str">
        <f t="shared" si="30"/>
        <v>INSERT INTO url_rewrite (entity_type, entity_id, redirect_type, store_id, request_path, target_path) VALUES ('custom', 0, 301, 1,'64930/1560/Meto-1--2-Line-Price-Guns/Meto-Labeler-Holster.html',(SELECT CONCAT(url_path, '.html') FROM catalog_category_flat_store_1 WHERE entity_id=910));</v>
      </c>
      <c r="D990" t="str">
        <f t="shared" si="31"/>
        <v>UPDATE url_rewrite SET request_path = '64930/1560/Meto-1--2-Line-Price-Guns/Meto-Labeler-Holster.html' WHERE entity_type='custom' AND target_path=(SELECT CONCAT(url_path, '.html') FROM catalog_category_flat_store_1 WHERE entity_id=910);</v>
      </c>
    </row>
    <row r="991" spans="1:4" x14ac:dyDescent="0.25">
      <c r="A991">
        <f>categories!B991</f>
        <v>911</v>
      </c>
      <c r="B991" t="str">
        <f>SUBSTITUTE(SUBSTITUTE(categories!H991,"\","/"),"www.americanretailsupply.com/","")</f>
        <v>64930/1570/Meto-1--2-Line-Price-Guns/Meto-2200-Series-Labels.html</v>
      </c>
      <c r="C991" t="str">
        <f t="shared" si="30"/>
        <v>INSERT INTO url_rewrite (entity_type, entity_id, redirect_type, store_id, request_path, target_path) VALUES ('custom', 0, 301, 1,'64930/1570/Meto-1--2-Line-Price-Guns/Meto-2200-Series-Labels.html',(SELECT CONCAT(url_path, '.html') FROM catalog_category_flat_store_1 WHERE entity_id=911));</v>
      </c>
      <c r="D991" t="str">
        <f t="shared" si="31"/>
        <v>UPDATE url_rewrite SET request_path = '64930/1570/Meto-1--2-Line-Price-Guns/Meto-2200-Series-Labels.html' WHERE entity_type='custom' AND target_path=(SELECT CONCAT(url_path, '.html') FROM catalog_category_flat_store_1 WHERE entity_id=911);</v>
      </c>
    </row>
    <row r="992" spans="1:4" x14ac:dyDescent="0.25">
      <c r="A992">
        <f>categories!B992</f>
        <v>912</v>
      </c>
      <c r="B992" t="str">
        <f>SUBSTITUTE(SUBSTITUTE(categories!H992,"\","/"),"www.americanretailsupply.com/","")</f>
        <v>64930/1574/Meto-1--2-Line-Price-Guns/Meto-2600-Series-Labels.html</v>
      </c>
      <c r="C992" t="str">
        <f t="shared" si="30"/>
        <v>INSERT INTO url_rewrite (entity_type, entity_id, redirect_type, store_id, request_path, target_path) VALUES ('custom', 0, 301, 1,'64930/1574/Meto-1--2-Line-Price-Guns/Meto-2600-Series-Labels.html',(SELECT CONCAT(url_path, '.html') FROM catalog_category_flat_store_1 WHERE entity_id=912));</v>
      </c>
      <c r="D992" t="str">
        <f t="shared" si="31"/>
        <v>UPDATE url_rewrite SET request_path = '64930/1574/Meto-1--2-Line-Price-Guns/Meto-2600-Series-Labels.html' WHERE entity_type='custom' AND target_path=(SELECT CONCAT(url_path, '.html') FROM catalog_category_flat_store_1 WHERE entity_id=912);</v>
      </c>
    </row>
    <row r="993" spans="1:4" x14ac:dyDescent="0.25">
      <c r="A993">
        <f>categories!B993</f>
        <v>913</v>
      </c>
      <c r="B993" t="str">
        <f>SUBSTITUTE(SUBSTITUTE(categories!H993,"\","/"),"www.americanretailsupply.com/","")</f>
        <v>64930/1585/Meto-1--2-Line-Price-Guns/Meto-22002-Series-Labels.html</v>
      </c>
      <c r="C993" t="str">
        <f t="shared" si="30"/>
        <v>INSERT INTO url_rewrite (entity_type, entity_id, redirect_type, store_id, request_path, target_path) VALUES ('custom', 0, 301, 1,'64930/1585/Meto-1--2-Line-Price-Guns/Meto-22002-Series-Labels.html',(SELECT CONCAT(url_path, '.html') FROM catalog_category_flat_store_1 WHERE entity_id=913));</v>
      </c>
      <c r="D993" t="str">
        <f t="shared" si="31"/>
        <v>UPDATE url_rewrite SET request_path = '64930/1585/Meto-1--2-Line-Price-Guns/Meto-22002-Series-Labels.html' WHERE entity_type='custom' AND target_path=(SELECT CONCAT(url_path, '.html') FROM catalog_category_flat_store_1 WHERE entity_id=913);</v>
      </c>
    </row>
    <row r="994" spans="1:4" x14ac:dyDescent="0.25">
      <c r="A994">
        <f>categories!B994</f>
        <v>914</v>
      </c>
      <c r="B994" t="str">
        <f>SUBSTITUTE(SUBSTITUTE(categories!H994,"\","/"),"www.americanretailsupply.com/","")</f>
        <v>64930/48171/Meto-1--2-Line-Price-Guns/Meto-2200-1-Line-Price-Gun.html</v>
      </c>
      <c r="C994" t="str">
        <f t="shared" si="30"/>
        <v>INSERT INTO url_rewrite (entity_type, entity_id, redirect_type, store_id, request_path, target_path) VALUES ('custom', 0, 301, 1,'64930/48171/Meto-1--2-Line-Price-Guns/Meto-2200-1-Line-Price-Gun.html',(SELECT CONCAT(url_path, '.html') FROM catalog_category_flat_store_1 WHERE entity_id=914));</v>
      </c>
      <c r="D994" t="str">
        <f t="shared" si="31"/>
        <v>UPDATE url_rewrite SET request_path = '64930/48171/Meto-1--2-Line-Price-Guns/Meto-2200-1-Line-Price-Gun.html' WHERE entity_type='custom' AND target_path=(SELECT CONCAT(url_path, '.html') FROM catalog_category_flat_store_1 WHERE entity_id=914);</v>
      </c>
    </row>
    <row r="995" spans="1:4" x14ac:dyDescent="0.25">
      <c r="A995">
        <f>categories!B995</f>
        <v>915</v>
      </c>
      <c r="B995" t="str">
        <f>SUBSTITUTE(SUBSTITUTE(categories!H995,"\","/"),"www.americanretailsupply.com/","")</f>
        <v>64930/48172/Meto-1--2-Line-Price-Guns/Meto-2600-1-Line-Price-Gun.html</v>
      </c>
      <c r="C995" t="str">
        <f t="shared" si="30"/>
        <v>INSERT INTO url_rewrite (entity_type, entity_id, redirect_type, store_id, request_path, target_path) VALUES ('custom', 0, 301, 1,'64930/48172/Meto-1--2-Line-Price-Guns/Meto-2600-1-Line-Price-Gun.html',(SELECT CONCAT(url_path, '.html') FROM catalog_category_flat_store_1 WHERE entity_id=915));</v>
      </c>
      <c r="D995" t="str">
        <f t="shared" si="31"/>
        <v>UPDATE url_rewrite SET request_path = '64930/48172/Meto-1--2-Line-Price-Guns/Meto-2600-1-Line-Price-Gun.html' WHERE entity_type='custom' AND target_path=(SELECT CONCAT(url_path, '.html') FROM catalog_category_flat_store_1 WHERE entity_id=915);</v>
      </c>
    </row>
    <row r="996" spans="1:4" x14ac:dyDescent="0.25">
      <c r="A996">
        <f>categories!B996</f>
        <v>916</v>
      </c>
      <c r="B996" t="str">
        <f>SUBSTITUTE(SUBSTITUTE(categories!H996,"\","/"),"www.americanretailsupply.com/","")</f>
        <v>64930/48173/Meto-1--2-Line-Price-Guns/Meto-22002-2-Line-Price-Gun.html</v>
      </c>
      <c r="C996" t="str">
        <f t="shared" si="30"/>
        <v>INSERT INTO url_rewrite (entity_type, entity_id, redirect_type, store_id, request_path, target_path) VALUES ('custom', 0, 301, 1,'64930/48173/Meto-1--2-Line-Price-Guns/Meto-22002-2-Line-Price-Gun.html',(SELECT CONCAT(url_path, '.html') FROM catalog_category_flat_store_1 WHERE entity_id=916));</v>
      </c>
      <c r="D996" t="str">
        <f t="shared" si="31"/>
        <v>UPDATE url_rewrite SET request_path = '64930/48173/Meto-1--2-Line-Price-Guns/Meto-22002-2-Line-Price-Gun.html' WHERE entity_type='custom' AND target_path=(SELECT CONCAT(url_path, '.html') FROM catalog_category_flat_store_1 WHERE entity_id=916);</v>
      </c>
    </row>
    <row r="997" spans="1:4" x14ac:dyDescent="0.25">
      <c r="A997">
        <f>categories!B997</f>
        <v>918</v>
      </c>
      <c r="B997" t="str">
        <f>SUBSTITUTE(SUBSTITUTE(categories!H997,"\","/"),"www.americanretailsupply.com/","")</f>
        <v>64826/3993/Mini-Grid/Mini-Grid.html</v>
      </c>
      <c r="C997" t="str">
        <f t="shared" si="30"/>
        <v>INSERT INTO url_rewrite (entity_type, entity_id, redirect_type, store_id, request_path, target_path) VALUES ('custom', 0, 301, 1,'64826/3993/Mini-Grid/Mini-Grid.html',(SELECT CONCAT(url_path, '.html') FROM catalog_category_flat_store_1 WHERE entity_id=918));</v>
      </c>
      <c r="D997" t="str">
        <f t="shared" si="31"/>
        <v>UPDATE url_rewrite SET request_path = '64826/3993/Mini-Grid/Mini-Grid.html' WHERE entity_type='custom' AND target_path=(SELECT CONCAT(url_path, '.html') FROM catalog_category_flat_store_1 WHERE entity_id=918);</v>
      </c>
    </row>
    <row r="998" spans="1:4" x14ac:dyDescent="0.25">
      <c r="A998">
        <f>categories!B998</f>
        <v>919</v>
      </c>
      <c r="B998" t="str">
        <f>SUBSTITUTE(SUBSTITUTE(categories!H998,"\","/"),"www.americanretailsupply.com/","")</f>
        <v>64826/41124/Mini-Grid/Acrylic-Shelves-with-Flat-Squares-no-Attachment.html</v>
      </c>
      <c r="C998" t="str">
        <f t="shared" si="30"/>
        <v>INSERT INTO url_rewrite (entity_type, entity_id, redirect_type, store_id, request_path, target_path) VALUES ('custom', 0, 301, 1,'64826/41124/Mini-Grid/Acrylic-Shelves-with-Flat-Squares-no-Attachment.html',(SELECT CONCAT(url_path, '.html') FROM catalog_category_flat_store_1 WHERE entity_id=919));</v>
      </c>
      <c r="D998" t="str">
        <f t="shared" si="31"/>
        <v>UPDATE url_rewrite SET request_path = '64826/41124/Mini-Grid/Acrylic-Shelves-with-Flat-Squares-no-Attachment.html' WHERE entity_type='custom' AND target_path=(SELECT CONCAT(url_path, '.html') FROM catalog_category_flat_store_1 WHERE entity_id=919);</v>
      </c>
    </row>
    <row r="999" spans="1:4" x14ac:dyDescent="0.25">
      <c r="A999">
        <f>categories!B999</f>
        <v>920</v>
      </c>
      <c r="B999" t="str">
        <f>SUBSTITUTE(SUBSTITUTE(categories!H999,"\","/"),"www.americanretailsupply.com/","")</f>
        <v>64826/47244/Mini-Grid/Mini-Grid-8-way-Connectors.html</v>
      </c>
      <c r="C999" t="str">
        <f t="shared" si="30"/>
        <v>INSERT INTO url_rewrite (entity_type, entity_id, redirect_type, store_id, request_path, target_path) VALUES ('custom', 0, 301, 1,'64826/47244/Mini-Grid/Mini-Grid-8-way-Connectors.html',(SELECT CONCAT(url_path, '.html') FROM catalog_category_flat_store_1 WHERE entity_id=920));</v>
      </c>
      <c r="D999" t="str">
        <f t="shared" si="31"/>
        <v>UPDATE url_rewrite SET request_path = '64826/47244/Mini-Grid/Mini-Grid-8-way-Connectors.html' WHERE entity_type='custom' AND target_path=(SELECT CONCAT(url_path, '.html') FROM catalog_category_flat_store_1 WHERE entity_id=920);</v>
      </c>
    </row>
    <row r="1000" spans="1:4" x14ac:dyDescent="0.25">
      <c r="A1000">
        <f>categories!B1000</f>
        <v>921</v>
      </c>
      <c r="B1000" t="str">
        <f>SUBSTITUTE(SUBSTITUTE(categories!H1000,"\","/"),"www.americanretailsupply.com/","")</f>
        <v>64826/47245/Mini-Grid/Mini-Grid-12-way-Connectors.html</v>
      </c>
      <c r="C1000" t="str">
        <f t="shared" si="30"/>
        <v>INSERT INTO url_rewrite (entity_type, entity_id, redirect_type, store_id, request_path, target_path) VALUES ('custom', 0, 301, 1,'64826/47245/Mini-Grid/Mini-Grid-12-way-Connectors.html',(SELECT CONCAT(url_path, '.html') FROM catalog_category_flat_store_1 WHERE entity_id=921));</v>
      </c>
      <c r="D1000" t="str">
        <f t="shared" si="31"/>
        <v>UPDATE url_rewrite SET request_path = '64826/47245/Mini-Grid/Mini-Grid-12-way-Connectors.html' WHERE entity_type='custom' AND target_path=(SELECT CONCAT(url_path, '.html') FROM catalog_category_flat_store_1 WHERE entity_id=921);</v>
      </c>
    </row>
    <row r="1001" spans="1:4" x14ac:dyDescent="0.25">
      <c r="A1001">
        <f>categories!B1001</f>
        <v>923</v>
      </c>
      <c r="B1001" t="str">
        <f>SUBSTITUTE(SUBSTITUTE(categories!H1001,"\","/"),"www.americanretailsupply.com/","")</f>
        <v>64785/34263/Misc-Acrylic-Products/Acrylic-Cleaner.html</v>
      </c>
      <c r="C1001" t="str">
        <f t="shared" si="30"/>
        <v>INSERT INTO url_rewrite (entity_type, entity_id, redirect_type, store_id, request_path, target_path) VALUES ('custom', 0, 301, 1,'64785/34263/Misc-Acrylic-Products/Acrylic-Cleaner.html',(SELECT CONCAT(url_path, '.html') FROM catalog_category_flat_store_1 WHERE entity_id=923));</v>
      </c>
      <c r="D1001" t="str">
        <f t="shared" si="31"/>
        <v>UPDATE url_rewrite SET request_path = '64785/34263/Misc-Acrylic-Products/Acrylic-Cleaner.html' WHERE entity_type='custom' AND target_path=(SELECT CONCAT(url_path, '.html') FROM catalog_category_flat_store_1 WHERE entity_id=923);</v>
      </c>
    </row>
    <row r="1002" spans="1:4" x14ac:dyDescent="0.25">
      <c r="A1002">
        <f>categories!B1002</f>
        <v>924</v>
      </c>
      <c r="B1002" t="str">
        <f>SUBSTITUTE(SUBSTITUTE(categories!H1002,"\","/"),"www.americanretailsupply.com/","")</f>
        <v>64785/34264/Misc-Acrylic-Products/Acrylic-Electric-Turntable.html</v>
      </c>
      <c r="C1002" t="str">
        <f t="shared" si="30"/>
        <v>INSERT INTO url_rewrite (entity_type, entity_id, redirect_type, store_id, request_path, target_path) VALUES ('custom', 0, 301, 1,'64785/34264/Misc-Acrylic-Products/Acrylic-Electric-Turntable.html',(SELECT CONCAT(url_path, '.html') FROM catalog_category_flat_store_1 WHERE entity_id=924));</v>
      </c>
      <c r="D1002" t="str">
        <f t="shared" si="31"/>
        <v>UPDATE url_rewrite SET request_path = '64785/34264/Misc-Acrylic-Products/Acrylic-Electric-Turntable.html' WHERE entity_type='custom' AND target_path=(SELECT CONCAT(url_path, '.html') FROM catalog_category_flat_store_1 WHERE entity_id=924);</v>
      </c>
    </row>
    <row r="1003" spans="1:4" x14ac:dyDescent="0.25">
      <c r="A1003">
        <f>categories!B1003</f>
        <v>925</v>
      </c>
      <c r="B1003" t="str">
        <f>SUBSTITUTE(SUBSTITUTE(categories!H1003,"\","/"),"www.americanretailsupply.com/","")</f>
        <v>64785/34265/Misc-Acrylic-Products/Acrylic-Beveled-Mirror.html</v>
      </c>
      <c r="C1003" t="str">
        <f t="shared" si="30"/>
        <v>INSERT INTO url_rewrite (entity_type, entity_id, redirect_type, store_id, request_path, target_path) VALUES ('custom', 0, 301, 1,'64785/34265/Misc-Acrylic-Products/Acrylic-Beveled-Mirror.html',(SELECT CONCAT(url_path, '.html') FROM catalog_category_flat_store_1 WHERE entity_id=925));</v>
      </c>
      <c r="D1003" t="str">
        <f t="shared" si="31"/>
        <v>UPDATE url_rewrite SET request_path = '64785/34265/Misc-Acrylic-Products/Acrylic-Beveled-Mirror.html' WHERE entity_type='custom' AND target_path=(SELECT CONCAT(url_path, '.html') FROM catalog_category_flat_store_1 WHERE entity_id=925);</v>
      </c>
    </row>
    <row r="1004" spans="1:4" x14ac:dyDescent="0.25">
      <c r="A1004">
        <f>categories!B1004</f>
        <v>926</v>
      </c>
      <c r="B1004" t="str">
        <f>SUBSTITUTE(SUBSTITUTE(categories!H1004,"\","/"),"www.americanretailsupply.com/","")</f>
        <v>64785/34268/Misc-Acrylic-Products/Acrylic-Pen-Display.html</v>
      </c>
      <c r="C1004" t="str">
        <f t="shared" si="30"/>
        <v>INSERT INTO url_rewrite (entity_type, entity_id, redirect_type, store_id, request_path, target_path) VALUES ('custom', 0, 301, 1,'64785/34268/Misc-Acrylic-Products/Acrylic-Pen-Display.html',(SELECT CONCAT(url_path, '.html') FROM catalog_category_flat_store_1 WHERE entity_id=926));</v>
      </c>
      <c r="D1004" t="str">
        <f t="shared" si="31"/>
        <v>UPDATE url_rewrite SET request_path = '64785/34268/Misc-Acrylic-Products/Acrylic-Pen-Display.html' WHERE entity_type='custom' AND target_path=(SELECT CONCAT(url_path, '.html') FROM catalog_category_flat_store_1 WHERE entity_id=926);</v>
      </c>
    </row>
    <row r="1005" spans="1:4" x14ac:dyDescent="0.25">
      <c r="A1005">
        <f>categories!B1005</f>
        <v>928</v>
      </c>
      <c r="B1005" t="str">
        <f>SUBSTITUTE(SUBSTITUTE(categories!H1005,"\","/"),"www.americanretailsupply.com/","")</f>
        <v>64905/236804/Miscellaneous-Closeout/Acrylic-Tape.html</v>
      </c>
      <c r="C1005" t="str">
        <f t="shared" si="30"/>
        <v>INSERT INTO url_rewrite (entity_type, entity_id, redirect_type, store_id, request_path, target_path) VALUES ('custom', 0, 301, 1,'64905/236804/Miscellaneous-Closeout/Acrylic-Tape.html',(SELECT CONCAT(url_path, '.html') FROM catalog_category_flat_store_1 WHERE entity_id=928));</v>
      </c>
      <c r="D1005" t="str">
        <f t="shared" si="31"/>
        <v>UPDATE url_rewrite SET request_path = '64905/236804/Miscellaneous-Closeout/Acrylic-Tape.html' WHERE entity_type='custom' AND target_path=(SELECT CONCAT(url_path, '.html') FROM catalog_category_flat_store_1 WHERE entity_id=928);</v>
      </c>
    </row>
    <row r="1006" spans="1:4" x14ac:dyDescent="0.25">
      <c r="A1006">
        <f>categories!B1006</f>
        <v>929</v>
      </c>
      <c r="B1006" t="str">
        <f>SUBSTITUTE(SUBSTITUTE(categories!H1006,"\","/"),"www.americanretailsupply.com/","")</f>
        <v>64905/236819/Miscellaneous-Closeout/Lift-Off--2-22oz-Pump-Spray.html</v>
      </c>
      <c r="C1006" t="str">
        <f t="shared" si="30"/>
        <v>INSERT INTO url_rewrite (entity_type, entity_id, redirect_type, store_id, request_path, target_path) VALUES ('custom', 0, 301, 1,'64905/236819/Miscellaneous-Closeout/Lift-Off--2-22oz-Pump-Spray.html',(SELECT CONCAT(url_path, '.html') FROM catalog_category_flat_store_1 WHERE entity_id=929));</v>
      </c>
      <c r="D1006" t="str">
        <f t="shared" si="31"/>
        <v>UPDATE url_rewrite SET request_path = '64905/236819/Miscellaneous-Closeout/Lift-Off--2-22oz-Pump-Spray.html' WHERE entity_type='custom' AND target_path=(SELECT CONCAT(url_path, '.html') FROM catalog_category_flat_store_1 WHERE entity_id=929);</v>
      </c>
    </row>
    <row r="1007" spans="1:4" x14ac:dyDescent="0.25">
      <c r="A1007">
        <f>categories!B1007</f>
        <v>930</v>
      </c>
      <c r="B1007" t="str">
        <f>SUBSTITUTE(SUBSTITUTE(categories!H1007,"\","/"),"www.americanretailsupply.com/","")</f>
        <v>64905/236820/Miscellaneous-Closeout/Lift-Off--2-Gallon-Refill.html</v>
      </c>
      <c r="C1007" t="str">
        <f t="shared" si="30"/>
        <v>INSERT INTO url_rewrite (entity_type, entity_id, redirect_type, store_id, request_path, target_path) VALUES ('custom', 0, 301, 1,'64905/236820/Miscellaneous-Closeout/Lift-Off--2-Gallon-Refill.html',(SELECT CONCAT(url_path, '.html') FROM catalog_category_flat_store_1 WHERE entity_id=930));</v>
      </c>
      <c r="D1007" t="str">
        <f t="shared" si="31"/>
        <v>UPDATE url_rewrite SET request_path = '64905/236820/Miscellaneous-Closeout/Lift-Off--2-Gallon-Refill.html' WHERE entity_type='custom' AND target_path=(SELECT CONCAT(url_path, '.html') FROM catalog_category_flat_store_1 WHERE entity_id=930);</v>
      </c>
    </row>
    <row r="1008" spans="1:4" x14ac:dyDescent="0.25">
      <c r="A1008">
        <f>categories!B1008</f>
        <v>931</v>
      </c>
      <c r="B1008" t="str">
        <f>SUBSTITUTE(SUBSTITUTE(categories!H1008,"\","/"),"www.americanretailsupply.com/","")</f>
        <v>64905/239178/Miscellaneous-Closeout/Artline-Tempera-Markers.html</v>
      </c>
      <c r="C1008" t="str">
        <f t="shared" si="30"/>
        <v>INSERT INTO url_rewrite (entity_type, entity_id, redirect_type, store_id, request_path, target_path) VALUES ('custom', 0, 301, 1,'64905/239178/Miscellaneous-Closeout/Artline-Tempera-Markers.html',(SELECT CONCAT(url_path, '.html') FROM catalog_category_flat_store_1 WHERE entity_id=931));</v>
      </c>
      <c r="D1008" t="str">
        <f t="shared" si="31"/>
        <v>UPDATE url_rewrite SET request_path = '64905/239178/Miscellaneous-Closeout/Artline-Tempera-Markers.html' WHERE entity_type='custom' AND target_path=(SELECT CONCAT(url_path, '.html') FROM catalog_category_flat_store_1 WHERE entity_id=931);</v>
      </c>
    </row>
    <row r="1009" spans="1:4" x14ac:dyDescent="0.25">
      <c r="A1009">
        <f>categories!B1009</f>
        <v>932</v>
      </c>
      <c r="B1009" t="str">
        <f>SUBSTITUTE(SUBSTITUTE(categories!H1009,"\","/"),"www.americanretailsupply.com/","")</f>
        <v>64905/239179/Miscellaneous-Closeout/Artline-Aquafast-Markers.html</v>
      </c>
      <c r="C1009" t="str">
        <f t="shared" si="30"/>
        <v>INSERT INTO url_rewrite (entity_type, entity_id, redirect_type, store_id, request_path, target_path) VALUES ('custom', 0, 301, 1,'64905/239179/Miscellaneous-Closeout/Artline-Aquafast-Markers.html',(SELECT CONCAT(url_path, '.html') FROM catalog_category_flat_store_1 WHERE entity_id=932));</v>
      </c>
      <c r="D1009" t="str">
        <f t="shared" si="31"/>
        <v>UPDATE url_rewrite SET request_path = '64905/239179/Miscellaneous-Closeout/Artline-Aquafast-Markers.html' WHERE entity_type='custom' AND target_path=(SELECT CONCAT(url_path, '.html') FROM catalog_category_flat_store_1 WHERE entity_id=932);</v>
      </c>
    </row>
    <row r="1010" spans="1:4" x14ac:dyDescent="0.25">
      <c r="A1010">
        <f>categories!B1010</f>
        <v>933</v>
      </c>
      <c r="B1010" t="str">
        <f>SUBSTITUTE(SUBSTITUTE(categories!H1010,"\","/"),"www.americanretailsupply.com/","")</f>
        <v>64905/239182/Miscellaneous-Closeout/Artline-Whiteboard-Markers.html</v>
      </c>
      <c r="C1010" t="str">
        <f t="shared" si="30"/>
        <v>INSERT INTO url_rewrite (entity_type, entity_id, redirect_type, store_id, request_path, target_path) VALUES ('custom', 0, 301, 1,'64905/239182/Miscellaneous-Closeout/Artline-Whiteboard-Markers.html',(SELECT CONCAT(url_path, '.html') FROM catalog_category_flat_store_1 WHERE entity_id=933));</v>
      </c>
      <c r="D1010" t="str">
        <f t="shared" si="31"/>
        <v>UPDATE url_rewrite SET request_path = '64905/239182/Miscellaneous-Closeout/Artline-Whiteboard-Markers.html' WHERE entity_type='custom' AND target_path=(SELECT CONCAT(url_path, '.html') FROM catalog_category_flat_store_1 WHERE entity_id=933);</v>
      </c>
    </row>
    <row r="1011" spans="1:4" x14ac:dyDescent="0.25">
      <c r="A1011">
        <f>categories!B1011</f>
        <v>934</v>
      </c>
      <c r="B1011" t="str">
        <f>SUBSTITUTE(SUBSTITUTE(categories!H1011,"\","/"),"www.americanretailsupply.com/","")</f>
        <v>64905/239218/Miscellaneous-Closeout/Card-Frame-Miter-with-Base-11x14.html</v>
      </c>
      <c r="C1011" t="str">
        <f t="shared" si="30"/>
        <v>INSERT INTO url_rewrite (entity_type, entity_id, redirect_type, store_id, request_path, target_path) VALUES ('custom', 0, 301, 1,'64905/239218/Miscellaneous-Closeout/Card-Frame-Miter-with-Base-11x14.html',(SELECT CONCAT(url_path, '.html') FROM catalog_category_flat_store_1 WHERE entity_id=934));</v>
      </c>
      <c r="D1011" t="str">
        <f t="shared" si="31"/>
        <v>UPDATE url_rewrite SET request_path = '64905/239218/Miscellaneous-Closeout/Card-Frame-Miter-with-Base-11x14.html' WHERE entity_type='custom' AND target_path=(SELECT CONCAT(url_path, '.html') FROM catalog_category_flat_store_1 WHERE entity_id=934);</v>
      </c>
    </row>
    <row r="1012" spans="1:4" x14ac:dyDescent="0.25">
      <c r="A1012">
        <f>categories!B1012</f>
        <v>935</v>
      </c>
      <c r="B1012" t="str">
        <f>SUBSTITUTE(SUBSTITUTE(categories!H1012,"\","/"),"www.americanretailsupply.com/","")</f>
        <v>64905/241272/Miscellaneous-Closeout/Economy-SlantbackSign-Holder.html</v>
      </c>
      <c r="C1012" t="str">
        <f t="shared" si="30"/>
        <v>INSERT INTO url_rewrite (entity_type, entity_id, redirect_type, store_id, request_path, target_path) VALUES ('custom', 0, 301, 1,'64905/241272/Miscellaneous-Closeout/Economy-SlantbackSign-Holder.html',(SELECT CONCAT(url_path, '.html') FROM catalog_category_flat_store_1 WHERE entity_id=935));</v>
      </c>
      <c r="D1012" t="str">
        <f t="shared" si="31"/>
        <v>UPDATE url_rewrite SET request_path = '64905/241272/Miscellaneous-Closeout/Economy-SlantbackSign-Holder.html' WHERE entity_type='custom' AND target_path=(SELECT CONCAT(url_path, '.html') FROM catalog_category_flat_store_1 WHERE entity_id=935);</v>
      </c>
    </row>
    <row r="1013" spans="1:4" x14ac:dyDescent="0.25">
      <c r="A1013">
        <f>categories!B1013</f>
        <v>936</v>
      </c>
      <c r="B1013" t="str">
        <f>SUBSTITUTE(SUBSTITUTE(categories!H1013,"\","/"),"www.americanretailsupply.com/","")</f>
        <v>64905/241273/Miscellaneous-Closeout/Economy-Tent-Style-Sign-Holder.html</v>
      </c>
      <c r="C1013" t="str">
        <f t="shared" si="30"/>
        <v>INSERT INTO url_rewrite (entity_type, entity_id, redirect_type, store_id, request_path, target_path) VALUES ('custom', 0, 301, 1,'64905/241273/Miscellaneous-Closeout/Economy-Tent-Style-Sign-Holder.html',(SELECT CONCAT(url_path, '.html') FROM catalog_category_flat_store_1 WHERE entity_id=936));</v>
      </c>
      <c r="D1013" t="str">
        <f t="shared" si="31"/>
        <v>UPDATE url_rewrite SET request_path = '64905/241273/Miscellaneous-Closeout/Economy-Tent-Style-Sign-Holder.html' WHERE entity_type='custom' AND target_path=(SELECT CONCAT(url_path, '.html') FROM catalog_category_flat_store_1 WHERE entity_id=936);</v>
      </c>
    </row>
    <row r="1014" spans="1:4" x14ac:dyDescent="0.25">
      <c r="A1014">
        <f>categories!B1014</f>
        <v>937</v>
      </c>
      <c r="B1014" t="str">
        <f>SUBSTITUTE(SUBSTITUTE(categories!H1014,"\","/"),"www.americanretailsupply.com/","")</f>
        <v>64905/243054/Miscellaneous-Closeout/Counter-Top-Frame.html</v>
      </c>
      <c r="C1014" t="str">
        <f t="shared" si="30"/>
        <v>INSERT INTO url_rewrite (entity_type, entity_id, redirect_type, store_id, request_path, target_path) VALUES ('custom', 0, 301, 1,'64905/243054/Miscellaneous-Closeout/Counter-Top-Frame.html',(SELECT CONCAT(url_path, '.html') FROM catalog_category_flat_store_1 WHERE entity_id=937));</v>
      </c>
      <c r="D1014" t="str">
        <f t="shared" si="31"/>
        <v>UPDATE url_rewrite SET request_path = '64905/243054/Miscellaneous-Closeout/Counter-Top-Frame.html' WHERE entity_type='custom' AND target_path=(SELECT CONCAT(url_path, '.html') FROM catalog_category_flat_store_1 WHERE entity_id=937);</v>
      </c>
    </row>
    <row r="1015" spans="1:4" x14ac:dyDescent="0.25">
      <c r="A1015">
        <f>categories!B1015</f>
        <v>938</v>
      </c>
      <c r="B1015" t="str">
        <f>SUBSTITUTE(SUBSTITUTE(categories!H1015,"\","/"),"www.americanretailsupply.com/","")</f>
        <v>64905/243708/Miscellaneous-Closeout/Price-Channel-Numbers.html</v>
      </c>
      <c r="C1015" t="str">
        <f t="shared" si="30"/>
        <v>INSERT INTO url_rewrite (entity_type, entity_id, redirect_type, store_id, request_path, target_path) VALUES ('custom', 0, 301, 1,'64905/243708/Miscellaneous-Closeout/Price-Channel-Numbers.html',(SELECT CONCAT(url_path, '.html') FROM catalog_category_flat_store_1 WHERE entity_id=938));</v>
      </c>
      <c r="D1015" t="str">
        <f t="shared" si="31"/>
        <v>UPDATE url_rewrite SET request_path = '64905/243708/Miscellaneous-Closeout/Price-Channel-Numbers.html' WHERE entity_type='custom' AND target_path=(SELECT CONCAT(url_path, '.html') FROM catalog_category_flat_store_1 WHERE entity_id=938);</v>
      </c>
    </row>
    <row r="1016" spans="1:4" x14ac:dyDescent="0.25">
      <c r="A1016">
        <f>categories!B1016</f>
        <v>939</v>
      </c>
      <c r="B1016" t="str">
        <f>SUBSTITUTE(SUBSTITUTE(categories!H1016,"\","/"),"www.americanretailsupply.com/","")</f>
        <v>64905/244591/Miscellaneous-Closeout/Corrugated-Contest-Boxes.html</v>
      </c>
      <c r="C1016" t="str">
        <f t="shared" si="30"/>
        <v>INSERT INTO url_rewrite (entity_type, entity_id, redirect_type, store_id, request_path, target_path) VALUES ('custom', 0, 301, 1,'64905/244591/Miscellaneous-Closeout/Corrugated-Contest-Boxes.html',(SELECT CONCAT(url_path, '.html') FROM catalog_category_flat_store_1 WHERE entity_id=939));</v>
      </c>
      <c r="D1016" t="str">
        <f t="shared" si="31"/>
        <v>UPDATE url_rewrite SET request_path = '64905/244591/Miscellaneous-Closeout/Corrugated-Contest-Boxes.html' WHERE entity_type='custom' AND target_path=(SELECT CONCAT(url_path, '.html') FROM catalog_category_flat_store_1 WHERE entity_id=939);</v>
      </c>
    </row>
    <row r="1017" spans="1:4" x14ac:dyDescent="0.25">
      <c r="A1017">
        <f>categories!B1017</f>
        <v>940</v>
      </c>
      <c r="B1017" t="str">
        <f>SUBSTITUTE(SUBSTITUTE(categories!H1017,"\","/"),"www.americanretailsupply.com/","")</f>
        <v>64905/244695/Miscellaneous-Closeout/Inventory-Tag-2-Part-Carbonless.html</v>
      </c>
      <c r="C1017" t="str">
        <f t="shared" si="30"/>
        <v>INSERT INTO url_rewrite (entity_type, entity_id, redirect_type, store_id, request_path, target_path) VALUES ('custom', 0, 301, 1,'64905/244695/Miscellaneous-Closeout/Inventory-Tag-2-Part-Carbonless.html',(SELECT CONCAT(url_path, '.html') FROM catalog_category_flat_store_1 WHERE entity_id=940));</v>
      </c>
      <c r="D1017" t="str">
        <f t="shared" si="31"/>
        <v>UPDATE url_rewrite SET request_path = '64905/244695/Miscellaneous-Closeout/Inventory-Tag-2-Part-Carbonless.html' WHERE entity_type='custom' AND target_path=(SELECT CONCAT(url_path, '.html') FROM catalog_category_flat_store_1 WHERE entity_id=940);</v>
      </c>
    </row>
    <row r="1018" spans="1:4" x14ac:dyDescent="0.25">
      <c r="A1018">
        <f>categories!B1018</f>
        <v>941</v>
      </c>
      <c r="B1018" t="str">
        <f>SUBSTITUTE(SUBSTITUTE(categories!H1018,"\","/"),"www.americanretailsupply.com/","")</f>
        <v>64905/246267/Miscellaneous-Closeout/Wire-Fixture-Sign-Holder-Clear-PVC-Plastic.html</v>
      </c>
      <c r="C1018" t="str">
        <f t="shared" si="30"/>
        <v>INSERT INTO url_rewrite (entity_type, entity_id, redirect_type, store_id, request_path, target_path) VALUES ('custom', 0, 301, 1,'64905/246267/Miscellaneous-Closeout/Wire-Fixture-Sign-Holder-Clear-PVC-Plastic.html',(SELECT CONCAT(url_path, '.html') FROM catalog_category_flat_store_1 WHERE entity_id=941));</v>
      </c>
      <c r="D1018" t="str">
        <f t="shared" si="31"/>
        <v>UPDATE url_rewrite SET request_path = '64905/246267/Miscellaneous-Closeout/Wire-Fixture-Sign-Holder-Clear-PVC-Plastic.html' WHERE entity_type='custom' AND target_path=(SELECT CONCAT(url_path, '.html') FROM catalog_category_flat_store_1 WHERE entity_id=941);</v>
      </c>
    </row>
    <row r="1019" spans="1:4" x14ac:dyDescent="0.25">
      <c r="A1019">
        <f>categories!B1019</f>
        <v>942</v>
      </c>
      <c r="B1019" t="str">
        <f>SUBSTITUTE(SUBSTITUTE(categories!H1019,"\","/"),"www.americanretailsupply.com/","")</f>
        <v>64905/434067/Miscellaneous-Closeout/Deluxe-Clip.html</v>
      </c>
      <c r="C1019" t="str">
        <f t="shared" si="30"/>
        <v>INSERT INTO url_rewrite (entity_type, entity_id, redirect_type, store_id, request_path, target_path) VALUES ('custom', 0, 301, 1,'64905/434067/Miscellaneous-Closeout/Deluxe-Clip.html',(SELECT CONCAT(url_path, '.html') FROM catalog_category_flat_store_1 WHERE entity_id=942));</v>
      </c>
      <c r="D1019" t="str">
        <f t="shared" si="31"/>
        <v>UPDATE url_rewrite SET request_path = '64905/434067/Miscellaneous-Closeout/Deluxe-Clip.html' WHERE entity_type='custom' AND target_path=(SELECT CONCAT(url_path, '.html') FROM catalog_category_flat_store_1 WHERE entity_id=942);</v>
      </c>
    </row>
    <row r="1020" spans="1:4" x14ac:dyDescent="0.25">
      <c r="A1020">
        <f>categories!B1020</f>
        <v>943</v>
      </c>
      <c r="B1020" t="str">
        <f>SUBSTITUTE(SUBSTITUTE(categories!H1020,"\","/"),"www.americanretailsupply.com/","")</f>
        <v>64905/434403/Miscellaneous-Closeout/Standard-Clip.html</v>
      </c>
      <c r="C1020" t="str">
        <f t="shared" si="30"/>
        <v>INSERT INTO url_rewrite (entity_type, entity_id, redirect_type, store_id, request_path, target_path) VALUES ('custom', 0, 301, 1,'64905/434403/Miscellaneous-Closeout/Standard-Clip.html',(SELECT CONCAT(url_path, '.html') FROM catalog_category_flat_store_1 WHERE entity_id=943));</v>
      </c>
      <c r="D1020" t="str">
        <f t="shared" si="31"/>
        <v>UPDATE url_rewrite SET request_path = '64905/434403/Miscellaneous-Closeout/Standard-Clip.html' WHERE entity_type='custom' AND target_path=(SELECT CONCAT(url_path, '.html') FROM catalog_category_flat_store_1 WHERE entity_id=943);</v>
      </c>
    </row>
    <row r="1021" spans="1:4" x14ac:dyDescent="0.25">
      <c r="A1021">
        <f>categories!B1021</f>
        <v>944</v>
      </c>
      <c r="B1021" t="str">
        <f>SUBSTITUTE(SUBSTITUTE(categories!H1021,"\","/"),"www.americanretailsupply.com/","")</f>
        <v>64905/437273/Miscellaneous-Closeout/Pig-Tail-Card-Holder-Closeout.html</v>
      </c>
      <c r="C1021" t="str">
        <f t="shared" si="30"/>
        <v>INSERT INTO url_rewrite (entity_type, entity_id, redirect_type, store_id, request_path, target_path) VALUES ('custom', 0, 301, 1,'64905/437273/Miscellaneous-Closeout/Pig-Tail-Card-Holder-Closeout.html',(SELECT CONCAT(url_path, '.html') FROM catalog_category_flat_store_1 WHERE entity_id=944));</v>
      </c>
      <c r="D1021" t="str">
        <f t="shared" si="31"/>
        <v>UPDATE url_rewrite SET request_path = '64905/437273/Miscellaneous-Closeout/Pig-Tail-Card-Holder-Closeout.html' WHERE entity_type='custom' AND target_path=(SELECT CONCAT(url_path, '.html') FROM catalog_category_flat_store_1 WHERE entity_id=944);</v>
      </c>
    </row>
    <row r="1022" spans="1:4" x14ac:dyDescent="0.25">
      <c r="A1022">
        <f>categories!B1022</f>
        <v>945</v>
      </c>
      <c r="B1022" t="str">
        <f>SUBSTITUTE(SUBSTITUTE(categories!H1022,"\","/"),"www.americanretailsupply.com/","")</f>
        <v>64905/733508/Miscellaneous-Closeout/Sign-Cards.html</v>
      </c>
      <c r="C1022" t="str">
        <f t="shared" si="30"/>
        <v>INSERT INTO url_rewrite (entity_type, entity_id, redirect_type, store_id, request_path, target_path) VALUES ('custom', 0, 301, 1,'64905/733508/Miscellaneous-Closeout/Sign-Cards.html',(SELECT CONCAT(url_path, '.html') FROM catalog_category_flat_store_1 WHERE entity_id=945));</v>
      </c>
      <c r="D1022" t="str">
        <f t="shared" si="31"/>
        <v>UPDATE url_rewrite SET request_path = '64905/733508/Miscellaneous-Closeout/Sign-Cards.html' WHERE entity_type='custom' AND target_path=(SELECT CONCAT(url_path, '.html') FROM catalog_category_flat_store_1 WHERE entity_id=945);</v>
      </c>
    </row>
    <row r="1023" spans="1:4" x14ac:dyDescent="0.25">
      <c r="A1023">
        <f>categories!B1023</f>
        <v>947</v>
      </c>
      <c r="B1023" t="str">
        <f>SUBSTITUTE(SUBSTITUTE(categories!H1023,"\","/"),"www.americanretailsupply.com/","")</f>
        <v>64981/783043/Miscellaneous-Sign-Holders/Sign-Holder-with-Clamp.html</v>
      </c>
      <c r="C1023" t="str">
        <f t="shared" si="30"/>
        <v>INSERT INTO url_rewrite (entity_type, entity_id, redirect_type, store_id, request_path, target_path) VALUES ('custom', 0, 301, 1,'64981/783043/Miscellaneous-Sign-Holders/Sign-Holder-with-Clamp.html',(SELECT CONCAT(url_path, '.html') FROM catalog_category_flat_store_1 WHERE entity_id=947));</v>
      </c>
      <c r="D1023" t="str">
        <f t="shared" si="31"/>
        <v>UPDATE url_rewrite SET request_path = '64981/783043/Miscellaneous-Sign-Holders/Sign-Holder-with-Clamp.html' WHERE entity_type='custom' AND target_path=(SELECT CONCAT(url_path, '.html') FROM catalog_category_flat_store_1 WHERE entity_id=947);</v>
      </c>
    </row>
    <row r="1024" spans="1:4" x14ac:dyDescent="0.25">
      <c r="A1024">
        <f>categories!B1024</f>
        <v>948</v>
      </c>
      <c r="B1024" t="str">
        <f>SUBSTITUTE(SUBSTITUTE(categories!H1024,"\","/"),"www.americanretailsupply.com/","")</f>
        <v>64981/783044/Miscellaneous-Sign-Holders/Sign-and-or-Menu-Card-Holder.html</v>
      </c>
      <c r="C1024" t="str">
        <f t="shared" si="30"/>
        <v>INSERT INTO url_rewrite (entity_type, entity_id, redirect_type, store_id, request_path, target_path) VALUES ('custom', 0, 301, 1,'64981/783044/Miscellaneous-Sign-Holders/Sign-and-or-Menu-Card-Holder.html',(SELECT CONCAT(url_path, '.html') FROM catalog_category_flat_store_1 WHERE entity_id=948));</v>
      </c>
      <c r="D1024" t="str">
        <f t="shared" si="31"/>
        <v>UPDATE url_rewrite SET request_path = '64981/783044/Miscellaneous-Sign-Holders/Sign-and-or-Menu-Card-Holder.html' WHERE entity_type='custom' AND target_path=(SELECT CONCAT(url_path, '.html') FROM catalog_category_flat_store_1 WHERE entity_id=948);</v>
      </c>
    </row>
    <row r="1025" spans="1:4" x14ac:dyDescent="0.25">
      <c r="A1025">
        <f>categories!B1025</f>
        <v>950</v>
      </c>
      <c r="B1025" t="str">
        <f>SUBSTITUTE(SUBSTITUTE(categories!H1025,"\","/"),"www.americanretailsupply.com/","")</f>
        <v>65209/586734/Modular-Birch-Displays/Spinning-Tower-Displays.html</v>
      </c>
      <c r="C1025" t="str">
        <f t="shared" si="30"/>
        <v>INSERT INTO url_rewrite (entity_type, entity_id, redirect_type, store_id, request_path, target_path) VALUES ('custom', 0, 301, 1,'65209/586734/Modular-Birch-Displays/Spinning-Tower-Displays.html',(SELECT CONCAT(url_path, '.html') FROM catalog_category_flat_store_1 WHERE entity_id=950));</v>
      </c>
      <c r="D1025" t="str">
        <f t="shared" si="31"/>
        <v>UPDATE url_rewrite SET request_path = '65209/586734/Modular-Birch-Displays/Spinning-Tower-Displays.html' WHERE entity_type='custom' AND target_path=(SELECT CONCAT(url_path, '.html') FROM catalog_category_flat_store_1 WHERE entity_id=950);</v>
      </c>
    </row>
    <row r="1026" spans="1:4" x14ac:dyDescent="0.25">
      <c r="A1026">
        <f>categories!B1026</f>
        <v>951</v>
      </c>
      <c r="B1026" t="str">
        <f>SUBSTITUTE(SUBSTITUTE(categories!H1026,"\","/"),"www.americanretailsupply.com/","")</f>
        <v>65209/586836/Modular-Birch-Displays/Display-Pedestals.html</v>
      </c>
      <c r="C1026" t="str">
        <f t="shared" si="30"/>
        <v>INSERT INTO url_rewrite (entity_type, entity_id, redirect_type, store_id, request_path, target_path) VALUES ('custom', 0, 301, 1,'65209/586836/Modular-Birch-Displays/Display-Pedestals.html',(SELECT CONCAT(url_path, '.html') FROM catalog_category_flat_store_1 WHERE entity_id=951));</v>
      </c>
      <c r="D1026" t="str">
        <f t="shared" si="31"/>
        <v>UPDATE url_rewrite SET request_path = '65209/586836/Modular-Birch-Displays/Display-Pedestals.html' WHERE entity_type='custom' AND target_path=(SELECT CONCAT(url_path, '.html') FROM catalog_category_flat_store_1 WHERE entity_id=951);</v>
      </c>
    </row>
    <row r="1027" spans="1:4" x14ac:dyDescent="0.25">
      <c r="A1027">
        <f>categories!B1027</f>
        <v>952</v>
      </c>
      <c r="B1027" t="str">
        <f>SUBSTITUTE(SUBSTITUTE(categories!H1027,"\","/"),"www.americanretailsupply.com/","")</f>
        <v>65209/586837/Modular-Birch-Displays/Modular-Shelving-Units.html</v>
      </c>
      <c r="C1027" t="str">
        <f t="shared" ref="C1027:C1090" si="32">"INSERT INTO url_rewrite (entity_type, entity_id, redirect_type, store_id, request_path, target_path) VALUES ('custom', 0, 301, 1,'"&amp;B1027&amp;"',(SELECT CONCAT(url_path, '.html') FROM catalog_category_flat_store_1 WHERE entity_id="&amp;A1027&amp;"));"</f>
        <v>INSERT INTO url_rewrite (entity_type, entity_id, redirect_type, store_id, request_path, target_path) VALUES ('custom', 0, 301, 1,'65209/586837/Modular-Birch-Displays/Modular-Shelving-Units.html',(SELECT CONCAT(url_path, '.html') FROM catalog_category_flat_store_1 WHERE entity_id=952));</v>
      </c>
      <c r="D1027" t="str">
        <f t="shared" ref="D1027:D1090" si="33">"UPDATE url_rewrite SET request_path = '"&amp;B1027&amp;"' WHERE entity_type='custom' AND target_path=(SELECT CONCAT(url_path, '.html') FROM catalog_category_flat_store_1 WHERE entity_id="&amp;A1027&amp;");"</f>
        <v>UPDATE url_rewrite SET request_path = '65209/586837/Modular-Birch-Displays/Modular-Shelving-Units.html' WHERE entity_type='custom' AND target_path=(SELECT CONCAT(url_path, '.html') FROM catalog_category_flat_store_1 WHERE entity_id=952);</v>
      </c>
    </row>
    <row r="1028" spans="1:4" x14ac:dyDescent="0.25">
      <c r="A1028">
        <f>categories!B1028</f>
        <v>954</v>
      </c>
      <c r="B1028" t="str">
        <f>SUBSTITUTE(SUBSTITUTE(categories!H1028,"\","/"),"www.americanretailsupply.com/","")</f>
        <v>65357/785883/Modular-Display-Shelving/Complete-Units.html</v>
      </c>
      <c r="C1028" t="str">
        <f t="shared" si="32"/>
        <v>INSERT INTO url_rewrite (entity_type, entity_id, redirect_type, store_id, request_path, target_path) VALUES ('custom', 0, 301, 1,'65357/785883/Modular-Display-Shelving/Complete-Units.html',(SELECT CONCAT(url_path, '.html') FROM catalog_category_flat_store_1 WHERE entity_id=954));</v>
      </c>
      <c r="D1028" t="str">
        <f t="shared" si="33"/>
        <v>UPDATE url_rewrite SET request_path = '65357/785883/Modular-Display-Shelving/Complete-Units.html' WHERE entity_type='custom' AND target_path=(SELECT CONCAT(url_path, '.html') FROM catalog_category_flat_store_1 WHERE entity_id=954);</v>
      </c>
    </row>
    <row r="1029" spans="1:4" x14ac:dyDescent="0.25">
      <c r="A1029">
        <f>categories!B1029</f>
        <v>955</v>
      </c>
      <c r="B1029" t="str">
        <f>SUBSTITUTE(SUBSTITUTE(categories!H1029,"\","/"),"www.americanretailsupply.com/","")</f>
        <v>65357/785884/Modular-Display-Shelving/Modular-Display-Uprights.html</v>
      </c>
      <c r="C1029" t="str">
        <f t="shared" si="32"/>
        <v>INSERT INTO url_rewrite (entity_type, entity_id, redirect_type, store_id, request_path, target_path) VALUES ('custom', 0, 301, 1,'65357/785884/Modular-Display-Shelving/Modular-Display-Uprights.html',(SELECT CONCAT(url_path, '.html') FROM catalog_category_flat_store_1 WHERE entity_id=955));</v>
      </c>
      <c r="D1029" t="str">
        <f t="shared" si="33"/>
        <v>UPDATE url_rewrite SET request_path = '65357/785884/Modular-Display-Shelving/Modular-Display-Uprights.html' WHERE entity_type='custom' AND target_path=(SELECT CONCAT(url_path, '.html') FROM catalog_category_flat_store_1 WHERE entity_id=955);</v>
      </c>
    </row>
    <row r="1030" spans="1:4" x14ac:dyDescent="0.25">
      <c r="A1030">
        <f>categories!B1030</f>
        <v>956</v>
      </c>
      <c r="B1030" t="str">
        <f>SUBSTITUTE(SUBSTITUTE(categories!H1030,"\","/"),"www.americanretailsupply.com/","")</f>
        <v>65357/785885/Modular-Display-Shelving/Modular-Display-Shelves.html</v>
      </c>
      <c r="C1030" t="str">
        <f t="shared" si="32"/>
        <v>INSERT INTO url_rewrite (entity_type, entity_id, redirect_type, store_id, request_path, target_path) VALUES ('custom', 0, 301, 1,'65357/785885/Modular-Display-Shelving/Modular-Display-Shelves.html',(SELECT CONCAT(url_path, '.html') FROM catalog_category_flat_store_1 WHERE entity_id=956));</v>
      </c>
      <c r="D1030" t="str">
        <f t="shared" si="33"/>
        <v>UPDATE url_rewrite SET request_path = '65357/785885/Modular-Display-Shelving/Modular-Display-Shelves.html' WHERE entity_type='custom' AND target_path=(SELECT CONCAT(url_path, '.html') FROM catalog_category_flat_store_1 WHERE entity_id=956);</v>
      </c>
    </row>
    <row r="1031" spans="1:4" x14ac:dyDescent="0.25">
      <c r="A1031">
        <f>categories!B1031</f>
        <v>957</v>
      </c>
      <c r="B1031" t="str">
        <f>SUBSTITUTE(SUBSTITUTE(categories!H1031,"\","/"),"www.americanretailsupply.com/","")</f>
        <v>65357/785886/Modular-Display-Shelving/Modular-Display-Cross-Pieces.html</v>
      </c>
      <c r="C1031" t="str">
        <f t="shared" si="32"/>
        <v>INSERT INTO url_rewrite (entity_type, entity_id, redirect_type, store_id, request_path, target_path) VALUES ('custom', 0, 301, 1,'65357/785886/Modular-Display-Shelving/Modular-Display-Cross-Pieces.html',(SELECT CONCAT(url_path, '.html') FROM catalog_category_flat_store_1 WHERE entity_id=957));</v>
      </c>
      <c r="D1031" t="str">
        <f t="shared" si="33"/>
        <v>UPDATE url_rewrite SET request_path = '65357/785886/Modular-Display-Shelving/Modular-Display-Cross-Pieces.html' WHERE entity_type='custom' AND target_path=(SELECT CONCAT(url_path, '.html') FROM catalog_category_flat_store_1 WHERE entity_id=957);</v>
      </c>
    </row>
    <row r="1032" spans="1:4" x14ac:dyDescent="0.25">
      <c r="A1032">
        <f>categories!B1032</f>
        <v>958</v>
      </c>
      <c r="B1032" t="str">
        <f>SUBSTITUTE(SUBSTITUTE(categories!H1032,"\","/"),"www.americanretailsupply.com/","")</f>
        <v>65357/785887/Modular-Display-Shelving/Modular-Display-Accessories.html</v>
      </c>
      <c r="C1032" t="str">
        <f t="shared" si="32"/>
        <v>INSERT INTO url_rewrite (entity_type, entity_id, redirect_type, store_id, request_path, target_path) VALUES ('custom', 0, 301, 1,'65357/785887/Modular-Display-Shelving/Modular-Display-Accessories.html',(SELECT CONCAT(url_path, '.html') FROM catalog_category_flat_store_1 WHERE entity_id=958));</v>
      </c>
      <c r="D1032" t="str">
        <f t="shared" si="33"/>
        <v>UPDATE url_rewrite SET request_path = '65357/785887/Modular-Display-Shelving/Modular-Display-Accessories.html' WHERE entity_type='custom' AND target_path=(SELECT CONCAT(url_path, '.html') FROM catalog_category_flat_store_1 WHERE entity_id=958);</v>
      </c>
    </row>
    <row r="1033" spans="1:4" x14ac:dyDescent="0.25">
      <c r="A1033">
        <f>categories!B1033</f>
        <v>960</v>
      </c>
      <c r="B1033" t="str">
        <f>SUBSTITUTE(SUBSTITUTE(categories!H1033,"\","/"),"www.americanretailsupply.com/","")</f>
        <v>65153/17039/Molded-Forms/Soft-Silhouette-Forms.html</v>
      </c>
      <c r="C1033" t="str">
        <f t="shared" si="32"/>
        <v>INSERT INTO url_rewrite (entity_type, entity_id, redirect_type, store_id, request_path, target_path) VALUES ('custom', 0, 301, 1,'65153/17039/Molded-Forms/Soft-Silhouette-Forms.html',(SELECT CONCAT(url_path, '.html') FROM catalog_category_flat_store_1 WHERE entity_id=960));</v>
      </c>
      <c r="D1033" t="str">
        <f t="shared" si="33"/>
        <v>UPDATE url_rewrite SET request_path = '65153/17039/Molded-Forms/Soft-Silhouette-Forms.html' WHERE entity_type='custom' AND target_path=(SELECT CONCAT(url_path, '.html') FROM catalog_category_flat_store_1 WHERE entity_id=960);</v>
      </c>
    </row>
    <row r="1034" spans="1:4" x14ac:dyDescent="0.25">
      <c r="A1034">
        <f>categories!B1034</f>
        <v>961</v>
      </c>
      <c r="B1034" t="str">
        <f>SUBSTITUTE(SUBSTITUTE(categories!H1034,"\","/"),"www.americanretailsupply.com/","")</f>
        <v>65153/36391/Molded-Forms/Junior-Size-Molded-Forms.html</v>
      </c>
      <c r="C1034" t="str">
        <f t="shared" si="32"/>
        <v>INSERT INTO url_rewrite (entity_type, entity_id, redirect_type, store_id, request_path, target_path) VALUES ('custom', 0, 301, 1,'65153/36391/Molded-Forms/Junior-Size-Molded-Forms.html',(SELECT CONCAT(url_path, '.html') FROM catalog_category_flat_store_1 WHERE entity_id=961));</v>
      </c>
      <c r="D1034" t="str">
        <f t="shared" si="33"/>
        <v>UPDATE url_rewrite SET request_path = '65153/36391/Molded-Forms/Junior-Size-Molded-Forms.html' WHERE entity_type='custom' AND target_path=(SELECT CONCAT(url_path, '.html') FROM catalog_category_flat_store_1 WHERE entity_id=961);</v>
      </c>
    </row>
    <row r="1035" spans="1:4" x14ac:dyDescent="0.25">
      <c r="A1035">
        <f>categories!B1035</f>
        <v>962</v>
      </c>
      <c r="B1035" t="str">
        <f>SUBSTITUTE(SUBSTITUTE(categories!H1035,"\","/"),"www.americanretailsupply.com/","")</f>
        <v>65153/36393/Molded-Forms/Junior-Swimwear-Molded-Forms.html</v>
      </c>
      <c r="C1035" t="str">
        <f t="shared" si="32"/>
        <v>INSERT INTO url_rewrite (entity_type, entity_id, redirect_type, store_id, request_path, target_path) VALUES ('custom', 0, 301, 1,'65153/36393/Molded-Forms/Junior-Swimwear-Molded-Forms.html',(SELECT CONCAT(url_path, '.html') FROM catalog_category_flat_store_1 WHERE entity_id=962));</v>
      </c>
      <c r="D1035" t="str">
        <f t="shared" si="33"/>
        <v>UPDATE url_rewrite SET request_path = '65153/36393/Molded-Forms/Junior-Swimwear-Molded-Forms.html' WHERE entity_type='custom' AND target_path=(SELECT CONCAT(url_path, '.html') FROM catalog_category_flat_store_1 WHERE entity_id=962);</v>
      </c>
    </row>
    <row r="1036" spans="1:4" x14ac:dyDescent="0.25">
      <c r="A1036">
        <f>categories!B1036</f>
        <v>963</v>
      </c>
      <c r="B1036" t="str">
        <f>SUBSTITUTE(SUBSTITUTE(categories!H1036,"\","/"),"www.americanretailsupply.com/","")</f>
        <v>65153/36394/Molded-Forms/Misses-Molded-Forms.html</v>
      </c>
      <c r="C1036" t="str">
        <f t="shared" si="32"/>
        <v>INSERT INTO url_rewrite (entity_type, entity_id, redirect_type, store_id, request_path, target_path) VALUES ('custom', 0, 301, 1,'65153/36394/Molded-Forms/Misses-Molded-Forms.html',(SELECT CONCAT(url_path, '.html') FROM catalog_category_flat_store_1 WHERE entity_id=963));</v>
      </c>
      <c r="D1036" t="str">
        <f t="shared" si="33"/>
        <v>UPDATE url_rewrite SET request_path = '65153/36394/Molded-Forms/Misses-Molded-Forms.html' WHERE entity_type='custom' AND target_path=(SELECT CONCAT(url_path, '.html') FROM catalog_category_flat_store_1 WHERE entity_id=963);</v>
      </c>
    </row>
    <row r="1037" spans="1:4" x14ac:dyDescent="0.25">
      <c r="A1037">
        <f>categories!B1037</f>
        <v>964</v>
      </c>
      <c r="B1037" t="str">
        <f>SUBSTITUTE(SUBSTITUTE(categories!H1037,"\","/"),"www.americanretailsupply.com/","")</f>
        <v>65153/36395/Molded-Forms/Male-Full-Torso-Molded-Forms.html</v>
      </c>
      <c r="C1037" t="str">
        <f t="shared" si="32"/>
        <v>INSERT INTO url_rewrite (entity_type, entity_id, redirect_type, store_id, request_path, target_path) VALUES ('custom', 0, 301, 1,'65153/36395/Molded-Forms/Male-Full-Torso-Molded-Forms.html',(SELECT CONCAT(url_path, '.html') FROM catalog_category_flat_store_1 WHERE entity_id=964));</v>
      </c>
      <c r="D1037" t="str">
        <f t="shared" si="33"/>
        <v>UPDATE url_rewrite SET request_path = '65153/36395/Molded-Forms/Male-Full-Torso-Molded-Forms.html' WHERE entity_type='custom' AND target_path=(SELECT CONCAT(url_path, '.html') FROM catalog_category_flat_store_1 WHERE entity_id=964);</v>
      </c>
    </row>
    <row r="1038" spans="1:4" x14ac:dyDescent="0.25">
      <c r="A1038">
        <f>categories!B1038</f>
        <v>965</v>
      </c>
      <c r="B1038" t="str">
        <f>SUBSTITUTE(SUBSTITUTE(categories!H1038,"\","/"),"www.americanretailsupply.com/","")</f>
        <v>65153/156945/Molded-Forms/Ladies-Full-Round-58-Flange-Black.html</v>
      </c>
      <c r="C1038" t="str">
        <f t="shared" si="32"/>
        <v>INSERT INTO url_rewrite (entity_type, entity_id, redirect_type, store_id, request_path, target_path) VALUES ('custom', 0, 301, 1,'65153/156945/Molded-Forms/Ladies-Full-Round-58-Flange-Black.html',(SELECT CONCAT(url_path, '.html') FROM catalog_category_flat_store_1 WHERE entity_id=965));</v>
      </c>
      <c r="D1038" t="str">
        <f t="shared" si="33"/>
        <v>UPDATE url_rewrite SET request_path = '65153/156945/Molded-Forms/Ladies-Full-Round-58-Flange-Black.html' WHERE entity_type='custom' AND target_path=(SELECT CONCAT(url_path, '.html') FROM catalog_category_flat_store_1 WHERE entity_id=965);</v>
      </c>
    </row>
    <row r="1039" spans="1:4" x14ac:dyDescent="0.25">
      <c r="A1039">
        <f>categories!B1039</f>
        <v>966</v>
      </c>
      <c r="B1039" t="str">
        <f>SUBSTITUTE(SUBSTITUTE(categories!H1039,"\","/"),"www.americanretailsupply.com/","")</f>
        <v>65153/156946/Molded-Forms/Mens-Full-Round-58-Flange-Black.html</v>
      </c>
      <c r="C1039" t="str">
        <f t="shared" si="32"/>
        <v>INSERT INTO url_rewrite (entity_type, entity_id, redirect_type, store_id, request_path, target_path) VALUES ('custom', 0, 301, 1,'65153/156946/Molded-Forms/Mens-Full-Round-58-Flange-Black.html',(SELECT CONCAT(url_path, '.html') FROM catalog_category_flat_store_1 WHERE entity_id=966));</v>
      </c>
      <c r="D1039" t="str">
        <f t="shared" si="33"/>
        <v>UPDATE url_rewrite SET request_path = '65153/156946/Molded-Forms/Mens-Full-Round-58-Flange-Black.html' WHERE entity_type='custom' AND target_path=(SELECT CONCAT(url_path, '.html') FROM catalog_category_flat_store_1 WHERE entity_id=966);</v>
      </c>
    </row>
    <row r="1040" spans="1:4" x14ac:dyDescent="0.25">
      <c r="A1040">
        <f>categories!B1040</f>
        <v>967</v>
      </c>
      <c r="B1040" t="str">
        <f>SUBSTITUTE(SUBSTITUTE(categories!H1040,"\","/"),"www.americanretailsupply.com/","")</f>
        <v>65153/156947/Molded-Forms/Female-Full-Round-Butt-Form.html</v>
      </c>
      <c r="C1040" t="str">
        <f t="shared" si="32"/>
        <v>INSERT INTO url_rewrite (entity_type, entity_id, redirect_type, store_id, request_path, target_path) VALUES ('custom', 0, 301, 1,'65153/156947/Molded-Forms/Female-Full-Round-Butt-Form.html',(SELECT CONCAT(url_path, '.html') FROM catalog_category_flat_store_1 WHERE entity_id=967));</v>
      </c>
      <c r="D1040" t="str">
        <f t="shared" si="33"/>
        <v>UPDATE url_rewrite SET request_path = '65153/156947/Molded-Forms/Female-Full-Round-Butt-Form.html' WHERE entity_type='custom' AND target_path=(SELECT CONCAT(url_path, '.html') FROM catalog_category_flat_store_1 WHERE entity_id=967);</v>
      </c>
    </row>
    <row r="1041" spans="1:4" x14ac:dyDescent="0.25">
      <c r="A1041">
        <f>categories!B1041</f>
        <v>968</v>
      </c>
      <c r="B1041" t="str">
        <f>SUBSTITUTE(SUBSTITUTE(categories!H1041,"\","/"),"www.americanretailsupply.com/","")</f>
        <v>65153/156948/Molded-Forms/Full-Round-Active-Wear-Cameo.html</v>
      </c>
      <c r="C1041" t="str">
        <f t="shared" si="32"/>
        <v>INSERT INTO url_rewrite (entity_type, entity_id, redirect_type, store_id, request_path, target_path) VALUES ('custom', 0, 301, 1,'65153/156948/Molded-Forms/Full-Round-Active-Wear-Cameo.html',(SELECT CONCAT(url_path, '.html') FROM catalog_category_flat_store_1 WHERE entity_id=968));</v>
      </c>
      <c r="D1041" t="str">
        <f t="shared" si="33"/>
        <v>UPDATE url_rewrite SET request_path = '65153/156948/Molded-Forms/Full-Round-Active-Wear-Cameo.html' WHERE entity_type='custom' AND target_path=(SELECT CONCAT(url_path, '.html') FROM catalog_category_flat_store_1 WHERE entity_id=968);</v>
      </c>
    </row>
    <row r="1042" spans="1:4" x14ac:dyDescent="0.25">
      <c r="A1042">
        <f>categories!B1042</f>
        <v>969</v>
      </c>
      <c r="B1042" t="str">
        <f>SUBSTITUTE(SUBSTITUTE(categories!H1042,"\","/"),"www.americanretailsupply.com/","")</f>
        <v>65153/156949/Molded-Forms/Male-Full-Round-Butt-Form.html</v>
      </c>
      <c r="C1042" t="str">
        <f t="shared" si="32"/>
        <v>INSERT INTO url_rewrite (entity_type, entity_id, redirect_type, store_id, request_path, target_path) VALUES ('custom', 0, 301, 1,'65153/156949/Molded-Forms/Male-Full-Round-Butt-Form.html',(SELECT CONCAT(url_path, '.html') FROM catalog_category_flat_store_1 WHERE entity_id=969));</v>
      </c>
      <c r="D1042" t="str">
        <f t="shared" si="33"/>
        <v>UPDATE url_rewrite SET request_path = '65153/156949/Molded-Forms/Male-Full-Round-Butt-Form.html' WHERE entity_type='custom' AND target_path=(SELECT CONCAT(url_path, '.html') FROM catalog_category_flat_store_1 WHERE entity_id=969);</v>
      </c>
    </row>
    <row r="1043" spans="1:4" x14ac:dyDescent="0.25">
      <c r="A1043">
        <f>categories!B1043</f>
        <v>970</v>
      </c>
      <c r="B1043" t="str">
        <f>SUBSTITUTE(SUBSTITUTE(categories!H1043,"\","/"),"www.americanretailsupply.com/","")</f>
        <v>65153/253861/Molded-Forms/Contemporary-Design-Metal-Dress-Forms.html</v>
      </c>
      <c r="C1043" t="str">
        <f t="shared" si="32"/>
        <v>INSERT INTO url_rewrite (entity_type, entity_id, redirect_type, store_id, request_path, target_path) VALUES ('custom', 0, 301, 1,'65153/253861/Molded-Forms/Contemporary-Design-Metal-Dress-Forms.html',(SELECT CONCAT(url_path, '.html') FROM catalog_category_flat_store_1 WHERE entity_id=970));</v>
      </c>
      <c r="D1043" t="str">
        <f t="shared" si="33"/>
        <v>UPDATE url_rewrite SET request_path = '65153/253861/Molded-Forms/Contemporary-Design-Metal-Dress-Forms.html' WHERE entity_type='custom' AND target_path=(SELECT CONCAT(url_path, '.html') FROM catalog_category_flat_store_1 WHERE entity_id=970);</v>
      </c>
    </row>
    <row r="1044" spans="1:4" x14ac:dyDescent="0.25">
      <c r="A1044">
        <f>categories!B1044</f>
        <v>971</v>
      </c>
      <c r="B1044" t="str">
        <f>SUBSTITUTE(SUBSTITUTE(categories!H1044,"\","/"),"www.americanretailsupply.com/","")</f>
        <v>65153/741246/Molded-Forms/Ladies-Torso.html</v>
      </c>
      <c r="C1044" t="str">
        <f t="shared" si="32"/>
        <v>INSERT INTO url_rewrite (entity_type, entity_id, redirect_type, store_id, request_path, target_path) VALUES ('custom', 0, 301, 1,'65153/741246/Molded-Forms/Ladies-Torso.html',(SELECT CONCAT(url_path, '.html') FROM catalog_category_flat_store_1 WHERE entity_id=971));</v>
      </c>
      <c r="D1044" t="str">
        <f t="shared" si="33"/>
        <v>UPDATE url_rewrite SET request_path = '65153/741246/Molded-Forms/Ladies-Torso.html' WHERE entity_type='custom' AND target_path=(SELECT CONCAT(url_path, '.html') FROM catalog_category_flat_store_1 WHERE entity_id=971);</v>
      </c>
    </row>
    <row r="1045" spans="1:4" x14ac:dyDescent="0.25">
      <c r="A1045">
        <f>categories!B1045</f>
        <v>972</v>
      </c>
      <c r="B1045" t="str">
        <f>SUBSTITUTE(SUBSTITUTE(categories!H1045,"\","/"),"www.americanretailsupply.com/","")</f>
        <v>65153/741247/Molded-Forms/Mens-Torso.html</v>
      </c>
      <c r="C1045" t="str">
        <f t="shared" si="32"/>
        <v>INSERT INTO url_rewrite (entity_type, entity_id, redirect_type, store_id, request_path, target_path) VALUES ('custom', 0, 301, 1,'65153/741247/Molded-Forms/Mens-Torso.html',(SELECT CONCAT(url_path, '.html') FROM catalog_category_flat_store_1 WHERE entity_id=972));</v>
      </c>
      <c r="D1045" t="str">
        <f t="shared" si="33"/>
        <v>UPDATE url_rewrite SET request_path = '65153/741247/Molded-Forms/Mens-Torso.html' WHERE entity_type='custom' AND target_path=(SELECT CONCAT(url_path, '.html') FROM catalog_category_flat_store_1 WHERE entity_id=972);</v>
      </c>
    </row>
    <row r="1046" spans="1:4" x14ac:dyDescent="0.25">
      <c r="A1046">
        <f>categories!B1046</f>
        <v>974</v>
      </c>
      <c r="B1046" t="str">
        <f>SUBSTITUTE(SUBSTITUTE(categories!H1046,"\","/"),"www.americanretailsupply.com/","")</f>
        <v>64734/19772/Natural-Curling-Ribbon/Ribbon-Slitters.html</v>
      </c>
      <c r="C1046" t="str">
        <f t="shared" si="32"/>
        <v>INSERT INTO url_rewrite (entity_type, entity_id, redirect_type, store_id, request_path, target_path) VALUES ('custom', 0, 301, 1,'64734/19772/Natural-Curling-Ribbon/Ribbon-Slitters.html',(SELECT CONCAT(url_path, '.html') FROM catalog_category_flat_store_1 WHERE entity_id=974));</v>
      </c>
      <c r="D1046" t="str">
        <f t="shared" si="33"/>
        <v>UPDATE url_rewrite SET request_path = '64734/19772/Natural-Curling-Ribbon/Ribbon-Slitters.html' WHERE entity_type='custom' AND target_path=(SELECT CONCAT(url_path, '.html') FROM catalog_category_flat_store_1 WHERE entity_id=974);</v>
      </c>
    </row>
    <row r="1047" spans="1:4" x14ac:dyDescent="0.25">
      <c r="A1047">
        <f>categories!B1047</f>
        <v>975</v>
      </c>
      <c r="B1047" t="str">
        <f>SUBSTITUTE(SUBSTITUTE(categories!H1047,"\","/"),"www.americanretailsupply.com/","")</f>
        <v>64734/19643/Natural-Curling-Ribbon/Solid-Natural-Curling-Ribbon.html</v>
      </c>
      <c r="C1047" t="str">
        <f t="shared" si="32"/>
        <v>INSERT INTO url_rewrite (entity_type, entity_id, redirect_type, store_id, request_path, target_path) VALUES ('custom', 0, 301, 1,'64734/19643/Natural-Curling-Ribbon/Solid-Natural-Curling-Ribbon.html',(SELECT CONCAT(url_path, '.html') FROM catalog_category_flat_store_1 WHERE entity_id=975));</v>
      </c>
      <c r="D1047" t="str">
        <f t="shared" si="33"/>
        <v>UPDATE url_rewrite SET request_path = '64734/19643/Natural-Curling-Ribbon/Solid-Natural-Curling-Ribbon.html' WHERE entity_type='custom' AND target_path=(SELECT CONCAT(url_path, '.html') FROM catalog_category_flat_store_1 WHERE entity_id=975);</v>
      </c>
    </row>
    <row r="1048" spans="1:4" x14ac:dyDescent="0.25">
      <c r="A1048">
        <f>categories!B1048</f>
        <v>976</v>
      </c>
      <c r="B1048" t="str">
        <f>SUBSTITUTE(SUBSTITUTE(categories!H1048,"\","/"),"www.americanretailsupply.com/","")</f>
        <v>64734/172812/Natural-Curling-Ribbon/Hot-Dots-Natural-Curling-Ribbon.html</v>
      </c>
      <c r="C1048" t="str">
        <f t="shared" si="32"/>
        <v>INSERT INTO url_rewrite (entity_type, entity_id, redirect_type, store_id, request_path, target_path) VALUES ('custom', 0, 301, 1,'64734/172812/Natural-Curling-Ribbon/Hot-Dots-Natural-Curling-Ribbon.html',(SELECT CONCAT(url_path, '.html') FROM catalog_category_flat_store_1 WHERE entity_id=976));</v>
      </c>
      <c r="D1048" t="str">
        <f t="shared" si="33"/>
        <v>UPDATE url_rewrite SET request_path = '64734/172812/Natural-Curling-Ribbon/Hot-Dots-Natural-Curling-Ribbon.html' WHERE entity_type='custom' AND target_path=(SELECT CONCAT(url_path, '.html') FROM catalog_category_flat_store_1 WHERE entity_id=976);</v>
      </c>
    </row>
    <row r="1049" spans="1:4" x14ac:dyDescent="0.25">
      <c r="A1049">
        <f>categories!B1049</f>
        <v>977</v>
      </c>
      <c r="B1049" t="str">
        <f>SUBSTITUTE(SUBSTITUTE(categories!H1049,"\","/"),"www.americanretailsupply.com/","")</f>
        <v>64734/172813/Natural-Curling-Ribbon/Chambray-Natural-Curling-Ribbon.html</v>
      </c>
      <c r="C1049" t="str">
        <f t="shared" si="32"/>
        <v>INSERT INTO url_rewrite (entity_type, entity_id, redirect_type, store_id, request_path, target_path) VALUES ('custom', 0, 301, 1,'64734/172813/Natural-Curling-Ribbon/Chambray-Natural-Curling-Ribbon.html',(SELECT CONCAT(url_path, '.html') FROM catalog_category_flat_store_1 WHERE entity_id=977));</v>
      </c>
      <c r="D1049" t="str">
        <f t="shared" si="33"/>
        <v>UPDATE url_rewrite SET request_path = '64734/172813/Natural-Curling-Ribbon/Chambray-Natural-Curling-Ribbon.html' WHERE entity_type='custom' AND target_path=(SELECT CONCAT(url_path, '.html') FROM catalog_category_flat_store_1 WHERE entity_id=977);</v>
      </c>
    </row>
    <row r="1050" spans="1:4" x14ac:dyDescent="0.25">
      <c r="A1050">
        <f>categories!B1050</f>
        <v>978</v>
      </c>
      <c r="B1050" t="str">
        <f>SUBSTITUTE(SUBSTITUTE(categories!H1050,"\","/"),"www.americanretailsupply.com/","")</f>
        <v>64734/172814/Natural-Curling-Ribbon/Metallic-Crimped-Natural-Curling-Ribbon.html</v>
      </c>
      <c r="C1050" t="str">
        <f t="shared" si="32"/>
        <v>INSERT INTO url_rewrite (entity_type, entity_id, redirect_type, store_id, request_path, target_path) VALUES ('custom', 0, 301, 1,'64734/172814/Natural-Curling-Ribbon/Metallic-Crimped-Natural-Curling-Ribbon.html',(SELECT CONCAT(url_path, '.html') FROM catalog_category_flat_store_1 WHERE entity_id=978));</v>
      </c>
      <c r="D1050" t="str">
        <f t="shared" si="33"/>
        <v>UPDATE url_rewrite SET request_path = '64734/172814/Natural-Curling-Ribbon/Metallic-Crimped-Natural-Curling-Ribbon.html' WHERE entity_type='custom' AND target_path=(SELECT CONCAT(url_path, '.html') FROM catalog_category_flat_store_1 WHERE entity_id=978);</v>
      </c>
    </row>
    <row r="1051" spans="1:4" x14ac:dyDescent="0.25">
      <c r="A1051">
        <f>categories!B1051</f>
        <v>979</v>
      </c>
      <c r="B1051" t="str">
        <f>SUBSTITUTE(SUBSTITUTE(categories!H1051,"\","/"),"www.americanretailsupply.com/","")</f>
        <v>64734/172815/Natural-Curling-Ribbon/Stripe-Natural-Curling-Ribbon.html</v>
      </c>
      <c r="C1051" t="str">
        <f t="shared" si="32"/>
        <v>INSERT INTO url_rewrite (entity_type, entity_id, redirect_type, store_id, request_path, target_path) VALUES ('custom', 0, 301, 1,'64734/172815/Natural-Curling-Ribbon/Stripe-Natural-Curling-Ribbon.html',(SELECT CONCAT(url_path, '.html') FROM catalog_category_flat_store_1 WHERE entity_id=979));</v>
      </c>
      <c r="D1051" t="str">
        <f t="shared" si="33"/>
        <v>UPDATE url_rewrite SET request_path = '64734/172815/Natural-Curling-Ribbon/Stripe-Natural-Curling-Ribbon.html' WHERE entity_type='custom' AND target_path=(SELECT CONCAT(url_path, '.html') FROM catalog_category_flat_store_1 WHERE entity_id=979);</v>
      </c>
    </row>
    <row r="1052" spans="1:4" x14ac:dyDescent="0.25">
      <c r="A1052">
        <f>categories!B1052</f>
        <v>980</v>
      </c>
      <c r="B1052" t="str">
        <f>SUBSTITUTE(SUBSTITUTE(categories!H1052,"\","/"),"www.americanretailsupply.com/","")</f>
        <v>64734/745607/Natural-Curling-Ribbon/Animal-Prints-Natural-Curling-Ribbon.html</v>
      </c>
      <c r="C1052" t="str">
        <f t="shared" si="32"/>
        <v>INSERT INTO url_rewrite (entity_type, entity_id, redirect_type, store_id, request_path, target_path) VALUES ('custom', 0, 301, 1,'64734/745607/Natural-Curling-Ribbon/Animal-Prints-Natural-Curling-Ribbon.html',(SELECT CONCAT(url_path, '.html') FROM catalog_category_flat_store_1 WHERE entity_id=980));</v>
      </c>
      <c r="D1052" t="str">
        <f t="shared" si="33"/>
        <v>UPDATE url_rewrite SET request_path = '64734/745607/Natural-Curling-Ribbon/Animal-Prints-Natural-Curling-Ribbon.html' WHERE entity_type='custom' AND target_path=(SELECT CONCAT(url_path, '.html') FROM catalog_category_flat_store_1 WHERE entity_id=980);</v>
      </c>
    </row>
    <row r="1053" spans="1:4" x14ac:dyDescent="0.25">
      <c r="A1053">
        <f>categories!B1053</f>
        <v>982</v>
      </c>
      <c r="B1053" t="str">
        <f>SUBSTITUTE(SUBSTITUTE(categories!H1053,"\","/"),"www.americanretailsupply.com/","")</f>
        <v>64787/37280/Necklace--Bracelet-Displays/Bracelet-Oval-2-Bar-T--Bar.html</v>
      </c>
      <c r="C1053" t="str">
        <f t="shared" si="32"/>
        <v>INSERT INTO url_rewrite (entity_type, entity_id, redirect_type, store_id, request_path, target_path) VALUES ('custom', 0, 301, 1,'64787/37280/Necklace--Bracelet-Displays/Bracelet-Oval-2-Bar-T--Bar.html',(SELECT CONCAT(url_path, '.html') FROM catalog_category_flat_store_1 WHERE entity_id=982));</v>
      </c>
      <c r="D1053" t="str">
        <f t="shared" si="33"/>
        <v>UPDATE url_rewrite SET request_path = '64787/37280/Necklace--Bracelet-Displays/Bracelet-Oval-2-Bar-T--Bar.html' WHERE entity_type='custom' AND target_path=(SELECT CONCAT(url_path, '.html') FROM catalog_category_flat_store_1 WHERE entity_id=982);</v>
      </c>
    </row>
    <row r="1054" spans="1:4" x14ac:dyDescent="0.25">
      <c r="A1054">
        <f>categories!B1054</f>
        <v>983</v>
      </c>
      <c r="B1054" t="str">
        <f>SUBSTITUTE(SUBSTITUTE(categories!H1054,"\","/"),"www.americanretailsupply.com/","")</f>
        <v>64787/37281/Necklace--Bracelet-Displays/Oval-Single-T--Bar-for-Bracelets.html</v>
      </c>
      <c r="C1054" t="str">
        <f t="shared" si="32"/>
        <v>INSERT INTO url_rewrite (entity_type, entity_id, redirect_type, store_id, request_path, target_path) VALUES ('custom', 0, 301, 1,'64787/37281/Necklace--Bracelet-Displays/Oval-Single-T--Bar-for-Bracelets.html',(SELECT CONCAT(url_path, '.html') FROM catalog_category_flat_store_1 WHERE entity_id=983));</v>
      </c>
      <c r="D1054" t="str">
        <f t="shared" si="33"/>
        <v>UPDATE url_rewrite SET request_path = '64787/37281/Necklace--Bracelet-Displays/Oval-Single-T--Bar-for-Bracelets.html' WHERE entity_type='custom' AND target_path=(SELECT CONCAT(url_path, '.html') FROM catalog_category_flat_store_1 WHERE entity_id=983);</v>
      </c>
    </row>
    <row r="1055" spans="1:4" x14ac:dyDescent="0.25">
      <c r="A1055">
        <f>categories!B1055</f>
        <v>984</v>
      </c>
      <c r="B1055" t="str">
        <f>SUBSTITUTE(SUBSTITUTE(categories!H1055,"\","/"),"www.americanretailsupply.com/","")</f>
        <v>64787/37282/Necklace--Bracelet-Displays/Slotted-Bracelet-Ramp.html</v>
      </c>
      <c r="C1055" t="str">
        <f t="shared" si="32"/>
        <v>INSERT INTO url_rewrite (entity_type, entity_id, redirect_type, store_id, request_path, target_path) VALUES ('custom', 0, 301, 1,'64787/37282/Necklace--Bracelet-Displays/Slotted-Bracelet-Ramp.html',(SELECT CONCAT(url_path, '.html') FROM catalog_category_flat_store_1 WHERE entity_id=984));</v>
      </c>
      <c r="D1055" t="str">
        <f t="shared" si="33"/>
        <v>UPDATE url_rewrite SET request_path = '64787/37282/Necklace--Bracelet-Displays/Slotted-Bracelet-Ramp.html' WHERE entity_type='custom' AND target_path=(SELECT CONCAT(url_path, '.html') FROM catalog_category_flat_store_1 WHERE entity_id=984);</v>
      </c>
    </row>
    <row r="1056" spans="1:4" x14ac:dyDescent="0.25">
      <c r="A1056">
        <f>categories!B1056</f>
        <v>985</v>
      </c>
      <c r="B1056" t="str">
        <f>SUBSTITUTE(SUBSTITUTE(categories!H1056,"\","/"),"www.americanretailsupply.com/","")</f>
        <v>64787/37785/Necklace--Bracelet-Displays/Venus-Figure-Jewelry-Display.html</v>
      </c>
      <c r="C1056" t="str">
        <f t="shared" si="32"/>
        <v>INSERT INTO url_rewrite (entity_type, entity_id, redirect_type, store_id, request_path, target_path) VALUES ('custom', 0, 301, 1,'64787/37785/Necklace--Bracelet-Displays/Venus-Figure-Jewelry-Display.html',(SELECT CONCAT(url_path, '.html') FROM catalog_category_flat_store_1 WHERE entity_id=985));</v>
      </c>
      <c r="D1056" t="str">
        <f t="shared" si="33"/>
        <v>UPDATE url_rewrite SET request_path = '64787/37785/Necklace--Bracelet-Displays/Venus-Figure-Jewelry-Display.html' WHERE entity_type='custom' AND target_path=(SELECT CONCAT(url_path, '.html') FROM catalog_category_flat_store_1 WHERE entity_id=985);</v>
      </c>
    </row>
    <row r="1057" spans="1:4" x14ac:dyDescent="0.25">
      <c r="A1057">
        <f>categories!B1057</f>
        <v>986</v>
      </c>
      <c r="B1057" t="str">
        <f>SUBSTITUTE(SUBSTITUTE(categories!H1057,"\","/"),"www.americanretailsupply.com/","")</f>
        <v>64787/37787/Necklace--Bracelet-Displays/Round-T-Bar-Necklace-Display.html</v>
      </c>
      <c r="C1057" t="str">
        <f t="shared" si="32"/>
        <v>INSERT INTO url_rewrite (entity_type, entity_id, redirect_type, store_id, request_path, target_path) VALUES ('custom', 0, 301, 1,'64787/37787/Necklace--Bracelet-Displays/Round-T-Bar-Necklace-Display.html',(SELECT CONCAT(url_path, '.html') FROM catalog_category_flat_store_1 WHERE entity_id=986));</v>
      </c>
      <c r="D1057" t="str">
        <f t="shared" si="33"/>
        <v>UPDATE url_rewrite SET request_path = '64787/37787/Necklace--Bracelet-Displays/Round-T-Bar-Necklace-Display.html' WHERE entity_type='custom' AND target_path=(SELECT CONCAT(url_path, '.html') FROM catalog_category_flat_store_1 WHERE entity_id=986);</v>
      </c>
    </row>
    <row r="1058" spans="1:4" x14ac:dyDescent="0.25">
      <c r="A1058">
        <f>categories!B1058</f>
        <v>987</v>
      </c>
      <c r="B1058" t="str">
        <f>SUBSTITUTE(SUBSTITUTE(categories!H1058,"\","/"),"www.americanretailsupply.com/","")</f>
        <v>64787/47218/Necklace--Bracelet-Displays/Flat-Multi--Necklace-Display-with-Easel.html</v>
      </c>
      <c r="C1058" t="str">
        <f t="shared" si="32"/>
        <v>INSERT INTO url_rewrite (entity_type, entity_id, redirect_type, store_id, request_path, target_path) VALUES ('custom', 0, 301, 1,'64787/47218/Necklace--Bracelet-Displays/Flat-Multi--Necklace-Display-with-Easel.html',(SELECT CONCAT(url_path, '.html') FROM catalog_category_flat_store_1 WHERE entity_id=987));</v>
      </c>
      <c r="D1058" t="str">
        <f t="shared" si="33"/>
        <v>UPDATE url_rewrite SET request_path = '64787/47218/Necklace--Bracelet-Displays/Flat-Multi--Necklace-Display-with-Easel.html' WHERE entity_type='custom' AND target_path=(SELECT CONCAT(url_path, '.html') FROM catalog_category_flat_store_1 WHERE entity_id=987);</v>
      </c>
    </row>
    <row r="1059" spans="1:4" x14ac:dyDescent="0.25">
      <c r="A1059">
        <f>categories!B1059</f>
        <v>988</v>
      </c>
      <c r="B1059" t="str">
        <f>SUBSTITUTE(SUBSTITUTE(categories!H1059,"\","/"),"www.americanretailsupply.com/","")</f>
        <v>64787/47219/Necklace--Bracelet-Displays/Round-2-Level-T-Bar-NecklaceBracelet-Stand.html</v>
      </c>
      <c r="C1059" t="str">
        <f t="shared" si="32"/>
        <v>INSERT INTO url_rewrite (entity_type, entity_id, redirect_type, store_id, request_path, target_path) VALUES ('custom', 0, 301, 1,'64787/47219/Necklace--Bracelet-Displays/Round-2-Level-T-Bar-NecklaceBracelet-Stand.html',(SELECT CONCAT(url_path, '.html') FROM catalog_category_flat_store_1 WHERE entity_id=988));</v>
      </c>
      <c r="D1059" t="str">
        <f t="shared" si="33"/>
        <v>UPDATE url_rewrite SET request_path = '64787/47219/Necklace--Bracelet-Displays/Round-2-Level-T-Bar-NecklaceBracelet-Stand.html' WHERE entity_type='custom' AND target_path=(SELECT CONCAT(url_path, '.html') FROM catalog_category_flat_store_1 WHERE entity_id=988);</v>
      </c>
    </row>
    <row r="1060" spans="1:4" x14ac:dyDescent="0.25">
      <c r="A1060">
        <f>categories!B1060</f>
        <v>989</v>
      </c>
      <c r="B1060" t="str">
        <f>SUBSTITUTE(SUBSTITUTE(categories!H1060,"\","/"),"www.americanretailsupply.com/","")</f>
        <v>64787/47220/Necklace--Bracelet-Displays/Necklace-Padded-Display-with-Easel.html</v>
      </c>
      <c r="C1060" t="str">
        <f t="shared" si="32"/>
        <v>INSERT INTO url_rewrite (entity_type, entity_id, redirect_type, store_id, request_path, target_path) VALUES ('custom', 0, 301, 1,'64787/47220/Necklace--Bracelet-Displays/Necklace-Padded-Display-with-Easel.html',(SELECT CONCAT(url_path, '.html') FROM catalog_category_flat_store_1 WHERE entity_id=989));</v>
      </c>
      <c r="D1060" t="str">
        <f t="shared" si="33"/>
        <v>UPDATE url_rewrite SET request_path = '64787/47220/Necklace--Bracelet-Displays/Necklace-Padded-Display-with-Easel.html' WHERE entity_type='custom' AND target_path=(SELECT CONCAT(url_path, '.html') FROM catalog_category_flat_store_1 WHERE entity_id=989);</v>
      </c>
    </row>
    <row r="1061" spans="1:4" x14ac:dyDescent="0.25">
      <c r="A1061">
        <f>categories!B1061</f>
        <v>990</v>
      </c>
      <c r="B1061" t="str">
        <f>SUBSTITUTE(SUBSTITUTE(categories!H1061,"\","/"),"www.americanretailsupply.com/","")</f>
        <v>64787/47870/Necklace--Bracelet-Displays/Small-Necklace-Bust-Display.html</v>
      </c>
      <c r="C1061" t="str">
        <f t="shared" si="32"/>
        <v>INSERT INTO url_rewrite (entity_type, entity_id, redirect_type, store_id, request_path, target_path) VALUES ('custom', 0, 301, 1,'64787/47870/Necklace--Bracelet-Displays/Small-Necklace-Bust-Display.html',(SELECT CONCAT(url_path, '.html') FROM catalog_category_flat_store_1 WHERE entity_id=990));</v>
      </c>
      <c r="D1061" t="str">
        <f t="shared" si="33"/>
        <v>UPDATE url_rewrite SET request_path = '64787/47870/Necklace--Bracelet-Displays/Small-Necklace-Bust-Display.html' WHERE entity_type='custom' AND target_path=(SELECT CONCAT(url_path, '.html') FROM catalog_category_flat_store_1 WHERE entity_id=990);</v>
      </c>
    </row>
    <row r="1062" spans="1:4" x14ac:dyDescent="0.25">
      <c r="A1062">
        <f>categories!B1062</f>
        <v>991</v>
      </c>
      <c r="B1062" t="str">
        <f>SUBSTITUTE(SUBSTITUTE(categories!H1062,"\","/"),"www.americanretailsupply.com/","")</f>
        <v>64787/47871/Necklace--Bracelet-Displays/Necklace-Bust-Display.html</v>
      </c>
      <c r="C1062" t="str">
        <f t="shared" si="32"/>
        <v>INSERT INTO url_rewrite (entity_type, entity_id, redirect_type, store_id, request_path, target_path) VALUES ('custom', 0, 301, 1,'64787/47871/Necklace--Bracelet-Displays/Necklace-Bust-Display.html',(SELECT CONCAT(url_path, '.html') FROM catalog_category_flat_store_1 WHERE entity_id=991));</v>
      </c>
      <c r="D1062" t="str">
        <f t="shared" si="33"/>
        <v>UPDATE url_rewrite SET request_path = '64787/47871/Necklace--Bracelet-Displays/Necklace-Bust-Display.html' WHERE entity_type='custom' AND target_path=(SELECT CONCAT(url_path, '.html') FROM catalog_category_flat_store_1 WHERE entity_id=991);</v>
      </c>
    </row>
    <row r="1063" spans="1:4" x14ac:dyDescent="0.25">
      <c r="A1063">
        <f>categories!B1063</f>
        <v>992</v>
      </c>
      <c r="B1063" t="str">
        <f>SUBSTITUTE(SUBSTITUTE(categories!H1063,"\","/"),"www.americanretailsupply.com/","")</f>
        <v>64787/47872/Necklace--Bracelet-Displays/Neck-Form-Necklace-Display-with-Adjustable-Stand.html</v>
      </c>
      <c r="C1063" t="str">
        <f t="shared" si="32"/>
        <v>INSERT INTO url_rewrite (entity_type, entity_id, redirect_type, store_id, request_path, target_path) VALUES ('custom', 0, 301, 1,'64787/47872/Necklace--Bracelet-Displays/Neck-Form-Necklace-Display-with-Adjustable-Stand.html',(SELECT CONCAT(url_path, '.html') FROM catalog_category_flat_store_1 WHERE entity_id=992));</v>
      </c>
      <c r="D1063" t="str">
        <f t="shared" si="33"/>
        <v>UPDATE url_rewrite SET request_path = '64787/47872/Necklace--Bracelet-Displays/Neck-Form-Necklace-Display-with-Adjustable-Stand.html' WHERE entity_type='custom' AND target_path=(SELECT CONCAT(url_path, '.html') FROM catalog_category_flat_store_1 WHERE entity_id=992);</v>
      </c>
    </row>
    <row r="1064" spans="1:4" x14ac:dyDescent="0.25">
      <c r="A1064">
        <f>categories!B1064</f>
        <v>993</v>
      </c>
      <c r="B1064" t="str">
        <f>SUBSTITUTE(SUBSTITUTE(categories!H1064,"\","/"),"www.americanretailsupply.com/","")</f>
        <v>64787/231607/Necklace--Bracelet-Displays/Vertical-Single-Watch-Display.html</v>
      </c>
      <c r="C1064" t="str">
        <f t="shared" si="32"/>
        <v>INSERT INTO url_rewrite (entity_type, entity_id, redirect_type, store_id, request_path, target_path) VALUES ('custom', 0, 301, 1,'64787/231607/Necklace--Bracelet-Displays/Vertical-Single-Watch-Display.html',(SELECT CONCAT(url_path, '.html') FROM catalog_category_flat_store_1 WHERE entity_id=993));</v>
      </c>
      <c r="D1064" t="str">
        <f t="shared" si="33"/>
        <v>UPDATE url_rewrite SET request_path = '64787/231607/Necklace--Bracelet-Displays/Vertical-Single-Watch-Display.html' WHERE entity_type='custom' AND target_path=(SELECT CONCAT(url_path, '.html') FROM catalog_category_flat_store_1 WHERE entity_id=993);</v>
      </c>
    </row>
    <row r="1065" spans="1:4" x14ac:dyDescent="0.25">
      <c r="A1065">
        <f>categories!B1065</f>
        <v>994</v>
      </c>
      <c r="B1065" t="str">
        <f>SUBSTITUTE(SUBSTITUTE(categories!H1065,"\","/"),"www.americanretailsupply.com/","")</f>
        <v>64787/255318/Necklace--Bracelet-Displays/Bracelet--Oval-T--Bar-3-Bar.html</v>
      </c>
      <c r="C1065" t="str">
        <f t="shared" si="32"/>
        <v>INSERT INTO url_rewrite (entity_type, entity_id, redirect_type, store_id, request_path, target_path) VALUES ('custom', 0, 301, 1,'64787/255318/Necklace--Bracelet-Displays/Bracelet--Oval-T--Bar-3-Bar.html',(SELECT CONCAT(url_path, '.html') FROM catalog_category_flat_store_1 WHERE entity_id=994));</v>
      </c>
      <c r="D1065" t="str">
        <f t="shared" si="33"/>
        <v>UPDATE url_rewrite SET request_path = '64787/255318/Necklace--Bracelet-Displays/Bracelet--Oval-T--Bar-3-Bar.html' WHERE entity_type='custom' AND target_path=(SELECT CONCAT(url_path, '.html') FROM catalog_category_flat_store_1 WHERE entity_id=994);</v>
      </c>
    </row>
    <row r="1066" spans="1:4" x14ac:dyDescent="0.25">
      <c r="A1066">
        <f>categories!B1066</f>
        <v>995</v>
      </c>
      <c r="B1066" t="str">
        <f>SUBSTITUTE(SUBSTITUTE(categories!H1066,"\","/"),"www.americanretailsupply.com/","")</f>
        <v>64787/746245/Necklace--Bracelet-Displays/Tall-Bust-Necklace-Display.html</v>
      </c>
      <c r="C1066" t="str">
        <f t="shared" si="32"/>
        <v>INSERT INTO url_rewrite (entity_type, entity_id, redirect_type, store_id, request_path, target_path) VALUES ('custom', 0, 301, 1,'64787/746245/Necklace--Bracelet-Displays/Tall-Bust-Necklace-Display.html',(SELECT CONCAT(url_path, '.html') FROM catalog_category_flat_store_1 WHERE entity_id=995));</v>
      </c>
      <c r="D1066" t="str">
        <f t="shared" si="33"/>
        <v>UPDATE url_rewrite SET request_path = '64787/746245/Necklace--Bracelet-Displays/Tall-Bust-Necklace-Display.html' WHERE entity_type='custom' AND target_path=(SELECT CONCAT(url_path, '.html') FROM catalog_category_flat_store_1 WHERE entity_id=995);</v>
      </c>
    </row>
    <row r="1067" spans="1:4" x14ac:dyDescent="0.25">
      <c r="A1067">
        <f>categories!B1067</f>
        <v>996</v>
      </c>
      <c r="B1067" t="str">
        <f>SUBSTITUTE(SUBSTITUTE(categories!H1067,"\","/"),"www.americanretailsupply.com/","")</f>
        <v>64787/746246/Necklace--Bracelet-Displays/Padded-Necklace-Stand-with-Easel.html</v>
      </c>
      <c r="C1067" t="str">
        <f t="shared" si="32"/>
        <v>INSERT INTO url_rewrite (entity_type, entity_id, redirect_type, store_id, request_path, target_path) VALUES ('custom', 0, 301, 1,'64787/746246/Necklace--Bracelet-Displays/Padded-Necklace-Stand-with-Easel.html',(SELECT CONCAT(url_path, '.html') FROM catalog_category_flat_store_1 WHERE entity_id=996));</v>
      </c>
      <c r="D1067" t="str">
        <f t="shared" si="33"/>
        <v>UPDATE url_rewrite SET request_path = '64787/746246/Necklace--Bracelet-Displays/Padded-Necklace-Stand-with-Easel.html' WHERE entity_type='custom' AND target_path=(SELECT CONCAT(url_path, '.html') FROM catalog_category_flat_store_1 WHERE entity_id=996);</v>
      </c>
    </row>
    <row r="1068" spans="1:4" x14ac:dyDescent="0.25">
      <c r="A1068">
        <f>categories!B1068</f>
        <v>997</v>
      </c>
      <c r="B1068" t="str">
        <f>SUBSTITUTE(SUBSTITUTE(categories!H1068,"\","/"),"www.americanretailsupply.com/","")</f>
        <v>64787/746289/Necklace--Bracelet-Displays/Tall-Contoured-Necklace-Display-Forms.html</v>
      </c>
      <c r="C1068" t="str">
        <f t="shared" si="32"/>
        <v>INSERT INTO url_rewrite (entity_type, entity_id, redirect_type, store_id, request_path, target_path) VALUES ('custom', 0, 301, 1,'64787/746289/Necklace--Bracelet-Displays/Tall-Contoured-Necklace-Display-Forms.html',(SELECT CONCAT(url_path, '.html') FROM catalog_category_flat_store_1 WHERE entity_id=997));</v>
      </c>
      <c r="D1068" t="str">
        <f t="shared" si="33"/>
        <v>UPDATE url_rewrite SET request_path = '64787/746289/Necklace--Bracelet-Displays/Tall-Contoured-Necklace-Display-Forms.html' WHERE entity_type='custom' AND target_path=(SELECT CONCAT(url_path, '.html') FROM catalog_category_flat_store_1 WHERE entity_id=997);</v>
      </c>
    </row>
    <row r="1069" spans="1:4" x14ac:dyDescent="0.25">
      <c r="A1069">
        <f>categories!B1069</f>
        <v>998</v>
      </c>
      <c r="B1069" t="str">
        <f>SUBSTITUTE(SUBSTITUTE(categories!H1069,"\","/"),"www.americanretailsupply.com/","")</f>
        <v>64787/756144/Necklace--Bracelet-Displays/Countertop-Bracelet-Display.html</v>
      </c>
      <c r="C1069" t="str">
        <f t="shared" si="32"/>
        <v>INSERT INTO url_rewrite (entity_type, entity_id, redirect_type, store_id, request_path, target_path) VALUES ('custom', 0, 301, 1,'64787/756144/Necklace--Bracelet-Displays/Countertop-Bracelet-Display.html',(SELECT CONCAT(url_path, '.html') FROM catalog_category_flat_store_1 WHERE entity_id=998));</v>
      </c>
      <c r="D1069" t="str">
        <f t="shared" si="33"/>
        <v>UPDATE url_rewrite SET request_path = '64787/756144/Necklace--Bracelet-Displays/Countertop-Bracelet-Display.html' WHERE entity_type='custom' AND target_path=(SELECT CONCAT(url_path, '.html') FROM catalog_category_flat_store_1 WHERE entity_id=998);</v>
      </c>
    </row>
    <row r="1070" spans="1:4" x14ac:dyDescent="0.25">
      <c r="A1070">
        <f>categories!B1070</f>
        <v>999</v>
      </c>
      <c r="B1070" t="str">
        <f>SUBSTITUTE(SUBSTITUTE(categories!H1070,"\","/"),"www.americanretailsupply.com/","")</f>
        <v>64787/773582/Necklace--Bracelet-Displays/12-Round-Bracelet-Display.html</v>
      </c>
      <c r="C1070" t="str">
        <f t="shared" si="32"/>
        <v>INSERT INTO url_rewrite (entity_type, entity_id, redirect_type, store_id, request_path, target_path) VALUES ('custom', 0, 301, 1,'64787/773582/Necklace--Bracelet-Displays/12-Round-Bracelet-Display.html',(SELECT CONCAT(url_path, '.html') FROM catalog_category_flat_store_1 WHERE entity_id=999));</v>
      </c>
      <c r="D1070" t="str">
        <f t="shared" si="33"/>
        <v>UPDATE url_rewrite SET request_path = '64787/773582/Necklace--Bracelet-Displays/12-Round-Bracelet-Display.html' WHERE entity_type='custom' AND target_path=(SELECT CONCAT(url_path, '.html') FROM catalog_category_flat_store_1 WHERE entity_id=999);</v>
      </c>
    </row>
    <row r="1071" spans="1:4" x14ac:dyDescent="0.25">
      <c r="A1071">
        <f>categories!B1071</f>
        <v>1001</v>
      </c>
      <c r="B1071" t="str">
        <f>SUBSTITUTE(SUBSTITUTE(categories!H1071,"\","/"),"www.americanretailsupply.com/","")</f>
        <v>64595/792833/New-Arrivals/Ready-to-Assemble-Wall-Case.html</v>
      </c>
      <c r="C1071" t="str">
        <f t="shared" si="32"/>
        <v>INSERT INTO url_rewrite (entity_type, entity_id, redirect_type, store_id, request_path, target_path) VALUES ('custom', 0, 301, 1,'64595/792833/New-Arrivals/Ready-to-Assemble-Wall-Case.html',(SELECT CONCAT(url_path, '.html') FROM catalog_category_flat_store_1 WHERE entity_id=1001));</v>
      </c>
      <c r="D1071" t="str">
        <f t="shared" si="33"/>
        <v>UPDATE url_rewrite SET request_path = '64595/792833/New-Arrivals/Ready-to-Assemble-Wall-Case.html' WHERE entity_type='custom' AND target_path=(SELECT CONCAT(url_path, '.html') FROM catalog_category_flat_store_1 WHERE entity_id=1001);</v>
      </c>
    </row>
    <row r="1072" spans="1:4" x14ac:dyDescent="0.25">
      <c r="A1072">
        <f>categories!B1072</f>
        <v>1002</v>
      </c>
      <c r="B1072" t="str">
        <f>SUBSTITUTE(SUBSTITUTE(categories!H1072,"\","/"),"www.americanretailsupply.com/","")</f>
        <v>64595/792840/New-Arrivals/Pipeline-Garment-Racks.html</v>
      </c>
      <c r="C1072" t="str">
        <f t="shared" si="32"/>
        <v>INSERT INTO url_rewrite (entity_type, entity_id, redirect_type, store_id, request_path, target_path) VALUES ('custom', 0, 301, 1,'64595/792840/New-Arrivals/Pipeline-Garment-Racks.html',(SELECT CONCAT(url_path, '.html') FROM catalog_category_flat_store_1 WHERE entity_id=1002));</v>
      </c>
      <c r="D1072" t="str">
        <f t="shared" si="33"/>
        <v>UPDATE url_rewrite SET request_path = '64595/792840/New-Arrivals/Pipeline-Garment-Racks.html' WHERE entity_type='custom' AND target_path=(SELECT CONCAT(url_path, '.html') FROM catalog_category_flat_store_1 WHERE entity_id=1002);</v>
      </c>
    </row>
    <row r="1073" spans="1:4" x14ac:dyDescent="0.25">
      <c r="A1073">
        <f>categories!B1073</f>
        <v>1003</v>
      </c>
      <c r="B1073" t="str">
        <f>SUBSTITUTE(SUBSTITUTE(categories!H1073,"\","/"),"www.americanretailsupply.com/","")</f>
        <v>64595/792841/New-Arrivals/Pipeline-Wood-Top.html</v>
      </c>
      <c r="C1073" t="str">
        <f t="shared" si="32"/>
        <v>INSERT INTO url_rewrite (entity_type, entity_id, redirect_type, store_id, request_path, target_path) VALUES ('custom', 0, 301, 1,'64595/792841/New-Arrivals/Pipeline-Wood-Top.html',(SELECT CONCAT(url_path, '.html') FROM catalog_category_flat_store_1 WHERE entity_id=1003));</v>
      </c>
      <c r="D1073" t="str">
        <f t="shared" si="33"/>
        <v>UPDATE url_rewrite SET request_path = '64595/792841/New-Arrivals/Pipeline-Wood-Top.html' WHERE entity_type='custom' AND target_path=(SELECT CONCAT(url_path, '.html') FROM catalog_category_flat_store_1 WHERE entity_id=1003);</v>
      </c>
    </row>
    <row r="1074" spans="1:4" x14ac:dyDescent="0.25">
      <c r="A1074">
        <f>categories!B1074</f>
        <v>1004</v>
      </c>
      <c r="B1074" t="str">
        <f>SUBSTITUTE(SUBSTITUTE(categories!H1074,"\","/"),"www.americanretailsupply.com/","")</f>
        <v>64595/792842/New-Arrivals/Pipeline-Counter-Displays.html</v>
      </c>
      <c r="C1074" t="str">
        <f t="shared" si="32"/>
        <v>INSERT INTO url_rewrite (entity_type, entity_id, redirect_type, store_id, request_path, target_path) VALUES ('custom', 0, 301, 1,'64595/792842/New-Arrivals/Pipeline-Counter-Displays.html',(SELECT CONCAT(url_path, '.html') FROM catalog_category_flat_store_1 WHERE entity_id=1004));</v>
      </c>
      <c r="D1074" t="str">
        <f t="shared" si="33"/>
        <v>UPDATE url_rewrite SET request_path = '64595/792842/New-Arrivals/Pipeline-Counter-Displays.html' WHERE entity_type='custom' AND target_path=(SELECT CONCAT(url_path, '.html') FROM catalog_category_flat_store_1 WHERE entity_id=1004);</v>
      </c>
    </row>
    <row r="1075" spans="1:4" x14ac:dyDescent="0.25">
      <c r="A1075">
        <f>categories!B1075</f>
        <v>1005</v>
      </c>
      <c r="B1075" t="str">
        <f>SUBSTITUTE(SUBSTITUTE(categories!H1075,"\","/"),"www.americanretailsupply.com/","")</f>
        <v>64595/792843/New-Arrivals/Pipeline-Brackets-and-Outriggers.html</v>
      </c>
      <c r="C1075" t="str">
        <f t="shared" si="32"/>
        <v>INSERT INTO url_rewrite (entity_type, entity_id, redirect_type, store_id, request_path, target_path) VALUES ('custom', 0, 301, 1,'64595/792843/New-Arrivals/Pipeline-Brackets-and-Outriggers.html',(SELECT CONCAT(url_path, '.html') FROM catalog_category_flat_store_1 WHERE entity_id=1005));</v>
      </c>
      <c r="D1075" t="str">
        <f t="shared" si="33"/>
        <v>UPDATE url_rewrite SET request_path = '64595/792843/New-Arrivals/Pipeline-Brackets-and-Outriggers.html' WHERE entity_type='custom' AND target_path=(SELECT CONCAT(url_path, '.html') FROM catalog_category_flat_store_1 WHERE entity_id=1005);</v>
      </c>
    </row>
    <row r="1076" spans="1:4" x14ac:dyDescent="0.25">
      <c r="A1076">
        <f>categories!B1076</f>
        <v>1006</v>
      </c>
      <c r="B1076" t="str">
        <f>SUBSTITUTE(SUBSTITUTE(categories!H1076,"\","/"),"www.americanretailsupply.com/","")</f>
        <v>64595/792973/New-Arrivals/Ready-to-Assemble-Combo-Showcase.html</v>
      </c>
      <c r="C1076" t="str">
        <f t="shared" si="32"/>
        <v>INSERT INTO url_rewrite (entity_type, entity_id, redirect_type, store_id, request_path, target_path) VALUES ('custom', 0, 301, 1,'64595/792973/New-Arrivals/Ready-to-Assemble-Combo-Showcase.html',(SELECT CONCAT(url_path, '.html') FROM catalog_category_flat_store_1 WHERE entity_id=1006));</v>
      </c>
      <c r="D1076" t="str">
        <f t="shared" si="33"/>
        <v>UPDATE url_rewrite SET request_path = '64595/792973/New-Arrivals/Ready-to-Assemble-Combo-Showcase.html' WHERE entity_type='custom' AND target_path=(SELECT CONCAT(url_path, '.html') FROM catalog_category_flat_store_1 WHERE entity_id=1006);</v>
      </c>
    </row>
    <row r="1077" spans="1:4" x14ac:dyDescent="0.25">
      <c r="A1077">
        <f>categories!B1077</f>
        <v>1007</v>
      </c>
      <c r="B1077" t="str">
        <f>SUBSTITUTE(SUBSTITUTE(categories!H1077,"\","/"),"www.americanretailsupply.com/","")</f>
        <v>64595/792999/New-Arrivals/Pipe--Panel-Fixtures.html</v>
      </c>
      <c r="C1077" t="str">
        <f t="shared" si="32"/>
        <v>INSERT INTO url_rewrite (entity_type, entity_id, redirect_type, store_id, request_path, target_path) VALUES ('custom', 0, 301, 1,'64595/792999/New-Arrivals/Pipe--Panel-Fixtures.html',(SELECT CONCAT(url_path, '.html') FROM catalog_category_flat_store_1 WHERE entity_id=1007));</v>
      </c>
      <c r="D1077" t="str">
        <f t="shared" si="33"/>
        <v>UPDATE url_rewrite SET request_path = '64595/792999/New-Arrivals/Pipe--Panel-Fixtures.html' WHERE entity_type='custom' AND target_path=(SELECT CONCAT(url_path, '.html') FROM catalog_category_flat_store_1 WHERE entity_id=1007);</v>
      </c>
    </row>
    <row r="1078" spans="1:4" x14ac:dyDescent="0.25">
      <c r="A1078">
        <f>categories!B1078</f>
        <v>1009</v>
      </c>
      <c r="B1078" t="str">
        <f>SUBSTITUTE(SUBSTITUTE(categories!H1078,"\","/"),"www.americanretailsupply.com/","")</f>
        <v>64749/19620/Organza--Velvet-Bags/Flat-Organza-Bags.html</v>
      </c>
      <c r="C1078" t="str">
        <f t="shared" si="32"/>
        <v>INSERT INTO url_rewrite (entity_type, entity_id, redirect_type, store_id, request_path, target_path) VALUES ('custom', 0, 301, 1,'64749/19620/Organza--Velvet-Bags/Flat-Organza-Bags.html',(SELECT CONCAT(url_path, '.html') FROM catalog_category_flat_store_1 WHERE entity_id=1009));</v>
      </c>
      <c r="D1078" t="str">
        <f t="shared" si="33"/>
        <v>UPDATE url_rewrite SET request_path = '64749/19620/Organza--Velvet-Bags/Flat-Organza-Bags.html' WHERE entity_type='custom' AND target_path=(SELECT CONCAT(url_path, '.html') FROM catalog_category_flat_store_1 WHERE entity_id=1009);</v>
      </c>
    </row>
    <row r="1079" spans="1:4" x14ac:dyDescent="0.25">
      <c r="A1079">
        <f>categories!B1079</f>
        <v>1011</v>
      </c>
      <c r="B1079" t="str">
        <f>SUBSTITUTE(SUBSTITUTE(categories!H1079,"\","/"),"www.americanretailsupply.com/","")</f>
        <v>64749/172736/Organza--Velvet-Bags/Gusseted-Organza-Bags.html</v>
      </c>
      <c r="C1079" t="str">
        <f t="shared" si="32"/>
        <v>INSERT INTO url_rewrite (entity_type, entity_id, redirect_type, store_id, request_path, target_path) VALUES ('custom', 0, 301, 1,'64749/172736/Organza--Velvet-Bags/Gusseted-Organza-Bags.html',(SELECT CONCAT(url_path, '.html') FROM catalog_category_flat_store_1 WHERE entity_id=1011));</v>
      </c>
      <c r="D1079" t="str">
        <f t="shared" si="33"/>
        <v>UPDATE url_rewrite SET request_path = '64749/172736/Organza--Velvet-Bags/Gusseted-Organza-Bags.html' WHERE entity_type='custom' AND target_path=(SELECT CONCAT(url_path, '.html') FROM catalog_category_flat_store_1 WHERE entity_id=1011);</v>
      </c>
    </row>
    <row r="1080" spans="1:4" x14ac:dyDescent="0.25">
      <c r="A1080">
        <f>categories!B1080</f>
        <v>1013</v>
      </c>
      <c r="B1080" t="str">
        <f>SUBSTITUTE(SUBSTITUTE(categories!H1080,"\","/"),"www.americanretailsupply.com/","")</f>
        <v>65071/20021/Paper-Merchandise-Bags/White-or-Natural-Kraft-Paper-Merchandise-Bags.html</v>
      </c>
      <c r="C1080" t="str">
        <f t="shared" si="32"/>
        <v>INSERT INTO url_rewrite (entity_type, entity_id, redirect_type, store_id, request_path, target_path) VALUES ('custom', 0, 301, 1,'65071/20021/Paper-Merchandise-Bags/White-or-Natural-Kraft-Paper-Merchandise-Bags.html',(SELECT CONCAT(url_path, '.html') FROM catalog_category_flat_store_1 WHERE entity_id=1013));</v>
      </c>
      <c r="D1080" t="str">
        <f t="shared" si="33"/>
        <v>UPDATE url_rewrite SET request_path = '65071/20021/Paper-Merchandise-Bags/White-or-Natural-Kraft-Paper-Merchandise-Bags.html' WHERE entity_type='custom' AND target_path=(SELECT CONCAT(url_path, '.html') FROM catalog_category_flat_store_1 WHERE entity_id=1013);</v>
      </c>
    </row>
    <row r="1081" spans="1:4" x14ac:dyDescent="0.25">
      <c r="A1081">
        <f>categories!B1081</f>
        <v>1014</v>
      </c>
      <c r="B1081" t="str">
        <f>SUBSTITUTE(SUBSTITUTE(categories!H1081,"\","/"),"www.americanretailsupply.com/","")</f>
        <v>65071/20023/Paper-Merchandise-Bags/SOS-Paper-Bags.html</v>
      </c>
      <c r="C1081" t="str">
        <f t="shared" si="32"/>
        <v>INSERT INTO url_rewrite (entity_type, entity_id, redirect_type, store_id, request_path, target_path) VALUES ('custom', 0, 301, 1,'65071/20023/Paper-Merchandise-Bags/SOS-Paper-Bags.html',(SELECT CONCAT(url_path, '.html') FROM catalog_category_flat_store_1 WHERE entity_id=1014));</v>
      </c>
      <c r="D1081" t="str">
        <f t="shared" si="33"/>
        <v>UPDATE url_rewrite SET request_path = '65071/20023/Paper-Merchandise-Bags/SOS-Paper-Bags.html' WHERE entity_type='custom' AND target_path=(SELECT CONCAT(url_path, '.html') FROM catalog_category_flat_store_1 WHERE entity_id=1014);</v>
      </c>
    </row>
    <row r="1082" spans="1:4" x14ac:dyDescent="0.25">
      <c r="A1082">
        <f>categories!B1082</f>
        <v>1015</v>
      </c>
      <c r="B1082" t="str">
        <f>SUBSTITUTE(SUBSTITUTE(categories!H1082,"\","/"),"www.americanretailsupply.com/","")</f>
        <v>65071/234663/Paper-Merchandise-Bags/Colored-Paper-Merchandise-Bags.html</v>
      </c>
      <c r="C1082" t="str">
        <f t="shared" si="32"/>
        <v>INSERT INTO url_rewrite (entity_type, entity_id, redirect_type, store_id, request_path, target_path) VALUES ('custom', 0, 301, 1,'65071/234663/Paper-Merchandise-Bags/Colored-Paper-Merchandise-Bags.html',(SELECT CONCAT(url_path, '.html') FROM catalog_category_flat_store_1 WHERE entity_id=1015));</v>
      </c>
      <c r="D1082" t="str">
        <f t="shared" si="33"/>
        <v>UPDATE url_rewrite SET request_path = '65071/234663/Paper-Merchandise-Bags/Colored-Paper-Merchandise-Bags.html' WHERE entity_type='custom' AND target_path=(SELECT CONCAT(url_path, '.html') FROM catalog_category_flat_store_1 WHERE entity_id=1015);</v>
      </c>
    </row>
    <row r="1083" spans="1:4" x14ac:dyDescent="0.25">
      <c r="A1083">
        <f>categories!B1083</f>
        <v>1016</v>
      </c>
      <c r="B1083" t="str">
        <f>SUBSTITUTE(SUBSTITUTE(categories!H1083,"\","/"),"www.americanretailsupply.com/","")</f>
        <v>65071/754551/Paper-Merchandise-Bags/Natural-Kraft-Paper-Liquor-Bags.html</v>
      </c>
      <c r="C1083" t="str">
        <f t="shared" si="32"/>
        <v>INSERT INTO url_rewrite (entity_type, entity_id, redirect_type, store_id, request_path, target_path) VALUES ('custom', 0, 301, 1,'65071/754551/Paper-Merchandise-Bags/Natural-Kraft-Paper-Liquor-Bags.html',(SELECT CONCAT(url_path, '.html') FROM catalog_category_flat_store_1 WHERE entity_id=1016));</v>
      </c>
      <c r="D1083" t="str">
        <f t="shared" si="33"/>
        <v>UPDATE url_rewrite SET request_path = '65071/754551/Paper-Merchandise-Bags/Natural-Kraft-Paper-Liquor-Bags.html' WHERE entity_type='custom' AND target_path=(SELECT CONCAT(url_path, '.html') FROM catalog_category_flat_store_1 WHERE entity_id=1016);</v>
      </c>
    </row>
    <row r="1084" spans="1:4" x14ac:dyDescent="0.25">
      <c r="A1084">
        <f>categories!B1084</f>
        <v>1017</v>
      </c>
      <c r="B1084" t="str">
        <f>SUBSTITUTE(SUBSTITUTE(categories!H1084,"\","/"),"www.americanretailsupply.com/","")</f>
        <v>65071/774077/Paper-Merchandise-Bags/Unprinted-Paper-Glassine-Lined-Bags.html</v>
      </c>
      <c r="C1084" t="str">
        <f t="shared" si="32"/>
        <v>INSERT INTO url_rewrite (entity_type, entity_id, redirect_type, store_id, request_path, target_path) VALUES ('custom', 0, 301, 1,'65071/774077/Paper-Merchandise-Bags/Unprinted-Paper-Glassine-Lined-Bags.html',(SELECT CONCAT(url_path, '.html') FROM catalog_category_flat_store_1 WHERE entity_id=1017));</v>
      </c>
      <c r="D1084" t="str">
        <f t="shared" si="33"/>
        <v>UPDATE url_rewrite SET request_path = '65071/774077/Paper-Merchandise-Bags/Unprinted-Paper-Glassine-Lined-Bags.html' WHERE entity_type='custom' AND target_path=(SELECT CONCAT(url_path, '.html') FROM catalog_category_flat_store_1 WHERE entity_id=1017);</v>
      </c>
    </row>
    <row r="1085" spans="1:4" x14ac:dyDescent="0.25">
      <c r="A1085">
        <f>categories!B1085</f>
        <v>1019</v>
      </c>
      <c r="B1085" t="str">
        <f>SUBSTITUTE(SUBSTITUTE(categories!H1085,"\","/"),"www.americanretailsupply.com/","")</f>
        <v>65070/20194/Paper-Shopping-Bags/Metallic-Colors-on-Brown-Kraft-Shopping-Bags.html</v>
      </c>
      <c r="C1085" t="str">
        <f t="shared" si="32"/>
        <v>INSERT INTO url_rewrite (entity_type, entity_id, redirect_type, store_id, request_path, target_path) VALUES ('custom', 0, 301, 1,'65070/20194/Paper-Shopping-Bags/Metallic-Colors-on-Brown-Kraft-Shopping-Bags.html',(SELECT CONCAT(url_path, '.html') FROM catalog_category_flat_store_1 WHERE entity_id=1019));</v>
      </c>
      <c r="D1085" t="str">
        <f t="shared" si="33"/>
        <v>UPDATE url_rewrite SET request_path = '65070/20194/Paper-Shopping-Bags/Metallic-Colors-on-Brown-Kraft-Shopping-Bags.html' WHERE entity_type='custom' AND target_path=(SELECT CONCAT(url_path, '.html') FROM catalog_category_flat_store_1 WHERE entity_id=1019);</v>
      </c>
    </row>
    <row r="1086" spans="1:4" x14ac:dyDescent="0.25">
      <c r="A1086">
        <f>categories!B1086</f>
        <v>1022</v>
      </c>
      <c r="B1086" t="str">
        <f>SUBSTITUTE(SUBSTITUTE(categories!H1086,"\","/"),"www.americanretailsupply.com/","")</f>
        <v>65070/172695/Paper-Shopping-Bags/Gloss-Paper-Shoppers.html</v>
      </c>
      <c r="C1086" t="str">
        <f t="shared" si="32"/>
        <v>INSERT INTO url_rewrite (entity_type, entity_id, redirect_type, store_id, request_path, target_path) VALUES ('custom', 0, 301, 1,'65070/172695/Paper-Shopping-Bags/Gloss-Paper-Shoppers.html',(SELECT CONCAT(url_path, '.html') FROM catalog_category_flat_store_1 WHERE entity_id=1022));</v>
      </c>
      <c r="D1086" t="str">
        <f t="shared" si="33"/>
        <v>UPDATE url_rewrite SET request_path = '65070/172695/Paper-Shopping-Bags/Gloss-Paper-Shoppers.html' WHERE entity_type='custom' AND target_path=(SELECT CONCAT(url_path, '.html') FROM catalog_category_flat_store_1 WHERE entity_id=1022);</v>
      </c>
    </row>
    <row r="1087" spans="1:4" x14ac:dyDescent="0.25">
      <c r="A1087">
        <f>categories!B1087</f>
        <v>1023</v>
      </c>
      <c r="B1087" t="str">
        <f>SUBSTITUTE(SUBSTITUTE(categories!H1087,"\","/"),"www.americanretailsupply.com/","")</f>
        <v>65070/178194/Paper-Shopping-Bags/Western-Patterned-Paper-Shopping-Bags.html</v>
      </c>
      <c r="C1087" t="str">
        <f t="shared" si="32"/>
        <v>INSERT INTO url_rewrite (entity_type, entity_id, redirect_type, store_id, request_path, target_path) VALUES ('custom', 0, 301, 1,'65070/178194/Paper-Shopping-Bags/Western-Patterned-Paper-Shopping-Bags.html',(SELECT CONCAT(url_path, '.html') FROM catalog_category_flat_store_1 WHERE entity_id=1023));</v>
      </c>
      <c r="D1087" t="str">
        <f t="shared" si="33"/>
        <v>UPDATE url_rewrite SET request_path = '65070/178194/Paper-Shopping-Bags/Western-Patterned-Paper-Shopping-Bags.html' WHERE entity_type='custom' AND target_path=(SELECT CONCAT(url_path, '.html') FROM catalog_category_flat_store_1 WHERE entity_id=1023);</v>
      </c>
    </row>
    <row r="1088" spans="1:4" x14ac:dyDescent="0.25">
      <c r="A1088">
        <f>categories!B1088</f>
        <v>1024</v>
      </c>
      <c r="B1088" t="str">
        <f>SUBSTITUTE(SUBSTITUTE(categories!H1088,"\","/"),"www.americanretailsupply.com/","")</f>
        <v>10418/255424/Paper-Shopping-Bags/Natural-Kraft-Paper-Shopping-Bags.html</v>
      </c>
      <c r="C1088" t="str">
        <f t="shared" si="32"/>
        <v>INSERT INTO url_rewrite (entity_type, entity_id, redirect_type, store_id, request_path, target_path) VALUES ('custom', 0, 301, 1,'10418/255424/Paper-Shopping-Bags/Natural-Kraft-Paper-Shopping-Bags.html',(SELECT CONCAT(url_path, '.html') FROM catalog_category_flat_store_1 WHERE entity_id=1024));</v>
      </c>
      <c r="D1088" t="str">
        <f t="shared" si="33"/>
        <v>UPDATE url_rewrite SET request_path = '10418/255424/Paper-Shopping-Bags/Natural-Kraft-Paper-Shopping-Bags.html' WHERE entity_type='custom' AND target_path=(SELECT CONCAT(url_path, '.html') FROM catalog_category_flat_store_1 WHERE entity_id=1024);</v>
      </c>
    </row>
    <row r="1089" spans="1:4" x14ac:dyDescent="0.25">
      <c r="A1089">
        <f>categories!B1089</f>
        <v>1025</v>
      </c>
      <c r="B1089" t="str">
        <f>SUBSTITUTE(SUBSTITUTE(categories!H1089,"\","/"),"www.americanretailsupply.com/","")</f>
        <v>65070/255452/Paper-Shopping-Bags/White-Kraft-Paper-Shopping-Bags.html</v>
      </c>
      <c r="C1089" t="str">
        <f t="shared" si="32"/>
        <v>INSERT INTO url_rewrite (entity_type, entity_id, redirect_type, store_id, request_path, target_path) VALUES ('custom', 0, 301, 1,'65070/255452/Paper-Shopping-Bags/White-Kraft-Paper-Shopping-Bags.html',(SELECT CONCAT(url_path, '.html') FROM catalog_category_flat_store_1 WHERE entity_id=1025));</v>
      </c>
      <c r="D1089" t="str">
        <f t="shared" si="33"/>
        <v>UPDATE url_rewrite SET request_path = '65070/255452/Paper-Shopping-Bags/White-Kraft-Paper-Shopping-Bags.html' WHERE entity_type='custom' AND target_path=(SELECT CONCAT(url_path, '.html') FROM catalog_category_flat_store_1 WHERE entity_id=1025);</v>
      </c>
    </row>
    <row r="1090" spans="1:4" x14ac:dyDescent="0.25">
      <c r="A1090">
        <f>categories!B1090</f>
        <v>1026</v>
      </c>
      <c r="B1090" t="str">
        <f>SUBSTITUTE(SUBSTITUTE(categories!H1090,"\","/"),"www.americanretailsupply.com/","")</f>
        <v>65070/773532/Paper-Shopping-Bags/Ice-Collection-Paper-Shoppers.html</v>
      </c>
      <c r="C1090" t="str">
        <f t="shared" si="32"/>
        <v>INSERT INTO url_rewrite (entity_type, entity_id, redirect_type, store_id, request_path, target_path) VALUES ('custom', 0, 301, 1,'65070/773532/Paper-Shopping-Bags/Ice-Collection-Paper-Shoppers.html',(SELECT CONCAT(url_path, '.html') FROM catalog_category_flat_store_1 WHERE entity_id=1026));</v>
      </c>
      <c r="D1090" t="str">
        <f t="shared" si="33"/>
        <v>UPDATE url_rewrite SET request_path = '65070/773532/Paper-Shopping-Bags/Ice-Collection-Paper-Shoppers.html' WHERE entity_type='custom' AND target_path=(SELECT CONCAT(url_path, '.html') FROM catalog_category_flat_store_1 WHERE entity_id=1026);</v>
      </c>
    </row>
    <row r="1091" spans="1:4" x14ac:dyDescent="0.25">
      <c r="A1091">
        <f>categories!B1091</f>
        <v>1028</v>
      </c>
      <c r="B1091" t="str">
        <f>SUBSTITUTE(SUBSTITUTE(categories!H1091,"\","/"),"www.americanretailsupply.com/","")</f>
        <v>65210/735556/Pearl-District-Displays/Pearl-District-Nesting-Tables.html</v>
      </c>
      <c r="C1091" t="str">
        <f t="shared" ref="C1091:C1154" si="34">"INSERT INTO url_rewrite (entity_type, entity_id, redirect_type, store_id, request_path, target_path) VALUES ('custom', 0, 301, 1,'"&amp;B1091&amp;"',(SELECT CONCAT(url_path, '.html') FROM catalog_category_flat_store_1 WHERE entity_id="&amp;A1091&amp;"));"</f>
        <v>INSERT INTO url_rewrite (entity_type, entity_id, redirect_type, store_id, request_path, target_path) VALUES ('custom', 0, 301, 1,'65210/735556/Pearl-District-Displays/Pearl-District-Nesting-Tables.html',(SELECT CONCAT(url_path, '.html') FROM catalog_category_flat_store_1 WHERE entity_id=1028));</v>
      </c>
      <c r="D1091" t="str">
        <f t="shared" ref="D1091:D1154" si="35">"UPDATE url_rewrite SET request_path = '"&amp;B1091&amp;"' WHERE entity_type='custom' AND target_path=(SELECT CONCAT(url_path, '.html') FROM catalog_category_flat_store_1 WHERE entity_id="&amp;A1091&amp;");"</f>
        <v>UPDATE url_rewrite SET request_path = '65210/735556/Pearl-District-Displays/Pearl-District-Nesting-Tables.html' WHERE entity_type='custom' AND target_path=(SELECT CONCAT(url_path, '.html') FROM catalog_category_flat_store_1 WHERE entity_id=1028);</v>
      </c>
    </row>
    <row r="1092" spans="1:4" x14ac:dyDescent="0.25">
      <c r="A1092">
        <f>categories!B1092</f>
        <v>1029</v>
      </c>
      <c r="B1092" t="str">
        <f>SUBSTITUTE(SUBSTITUTE(categories!H1092,"\","/"),"www.americanretailsupply.com/","")</f>
        <v>65210/735569/Pearl-District-Displays/Pearl-District-2-Way-and-3-Way-Frames-and-Accessories.html</v>
      </c>
      <c r="C1092" t="str">
        <f t="shared" si="34"/>
        <v>INSERT INTO url_rewrite (entity_type, entity_id, redirect_type, store_id, request_path, target_path) VALUES ('custom', 0, 301, 1,'65210/735569/Pearl-District-Displays/Pearl-District-2-Way-and-3-Way-Frames-and-Accessories.html',(SELECT CONCAT(url_path, '.html') FROM catalog_category_flat_store_1 WHERE entity_id=1029));</v>
      </c>
      <c r="D1092" t="str">
        <f t="shared" si="35"/>
        <v>UPDATE url_rewrite SET request_path = '65210/735569/Pearl-District-Displays/Pearl-District-2-Way-and-3-Way-Frames-and-Accessories.html' WHERE entity_type='custom' AND target_path=(SELECT CONCAT(url_path, '.html') FROM catalog_category_flat_store_1 WHERE entity_id=1029);</v>
      </c>
    </row>
    <row r="1093" spans="1:4" x14ac:dyDescent="0.25">
      <c r="A1093">
        <f>categories!B1093</f>
        <v>1030</v>
      </c>
      <c r="B1093" t="str">
        <f>SUBSTITUTE(SUBSTITUTE(categories!H1093,"\","/"),"www.americanretailsupply.com/","")</f>
        <v>65210/735570/Pearl-District-Displays/Pearl-District-Outrigger-Frames-and-Accessories.html</v>
      </c>
      <c r="C1093" t="str">
        <f t="shared" si="34"/>
        <v>INSERT INTO url_rewrite (entity_type, entity_id, redirect_type, store_id, request_path, target_path) VALUES ('custom', 0, 301, 1,'65210/735570/Pearl-District-Displays/Pearl-District-Outrigger-Frames-and-Accessories.html',(SELECT CONCAT(url_path, '.html') FROM catalog_category_flat_store_1 WHERE entity_id=1030));</v>
      </c>
      <c r="D1093" t="str">
        <f t="shared" si="35"/>
        <v>UPDATE url_rewrite SET request_path = '65210/735570/Pearl-District-Displays/Pearl-District-Outrigger-Frames-and-Accessories.html' WHERE entity_type='custom' AND target_path=(SELECT CONCAT(url_path, '.html') FROM catalog_category_flat_store_1 WHERE entity_id=1030);</v>
      </c>
    </row>
    <row r="1094" spans="1:4" x14ac:dyDescent="0.25">
      <c r="A1094">
        <f>categories!B1094</f>
        <v>1032</v>
      </c>
      <c r="B1094" t="str">
        <f>SUBSTITUTE(SUBSTITUTE(categories!H1094,"\","/"),"www.americanretailsupply.com/","")</f>
        <v>64689/47421/Pennants/Multi-Colored-Penants.html</v>
      </c>
      <c r="C1094" t="str">
        <f t="shared" si="34"/>
        <v>INSERT INTO url_rewrite (entity_type, entity_id, redirect_type, store_id, request_path, target_path) VALUES ('custom', 0, 301, 1,'64689/47421/Pennants/Multi-Colored-Penants.html',(SELECT CONCAT(url_path, '.html') FROM catalog_category_flat_store_1 WHERE entity_id=1032));</v>
      </c>
      <c r="D1094" t="str">
        <f t="shared" si="35"/>
        <v>UPDATE url_rewrite SET request_path = '64689/47421/Pennants/Multi-Colored-Penants.html' WHERE entity_type='custom' AND target_path=(SELECT CONCAT(url_path, '.html') FROM catalog_category_flat_store_1 WHERE entity_id=1032);</v>
      </c>
    </row>
    <row r="1095" spans="1:4" x14ac:dyDescent="0.25">
      <c r="A1095">
        <f>categories!B1095</f>
        <v>1033</v>
      </c>
      <c r="B1095" t="str">
        <f>SUBSTITUTE(SUBSTITUTE(categories!H1095,"\","/"),"www.americanretailsupply.com/","")</f>
        <v>64689/47422/Pennants/Red-White--Blue-Pennants.html</v>
      </c>
      <c r="C1095" t="str">
        <f t="shared" si="34"/>
        <v>INSERT INTO url_rewrite (entity_type, entity_id, redirect_type, store_id, request_path, target_path) VALUES ('custom', 0, 301, 1,'64689/47422/Pennants/Red-White--Blue-Pennants.html',(SELECT CONCAT(url_path, '.html') FROM catalog_category_flat_store_1 WHERE entity_id=1033));</v>
      </c>
      <c r="D1095" t="str">
        <f t="shared" si="35"/>
        <v>UPDATE url_rewrite SET request_path = '64689/47422/Pennants/Red-White--Blue-Pennants.html' WHERE entity_type='custom' AND target_path=(SELECT CONCAT(url_path, '.html') FROM catalog_category_flat_store_1 WHERE entity_id=1033);</v>
      </c>
    </row>
    <row r="1096" spans="1:4" x14ac:dyDescent="0.25">
      <c r="A1096">
        <f>categories!B1096</f>
        <v>1034</v>
      </c>
      <c r="B1096" t="str">
        <f>SUBSTITUTE(SUBSTITUTE(categories!H1096,"\","/"),"www.americanretailsupply.com/","")</f>
        <v>64689/173677/Pennants/Blue-and-White-Penants.html</v>
      </c>
      <c r="C1096" t="str">
        <f t="shared" si="34"/>
        <v>INSERT INTO url_rewrite (entity_type, entity_id, redirect_type, store_id, request_path, target_path) VALUES ('custom', 0, 301, 1,'64689/173677/Pennants/Blue-and-White-Penants.html',(SELECT CONCAT(url_path, '.html') FROM catalog_category_flat_store_1 WHERE entity_id=1034));</v>
      </c>
      <c r="D1096" t="str">
        <f t="shared" si="35"/>
        <v>UPDATE url_rewrite SET request_path = '64689/173677/Pennants/Blue-and-White-Penants.html' WHERE entity_type='custom' AND target_path=(SELECT CONCAT(url_path, '.html') FROM catalog_category_flat_store_1 WHERE entity_id=1034);</v>
      </c>
    </row>
    <row r="1097" spans="1:4" x14ac:dyDescent="0.25">
      <c r="A1097">
        <f>categories!B1097</f>
        <v>1035</v>
      </c>
      <c r="B1097" t="str">
        <f>SUBSTITUTE(SUBSTITUTE(categories!H1097,"\","/"),"www.americanretailsupply.com/","")</f>
        <v>64689/173679/Pennants/Red-and-Yellow-Pennants.html</v>
      </c>
      <c r="C1097" t="str">
        <f t="shared" si="34"/>
        <v>INSERT INTO url_rewrite (entity_type, entity_id, redirect_type, store_id, request_path, target_path) VALUES ('custom', 0, 301, 1,'64689/173679/Pennants/Red-and-Yellow-Pennants.html',(SELECT CONCAT(url_path, '.html') FROM catalog_category_flat_store_1 WHERE entity_id=1035));</v>
      </c>
      <c r="D1097" t="str">
        <f t="shared" si="35"/>
        <v>UPDATE url_rewrite SET request_path = '64689/173679/Pennants/Red-and-Yellow-Pennants.html' WHERE entity_type='custom' AND target_path=(SELECT CONCAT(url_path, '.html') FROM catalog_category_flat_store_1 WHERE entity_id=1035);</v>
      </c>
    </row>
    <row r="1098" spans="1:4" x14ac:dyDescent="0.25">
      <c r="A1098">
        <f>categories!B1098</f>
        <v>1037</v>
      </c>
      <c r="B1098" t="str">
        <f>SUBSTITUTE(SUBSTITUTE(categories!H1098,"\","/"),"www.americanretailsupply.com/","")</f>
        <v>64736/19922/Perfect-Bows--Ribbon/Perfect-Bows.html</v>
      </c>
      <c r="C1098" t="str">
        <f t="shared" si="34"/>
        <v>INSERT INTO url_rewrite (entity_type, entity_id, redirect_type, store_id, request_path, target_path) VALUES ('custom', 0, 301, 1,'64736/19922/Perfect-Bows--Ribbon/Perfect-Bows.html',(SELECT CONCAT(url_path, '.html') FROM catalog_category_flat_store_1 WHERE entity_id=1037));</v>
      </c>
      <c r="D1098" t="str">
        <f t="shared" si="35"/>
        <v>UPDATE url_rewrite SET request_path = '64736/19922/Perfect-Bows--Ribbon/Perfect-Bows.html' WHERE entity_type='custom' AND target_path=(SELECT CONCAT(url_path, '.html') FROM catalog_category_flat_store_1 WHERE entity_id=1037);</v>
      </c>
    </row>
    <row r="1099" spans="1:4" x14ac:dyDescent="0.25">
      <c r="A1099">
        <f>categories!B1099</f>
        <v>1038</v>
      </c>
      <c r="B1099" t="str">
        <f>SUBSTITUTE(SUBSTITUTE(categories!H1099,"\","/"),"www.americanretailsupply.com/","")</f>
        <v>64736/19926/Perfect-Bows--Ribbon/Flora-Satin-Ribbon.html</v>
      </c>
      <c r="C1099" t="str">
        <f t="shared" si="34"/>
        <v>INSERT INTO url_rewrite (entity_type, entity_id, redirect_type, store_id, request_path, target_path) VALUES ('custom', 0, 301, 1,'64736/19926/Perfect-Bows--Ribbon/Flora-Satin-Ribbon.html',(SELECT CONCAT(url_path, '.html') FROM catalog_category_flat_store_1 WHERE entity_id=1038));</v>
      </c>
      <c r="D1099" t="str">
        <f t="shared" si="35"/>
        <v>UPDATE url_rewrite SET request_path = '64736/19926/Perfect-Bows--Ribbon/Flora-Satin-Ribbon.html' WHERE entity_type='custom' AND target_path=(SELECT CONCAT(url_path, '.html') FROM catalog_category_flat_store_1 WHERE entity_id=1038);</v>
      </c>
    </row>
    <row r="1100" spans="1:4" x14ac:dyDescent="0.25">
      <c r="A1100">
        <f>categories!B1100</f>
        <v>1040</v>
      </c>
      <c r="B1100" t="str">
        <f>SUBSTITUTE(SUBSTITUTE(categories!H1100,"\","/"),"www.americanretailsupply.com/","")</f>
        <v>65079/48311/Polypropylene-Bags/Clear-Gusseted-Polypropylene-Bags.html</v>
      </c>
      <c r="C1100" t="str">
        <f t="shared" si="34"/>
        <v>INSERT INTO url_rewrite (entity_type, entity_id, redirect_type, store_id, request_path, target_path) VALUES ('custom', 0, 301, 1,'65079/48311/Polypropylene-Bags/Clear-Gusseted-Polypropylene-Bags.html',(SELECT CONCAT(url_path, '.html') FROM catalog_category_flat_store_1 WHERE entity_id=1040));</v>
      </c>
      <c r="D1100" t="str">
        <f t="shared" si="35"/>
        <v>UPDATE url_rewrite SET request_path = '65079/48311/Polypropylene-Bags/Clear-Gusseted-Polypropylene-Bags.html' WHERE entity_type='custom' AND target_path=(SELECT CONCAT(url_path, '.html') FROM catalog_category_flat_store_1 WHERE entity_id=1040);</v>
      </c>
    </row>
    <row r="1101" spans="1:4" x14ac:dyDescent="0.25">
      <c r="A1101">
        <f>categories!B1101</f>
        <v>1041</v>
      </c>
      <c r="B1101" t="str">
        <f>SUBSTITUTE(SUBSTITUTE(categories!H1101,"\","/"),"www.americanretailsupply.com/","")</f>
        <v>65079/48313/Polypropylene-Bags/Clear-Flat-Polypropylene-Bags-with-Lip-n-Tape-Closure.html</v>
      </c>
      <c r="C1101" t="str">
        <f t="shared" si="34"/>
        <v>INSERT INTO url_rewrite (entity_type, entity_id, redirect_type, store_id, request_path, target_path) VALUES ('custom', 0, 301, 1,'65079/48313/Polypropylene-Bags/Clear-Flat-Polypropylene-Bags-with-Lip-n-Tape-Closure.html',(SELECT CONCAT(url_path, '.html') FROM catalog_category_flat_store_1 WHERE entity_id=1041));</v>
      </c>
      <c r="D1101" t="str">
        <f t="shared" si="35"/>
        <v>UPDATE url_rewrite SET request_path = '65079/48313/Polypropylene-Bags/Clear-Flat-Polypropylene-Bags-with-Lip-n-Tape-Closure.html' WHERE entity_type='custom' AND target_path=(SELECT CONCAT(url_path, '.html') FROM catalog_category_flat_store_1 WHERE entity_id=1041);</v>
      </c>
    </row>
    <row r="1102" spans="1:4" x14ac:dyDescent="0.25">
      <c r="A1102">
        <f>categories!B1102</f>
        <v>1042</v>
      </c>
      <c r="B1102" t="str">
        <f>SUBSTITUTE(SUBSTITUTE(categories!H1102,"\","/"),"www.americanretailsupply.com/","")</f>
        <v>65079/48315/Polypropylene-Bags/Metallic-Twist-Ties.html</v>
      </c>
      <c r="C1102" t="str">
        <f t="shared" si="34"/>
        <v>INSERT INTO url_rewrite (entity_type, entity_id, redirect_type, store_id, request_path, target_path) VALUES ('custom', 0, 301, 1,'65079/48315/Polypropylene-Bags/Metallic-Twist-Ties.html',(SELECT CONCAT(url_path, '.html') FROM catalog_category_flat_store_1 WHERE entity_id=1042));</v>
      </c>
      <c r="D1102" t="str">
        <f t="shared" si="35"/>
        <v>UPDATE url_rewrite SET request_path = '65079/48315/Polypropylene-Bags/Metallic-Twist-Ties.html' WHERE entity_type='custom' AND target_path=(SELECT CONCAT(url_path, '.html') FROM catalog_category_flat_store_1 WHERE entity_id=1042);</v>
      </c>
    </row>
    <row r="1103" spans="1:4" x14ac:dyDescent="0.25">
      <c r="A1103">
        <f>categories!B1103</f>
        <v>1043</v>
      </c>
      <c r="B1103" t="str">
        <f>SUBSTITUTE(SUBSTITUTE(categories!H1103,"\","/"),"www.americanretailsupply.com/","")</f>
        <v>65079/48316/Polypropylene-Bags/Clear-Flat-Polypropylene-Bags.html</v>
      </c>
      <c r="C1103" t="str">
        <f t="shared" si="34"/>
        <v>INSERT INTO url_rewrite (entity_type, entity_id, redirect_type, store_id, request_path, target_path) VALUES ('custom', 0, 301, 1,'65079/48316/Polypropylene-Bags/Clear-Flat-Polypropylene-Bags.html',(SELECT CONCAT(url_path, '.html') FROM catalog_category_flat_store_1 WHERE entity_id=1043));</v>
      </c>
      <c r="D1103" t="str">
        <f t="shared" si="35"/>
        <v>UPDATE url_rewrite SET request_path = '65079/48316/Polypropylene-Bags/Clear-Flat-Polypropylene-Bags.html' WHERE entity_type='custom' AND target_path=(SELECT CONCAT(url_path, '.html') FROM catalog_category_flat_store_1 WHERE entity_id=1043);</v>
      </c>
    </row>
    <row r="1104" spans="1:4" x14ac:dyDescent="0.25">
      <c r="A1104">
        <f>categories!B1104</f>
        <v>1044</v>
      </c>
      <c r="B1104" t="str">
        <f>SUBSTITUTE(SUBSTITUTE(categories!H1104,"\","/"),"www.americanretailsupply.com/","")</f>
        <v>65079/48319/Polypropylene-Bags/Printed-Polypropylene-Bags.html</v>
      </c>
      <c r="C1104" t="str">
        <f t="shared" si="34"/>
        <v>INSERT INTO url_rewrite (entity_type, entity_id, redirect_type, store_id, request_path, target_path) VALUES ('custom', 0, 301, 1,'65079/48319/Polypropylene-Bags/Printed-Polypropylene-Bags.html',(SELECT CONCAT(url_path, '.html') FROM catalog_category_flat_store_1 WHERE entity_id=1044));</v>
      </c>
      <c r="D1104" t="str">
        <f t="shared" si="35"/>
        <v>UPDATE url_rewrite SET request_path = '65079/48319/Polypropylene-Bags/Printed-Polypropylene-Bags.html' WHERE entity_type='custom' AND target_path=(SELECT CONCAT(url_path, '.html') FROM catalog_category_flat_store_1 WHERE entity_id=1044);</v>
      </c>
    </row>
    <row r="1105" spans="1:4" x14ac:dyDescent="0.25">
      <c r="A1105">
        <f>categories!B1105</f>
        <v>1045</v>
      </c>
      <c r="B1105" t="str">
        <f>SUBSTITUTE(SUBSTITUTE(categories!H1105,"\","/"),"www.americanretailsupply.com/","")</f>
        <v>65079/435987/Polypropylene-Bags/Heavy-Duty-Clear-Polypropylene-Bags.html</v>
      </c>
      <c r="C1105" t="str">
        <f t="shared" si="34"/>
        <v>INSERT INTO url_rewrite (entity_type, entity_id, redirect_type, store_id, request_path, target_path) VALUES ('custom', 0, 301, 1,'65079/435987/Polypropylene-Bags/Heavy-Duty-Clear-Polypropylene-Bags.html',(SELECT CONCAT(url_path, '.html') FROM catalog_category_flat_store_1 WHERE entity_id=1045));</v>
      </c>
      <c r="D1105" t="str">
        <f t="shared" si="35"/>
        <v>UPDATE url_rewrite SET request_path = '65079/435987/Polypropylene-Bags/Heavy-Duty-Clear-Polypropylene-Bags.html' WHERE entity_type='custom' AND target_path=(SELECT CONCAT(url_path, '.html') FROM catalog_category_flat_store_1 WHERE entity_id=1045);</v>
      </c>
    </row>
    <row r="1106" spans="1:4" x14ac:dyDescent="0.25">
      <c r="A1106">
        <f>categories!B1106</f>
        <v>1047</v>
      </c>
      <c r="B1106" t="str">
        <f>SUBSTITUTE(SUBSTITUTE(categories!H1106,"\","/"),"www.americanretailsupply.com/","")</f>
        <v>64705/19619/Polypropylene-Rolls--Bags/Clear--Colored-Clearphane-Film-Rolls.html</v>
      </c>
      <c r="C1106" t="str">
        <f t="shared" si="34"/>
        <v>INSERT INTO url_rewrite (entity_type, entity_id, redirect_type, store_id, request_path, target_path) VALUES ('custom', 0, 301, 1,'64705/19619/Polypropylene-Rolls--Bags/Clear--Colored-Clearphane-Film-Rolls.html',(SELECT CONCAT(url_path, '.html') FROM catalog_category_flat_store_1 WHERE entity_id=1047));</v>
      </c>
      <c r="D1106" t="str">
        <f t="shared" si="35"/>
        <v>UPDATE url_rewrite SET request_path = '64705/19619/Polypropylene-Rolls--Bags/Clear--Colored-Clearphane-Film-Rolls.html' WHERE entity_type='custom' AND target_path=(SELECT CONCAT(url_path, '.html') FROM catalog_category_flat_store_1 WHERE entity_id=1047);</v>
      </c>
    </row>
    <row r="1107" spans="1:4" x14ac:dyDescent="0.25">
      <c r="A1107">
        <f>categories!B1107</f>
        <v>1048</v>
      </c>
      <c r="B1107" t="str">
        <f>SUBSTITUTE(SUBSTITUTE(categories!H1107,"\","/"),"www.americanretailsupply.com/","")</f>
        <v>25203/48312/Polypropylene-Rolls--Bags/Clear-Polypropylene-Basket-Bags.html</v>
      </c>
      <c r="C1107" t="str">
        <f t="shared" si="34"/>
        <v>INSERT INTO url_rewrite (entity_type, entity_id, redirect_type, store_id, request_path, target_path) VALUES ('custom', 0, 301, 1,'25203/48312/Polypropylene-Rolls--Bags/Clear-Polypropylene-Basket-Bags.html',(SELECT CONCAT(url_path, '.html') FROM catalog_category_flat_store_1 WHERE entity_id=1048));</v>
      </c>
      <c r="D1107" t="str">
        <f t="shared" si="35"/>
        <v>UPDATE url_rewrite SET request_path = '25203/48312/Polypropylene-Rolls--Bags/Clear-Polypropylene-Basket-Bags.html' WHERE entity_type='custom' AND target_path=(SELECT CONCAT(url_path, '.html') FROM catalog_category_flat_store_1 WHERE entity_id=1048);</v>
      </c>
    </row>
    <row r="1108" spans="1:4" x14ac:dyDescent="0.25">
      <c r="A1108">
        <f>categories!B1108</f>
        <v>1050</v>
      </c>
      <c r="B1108" t="str">
        <f>SUBSTITUTE(SUBSTITUTE(categories!H1108,"\","/"),"www.americanretailsupply.com/","")</f>
        <v>65086/228051/Polyproylene-Bags--Rolls/Printed-Polypropylene-Rolls.html</v>
      </c>
      <c r="C1108" t="str">
        <f t="shared" si="34"/>
        <v>INSERT INTO url_rewrite (entity_type, entity_id, redirect_type, store_id, request_path, target_path) VALUES ('custom', 0, 301, 1,'65086/228051/Polyproylene-Bags--Rolls/Printed-Polypropylene-Rolls.html',(SELECT CONCAT(url_path, '.html') FROM catalog_category_flat_store_1 WHERE entity_id=1050));</v>
      </c>
      <c r="D1108" t="str">
        <f t="shared" si="35"/>
        <v>UPDATE url_rewrite SET request_path = '65086/228051/Polyproylene-Bags--Rolls/Printed-Polypropylene-Rolls.html' WHERE entity_type='custom' AND target_path=(SELECT CONCAT(url_path, '.html') FROM catalog_category_flat_store_1 WHERE entity_id=1050);</v>
      </c>
    </row>
    <row r="1109" spans="1:4" x14ac:dyDescent="0.25">
      <c r="A1109">
        <f>categories!B1109</f>
        <v>1052</v>
      </c>
      <c r="B1109" t="str">
        <f>SUBSTITUTE(SUBSTITUTE(categories!H1109,"\","/"),"www.americanretailsupply.com/","")</f>
        <v>64929/1453/Primark-1--2-Line-Price-Guns/Primark-P-14-1-Line-Price-Gun.html</v>
      </c>
      <c r="C1109" t="str">
        <f t="shared" si="34"/>
        <v>INSERT INTO url_rewrite (entity_type, entity_id, redirect_type, store_id, request_path, target_path) VALUES ('custom', 0, 301, 1,'64929/1453/Primark-1--2-Line-Price-Guns/Primark-P-14-1-Line-Price-Gun.html',(SELECT CONCAT(url_path, '.html') FROM catalog_category_flat_store_1 WHERE entity_id=1052));</v>
      </c>
      <c r="D1109" t="str">
        <f t="shared" si="35"/>
        <v>UPDATE url_rewrite SET request_path = '64929/1453/Primark-1--2-Line-Price-Guns/Primark-P-14-1-Line-Price-Gun.html' WHERE entity_type='custom' AND target_path=(SELECT CONCAT(url_path, '.html') FROM catalog_category_flat_store_1 WHERE entity_id=1052);</v>
      </c>
    </row>
    <row r="1110" spans="1:4" x14ac:dyDescent="0.25">
      <c r="A1110">
        <f>categories!B1110</f>
        <v>1053</v>
      </c>
      <c r="B1110" t="str">
        <f>SUBSTITUTE(SUBSTITUTE(categories!H1110,"\","/"),"www.americanretailsupply.com/","")</f>
        <v>64929/1554/Primark-1--2-Line-Price-Guns/Primark-P-14-Labels.html</v>
      </c>
      <c r="C1110" t="str">
        <f t="shared" si="34"/>
        <v>INSERT INTO url_rewrite (entity_type, entity_id, redirect_type, store_id, request_path, target_path) VALUES ('custom', 0, 301, 1,'64929/1554/Primark-1--2-Line-Price-Guns/Primark-P-14-Labels.html',(SELECT CONCAT(url_path, '.html') FROM catalog_category_flat_store_1 WHERE entity_id=1053));</v>
      </c>
      <c r="D1110" t="str">
        <f t="shared" si="35"/>
        <v>UPDATE url_rewrite SET request_path = '64929/1554/Primark-1--2-Line-Price-Guns/Primark-P-14-Labels.html' WHERE entity_type='custom' AND target_path=(SELECT CONCAT(url_path, '.html') FROM catalog_category_flat_store_1 WHERE entity_id=1053);</v>
      </c>
    </row>
    <row r="1111" spans="1:4" x14ac:dyDescent="0.25">
      <c r="A1111">
        <f>categories!B1111</f>
        <v>1054</v>
      </c>
      <c r="B1111" t="str">
        <f>SUBSTITUTE(SUBSTITUTE(categories!H1111,"\","/"),"www.americanretailsupply.com/","")</f>
        <v>64929/1557/Primark-1--2-Line-Price-Guns/Primark-P-14-Ink-Roller.html</v>
      </c>
      <c r="C1111" t="str">
        <f t="shared" si="34"/>
        <v>INSERT INTO url_rewrite (entity_type, entity_id, redirect_type, store_id, request_path, target_path) VALUES ('custom', 0, 301, 1,'64929/1557/Primark-1--2-Line-Price-Guns/Primark-P-14-Ink-Roller.html',(SELECT CONCAT(url_path, '.html') FROM catalog_category_flat_store_1 WHERE entity_id=1054));</v>
      </c>
      <c r="D1111" t="str">
        <f t="shared" si="35"/>
        <v>UPDATE url_rewrite SET request_path = '64929/1557/Primark-1--2-Line-Price-Guns/Primark-P-14-Ink-Roller.html' WHERE entity_type='custom' AND target_path=(SELECT CONCAT(url_path, '.html') FROM catalog_category_flat_store_1 WHERE entity_id=1054);</v>
      </c>
    </row>
    <row r="1112" spans="1:4" x14ac:dyDescent="0.25">
      <c r="A1112">
        <f>categories!B1112</f>
        <v>1055</v>
      </c>
      <c r="B1112" t="str">
        <f>SUBSTITUTE(SUBSTITUTE(categories!H1112,"\","/"),"www.americanretailsupply.com/","")</f>
        <v>64929/1586/Primark-1--2-Line-Price-Guns/Primark-P-16-Labels.html</v>
      </c>
      <c r="C1112" t="str">
        <f t="shared" si="34"/>
        <v>INSERT INTO url_rewrite (entity_type, entity_id, redirect_type, store_id, request_path, target_path) VALUES ('custom', 0, 301, 1,'64929/1586/Primark-1--2-Line-Price-Guns/Primark-P-16-Labels.html',(SELECT CONCAT(url_path, '.html') FROM catalog_category_flat_store_1 WHERE entity_id=1055));</v>
      </c>
      <c r="D1112" t="str">
        <f t="shared" si="35"/>
        <v>UPDATE url_rewrite SET request_path = '64929/1586/Primark-1--2-Line-Price-Guns/Primark-P-16-Labels.html' WHERE entity_type='custom' AND target_path=(SELECT CONCAT(url_path, '.html') FROM catalog_category_flat_store_1 WHERE entity_id=1055);</v>
      </c>
    </row>
    <row r="1113" spans="1:4" x14ac:dyDescent="0.25">
      <c r="A1113">
        <f>categories!B1113</f>
        <v>1056</v>
      </c>
      <c r="B1113" t="str">
        <f>SUBSTITUTE(SUBSTITUTE(categories!H1113,"\","/"),"www.americanretailsupply.com/","")</f>
        <v>64929/48179/Primark-1--2-Line-Price-Guns/Primark-P-16-2-Line-Price-Gun.html</v>
      </c>
      <c r="C1113" t="str">
        <f t="shared" si="34"/>
        <v>INSERT INTO url_rewrite (entity_type, entity_id, redirect_type, store_id, request_path, target_path) VALUES ('custom', 0, 301, 1,'64929/48179/Primark-1--2-Line-Price-Guns/Primark-P-16-2-Line-Price-Gun.html',(SELECT CONCAT(url_path, '.html') FROM catalog_category_flat_store_1 WHERE entity_id=1056));</v>
      </c>
      <c r="D1113" t="str">
        <f t="shared" si="35"/>
        <v>UPDATE url_rewrite SET request_path = '64929/48179/Primark-1--2-Line-Price-Guns/Primark-P-16-2-Line-Price-Gun.html' WHERE entity_type='custom' AND target_path=(SELECT CONCAT(url_path, '.html') FROM catalog_category_flat_store_1 WHERE entity_id=1056);</v>
      </c>
    </row>
    <row r="1114" spans="1:4" x14ac:dyDescent="0.25">
      <c r="A1114">
        <f>categories!B1114</f>
        <v>1057</v>
      </c>
      <c r="B1114" t="str">
        <f>SUBSTITUTE(SUBSTITUTE(categories!H1114,"\","/"),"www.americanretailsupply.com/","")</f>
        <v>64929/48285/Primark-1--2-Line-Price-Guns/Primark-P-16-Ink-Roller.html</v>
      </c>
      <c r="C1114" t="str">
        <f t="shared" si="34"/>
        <v>INSERT INTO url_rewrite (entity_type, entity_id, redirect_type, store_id, request_path, target_path) VALUES ('custom', 0, 301, 1,'64929/48285/Primark-1--2-Line-Price-Guns/Primark-P-16-Ink-Roller.html',(SELECT CONCAT(url_path, '.html') FROM catalog_category_flat_store_1 WHERE entity_id=1057));</v>
      </c>
      <c r="D1114" t="str">
        <f t="shared" si="35"/>
        <v>UPDATE url_rewrite SET request_path = '64929/48285/Primark-1--2-Line-Price-Guns/Primark-P-16-Ink-Roller.html' WHERE entity_type='custom' AND target_path=(SELECT CONCAT(url_path, '.html') FROM catalog_category_flat_store_1 WHERE entity_id=1057);</v>
      </c>
    </row>
    <row r="1115" spans="1:4" x14ac:dyDescent="0.25">
      <c r="A1115">
        <f>categories!B1115</f>
        <v>1059</v>
      </c>
      <c r="B1115" t="str">
        <f>SUBSTITUTE(SUBSTITUTE(categories!H1115,"\","/"),"www.americanretailsupply.com/","")</f>
        <v>64856/22349/Printer-Labels/Thermal-Transfer-Labels-and-Ribbon.html</v>
      </c>
      <c r="C1115" t="str">
        <f t="shared" si="34"/>
        <v>INSERT INTO url_rewrite (entity_type, entity_id, redirect_type, store_id, request_path, target_path) VALUES ('custom', 0, 301, 1,'64856/22349/Printer-Labels/Thermal-Transfer-Labels-and-Ribbon.html',(SELECT CONCAT(url_path, '.html') FROM catalog_category_flat_store_1 WHERE entity_id=1059));</v>
      </c>
      <c r="D1115" t="str">
        <f t="shared" si="35"/>
        <v>UPDATE url_rewrite SET request_path = '64856/22349/Printer-Labels/Thermal-Transfer-Labels-and-Ribbon.html' WHERE entity_type='custom' AND target_path=(SELECT CONCAT(url_path, '.html') FROM catalog_category_flat_store_1 WHERE entity_id=1059);</v>
      </c>
    </row>
    <row r="1116" spans="1:4" x14ac:dyDescent="0.25">
      <c r="A1116">
        <f>categories!B1116</f>
        <v>1060</v>
      </c>
      <c r="B1116" t="str">
        <f>SUBSTITUTE(SUBSTITUTE(categories!H1116,"\","/"),"www.americanretailsupply.com/","")</f>
        <v>64856/173888/Printer-Labels/Direct-Thermal-Labels.html</v>
      </c>
      <c r="C1116" t="str">
        <f t="shared" si="34"/>
        <v>INSERT INTO url_rewrite (entity_type, entity_id, redirect_type, store_id, request_path, target_path) VALUES ('custom', 0, 301, 1,'64856/173888/Printer-Labels/Direct-Thermal-Labels.html',(SELECT CONCAT(url_path, '.html') FROM catalog_category_flat_store_1 WHERE entity_id=1060));</v>
      </c>
      <c r="D1116" t="str">
        <f t="shared" si="35"/>
        <v>UPDATE url_rewrite SET request_path = '64856/173888/Printer-Labels/Direct-Thermal-Labels.html' WHERE entity_type='custom' AND target_path=(SELECT CONCAT(url_path, '.html') FROM catalog_category_flat_store_1 WHERE entity_id=1060);</v>
      </c>
    </row>
    <row r="1117" spans="1:4" x14ac:dyDescent="0.25">
      <c r="A1117">
        <f>categories!B1117</f>
        <v>1061</v>
      </c>
      <c r="B1117" t="str">
        <f>SUBSTITUTE(SUBSTITUTE(categories!H1117,"\","/"),"www.americanretailsupply.com/","")</f>
        <v>64856/173893/Printer-Labels/Paper-Laser-Labels.html</v>
      </c>
      <c r="C1117" t="str">
        <f t="shared" si="34"/>
        <v>INSERT INTO url_rewrite (entity_type, entity_id, redirect_type, store_id, request_path, target_path) VALUES ('custom', 0, 301, 1,'64856/173893/Printer-Labels/Paper-Laser-Labels.html',(SELECT CONCAT(url_path, '.html') FROM catalog_category_flat_store_1 WHERE entity_id=1061));</v>
      </c>
      <c r="D1117" t="str">
        <f t="shared" si="35"/>
        <v>UPDATE url_rewrite SET request_path = '64856/173893/Printer-Labels/Paper-Laser-Labels.html' WHERE entity_type='custom' AND target_path=(SELECT CONCAT(url_path, '.html') FROM catalog_category_flat_store_1 WHERE entity_id=1061);</v>
      </c>
    </row>
    <row r="1118" spans="1:4" x14ac:dyDescent="0.25">
      <c r="A1118">
        <f>categories!B1118</f>
        <v>1063</v>
      </c>
      <c r="B1118" t="str">
        <f>SUBSTITUTE(SUBSTITUTE(categories!H1118,"\","/"),"www.americanretailsupply.com/","")</f>
        <v>64969/37868/Quantum-Extra-HD-Brackets/Quantum-Standard-Brackets.html</v>
      </c>
      <c r="C1118" t="str">
        <f t="shared" si="34"/>
        <v>INSERT INTO url_rewrite (entity_type, entity_id, redirect_type, store_id, request_path, target_path) VALUES ('custom', 0, 301, 1,'64969/37868/Quantum-Extra-HD-Brackets/Quantum-Standard-Brackets.html',(SELECT CONCAT(url_path, '.html') FROM catalog_category_flat_store_1 WHERE entity_id=1063));</v>
      </c>
      <c r="D1118" t="str">
        <f t="shared" si="35"/>
        <v>UPDATE url_rewrite SET request_path = '64969/37868/Quantum-Extra-HD-Brackets/Quantum-Standard-Brackets.html' WHERE entity_type='custom' AND target_path=(SELECT CONCAT(url_path, '.html') FROM catalog_category_flat_store_1 WHERE entity_id=1063);</v>
      </c>
    </row>
    <row r="1119" spans="1:4" x14ac:dyDescent="0.25">
      <c r="A1119">
        <f>categories!B1119</f>
        <v>1064</v>
      </c>
      <c r="B1119" t="str">
        <f>SUBSTITUTE(SUBSTITUTE(categories!H1119,"\","/"),"www.americanretailsupply.com/","")</f>
        <v>64969/37869/Quantum-Extra-HD-Brackets/Quantum-Standard-Brackets-with-Pin.html</v>
      </c>
      <c r="C1119" t="str">
        <f t="shared" si="34"/>
        <v>INSERT INTO url_rewrite (entity_type, entity_id, redirect_type, store_id, request_path, target_path) VALUES ('custom', 0, 301, 1,'64969/37869/Quantum-Extra-HD-Brackets/Quantum-Standard-Brackets-with-Pin.html',(SELECT CONCAT(url_path, '.html') FROM catalog_category_flat_store_1 WHERE entity_id=1064));</v>
      </c>
      <c r="D1119" t="str">
        <f t="shared" si="35"/>
        <v>UPDATE url_rewrite SET request_path = '64969/37869/Quantum-Extra-HD-Brackets/Quantum-Standard-Brackets-with-Pin.html' WHERE entity_type='custom' AND target_path=(SELECT CONCAT(url_path, '.html') FROM catalog_category_flat_store_1 WHERE entity_id=1064);</v>
      </c>
    </row>
    <row r="1120" spans="1:4" x14ac:dyDescent="0.25">
      <c r="A1120">
        <f>categories!B1120</f>
        <v>1065</v>
      </c>
      <c r="B1120" t="str">
        <f>SUBSTITUTE(SUBSTITUTE(categories!H1120,"\","/"),"www.americanretailsupply.com/","")</f>
        <v>64969/37870/Quantum-Extra-HD-Brackets/Quantum-Heavy-Duty-Brackets.html</v>
      </c>
      <c r="C1120" t="str">
        <f t="shared" si="34"/>
        <v>INSERT INTO url_rewrite (entity_type, entity_id, redirect_type, store_id, request_path, target_path) VALUES ('custom', 0, 301, 1,'64969/37870/Quantum-Extra-HD-Brackets/Quantum-Heavy-Duty-Brackets.html',(SELECT CONCAT(url_path, '.html') FROM catalog_category_flat_store_1 WHERE entity_id=1065));</v>
      </c>
      <c r="D1120" t="str">
        <f t="shared" si="35"/>
        <v>UPDATE url_rewrite SET request_path = '64969/37870/Quantum-Extra-HD-Brackets/Quantum-Heavy-Duty-Brackets.html' WHERE entity_type='custom' AND target_path=(SELECT CONCAT(url_path, '.html') FROM catalog_category_flat_store_1 WHERE entity_id=1065);</v>
      </c>
    </row>
    <row r="1121" spans="1:4" x14ac:dyDescent="0.25">
      <c r="A1121">
        <f>categories!B1121</f>
        <v>1066</v>
      </c>
      <c r="B1121" t="str">
        <f>SUBSTITUTE(SUBSTITUTE(categories!H1121,"\","/"),"www.americanretailsupply.com/","")</f>
        <v>64969/37871/Quantum-Extra-HD-Brackets/Quantum-Adjustable-Brackets.html</v>
      </c>
      <c r="C1121" t="str">
        <f t="shared" si="34"/>
        <v>INSERT INTO url_rewrite (entity_type, entity_id, redirect_type, store_id, request_path, target_path) VALUES ('custom', 0, 301, 1,'64969/37871/Quantum-Extra-HD-Brackets/Quantum-Adjustable-Brackets.html',(SELECT CONCAT(url_path, '.html') FROM catalog_category_flat_store_1 WHERE entity_id=1066));</v>
      </c>
      <c r="D1121" t="str">
        <f t="shared" si="35"/>
        <v>UPDATE url_rewrite SET request_path = '64969/37871/Quantum-Extra-HD-Brackets/Quantum-Adjustable-Brackets.html' WHERE entity_type='custom' AND target_path=(SELECT CONCAT(url_path, '.html') FROM catalog_category_flat_store_1 WHERE entity_id=1066);</v>
      </c>
    </row>
    <row r="1122" spans="1:4" x14ac:dyDescent="0.25">
      <c r="A1122">
        <f>categories!B1122</f>
        <v>1067</v>
      </c>
      <c r="B1122" t="str">
        <f>SUBSTITUTE(SUBSTITUTE(categories!H1122,"\","/"),"www.americanretailsupply.com/","")</f>
        <v>64969/37872/Quantum-Extra-HD-Brackets/Quantum-Flange-Brackets-Chrome.html</v>
      </c>
      <c r="C1122" t="str">
        <f t="shared" si="34"/>
        <v>INSERT INTO url_rewrite (entity_type, entity_id, redirect_type, store_id, request_path, target_path) VALUES ('custom', 0, 301, 1,'64969/37872/Quantum-Extra-HD-Brackets/Quantum-Flange-Brackets-Chrome.html',(SELECT CONCAT(url_path, '.html') FROM catalog_category_flat_store_1 WHERE entity_id=1067));</v>
      </c>
      <c r="D1122" t="str">
        <f t="shared" si="35"/>
        <v>UPDATE url_rewrite SET request_path = '64969/37872/Quantum-Extra-HD-Brackets/Quantum-Flange-Brackets-Chrome.html' WHERE entity_type='custom' AND target_path=(SELECT CONCAT(url_path, '.html') FROM catalog_category_flat_store_1 WHERE entity_id=1067);</v>
      </c>
    </row>
    <row r="1123" spans="1:4" x14ac:dyDescent="0.25">
      <c r="A1123">
        <f>categories!B1123</f>
        <v>1068</v>
      </c>
      <c r="B1123" t="str">
        <f>SUBSTITUTE(SUBSTITUTE(categories!H1123,"\","/"),"www.americanretailsupply.com/","")</f>
        <v>64969/37873/Quantum-Extra-HD-Brackets/Quantum-Straight-Faceouts.html</v>
      </c>
      <c r="C1123" t="str">
        <f t="shared" si="34"/>
        <v>INSERT INTO url_rewrite (entity_type, entity_id, redirect_type, store_id, request_path, target_path) VALUES ('custom', 0, 301, 1,'64969/37873/Quantum-Extra-HD-Brackets/Quantum-Straight-Faceouts.html',(SELECT CONCAT(url_path, '.html') FROM catalog_category_flat_store_1 WHERE entity_id=1068));</v>
      </c>
      <c r="D1123" t="str">
        <f t="shared" si="35"/>
        <v>UPDATE url_rewrite SET request_path = '64969/37873/Quantum-Extra-HD-Brackets/Quantum-Straight-Faceouts.html' WHERE entity_type='custom' AND target_path=(SELECT CONCAT(url_path, '.html') FROM catalog_category_flat_store_1 WHERE entity_id=1068);</v>
      </c>
    </row>
    <row r="1124" spans="1:4" x14ac:dyDescent="0.25">
      <c r="A1124">
        <f>categories!B1124</f>
        <v>1069</v>
      </c>
      <c r="B1124" t="str">
        <f>SUBSTITUTE(SUBSTITUTE(categories!H1124,"\","/"),"www.americanretailsupply.com/","")</f>
        <v>64969/37874/Quantum-Extra-HD-Brackets/Quantum-Waterfall-with-Ball-Stops.html</v>
      </c>
      <c r="C1124" t="str">
        <f t="shared" si="34"/>
        <v>INSERT INTO url_rewrite (entity_type, entity_id, redirect_type, store_id, request_path, target_path) VALUES ('custom', 0, 301, 1,'64969/37874/Quantum-Extra-HD-Brackets/Quantum-Waterfall-with-Ball-Stops.html',(SELECT CONCAT(url_path, '.html') FROM catalog_category_flat_store_1 WHERE entity_id=1069));</v>
      </c>
      <c r="D1124" t="str">
        <f t="shared" si="35"/>
        <v>UPDATE url_rewrite SET request_path = '64969/37874/Quantum-Extra-HD-Brackets/Quantum-Waterfall-with-Ball-Stops.html' WHERE entity_type='custom' AND target_path=(SELECT CONCAT(url_path, '.html') FROM catalog_category_flat_store_1 WHERE entity_id=1069);</v>
      </c>
    </row>
    <row r="1125" spans="1:4" x14ac:dyDescent="0.25">
      <c r="A1125">
        <f>categories!B1125</f>
        <v>1070</v>
      </c>
      <c r="B1125" t="str">
        <f>SUBSTITUTE(SUBSTITUTE(categories!H1125,"\","/"),"www.americanretailsupply.com/","")</f>
        <v>64969/37876/Quantum-Extra-HD-Brackets/Quantum-Bracket-for-Merchandising-Bar.html</v>
      </c>
      <c r="C1125" t="str">
        <f t="shared" si="34"/>
        <v>INSERT INTO url_rewrite (entity_type, entity_id, redirect_type, store_id, request_path, target_path) VALUES ('custom', 0, 301, 1,'64969/37876/Quantum-Extra-HD-Brackets/Quantum-Bracket-for-Merchandising-Bar.html',(SELECT CONCAT(url_path, '.html') FROM catalog_category_flat_store_1 WHERE entity_id=1070));</v>
      </c>
      <c r="D1125" t="str">
        <f t="shared" si="35"/>
        <v>UPDATE url_rewrite SET request_path = '64969/37876/Quantum-Extra-HD-Brackets/Quantum-Bracket-for-Merchandising-Bar.html' WHERE entity_type='custom' AND target_path=(SELECT CONCAT(url_path, '.html') FROM catalog_category_flat_store_1 WHERE entity_id=1070);</v>
      </c>
    </row>
    <row r="1126" spans="1:4" x14ac:dyDescent="0.25">
      <c r="A1126">
        <f>categories!B1126</f>
        <v>1071</v>
      </c>
      <c r="B1126" t="str">
        <f>SUBSTITUTE(SUBSTITUTE(categories!H1126,"\","/"),"www.americanretailsupply.com/","")</f>
        <v>64969/173813/Quantum-Extra-HD-Brackets/Quantum-Heavy-Duty-Brackets-with-Lock-Nut.html</v>
      </c>
      <c r="C1126" t="str">
        <f t="shared" si="34"/>
        <v>INSERT INTO url_rewrite (entity_type, entity_id, redirect_type, store_id, request_path, target_path) VALUES ('custom', 0, 301, 1,'64969/173813/Quantum-Extra-HD-Brackets/Quantum-Heavy-Duty-Brackets-with-Lock-Nut.html',(SELECT CONCAT(url_path, '.html') FROM catalog_category_flat_store_1 WHERE entity_id=1071));</v>
      </c>
      <c r="D1126" t="str">
        <f t="shared" si="35"/>
        <v>UPDATE url_rewrite SET request_path = '64969/173813/Quantum-Extra-HD-Brackets/Quantum-Heavy-Duty-Brackets-with-Lock-Nut.html' WHERE entity_type='custom' AND target_path=(SELECT CONCAT(url_path, '.html') FROM catalog_category_flat_store_1 WHERE entity_id=1071);</v>
      </c>
    </row>
    <row r="1127" spans="1:4" x14ac:dyDescent="0.25">
      <c r="A1127">
        <f>categories!B1127</f>
        <v>1072</v>
      </c>
      <c r="B1127" t="str">
        <f>SUBSTITUTE(SUBSTITUTE(categories!H1127,"\","/"),"www.americanretailsupply.com/","")</f>
        <v>64969/173814/Quantum-Extra-HD-Brackets/Quantum-Waterfall-with-Hooks.html</v>
      </c>
      <c r="C1127" t="str">
        <f t="shared" si="34"/>
        <v>INSERT INTO url_rewrite (entity_type, entity_id, redirect_type, store_id, request_path, target_path) VALUES ('custom', 0, 301, 1,'64969/173814/Quantum-Extra-HD-Brackets/Quantum-Waterfall-with-Hooks.html',(SELECT CONCAT(url_path, '.html') FROM catalog_category_flat_store_1 WHERE entity_id=1072));</v>
      </c>
      <c r="D1127" t="str">
        <f t="shared" si="35"/>
        <v>UPDATE url_rewrite SET request_path = '64969/173814/Quantum-Extra-HD-Brackets/Quantum-Waterfall-with-Hooks.html' WHERE entity_type='custom' AND target_path=(SELECT CONCAT(url_path, '.html') FROM catalog_category_flat_store_1 WHERE entity_id=1072);</v>
      </c>
    </row>
    <row r="1128" spans="1:4" x14ac:dyDescent="0.25">
      <c r="A1128">
        <f>categories!B1128</f>
        <v>1073</v>
      </c>
      <c r="B1128" t="str">
        <f>SUBSTITUTE(SUBSTITUTE(categories!H1128,"\","/"),"www.americanretailsupply.com/","")</f>
        <v>64969/244551/Quantum-Extra-HD-Brackets/Quantum-Bracket-Adjustable-Facia-30-to-40.html</v>
      </c>
      <c r="C1128" t="str">
        <f t="shared" si="34"/>
        <v>INSERT INTO url_rewrite (entity_type, entity_id, redirect_type, store_id, request_path, target_path) VALUES ('custom', 0, 301, 1,'64969/244551/Quantum-Extra-HD-Brackets/Quantum-Bracket-Adjustable-Facia-30-to-40.html',(SELECT CONCAT(url_path, '.html') FROM catalog_category_flat_store_1 WHERE entity_id=1073));</v>
      </c>
      <c r="D1128" t="str">
        <f t="shared" si="35"/>
        <v>UPDATE url_rewrite SET request_path = '64969/244551/Quantum-Extra-HD-Brackets/Quantum-Bracket-Adjustable-Facia-30-to-40.html' WHERE entity_type='custom' AND target_path=(SELECT CONCAT(url_path, '.html') FROM catalog_category_flat_store_1 WHERE entity_id=1073);</v>
      </c>
    </row>
    <row r="1129" spans="1:4" x14ac:dyDescent="0.25">
      <c r="A1129">
        <f>categories!B1129</f>
        <v>1074</v>
      </c>
      <c r="B1129" t="str">
        <f>SUBSTITUTE(SUBSTITUTE(categories!H1129,"\","/"),"www.americanretailsupply.com/","")</f>
        <v>64969/734159/Quantum-Extra-HD-Brackets/Quantum-Flange-Brackets-Zinc.html</v>
      </c>
      <c r="C1129" t="str">
        <f t="shared" si="34"/>
        <v>INSERT INTO url_rewrite (entity_type, entity_id, redirect_type, store_id, request_path, target_path) VALUES ('custom', 0, 301, 1,'64969/734159/Quantum-Extra-HD-Brackets/Quantum-Flange-Brackets-Zinc.html',(SELECT CONCAT(url_path, '.html') FROM catalog_category_flat_store_1 WHERE entity_id=1074));</v>
      </c>
      <c r="D1129" t="str">
        <f t="shared" si="35"/>
        <v>UPDATE url_rewrite SET request_path = '64969/734159/Quantum-Extra-HD-Brackets/Quantum-Flange-Brackets-Zinc.html' WHERE entity_type='custom' AND target_path=(SELECT CONCAT(url_path, '.html') FROM catalog_category_flat_store_1 WHERE entity_id=1074);</v>
      </c>
    </row>
    <row r="1130" spans="1:4" x14ac:dyDescent="0.25">
      <c r="A1130">
        <f>categories!B1130</f>
        <v>1076</v>
      </c>
      <c r="B1130" t="str">
        <f>SUBSTITUTE(SUBSTITUTE(categories!H1130,"\","/"),"www.americanretailsupply.com/","")</f>
        <v>64970/37877/Quantum-Extra-HD-Wall-Standards/Quantum-Single-Slotted-Standards.html</v>
      </c>
      <c r="C1130" t="str">
        <f t="shared" si="34"/>
        <v>INSERT INTO url_rewrite (entity_type, entity_id, redirect_type, store_id, request_path, target_path) VALUES ('custom', 0, 301, 1,'64970/37877/Quantum-Extra-HD-Wall-Standards/Quantum-Single-Slotted-Standards.html',(SELECT CONCAT(url_path, '.html') FROM catalog_category_flat_store_1 WHERE entity_id=1076));</v>
      </c>
      <c r="D1130" t="str">
        <f t="shared" si="35"/>
        <v>UPDATE url_rewrite SET request_path = '64970/37877/Quantum-Extra-HD-Wall-Standards/Quantum-Single-Slotted-Standards.html' WHERE entity_type='custom' AND target_path=(SELECT CONCAT(url_path, '.html') FROM catalog_category_flat_store_1 WHERE entity_id=1076);</v>
      </c>
    </row>
    <row r="1131" spans="1:4" x14ac:dyDescent="0.25">
      <c r="A1131">
        <f>categories!B1131</f>
        <v>1077</v>
      </c>
      <c r="B1131" t="str">
        <f>SUBSTITUTE(SUBSTITUTE(categories!H1131,"\","/"),"www.americanretailsupply.com/","")</f>
        <v>64970/37878/Quantum-Extra-HD-Wall-Standards/Quantum-T-Concealed-Standards.html</v>
      </c>
      <c r="C1131" t="str">
        <f t="shared" si="34"/>
        <v>INSERT INTO url_rewrite (entity_type, entity_id, redirect_type, store_id, request_path, target_path) VALUES ('custom', 0, 301, 1,'64970/37878/Quantum-Extra-HD-Wall-Standards/Quantum-T-Concealed-Standards.html',(SELECT CONCAT(url_path, '.html') FROM catalog_category_flat_store_1 WHERE entity_id=1077));</v>
      </c>
      <c r="D1131" t="str">
        <f t="shared" si="35"/>
        <v>UPDATE url_rewrite SET request_path = '64970/37878/Quantum-Extra-HD-Wall-Standards/Quantum-T-Concealed-Standards.html' WHERE entity_type='custom' AND target_path=(SELECT CONCAT(url_path, '.html') FROM catalog_category_flat_store_1 WHERE entity_id=1077);</v>
      </c>
    </row>
    <row r="1132" spans="1:4" x14ac:dyDescent="0.25">
      <c r="A1132">
        <f>categories!B1132</f>
        <v>1079</v>
      </c>
      <c r="B1132" t="str">
        <f>SUBSTITUTE(SUBSTITUTE(categories!H1132,"\","/"),"www.americanretailsupply.com/","")</f>
        <v>64806/44182/Racks-Spinners-Dump-Bins/Collapsible-Round-Bin-Display.html</v>
      </c>
      <c r="C1132" t="str">
        <f t="shared" si="34"/>
        <v>INSERT INTO url_rewrite (entity_type, entity_id, redirect_type, store_id, request_path, target_path) VALUES ('custom', 0, 301, 1,'64806/44182/Racks-Spinners-Dump-Bins/Collapsible-Round-Bin-Display.html',(SELECT CONCAT(url_path, '.html') FROM catalog_category_flat_store_1 WHERE entity_id=1079));</v>
      </c>
      <c r="D1132" t="str">
        <f t="shared" si="35"/>
        <v>UPDATE url_rewrite SET request_path = '64806/44182/Racks-Spinners-Dump-Bins/Collapsible-Round-Bin-Display.html' WHERE entity_type='custom' AND target_path=(SELECT CONCAT(url_path, '.html') FROM catalog_category_flat_store_1 WHERE entity_id=1079);</v>
      </c>
    </row>
    <row r="1133" spans="1:4" x14ac:dyDescent="0.25">
      <c r="A1133">
        <f>categories!B1133</f>
        <v>1080</v>
      </c>
      <c r="B1133" t="str">
        <f>SUBSTITUTE(SUBSTITUTE(categories!H1133,"\","/"),"www.americanretailsupply.com/","")</f>
        <v>64806/44184/Racks-Spinners-Dump-Bins/3-Tier-Round-Bin.html</v>
      </c>
      <c r="C1133" t="str">
        <f t="shared" si="34"/>
        <v>INSERT INTO url_rewrite (entity_type, entity_id, redirect_type, store_id, request_path, target_path) VALUES ('custom', 0, 301, 1,'64806/44184/Racks-Spinners-Dump-Bins/3-Tier-Round-Bin.html',(SELECT CONCAT(url_path, '.html') FROM catalog_category_flat_store_1 WHERE entity_id=1080));</v>
      </c>
      <c r="D1133" t="str">
        <f t="shared" si="35"/>
        <v>UPDATE url_rewrite SET request_path = '64806/44184/Racks-Spinners-Dump-Bins/3-Tier-Round-Bin.html' WHERE entity_type='custom' AND target_path=(SELECT CONCAT(url_path, '.html') FROM catalog_category_flat_store_1 WHERE entity_id=1080);</v>
      </c>
    </row>
    <row r="1134" spans="1:4" x14ac:dyDescent="0.25">
      <c r="A1134">
        <f>categories!B1134</f>
        <v>1081</v>
      </c>
      <c r="B1134" t="str">
        <f>SUBSTITUTE(SUBSTITUTE(categories!H1134,"\","/"),"www.americanretailsupply.com/","")</f>
        <v>64806/44185/Racks-Spinners-Dump-Bins/3-Tier-Dump-Bin.html</v>
      </c>
      <c r="C1134" t="str">
        <f t="shared" si="34"/>
        <v>INSERT INTO url_rewrite (entity_type, entity_id, redirect_type, store_id, request_path, target_path) VALUES ('custom', 0, 301, 1,'64806/44185/Racks-Spinners-Dump-Bins/3-Tier-Dump-Bin.html',(SELECT CONCAT(url_path, '.html') FROM catalog_category_flat_store_1 WHERE entity_id=1081));</v>
      </c>
      <c r="D1134" t="str">
        <f t="shared" si="35"/>
        <v>UPDATE url_rewrite SET request_path = '64806/44185/Racks-Spinners-Dump-Bins/3-Tier-Dump-Bin.html' WHERE entity_type='custom' AND target_path=(SELECT CONCAT(url_path, '.html') FROM catalog_category_flat_store_1 WHERE entity_id=1081);</v>
      </c>
    </row>
    <row r="1135" spans="1:4" x14ac:dyDescent="0.25">
      <c r="A1135">
        <f>categories!B1135</f>
        <v>1082</v>
      </c>
      <c r="B1135" t="str">
        <f>SUBSTITUTE(SUBSTITUTE(categories!H1135,"\","/"),"www.americanretailsupply.com/","")</f>
        <v>64806/560461/Racks-Spinners-Dump-Bins/Impulse-Table.html</v>
      </c>
      <c r="C1135" t="str">
        <f t="shared" si="34"/>
        <v>INSERT INTO url_rewrite (entity_type, entity_id, redirect_type, store_id, request_path, target_path) VALUES ('custom', 0, 301, 1,'64806/560461/Racks-Spinners-Dump-Bins/Impulse-Table.html',(SELECT CONCAT(url_path, '.html') FROM catalog_category_flat_store_1 WHERE entity_id=1082));</v>
      </c>
      <c r="D1135" t="str">
        <f t="shared" si="35"/>
        <v>UPDATE url_rewrite SET request_path = '64806/560461/Racks-Spinners-Dump-Bins/Impulse-Table.html' WHERE entity_type='custom' AND target_path=(SELECT CONCAT(url_path, '.html') FROM catalog_category_flat_store_1 WHERE entity_id=1082);</v>
      </c>
    </row>
    <row r="1136" spans="1:4" x14ac:dyDescent="0.25">
      <c r="A1136">
        <f>categories!B1136</f>
        <v>1083</v>
      </c>
      <c r="B1136" t="str">
        <f>SUBSTITUTE(SUBSTITUTE(categories!H1136,"\","/"),"www.americanretailsupply.com/","")</f>
        <v>64806/560534/Racks-Spinners-Dump-Bins/Folding-Mobile-Dump-Table.html</v>
      </c>
      <c r="C1136" t="str">
        <f t="shared" si="34"/>
        <v>INSERT INTO url_rewrite (entity_type, entity_id, redirect_type, store_id, request_path, target_path) VALUES ('custom', 0, 301, 1,'64806/560534/Racks-Spinners-Dump-Bins/Folding-Mobile-Dump-Table.html',(SELECT CONCAT(url_path, '.html') FROM catalog_category_flat_store_1 WHERE entity_id=1083));</v>
      </c>
      <c r="D1136" t="str">
        <f t="shared" si="35"/>
        <v>UPDATE url_rewrite SET request_path = '64806/560534/Racks-Spinners-Dump-Bins/Folding-Mobile-Dump-Table.html' WHERE entity_type='custom' AND target_path=(SELECT CONCAT(url_path, '.html') FROM catalog_category_flat_store_1 WHERE entity_id=1083);</v>
      </c>
    </row>
    <row r="1137" spans="1:4" x14ac:dyDescent="0.25">
      <c r="A1137">
        <f>categories!B1137</f>
        <v>1084</v>
      </c>
      <c r="B1137" t="str">
        <f>SUBSTITUTE(SUBSTITUTE(categories!H1137,"\","/"),"www.americanretailsupply.com/","")</f>
        <v>64806/560535/Racks-Spinners-Dump-Bins/Square-Dump-Bin.html</v>
      </c>
      <c r="C1137" t="str">
        <f t="shared" si="34"/>
        <v>INSERT INTO url_rewrite (entity_type, entity_id, redirect_type, store_id, request_path, target_path) VALUES ('custom', 0, 301, 1,'64806/560535/Racks-Spinners-Dump-Bins/Square-Dump-Bin.html',(SELECT CONCAT(url_path, '.html') FROM catalog_category_flat_store_1 WHERE entity_id=1084));</v>
      </c>
      <c r="D1137" t="str">
        <f t="shared" si="35"/>
        <v>UPDATE url_rewrite SET request_path = '64806/560535/Racks-Spinners-Dump-Bins/Square-Dump-Bin.html' WHERE entity_type='custom' AND target_path=(SELECT CONCAT(url_path, '.html') FROM catalog_category_flat_store_1 WHERE entity_id=1084);</v>
      </c>
    </row>
    <row r="1138" spans="1:4" x14ac:dyDescent="0.25">
      <c r="A1138">
        <f>categories!B1138</f>
        <v>1085</v>
      </c>
      <c r="B1138" t="str">
        <f>SUBSTITUTE(SUBSTITUTE(categories!H1138,"\","/"),"www.americanretailsupply.com/","")</f>
        <v>64806/561799/Racks-Spinners-Dump-Bins/Rolling-Dump-Cube.html</v>
      </c>
      <c r="C1138" t="str">
        <f t="shared" si="34"/>
        <v>INSERT INTO url_rewrite (entity_type, entity_id, redirect_type, store_id, request_path, target_path) VALUES ('custom', 0, 301, 1,'64806/561799/Racks-Spinners-Dump-Bins/Rolling-Dump-Cube.html',(SELECT CONCAT(url_path, '.html') FROM catalog_category_flat_store_1 WHERE entity_id=1085));</v>
      </c>
      <c r="D1138" t="str">
        <f t="shared" si="35"/>
        <v>UPDATE url_rewrite SET request_path = '64806/561799/Racks-Spinners-Dump-Bins/Rolling-Dump-Cube.html' WHERE entity_type='custom' AND target_path=(SELECT CONCAT(url_path, '.html') FROM catalog_category_flat_store_1 WHERE entity_id=1085);</v>
      </c>
    </row>
    <row r="1139" spans="1:4" x14ac:dyDescent="0.25">
      <c r="A1139">
        <f>categories!B1139</f>
        <v>1086</v>
      </c>
      <c r="B1139" t="str">
        <f>SUBSTITUTE(SUBSTITUTE(categories!H1139,"\","/"),"www.americanretailsupply.com/","")</f>
        <v>64806/561800/Racks-Spinners-Dump-Bins/3-Tier-Graphics-Stand.html</v>
      </c>
      <c r="C1139" t="str">
        <f t="shared" si="34"/>
        <v>INSERT INTO url_rewrite (entity_type, entity_id, redirect_type, store_id, request_path, target_path) VALUES ('custom', 0, 301, 1,'64806/561800/Racks-Spinners-Dump-Bins/3-Tier-Graphics-Stand.html',(SELECT CONCAT(url_path, '.html') FROM catalog_category_flat_store_1 WHERE entity_id=1086));</v>
      </c>
      <c r="D1139" t="str">
        <f t="shared" si="35"/>
        <v>UPDATE url_rewrite SET request_path = '64806/561800/Racks-Spinners-Dump-Bins/3-Tier-Graphics-Stand.html' WHERE entity_type='custom' AND target_path=(SELECT CONCAT(url_path, '.html') FROM catalog_category_flat_store_1 WHERE entity_id=1086);</v>
      </c>
    </row>
    <row r="1140" spans="1:4" x14ac:dyDescent="0.25">
      <c r="A1140">
        <f>categories!B1140</f>
        <v>1087</v>
      </c>
      <c r="B1140" t="str">
        <f>SUBSTITUTE(SUBSTITUTE(categories!H1140,"\","/"),"www.americanretailsupply.com/","")</f>
        <v>64806/561821/Racks-Spinners-Dump-Bins/3-Tier-Decorative-Rack.html</v>
      </c>
      <c r="C1140" t="str">
        <f t="shared" si="34"/>
        <v>INSERT INTO url_rewrite (entity_type, entity_id, redirect_type, store_id, request_path, target_path) VALUES ('custom', 0, 301, 1,'64806/561821/Racks-Spinners-Dump-Bins/3-Tier-Decorative-Rack.html',(SELECT CONCAT(url_path, '.html') FROM catalog_category_flat_store_1 WHERE entity_id=1087));</v>
      </c>
      <c r="D1140" t="str">
        <f t="shared" si="35"/>
        <v>UPDATE url_rewrite SET request_path = '64806/561821/Racks-Spinners-Dump-Bins/3-Tier-Decorative-Rack.html' WHERE entity_type='custom' AND target_path=(SELECT CONCAT(url_path, '.html') FROM catalog_category_flat_store_1 WHERE entity_id=1087);</v>
      </c>
    </row>
    <row r="1141" spans="1:4" x14ac:dyDescent="0.25">
      <c r="A1141">
        <f>categories!B1141</f>
        <v>1088</v>
      </c>
      <c r="B1141" t="str">
        <f>SUBSTITUTE(SUBSTITUTE(categories!H1141,"\","/"),"www.americanretailsupply.com/","")</f>
        <v>64806/561822/Racks-Spinners-Dump-Bins/4-Tier-Corner-Rack.html</v>
      </c>
      <c r="C1141" t="str">
        <f t="shared" si="34"/>
        <v>INSERT INTO url_rewrite (entity_type, entity_id, redirect_type, store_id, request_path, target_path) VALUES ('custom', 0, 301, 1,'64806/561822/Racks-Spinners-Dump-Bins/4-Tier-Corner-Rack.html',(SELECT CONCAT(url_path, '.html') FROM catalog_category_flat_store_1 WHERE entity_id=1088));</v>
      </c>
      <c r="D1141" t="str">
        <f t="shared" si="35"/>
        <v>UPDATE url_rewrite SET request_path = '64806/561822/Racks-Spinners-Dump-Bins/4-Tier-Corner-Rack.html' WHERE entity_type='custom' AND target_path=(SELECT CONCAT(url_path, '.html') FROM catalog_category_flat_store_1 WHERE entity_id=1088);</v>
      </c>
    </row>
    <row r="1142" spans="1:4" x14ac:dyDescent="0.25">
      <c r="A1142">
        <f>categories!B1142</f>
        <v>1089</v>
      </c>
      <c r="B1142" t="str">
        <f>SUBSTITUTE(SUBSTITUTE(categories!H1142,"\","/"),"www.americanretailsupply.com/","")</f>
        <v>64806/561826/Racks-Spinners-Dump-Bins/5-Tier-Adjustable-Merchandiser.html</v>
      </c>
      <c r="C1142" t="str">
        <f t="shared" si="34"/>
        <v>INSERT INTO url_rewrite (entity_type, entity_id, redirect_type, store_id, request_path, target_path) VALUES ('custom', 0, 301, 1,'64806/561826/Racks-Spinners-Dump-Bins/5-Tier-Adjustable-Merchandiser.html',(SELECT CONCAT(url_path, '.html') FROM catalog_category_flat_store_1 WHERE entity_id=1089));</v>
      </c>
      <c r="D1142" t="str">
        <f t="shared" si="35"/>
        <v>UPDATE url_rewrite SET request_path = '64806/561826/Racks-Spinners-Dump-Bins/5-Tier-Adjustable-Merchandiser.html' WHERE entity_type='custom' AND target_path=(SELECT CONCAT(url_path, '.html') FROM catalog_category_flat_store_1 WHERE entity_id=1089);</v>
      </c>
    </row>
    <row r="1143" spans="1:4" x14ac:dyDescent="0.25">
      <c r="A1143">
        <f>categories!B1143</f>
        <v>1090</v>
      </c>
      <c r="B1143" t="str">
        <f>SUBSTITUTE(SUBSTITUTE(categories!H1143,"\","/"),"www.americanretailsupply.com/","")</f>
        <v>64806/561827/Racks-Spinners-Dump-Bins/5-Tier-Adjustable-Wire-Shelf-Rack.html</v>
      </c>
      <c r="C1143" t="str">
        <f t="shared" si="34"/>
        <v>INSERT INTO url_rewrite (entity_type, entity_id, redirect_type, store_id, request_path, target_path) VALUES ('custom', 0, 301, 1,'64806/561827/Racks-Spinners-Dump-Bins/5-Tier-Adjustable-Wire-Shelf-Rack.html',(SELECT CONCAT(url_path, '.html') FROM catalog_category_flat_store_1 WHERE entity_id=1090));</v>
      </c>
      <c r="D1143" t="str">
        <f t="shared" si="35"/>
        <v>UPDATE url_rewrite SET request_path = '64806/561827/Racks-Spinners-Dump-Bins/5-Tier-Adjustable-Wire-Shelf-Rack.html' WHERE entity_type='custom' AND target_path=(SELECT CONCAT(url_path, '.html') FROM catalog_category_flat_store_1 WHERE entity_id=1090);</v>
      </c>
    </row>
    <row r="1144" spans="1:4" x14ac:dyDescent="0.25">
      <c r="A1144">
        <f>categories!B1144</f>
        <v>1091</v>
      </c>
      <c r="B1144" t="str">
        <f>SUBSTITUTE(SUBSTITUTE(categories!H1144,"\","/"),"www.americanretailsupply.com/","")</f>
        <v>64806/561828/Racks-Spinners-Dump-Bins/Low-Rider-Wire-Bin-Display.html</v>
      </c>
      <c r="C1144" t="str">
        <f t="shared" si="34"/>
        <v>INSERT INTO url_rewrite (entity_type, entity_id, redirect_type, store_id, request_path, target_path) VALUES ('custom', 0, 301, 1,'64806/561828/Racks-Spinners-Dump-Bins/Low-Rider-Wire-Bin-Display.html',(SELECT CONCAT(url_path, '.html') FROM catalog_category_flat_store_1 WHERE entity_id=1091));</v>
      </c>
      <c r="D1144" t="str">
        <f t="shared" si="35"/>
        <v>UPDATE url_rewrite SET request_path = '64806/561828/Racks-Spinners-Dump-Bins/Low-Rider-Wire-Bin-Display.html' WHERE entity_type='custom' AND target_path=(SELECT CONCAT(url_path, '.html') FROM catalog_category_flat_store_1 WHERE entity_id=1091);</v>
      </c>
    </row>
    <row r="1145" spans="1:4" x14ac:dyDescent="0.25">
      <c r="A1145">
        <f>categories!B1145</f>
        <v>1092</v>
      </c>
      <c r="B1145" t="str">
        <f>SUBSTITUTE(SUBSTITUTE(categories!H1145,"\","/"),"www.americanretailsupply.com/","")</f>
        <v>64806/561829/Racks-Spinners-Dump-Bins/Mobile-Wire-Grid-Risers.html</v>
      </c>
      <c r="C1145" t="str">
        <f t="shared" si="34"/>
        <v>INSERT INTO url_rewrite (entity_type, entity_id, redirect_type, store_id, request_path, target_path) VALUES ('custom', 0, 301, 1,'64806/561829/Racks-Spinners-Dump-Bins/Mobile-Wire-Grid-Risers.html',(SELECT CONCAT(url_path, '.html') FROM catalog_category_flat_store_1 WHERE entity_id=1092));</v>
      </c>
      <c r="D1145" t="str">
        <f t="shared" si="35"/>
        <v>UPDATE url_rewrite SET request_path = '64806/561829/Racks-Spinners-Dump-Bins/Mobile-Wire-Grid-Risers.html' WHERE entity_type='custom' AND target_path=(SELECT CONCAT(url_path, '.html') FROM catalog_category_flat_store_1 WHERE entity_id=1092);</v>
      </c>
    </row>
    <row r="1146" spans="1:4" x14ac:dyDescent="0.25">
      <c r="A1146">
        <f>categories!B1146</f>
        <v>1093</v>
      </c>
      <c r="B1146" t="str">
        <f>SUBSTITUTE(SUBSTITUTE(categories!H1146,"\","/"),"www.americanretailsupply.com/","")</f>
        <v>64806/561832/Racks-Spinners-Dump-Bins/4-Way-Bag-Merchandiser.html</v>
      </c>
      <c r="C1146" t="str">
        <f t="shared" si="34"/>
        <v>INSERT INTO url_rewrite (entity_type, entity_id, redirect_type, store_id, request_path, target_path) VALUES ('custom', 0, 301, 1,'64806/561832/Racks-Spinners-Dump-Bins/4-Way-Bag-Merchandiser.html',(SELECT CONCAT(url_path, '.html') FROM catalog_category_flat_store_1 WHERE entity_id=1093));</v>
      </c>
      <c r="D1146" t="str">
        <f t="shared" si="35"/>
        <v>UPDATE url_rewrite SET request_path = '64806/561832/Racks-Spinners-Dump-Bins/4-Way-Bag-Merchandiser.html' WHERE entity_type='custom' AND target_path=(SELECT CONCAT(url_path, '.html') FROM catalog_category_flat_store_1 WHERE entity_id=1093);</v>
      </c>
    </row>
    <row r="1147" spans="1:4" x14ac:dyDescent="0.25">
      <c r="A1147">
        <f>categories!B1147</f>
        <v>1094</v>
      </c>
      <c r="B1147" t="str">
        <f>SUBSTITUTE(SUBSTITUTE(categories!H1147,"\","/"),"www.americanretailsupply.com/","")</f>
        <v>64806/561834/Racks-Spinners-Dump-Bins/Double-Wide-Wood-Merchandisers.html</v>
      </c>
      <c r="C1147" t="str">
        <f t="shared" si="34"/>
        <v>INSERT INTO url_rewrite (entity_type, entity_id, redirect_type, store_id, request_path, target_path) VALUES ('custom', 0, 301, 1,'64806/561834/Racks-Spinners-Dump-Bins/Double-Wide-Wood-Merchandisers.html',(SELECT CONCAT(url_path, '.html') FROM catalog_category_flat_store_1 WHERE entity_id=1094));</v>
      </c>
      <c r="D1147" t="str">
        <f t="shared" si="35"/>
        <v>UPDATE url_rewrite SET request_path = '64806/561834/Racks-Spinners-Dump-Bins/Double-Wide-Wood-Merchandisers.html' WHERE entity_type='custom' AND target_path=(SELECT CONCAT(url_path, '.html') FROM catalog_category_flat_store_1 WHERE entity_id=1094);</v>
      </c>
    </row>
    <row r="1148" spans="1:4" x14ac:dyDescent="0.25">
      <c r="A1148">
        <f>categories!B1148</f>
        <v>1095</v>
      </c>
      <c r="B1148" t="str">
        <f>SUBSTITUTE(SUBSTITUTE(categories!H1148,"\","/"),"www.americanretailsupply.com/","")</f>
        <v>64806/561835/Racks-Spinners-Dump-Bins/Single-Wide-Wood-Merchandisers.html</v>
      </c>
      <c r="C1148" t="str">
        <f t="shared" si="34"/>
        <v>INSERT INTO url_rewrite (entity_type, entity_id, redirect_type, store_id, request_path, target_path) VALUES ('custom', 0, 301, 1,'64806/561835/Racks-Spinners-Dump-Bins/Single-Wide-Wood-Merchandisers.html',(SELECT CONCAT(url_path, '.html') FROM catalog_category_flat_store_1 WHERE entity_id=1095));</v>
      </c>
      <c r="D1148" t="str">
        <f t="shared" si="35"/>
        <v>UPDATE url_rewrite SET request_path = '64806/561835/Racks-Spinners-Dump-Bins/Single-Wide-Wood-Merchandisers.html' WHERE entity_type='custom' AND target_path=(SELECT CONCAT(url_path, '.html') FROM catalog_category_flat_store_1 WHERE entity_id=1095);</v>
      </c>
    </row>
    <row r="1149" spans="1:4" x14ac:dyDescent="0.25">
      <c r="A1149">
        <f>categories!B1149</f>
        <v>1096</v>
      </c>
      <c r="B1149" t="str">
        <f>SUBSTITUTE(SUBSTITUTE(categories!H1149,"\","/"),"www.americanretailsupply.com/","")</f>
        <v>64806/734989/Racks-Spinners-Dump-Bins/6-Tier-Floor-Spinner.html</v>
      </c>
      <c r="C1149" t="str">
        <f t="shared" si="34"/>
        <v>INSERT INTO url_rewrite (entity_type, entity_id, redirect_type, store_id, request_path, target_path) VALUES ('custom', 0, 301, 1,'64806/734989/Racks-Spinners-Dump-Bins/6-Tier-Floor-Spinner.html',(SELECT CONCAT(url_path, '.html') FROM catalog_category_flat_store_1 WHERE entity_id=1096));</v>
      </c>
      <c r="D1149" t="str">
        <f t="shared" si="35"/>
        <v>UPDATE url_rewrite SET request_path = '64806/734989/Racks-Spinners-Dump-Bins/6-Tier-Floor-Spinner.html' WHERE entity_type='custom' AND target_path=(SELECT CONCAT(url_path, '.html') FROM catalog_category_flat_store_1 WHERE entity_id=1096);</v>
      </c>
    </row>
    <row r="1150" spans="1:4" x14ac:dyDescent="0.25">
      <c r="A1150">
        <f>categories!B1150</f>
        <v>1098</v>
      </c>
      <c r="B1150" t="str">
        <f>SUBSTITUTE(SUBSTITUTE(categories!H1150,"\","/"),"www.americanretailsupply.com/","")</f>
        <v>64693/47434/Ready-Flow-Pen-Sets/Trio-Pen-Set--Cannister-w32oz-Ink.html</v>
      </c>
      <c r="C1150" t="str">
        <f t="shared" si="34"/>
        <v>INSERT INTO url_rewrite (entity_type, entity_id, redirect_type, store_id, request_path, target_path) VALUES ('custom', 0, 301, 1,'64693/47434/Ready-Flow-Pen-Sets/Trio-Pen-Set--Cannister-w32oz-Ink.html',(SELECT CONCAT(url_path, '.html') FROM catalog_category_flat_store_1 WHERE entity_id=1098));</v>
      </c>
      <c r="D1150" t="str">
        <f t="shared" si="35"/>
        <v>UPDATE url_rewrite SET request_path = '64693/47434/Ready-Flow-Pen-Sets/Trio-Pen-Set--Cannister-w32oz-Ink.html' WHERE entity_type='custom' AND target_path=(SELECT CONCAT(url_path, '.html') FROM catalog_category_flat_store_1 WHERE entity_id=1098);</v>
      </c>
    </row>
    <row r="1151" spans="1:4" x14ac:dyDescent="0.25">
      <c r="A1151">
        <f>categories!B1151</f>
        <v>1099</v>
      </c>
      <c r="B1151" t="str">
        <f>SUBSTITUTE(SUBSTITUTE(categories!H1151,"\","/"),"www.americanretailsupply.com/","")</f>
        <v>64693/47437/Ready-Flow-Pen-Sets/Partner-Pen-Set-w8oz-Ink.html</v>
      </c>
      <c r="C1151" t="str">
        <f t="shared" si="34"/>
        <v>INSERT INTO url_rewrite (entity_type, entity_id, redirect_type, store_id, request_path, target_path) VALUES ('custom', 0, 301, 1,'64693/47437/Ready-Flow-Pen-Sets/Partner-Pen-Set-w8oz-Ink.html',(SELECT CONCAT(url_path, '.html') FROM catalog_category_flat_store_1 WHERE entity_id=1099));</v>
      </c>
      <c r="D1151" t="str">
        <f t="shared" si="35"/>
        <v>UPDATE url_rewrite SET request_path = '64693/47437/Ready-Flow-Pen-Sets/Partner-Pen-Set-w8oz-Ink.html' WHERE entity_type='custom' AND target_path=(SELECT CONCAT(url_path, '.html') FROM catalog_category_flat_store_1 WHERE entity_id=1099);</v>
      </c>
    </row>
    <row r="1152" spans="1:4" x14ac:dyDescent="0.25">
      <c r="A1152">
        <f>categories!B1152</f>
        <v>1100</v>
      </c>
      <c r="B1152" t="str">
        <f>SUBSTITUTE(SUBSTITUTE(categories!H1152,"\","/"),"www.americanretailsupply.com/","")</f>
        <v>64693/173630/Ready-Flow-Pen-Sets/32oz-Special-Performance-Ink.html</v>
      </c>
      <c r="C1152" t="str">
        <f t="shared" si="34"/>
        <v>INSERT INTO url_rewrite (entity_type, entity_id, redirect_type, store_id, request_path, target_path) VALUES ('custom', 0, 301, 1,'64693/173630/Ready-Flow-Pen-Sets/32oz-Special-Performance-Ink.html',(SELECT CONCAT(url_path, '.html') FROM catalog_category_flat_store_1 WHERE entity_id=1100));</v>
      </c>
      <c r="D1152" t="str">
        <f t="shared" si="35"/>
        <v>UPDATE url_rewrite SET request_path = '64693/173630/Ready-Flow-Pen-Sets/32oz-Special-Performance-Ink.html' WHERE entity_type='custom' AND target_path=(SELECT CONCAT(url_path, '.html') FROM catalog_category_flat_store_1 WHERE entity_id=1100);</v>
      </c>
    </row>
    <row r="1153" spans="1:4" x14ac:dyDescent="0.25">
      <c r="A1153">
        <f>categories!B1153</f>
        <v>1101</v>
      </c>
      <c r="B1153" t="str">
        <f>SUBSTITUTE(SUBSTITUTE(categories!H1153,"\","/"),"www.americanretailsupply.com/","")</f>
        <v>64693/173631/Ready-Flow-Pen-Sets/Refill-Pens-Felt-and-Cans.html</v>
      </c>
      <c r="C1153" t="str">
        <f t="shared" si="34"/>
        <v>INSERT INTO url_rewrite (entity_type, entity_id, redirect_type, store_id, request_path, target_path) VALUES ('custom', 0, 301, 1,'64693/173631/Ready-Flow-Pen-Sets/Refill-Pens-Felt-and-Cans.html',(SELECT CONCAT(url_path, '.html') FROM catalog_category_flat_store_1 WHERE entity_id=1101));</v>
      </c>
      <c r="D1153" t="str">
        <f t="shared" si="35"/>
        <v>UPDATE url_rewrite SET request_path = '64693/173631/Ready-Flow-Pen-Sets/Refill-Pens-Felt-and-Cans.html' WHERE entity_type='custom' AND target_path=(SELECT CONCAT(url_path, '.html') FROM catalog_category_flat_store_1 WHERE entity_id=1101);</v>
      </c>
    </row>
    <row r="1154" spans="1:4" x14ac:dyDescent="0.25">
      <c r="A1154">
        <f>categories!B1154</f>
        <v>1103</v>
      </c>
      <c r="B1154" t="str">
        <f>SUBSTITUTE(SUBSTITUTE(categories!H1154,"\","/"),"www.americanretailsupply.com/","")</f>
        <v>64829/47236/Ready-To-Assemble-Showcases/Ready-To-Assemble-Corner-Unit-Display-Case.html</v>
      </c>
      <c r="C1154" t="str">
        <f t="shared" si="34"/>
        <v>INSERT INTO url_rewrite (entity_type, entity_id, redirect_type, store_id, request_path, target_path) VALUES ('custom', 0, 301, 1,'64829/47236/Ready-To-Assemble-Showcases/Ready-To-Assemble-Corner-Unit-Display-Case.html',(SELECT CONCAT(url_path, '.html') FROM catalog_category_flat_store_1 WHERE entity_id=1103));</v>
      </c>
      <c r="D1154" t="str">
        <f t="shared" si="35"/>
        <v>UPDATE url_rewrite SET request_path = '64829/47236/Ready-To-Assemble-Showcases/Ready-To-Assemble-Corner-Unit-Display-Case.html' WHERE entity_type='custom' AND target_path=(SELECT CONCAT(url_path, '.html') FROM catalog_category_flat_store_1 WHERE entity_id=1103);</v>
      </c>
    </row>
    <row r="1155" spans="1:4" x14ac:dyDescent="0.25">
      <c r="A1155">
        <f>categories!B1155</f>
        <v>1104</v>
      </c>
      <c r="B1155" t="str">
        <f>SUBSTITUTE(SUBSTITUTE(categories!H1155,"\","/"),"www.americanretailsupply.com/","")</f>
        <v>64829/47237/Ready-To-Assemble-Showcases/Ready-To-Assemble-Wrap-Counter.html</v>
      </c>
      <c r="C1155" t="str">
        <f t="shared" ref="C1155:C1218" si="36">"INSERT INTO url_rewrite (entity_type, entity_id, redirect_type, store_id, request_path, target_path) VALUES ('custom', 0, 301, 1,'"&amp;B1155&amp;"',(SELECT CONCAT(url_path, '.html') FROM catalog_category_flat_store_1 WHERE entity_id="&amp;A1155&amp;"));"</f>
        <v>INSERT INTO url_rewrite (entity_type, entity_id, redirect_type, store_id, request_path, target_path) VALUES ('custom', 0, 301, 1,'64829/47237/Ready-To-Assemble-Showcases/Ready-To-Assemble-Wrap-Counter.html',(SELECT CONCAT(url_path, '.html') FROM catalog_category_flat_store_1 WHERE entity_id=1104));</v>
      </c>
      <c r="D1155" t="str">
        <f t="shared" ref="D1155:D1218" si="37">"UPDATE url_rewrite SET request_path = '"&amp;B1155&amp;"' WHERE entity_type='custom' AND target_path=(SELECT CONCAT(url_path, '.html') FROM catalog_category_flat_store_1 WHERE entity_id="&amp;A1155&amp;");"</f>
        <v>UPDATE url_rewrite SET request_path = '64829/47237/Ready-To-Assemble-Showcases/Ready-To-Assemble-Wrap-Counter.html' WHERE entity_type='custom' AND target_path=(SELECT CONCAT(url_path, '.html') FROM catalog_category_flat_store_1 WHERE entity_id=1104);</v>
      </c>
    </row>
    <row r="1156" spans="1:4" x14ac:dyDescent="0.25">
      <c r="A1156">
        <f>categories!B1156</f>
        <v>1105</v>
      </c>
      <c r="B1156" t="str">
        <f>SUBSTITUTE(SUBSTITUTE(categories!H1156,"\","/"),"www.americanretailsupply.com/","")</f>
        <v>64829/47238/Ready-To-Assemble-Showcases/Ready-To-Assemble-Cash-Register-Stand.html</v>
      </c>
      <c r="C1156" t="str">
        <f t="shared" si="36"/>
        <v>INSERT INTO url_rewrite (entity_type, entity_id, redirect_type, store_id, request_path, target_path) VALUES ('custom', 0, 301, 1,'64829/47238/Ready-To-Assemble-Showcases/Ready-To-Assemble-Cash-Register-Stand.html',(SELECT CONCAT(url_path, '.html') FROM catalog_category_flat_store_1 WHERE entity_id=1105));</v>
      </c>
      <c r="D1156" t="str">
        <f t="shared" si="37"/>
        <v>UPDATE url_rewrite SET request_path = '64829/47238/Ready-To-Assemble-Showcases/Ready-To-Assemble-Cash-Register-Stand.html' WHERE entity_type='custom' AND target_path=(SELECT CONCAT(url_path, '.html') FROM catalog_category_flat_store_1 WHERE entity_id=1105);</v>
      </c>
    </row>
    <row r="1157" spans="1:4" x14ac:dyDescent="0.25">
      <c r="A1157">
        <f>categories!B1157</f>
        <v>1106</v>
      </c>
      <c r="B1157" t="str">
        <f>SUBSTITUTE(SUBSTITUTE(categories!H1157,"\","/"),"www.americanretailsupply.com/","")</f>
        <v>64829/47239/Ready-To-Assemble-Showcases/Ready-To-Assemble-Waterfall-Table.html</v>
      </c>
      <c r="C1157" t="str">
        <f t="shared" si="36"/>
        <v>INSERT INTO url_rewrite (entity_type, entity_id, redirect_type, store_id, request_path, target_path) VALUES ('custom', 0, 301, 1,'64829/47239/Ready-To-Assemble-Showcases/Ready-To-Assemble-Waterfall-Table.html',(SELECT CONCAT(url_path, '.html') FROM catalog_category_flat_store_1 WHERE entity_id=1106));</v>
      </c>
      <c r="D1157" t="str">
        <f t="shared" si="37"/>
        <v>UPDATE url_rewrite SET request_path = '64829/47239/Ready-To-Assemble-Showcases/Ready-To-Assemble-Waterfall-Table.html' WHERE entity_type='custom' AND target_path=(SELECT CONCAT(url_path, '.html') FROM catalog_category_flat_store_1 WHERE entity_id=1106);</v>
      </c>
    </row>
    <row r="1158" spans="1:4" x14ac:dyDescent="0.25">
      <c r="A1158">
        <f>categories!B1158</f>
        <v>1107</v>
      </c>
      <c r="B1158" t="str">
        <f>SUBSTITUTE(SUBSTITUTE(categories!H1158,"\","/"),"www.americanretailsupply.com/","")</f>
        <v>64829/783964/Ready-To-Assemble-Showcases/Ready-To-Assemble-Top-Vision-Showcases.html</v>
      </c>
      <c r="C1158" t="str">
        <f t="shared" si="36"/>
        <v>INSERT INTO url_rewrite (entity_type, entity_id, redirect_type, store_id, request_path, target_path) VALUES ('custom', 0, 301, 1,'64829/783964/Ready-To-Assemble-Showcases/Ready-To-Assemble-Top-Vision-Showcases.html',(SELECT CONCAT(url_path, '.html') FROM catalog_category_flat_store_1 WHERE entity_id=1107));</v>
      </c>
      <c r="D1158" t="str">
        <f t="shared" si="37"/>
        <v>UPDATE url_rewrite SET request_path = '64829/783964/Ready-To-Assemble-Showcases/Ready-To-Assemble-Top-Vision-Showcases.html' WHERE entity_type='custom' AND target_path=(SELECT CONCAT(url_path, '.html') FROM catalog_category_flat_store_1 WHERE entity_id=1107);</v>
      </c>
    </row>
    <row r="1159" spans="1:4" x14ac:dyDescent="0.25">
      <c r="A1159">
        <f>categories!B1159</f>
        <v>1108</v>
      </c>
      <c r="B1159" t="str">
        <f>SUBSTITUTE(SUBSTITUTE(categories!H1159,"\","/"),"www.americanretailsupply.com/","")</f>
        <v>64829/47235/ReadyTo-Assemble-Showcases/Ready-To-Assemble-Full-Vision-Showcase.html</v>
      </c>
      <c r="C1159" t="str">
        <f t="shared" si="36"/>
        <v>INSERT INTO url_rewrite (entity_type, entity_id, redirect_type, store_id, request_path, target_path) VALUES ('custom', 0, 301, 1,'64829/47235/ReadyTo-Assemble-Showcases/Ready-To-Assemble-Full-Vision-Showcase.html',(SELECT CONCAT(url_path, '.html') FROM catalog_category_flat_store_1 WHERE entity_id=1108));</v>
      </c>
      <c r="D1159" t="str">
        <f t="shared" si="37"/>
        <v>UPDATE url_rewrite SET request_path = '64829/47235/ReadyTo-Assemble-Showcases/Ready-To-Assemble-Full-Vision-Showcase.html' WHERE entity_type='custom' AND target_path=(SELECT CONCAT(url_path, '.html') FROM catalog_category_flat_store_1 WHERE entity_id=1108);</v>
      </c>
    </row>
    <row r="1160" spans="1:4" x14ac:dyDescent="0.25">
      <c r="A1160">
        <f>categories!B1160</f>
        <v>1109</v>
      </c>
      <c r="B1160" t="str">
        <f>SUBSTITUTE(SUBSTITUTE(categories!H1160,"\","/"),"www.americanretailsupply.com/","")</f>
        <v>25486/156623/Realistic-Mannequin-System/Round-Weighted-Base.html</v>
      </c>
      <c r="C1160" t="str">
        <f t="shared" si="36"/>
        <v>INSERT INTO url_rewrite (entity_type, entity_id, redirect_type, store_id, request_path, target_path) VALUES ('custom', 0, 301, 1,'25486/156623/Realistic-Mannequin-System/Round-Weighted-Base.html',(SELECT CONCAT(url_path, '.html') FROM catalog_category_flat_store_1 WHERE entity_id=1109));</v>
      </c>
      <c r="D1160" t="str">
        <f t="shared" si="37"/>
        <v>UPDATE url_rewrite SET request_path = '25486/156623/Realistic-Mannequin-System/Round-Weighted-Base.html' WHERE entity_type='custom' AND target_path=(SELECT CONCAT(url_path, '.html') FROM catalog_category_flat_store_1 WHERE entity_id=1109);</v>
      </c>
    </row>
    <row r="1161" spans="1:4" x14ac:dyDescent="0.25">
      <c r="A1161">
        <f>categories!B1161</f>
        <v>1110</v>
      </c>
      <c r="B1161" t="str">
        <f>SUBSTITUTE(SUBSTITUTE(categories!H1161,"\","/"),"www.americanretailsupply.com/","")</f>
        <v>12903/130400/Retail-Resources/WAYMISH.html</v>
      </c>
      <c r="C1161" t="str">
        <f t="shared" si="36"/>
        <v>INSERT INTO url_rewrite (entity_type, entity_id, redirect_type, store_id, request_path, target_path) VALUES ('custom', 0, 301, 1,'12903/130400/Retail-Resources/WAYMISH.html',(SELECT CONCAT(url_path, '.html') FROM catalog_category_flat_store_1 WHERE entity_id=1110));</v>
      </c>
      <c r="D1161" t="str">
        <f t="shared" si="37"/>
        <v>UPDATE url_rewrite SET request_path = '12903/130400/Retail-Resources/WAYMISH.html' WHERE entity_type='custom' AND target_path=(SELECT CONCAT(url_path, '.html') FROM catalog_category_flat_store_1 WHERE entity_id=1110);</v>
      </c>
    </row>
    <row r="1162" spans="1:4" x14ac:dyDescent="0.25">
      <c r="A1162">
        <f>categories!B1162</f>
        <v>1111</v>
      </c>
      <c r="B1162" t="str">
        <f>SUBSTITUTE(SUBSTITUTE(categories!H1162,"\","/"),"www.americanretailsupply.com/","")</f>
        <v>12903/130402/Retail-Resources/Customer-Satisfaction-is-Worthless-Customer-Loyalty-is-Priceless.html</v>
      </c>
      <c r="C1162" t="str">
        <f t="shared" si="36"/>
        <v>INSERT INTO url_rewrite (entity_type, entity_id, redirect_type, store_id, request_path, target_path) VALUES ('custom', 0, 301, 1,'12903/130402/Retail-Resources/Customer-Satisfaction-is-Worthless-Customer-Loyalty-is-Priceless.html',(SELECT CONCAT(url_path, '.html') FROM catalog_category_flat_store_1 WHERE entity_id=1111));</v>
      </c>
      <c r="D1162" t="str">
        <f t="shared" si="37"/>
        <v>UPDATE url_rewrite SET request_path = '12903/130402/Retail-Resources/Customer-Satisfaction-is-Worthless-Customer-Loyalty-is-Priceless.html' WHERE entity_type='custom' AND target_path=(SELECT CONCAT(url_path, '.html') FROM catalog_category_flat_store_1 WHERE entity_id=1111);</v>
      </c>
    </row>
    <row r="1163" spans="1:4" x14ac:dyDescent="0.25">
      <c r="A1163">
        <f>categories!B1163</f>
        <v>1112</v>
      </c>
      <c r="B1163" t="str">
        <f>SUBSTITUTE(SUBSTITUTE(categories!H1163,"\","/"),"www.americanretailsupply.com/","")</f>
        <v>12903/174437/Retail-Resources/Simple-Truths-of-Service.html</v>
      </c>
      <c r="C1163" t="str">
        <f t="shared" si="36"/>
        <v>INSERT INTO url_rewrite (entity_type, entity_id, redirect_type, store_id, request_path, target_path) VALUES ('custom', 0, 301, 1,'12903/174437/Retail-Resources/Simple-Truths-of-Service.html',(SELECT CONCAT(url_path, '.html') FROM catalog_category_flat_store_1 WHERE entity_id=1112));</v>
      </c>
      <c r="D1163" t="str">
        <f t="shared" si="37"/>
        <v>UPDATE url_rewrite SET request_path = '12903/174437/Retail-Resources/Simple-Truths-of-Service.html' WHERE entity_type='custom' AND target_path=(SELECT CONCAT(url_path, '.html') FROM catalog_category_flat_store_1 WHERE entity_id=1112);</v>
      </c>
    </row>
    <row r="1164" spans="1:4" x14ac:dyDescent="0.25">
      <c r="A1164">
        <f>categories!B1164</f>
        <v>1113</v>
      </c>
      <c r="B1164" t="str">
        <f>SUBSTITUTE(SUBSTITUTE(categories!H1164,"\","/"),"www.americanretailsupply.com/","")</f>
        <v>12903/174680/Retail-Resources/Inside-The-Magic-Kingdom.html</v>
      </c>
      <c r="C1164" t="str">
        <f t="shared" si="36"/>
        <v>INSERT INTO url_rewrite (entity_type, entity_id, redirect_type, store_id, request_path, target_path) VALUES ('custom', 0, 301, 1,'12903/174680/Retail-Resources/Inside-The-Magic-Kingdom.html',(SELECT CONCAT(url_path, '.html') FROM catalog_category_flat_store_1 WHERE entity_id=1113));</v>
      </c>
      <c r="D1164" t="str">
        <f t="shared" si="37"/>
        <v>UPDATE url_rewrite SET request_path = '12903/174680/Retail-Resources/Inside-The-Magic-Kingdom.html' WHERE entity_type='custom' AND target_path=(SELECT CONCAT(url_path, '.html') FROM catalog_category_flat_store_1 WHERE entity_id=1113);</v>
      </c>
    </row>
    <row r="1165" spans="1:4" x14ac:dyDescent="0.25">
      <c r="A1165">
        <f>categories!B1165</f>
        <v>1114</v>
      </c>
      <c r="B1165" t="str">
        <f>SUBSTITUTE(SUBSTITUTE(categories!H1165,"\","/"),"www.americanretailsupply.com/","")</f>
        <v>12903/635579/Retail-Resources/Out--Nordstrom-Nordstrom.html</v>
      </c>
      <c r="C1165" t="str">
        <f t="shared" si="36"/>
        <v>INSERT INTO url_rewrite (entity_type, entity_id, redirect_type, store_id, request_path, target_path) VALUES ('custom', 0, 301, 1,'12903/635579/Retail-Resources/Out--Nordstrom-Nordstrom.html',(SELECT CONCAT(url_path, '.html') FROM catalog_category_flat_store_1 WHERE entity_id=1114));</v>
      </c>
      <c r="D1165" t="str">
        <f t="shared" si="37"/>
        <v>UPDATE url_rewrite SET request_path = '12903/635579/Retail-Resources/Out--Nordstrom-Nordstrom.html' WHERE entity_type='custom' AND target_path=(SELECT CONCAT(url_path, '.html') FROM catalog_category_flat_store_1 WHERE entity_id=1114);</v>
      </c>
    </row>
    <row r="1166" spans="1:4" x14ac:dyDescent="0.25">
      <c r="A1166">
        <f>categories!B1166</f>
        <v>1116</v>
      </c>
      <c r="B1166" t="str">
        <f>SUBSTITUTE(SUBSTITUTE(categories!H1166,"\","/"),"www.americanretailsupply.com/","")</f>
        <v>65006/742308/Ribbon-in-Animal-Prints/Splendorette-Printed-Curling-Ribbon.html</v>
      </c>
      <c r="C1166" t="str">
        <f t="shared" si="36"/>
        <v>INSERT INTO url_rewrite (entity_type, entity_id, redirect_type, store_id, request_path, target_path) VALUES ('custom', 0, 301, 1,'65006/742308/Ribbon-in-Animal-Prints/Splendorette-Printed-Curling-Ribbon.html',(SELECT CONCAT(url_path, '.html') FROM catalog_category_flat_store_1 WHERE entity_id=1116));</v>
      </c>
      <c r="D1166" t="str">
        <f t="shared" si="37"/>
        <v>UPDATE url_rewrite SET request_path = '65006/742308/Ribbon-in-Animal-Prints/Splendorette-Printed-Curling-Ribbon.html' WHERE entity_type='custom' AND target_path=(SELECT CONCAT(url_path, '.html') FROM catalog_category_flat_store_1 WHERE entity_id=1116);</v>
      </c>
    </row>
    <row r="1167" spans="1:4" x14ac:dyDescent="0.25">
      <c r="A1167">
        <f>categories!B1167</f>
        <v>1118</v>
      </c>
      <c r="B1167" t="str">
        <f>SUBSTITUTE(SUBSTITUTE(categories!H1167,"\","/"),"www.americanretailsupply.com/","")</f>
        <v>64795/37285/Ring--Earring-Displays/PendantEarring-Angled-Display.html</v>
      </c>
      <c r="C1167" t="str">
        <f t="shared" si="36"/>
        <v>INSERT INTO url_rewrite (entity_type, entity_id, redirect_type, store_id, request_path, target_path) VALUES ('custom', 0, 301, 1,'64795/37285/Ring--Earring-Displays/PendantEarring-Angled-Display.html',(SELECT CONCAT(url_path, '.html') FROM catalog_category_flat_store_1 WHERE entity_id=1118));</v>
      </c>
      <c r="D1167" t="str">
        <f t="shared" si="37"/>
        <v>UPDATE url_rewrite SET request_path = '64795/37285/Ring--Earring-Displays/PendantEarring-Angled-Display.html' WHERE entity_type='custom' AND target_path=(SELECT CONCAT(url_path, '.html') FROM catalog_category_flat_store_1 WHERE entity_id=1118);</v>
      </c>
    </row>
    <row r="1168" spans="1:4" x14ac:dyDescent="0.25">
      <c r="A1168">
        <f>categories!B1168</f>
        <v>1119</v>
      </c>
      <c r="B1168" t="str">
        <f>SUBSTITUTE(SUBSTITUTE(categories!H1168,"\","/"),"www.americanretailsupply.com/","")</f>
        <v>64795/37286/Ring--Earring-Displays/Single-PendantEarring-Angled-Display.html</v>
      </c>
      <c r="C1168" t="str">
        <f t="shared" si="36"/>
        <v>INSERT INTO url_rewrite (entity_type, entity_id, redirect_type, store_id, request_path, target_path) VALUES ('custom', 0, 301, 1,'64795/37286/Ring--Earring-Displays/Single-PendantEarring-Angled-Display.html',(SELECT CONCAT(url_path, '.html') FROM catalog_category_flat_store_1 WHERE entity_id=1119));</v>
      </c>
      <c r="D1168" t="str">
        <f t="shared" si="37"/>
        <v>UPDATE url_rewrite SET request_path = '64795/37286/Ring--Earring-Displays/Single-PendantEarring-Angled-Display.html' WHERE entity_type='custom' AND target_path=(SELECT CONCAT(url_path, '.html') FROM catalog_category_flat_store_1 WHERE entity_id=1119);</v>
      </c>
    </row>
    <row r="1169" spans="1:4" x14ac:dyDescent="0.25">
      <c r="A1169">
        <f>categories!B1169</f>
        <v>1120</v>
      </c>
      <c r="B1169" t="str">
        <f>SUBSTITUTE(SUBSTITUTE(categories!H1169,"\","/"),"www.americanretailsupply.com/","")</f>
        <v>64795/37287/Ring--Earring-Displays/Clip-On-Earring-Slant-Display.html</v>
      </c>
      <c r="C1169" t="str">
        <f t="shared" si="36"/>
        <v>INSERT INTO url_rewrite (entity_type, entity_id, redirect_type, store_id, request_path, target_path) VALUES ('custom', 0, 301, 1,'64795/37287/Ring--Earring-Displays/Clip-On-Earring-Slant-Display.html',(SELECT CONCAT(url_path, '.html') FROM catalog_category_flat_store_1 WHERE entity_id=1120));</v>
      </c>
      <c r="D1169" t="str">
        <f t="shared" si="37"/>
        <v>UPDATE url_rewrite SET request_path = '64795/37287/Ring--Earring-Displays/Clip-On-Earring-Slant-Display.html' WHERE entity_type='custom' AND target_path=(SELECT CONCAT(url_path, '.html') FROM catalog_category_flat_store_1 WHERE entity_id=1120);</v>
      </c>
    </row>
    <row r="1170" spans="1:4" x14ac:dyDescent="0.25">
      <c r="A1170">
        <f>categories!B1170</f>
        <v>1121</v>
      </c>
      <c r="B1170" t="str">
        <f>SUBSTITUTE(SUBSTITUTE(categories!H1170,"\","/"),"www.americanretailsupply.com/","")</f>
        <v>64795/37288/Ring--Earring-Displays/Earring-Winged-Display-Stand.html</v>
      </c>
      <c r="C1170" t="str">
        <f t="shared" si="36"/>
        <v>INSERT INTO url_rewrite (entity_type, entity_id, redirect_type, store_id, request_path, target_path) VALUES ('custom', 0, 301, 1,'64795/37288/Ring--Earring-Displays/Earring-Winged-Display-Stand.html',(SELECT CONCAT(url_path, '.html') FROM catalog_category_flat_store_1 WHERE entity_id=1121));</v>
      </c>
      <c r="D1170" t="str">
        <f t="shared" si="37"/>
        <v>UPDATE url_rewrite SET request_path = '64795/37288/Ring--Earring-Displays/Earring-Winged-Display-Stand.html' WHERE entity_type='custom' AND target_path=(SELECT CONCAT(url_path, '.html') FROM catalog_category_flat_store_1 WHERE entity_id=1121);</v>
      </c>
    </row>
    <row r="1171" spans="1:4" x14ac:dyDescent="0.25">
      <c r="A1171">
        <f>categories!B1171</f>
        <v>1122</v>
      </c>
      <c r="B1171" t="str">
        <f>SUBSTITUTE(SUBSTITUTE(categories!H1171,"\","/"),"www.americanretailsupply.com/","")</f>
        <v>64795/37290/Ring--Earring-Displays/Earring-T--Bar-Display.html</v>
      </c>
      <c r="C1171" t="str">
        <f t="shared" si="36"/>
        <v>INSERT INTO url_rewrite (entity_type, entity_id, redirect_type, store_id, request_path, target_path) VALUES ('custom', 0, 301, 1,'64795/37290/Ring--Earring-Displays/Earring-T--Bar-Display.html',(SELECT CONCAT(url_path, '.html') FROM catalog_category_flat_store_1 WHERE entity_id=1122));</v>
      </c>
      <c r="D1171" t="str">
        <f t="shared" si="37"/>
        <v>UPDATE url_rewrite SET request_path = '64795/37290/Ring--Earring-Displays/Earring-T--Bar-Display.html' WHERE entity_type='custom' AND target_path=(SELECT CONCAT(url_path, '.html') FROM catalog_category_flat_store_1 WHERE entity_id=1122);</v>
      </c>
    </row>
    <row r="1172" spans="1:4" x14ac:dyDescent="0.25">
      <c r="A1172">
        <f>categories!B1172</f>
        <v>1123</v>
      </c>
      <c r="B1172" t="str">
        <f>SUBSTITUTE(SUBSTITUTE(categories!H1172,"\","/"),"www.americanretailsupply.com/","")</f>
        <v>64795/37793/Ring--Earring-Displays/1-Finger-Ring-Display.html</v>
      </c>
      <c r="C1172" t="str">
        <f t="shared" si="36"/>
        <v>INSERT INTO url_rewrite (entity_type, entity_id, redirect_type, store_id, request_path, target_path) VALUES ('custom', 0, 301, 1,'64795/37793/Ring--Earring-Displays/1-Finger-Ring-Display.html',(SELECT CONCAT(url_path, '.html') FROM catalog_category_flat_store_1 WHERE entity_id=1123));</v>
      </c>
      <c r="D1172" t="str">
        <f t="shared" si="37"/>
        <v>UPDATE url_rewrite SET request_path = '64795/37793/Ring--Earring-Displays/1-Finger-Ring-Display.html' WHERE entity_type='custom' AND target_path=(SELECT CONCAT(url_path, '.html') FROM catalog_category_flat_store_1 WHERE entity_id=1123);</v>
      </c>
    </row>
    <row r="1173" spans="1:4" x14ac:dyDescent="0.25">
      <c r="A1173">
        <f>categories!B1173</f>
        <v>1124</v>
      </c>
      <c r="B1173" t="str">
        <f>SUBSTITUTE(SUBSTITUTE(categories!H1173,"\","/"),"www.americanretailsupply.com/","")</f>
        <v>64795/37795/Ring--Earring-Displays/2-Finger-Ring-Display.html</v>
      </c>
      <c r="C1173" t="str">
        <f t="shared" si="36"/>
        <v>INSERT INTO url_rewrite (entity_type, entity_id, redirect_type, store_id, request_path, target_path) VALUES ('custom', 0, 301, 1,'64795/37795/Ring--Earring-Displays/2-Finger-Ring-Display.html',(SELECT CONCAT(url_path, '.html') FROM catalog_category_flat_store_1 WHERE entity_id=1124));</v>
      </c>
      <c r="D1173" t="str">
        <f t="shared" si="37"/>
        <v>UPDATE url_rewrite SET request_path = '64795/37795/Ring--Earring-Displays/2-Finger-Ring-Display.html' WHERE entity_type='custom' AND target_path=(SELECT CONCAT(url_path, '.html') FROM catalog_category_flat_store_1 WHERE entity_id=1124);</v>
      </c>
    </row>
    <row r="1174" spans="1:4" x14ac:dyDescent="0.25">
      <c r="A1174">
        <f>categories!B1174</f>
        <v>1125</v>
      </c>
      <c r="B1174" t="str">
        <f>SUBSTITUTE(SUBSTITUTE(categories!H1174,"\","/"),"www.americanretailsupply.com/","")</f>
        <v>64795/37796/Ring--Earring-Displays/5-Finger-Ring-Displays.html</v>
      </c>
      <c r="C1174" t="str">
        <f t="shared" si="36"/>
        <v>INSERT INTO url_rewrite (entity_type, entity_id, redirect_type, store_id, request_path, target_path) VALUES ('custom', 0, 301, 1,'64795/37796/Ring--Earring-Displays/5-Finger-Ring-Displays.html',(SELECT CONCAT(url_path, '.html') FROM catalog_category_flat_store_1 WHERE entity_id=1125));</v>
      </c>
      <c r="D1174" t="str">
        <f t="shared" si="37"/>
        <v>UPDATE url_rewrite SET request_path = '64795/37796/Ring--Earring-Displays/5-Finger-Ring-Displays.html' WHERE entity_type='custom' AND target_path=(SELECT CONCAT(url_path, '.html') FROM catalog_category_flat_store_1 WHERE entity_id=1125);</v>
      </c>
    </row>
    <row r="1175" spans="1:4" x14ac:dyDescent="0.25">
      <c r="A1175">
        <f>categories!B1175</f>
        <v>1126</v>
      </c>
      <c r="B1175" t="str">
        <f>SUBSTITUTE(SUBSTITUTE(categories!H1175,"\","/"),"www.americanretailsupply.com/","")</f>
        <v>64795/231608/Ring--Earring-Displays/18-Slot-Ring-Tray.html</v>
      </c>
      <c r="C1175" t="str">
        <f t="shared" si="36"/>
        <v>INSERT INTO url_rewrite (entity_type, entity_id, redirect_type, store_id, request_path, target_path) VALUES ('custom', 0, 301, 1,'64795/231608/Ring--Earring-Displays/18-Slot-Ring-Tray.html',(SELECT CONCAT(url_path, '.html') FROM catalog_category_flat_store_1 WHERE entity_id=1126));</v>
      </c>
      <c r="D1175" t="str">
        <f t="shared" si="37"/>
        <v>UPDATE url_rewrite SET request_path = '64795/231608/Ring--Earring-Displays/18-Slot-Ring-Tray.html' WHERE entity_type='custom' AND target_path=(SELECT CONCAT(url_path, '.html') FROM catalog_category_flat_store_1 WHERE entity_id=1126);</v>
      </c>
    </row>
    <row r="1176" spans="1:4" x14ac:dyDescent="0.25">
      <c r="A1176">
        <f>categories!B1176</f>
        <v>1128</v>
      </c>
      <c r="B1176" t="str">
        <f>SUBSTITUTE(SUBSTITUTE(categories!H1176,"\","/"),"www.americanretailsupply.com/","")</f>
        <v>65158/154741/Rudy--Judy-Mannequins/Rudy.html</v>
      </c>
      <c r="C1176" t="str">
        <f t="shared" si="36"/>
        <v>INSERT INTO url_rewrite (entity_type, entity_id, redirect_type, store_id, request_path, target_path) VALUES ('custom', 0, 301, 1,'65158/154741/Rudy--Judy-Mannequins/Rudy.html',(SELECT CONCAT(url_path, '.html') FROM catalog_category_flat_store_1 WHERE entity_id=1128));</v>
      </c>
      <c r="D1176" t="str">
        <f t="shared" si="37"/>
        <v>UPDATE url_rewrite SET request_path = '65158/154741/Rudy--Judy-Mannequins/Rudy.html' WHERE entity_type='custom' AND target_path=(SELECT CONCAT(url_path, '.html') FROM catalog_category_flat_store_1 WHERE entity_id=1128);</v>
      </c>
    </row>
    <row r="1177" spans="1:4" x14ac:dyDescent="0.25">
      <c r="A1177">
        <f>categories!B1177</f>
        <v>1129</v>
      </c>
      <c r="B1177" t="str">
        <f>SUBSTITUTE(SUBSTITUTE(categories!H1177,"\","/"),"www.americanretailsupply.com/","")</f>
        <v>65158/154743/Rudy--Judy-Mannequins/Headless-Rudy-and-Judy.html</v>
      </c>
      <c r="C1177" t="str">
        <f t="shared" si="36"/>
        <v>INSERT INTO url_rewrite (entity_type, entity_id, redirect_type, store_id, request_path, target_path) VALUES ('custom', 0, 301, 1,'65158/154743/Rudy--Judy-Mannequins/Headless-Rudy-and-Judy.html',(SELECT CONCAT(url_path, '.html') FROM catalog_category_flat_store_1 WHERE entity_id=1129));</v>
      </c>
      <c r="D1177" t="str">
        <f t="shared" si="37"/>
        <v>UPDATE url_rewrite SET request_path = '65158/154743/Rudy--Judy-Mannequins/Headless-Rudy-and-Judy.html' WHERE entity_type='custom' AND target_path=(SELECT CONCAT(url_path, '.html') FROM catalog_category_flat_store_1 WHERE entity_id=1129);</v>
      </c>
    </row>
    <row r="1178" spans="1:4" x14ac:dyDescent="0.25">
      <c r="A1178">
        <f>categories!B1178</f>
        <v>1131</v>
      </c>
      <c r="B1178" t="str">
        <f>SUBSTITUTE(SUBSTITUTE(categories!H1178,"\","/"),"www.americanretailsupply.com/","")</f>
        <v>65037/41138/Scanner-Hooks/1-and-2-Piece-Scanner-Hooks.html</v>
      </c>
      <c r="C1178" t="str">
        <f t="shared" si="36"/>
        <v>INSERT INTO url_rewrite (entity_type, entity_id, redirect_type, store_id, request_path, target_path) VALUES ('custom', 0, 301, 1,'65037/41138/Scanner-Hooks/1-and-2-Piece-Scanner-Hooks.html',(SELECT CONCAT(url_path, '.html') FROM catalog_category_flat_store_1 WHERE entity_id=1131));</v>
      </c>
      <c r="D1178" t="str">
        <f t="shared" si="37"/>
        <v>UPDATE url_rewrite SET request_path = '65037/41138/Scanner-Hooks/1-and-2-Piece-Scanner-Hooks.html' WHERE entity_type='custom' AND target_path=(SELECT CONCAT(url_path, '.html') FROM catalog_category_flat_store_1 WHERE entity_id=1131);</v>
      </c>
    </row>
    <row r="1179" spans="1:4" x14ac:dyDescent="0.25">
      <c r="A1179">
        <f>categories!B1179</f>
        <v>1132</v>
      </c>
      <c r="B1179" t="str">
        <f>SUBSTITUTE(SUBSTITUTE(categories!H1179,"\","/"),"www.americanretailsupply.com/","")</f>
        <v>65037/41139/Scanner-Hooks/Scanner-Hook-Label-Holders.html</v>
      </c>
      <c r="C1179" t="str">
        <f t="shared" si="36"/>
        <v>INSERT INTO url_rewrite (entity_type, entity_id, redirect_type, store_id, request_path, target_path) VALUES ('custom', 0, 301, 1,'65037/41139/Scanner-Hooks/Scanner-Hook-Label-Holders.html',(SELECT CONCAT(url_path, '.html') FROM catalog_category_flat_store_1 WHERE entity_id=1132));</v>
      </c>
      <c r="D1179" t="str">
        <f t="shared" si="37"/>
        <v>UPDATE url_rewrite SET request_path = '65037/41139/Scanner-Hooks/Scanner-Hook-Label-Holders.html' WHERE entity_type='custom' AND target_path=(SELECT CONCAT(url_path, '.html') FROM catalog_category_flat_store_1 WHERE entity_id=1132);</v>
      </c>
    </row>
    <row r="1180" spans="1:4" x14ac:dyDescent="0.25">
      <c r="A1180">
        <f>categories!B1180</f>
        <v>1134</v>
      </c>
      <c r="B1180" t="str">
        <f>SUBSTITUTE(SUBSTITUTE(categories!H1180,"\","/"),"www.americanretailsupply.com/","")</f>
        <v>64800/560455/Scrapbooking-Racks/Paper-Rack-Tower.html</v>
      </c>
      <c r="C1180" t="str">
        <f t="shared" si="36"/>
        <v>INSERT INTO url_rewrite (entity_type, entity_id, redirect_type, store_id, request_path, target_path) VALUES ('custom', 0, 301, 1,'64800/560455/Scrapbooking-Racks/Paper-Rack-Tower.html',(SELECT CONCAT(url_path, '.html') FROM catalog_category_flat_store_1 WHERE entity_id=1134));</v>
      </c>
      <c r="D1180" t="str">
        <f t="shared" si="37"/>
        <v>UPDATE url_rewrite SET request_path = '64800/560455/Scrapbooking-Racks/Paper-Rack-Tower.html' WHERE entity_type='custom' AND target_path=(SELECT CONCAT(url_path, '.html') FROM catalog_category_flat_store_1 WHERE entity_id=1134);</v>
      </c>
    </row>
    <row r="1181" spans="1:4" x14ac:dyDescent="0.25">
      <c r="A1181">
        <f>categories!B1181</f>
        <v>1135</v>
      </c>
      <c r="B1181" t="str">
        <f>SUBSTITUTE(SUBSTITUTE(categories!H1181,"\","/"),"www.americanretailsupply.com/","")</f>
        <v>64800/560456/Scrapbooking-Racks/Paper-Rack-for-8-12-x-11-Stock.html</v>
      </c>
      <c r="C1181" t="str">
        <f t="shared" si="36"/>
        <v>INSERT INTO url_rewrite (entity_type, entity_id, redirect_type, store_id, request_path, target_path) VALUES ('custom', 0, 301, 1,'64800/560456/Scrapbooking-Racks/Paper-Rack-for-8-12-x-11-Stock.html',(SELECT CONCAT(url_path, '.html') FROM catalog_category_flat_store_1 WHERE entity_id=1135));</v>
      </c>
      <c r="D1181" t="str">
        <f t="shared" si="37"/>
        <v>UPDATE url_rewrite SET request_path = '64800/560456/Scrapbooking-Racks/Paper-Rack-for-8-12-x-11-Stock.html' WHERE entity_type='custom' AND target_path=(SELECT CONCAT(url_path, '.html') FROM catalog_category_flat_store_1 WHERE entity_id=1135);</v>
      </c>
    </row>
    <row r="1182" spans="1:4" x14ac:dyDescent="0.25">
      <c r="A1182">
        <f>categories!B1182</f>
        <v>1136</v>
      </c>
      <c r="B1182" t="str">
        <f>SUBSTITUTE(SUBSTITUTE(categories!H1182,"\","/"),"www.americanretailsupply.com/","")</f>
        <v>64800/560457/Scrapbooking-Racks/Paper-Rack-for-12x-12-Stock.html</v>
      </c>
      <c r="C1182" t="str">
        <f t="shared" si="36"/>
        <v>INSERT INTO url_rewrite (entity_type, entity_id, redirect_type, store_id, request_path, target_path) VALUES ('custom', 0, 301, 1,'64800/560457/Scrapbooking-Racks/Paper-Rack-for-12x-12-Stock.html',(SELECT CONCAT(url_path, '.html') FROM catalog_category_flat_store_1 WHERE entity_id=1136));</v>
      </c>
      <c r="D1182" t="str">
        <f t="shared" si="37"/>
        <v>UPDATE url_rewrite SET request_path = '64800/560457/Scrapbooking-Racks/Paper-Rack-for-12x-12-Stock.html' WHERE entity_type='custom' AND target_path=(SELECT CONCAT(url_path, '.html') FROM catalog_category_flat_store_1 WHERE entity_id=1136);</v>
      </c>
    </row>
    <row r="1183" spans="1:4" x14ac:dyDescent="0.25">
      <c r="A1183">
        <f>categories!B1183</f>
        <v>1138</v>
      </c>
      <c r="B1183" t="str">
        <f>SUBSTITUTE(SUBSTITUTE(categories!H1183,"\","/"),"www.americanretailsupply.com/","")</f>
        <v>64894/13364/Security-Locks-Announcers-Detectors-Mirrors/Entry-Alert-Motion-Sensor-Door-Chime.html</v>
      </c>
      <c r="C1183" t="str">
        <f t="shared" si="36"/>
        <v>INSERT INTO url_rewrite (entity_type, entity_id, redirect_type, store_id, request_path, target_path) VALUES ('custom', 0, 301, 1,'64894/13364/Security-Locks-Announcers-Detectors-Mirrors/Entry-Alert-Motion-Sensor-Door-Chime.html',(SELECT CONCAT(url_path, '.html') FROM catalog_category_flat_store_1 WHERE entity_id=1138));</v>
      </c>
      <c r="D1183" t="str">
        <f t="shared" si="37"/>
        <v>UPDATE url_rewrite SET request_path = '64894/13364/Security-Locks-Announcers-Detectors-Mirrors/Entry-Alert-Motion-Sensor-Door-Chime.html' WHERE entity_type='custom' AND target_path=(SELECT CONCAT(url_path, '.html') FROM catalog_category_flat_store_1 WHERE entity_id=1138);</v>
      </c>
    </row>
    <row r="1184" spans="1:4" x14ac:dyDescent="0.25">
      <c r="A1184">
        <f>categories!B1184</f>
        <v>1139</v>
      </c>
      <c r="B1184" t="str">
        <f>SUBSTITUTE(SUBSTITUTE(categories!H1184,"\","/"),"www.americanretailsupply.com/","")</f>
        <v>64894/173921/Security-Locks-Announcers-Detectors-Mirrors/Wireless-Entrance-Motion-Detector.html</v>
      </c>
      <c r="C1184" t="str">
        <f t="shared" si="36"/>
        <v>INSERT INTO url_rewrite (entity_type, entity_id, redirect_type, store_id, request_path, target_path) VALUES ('custom', 0, 301, 1,'64894/173921/Security-Locks-Announcers-Detectors-Mirrors/Wireless-Entrance-Motion-Detector.html',(SELECT CONCAT(url_path, '.html') FROM catalog_category_flat_store_1 WHERE entity_id=1139));</v>
      </c>
      <c r="D1184" t="str">
        <f t="shared" si="37"/>
        <v>UPDATE url_rewrite SET request_path = '64894/173921/Security-Locks-Announcers-Detectors-Mirrors/Wireless-Entrance-Motion-Detector.html' WHERE entity_type='custom' AND target_path=(SELECT CONCAT(url_path, '.html') FROM catalog_category_flat_store_1 WHERE entity_id=1139);</v>
      </c>
    </row>
    <row r="1185" spans="1:4" x14ac:dyDescent="0.25">
      <c r="A1185">
        <f>categories!B1185</f>
        <v>1140</v>
      </c>
      <c r="B1185" t="str">
        <f>SUBSTITUTE(SUBSTITUTE(categories!H1185,"\","/"),"www.americanretailsupply.com/","")</f>
        <v>64894/173922/Security-Locks-Announcers-Detectors-Mirrors/Wired-Entrance-Motion-Detector.html</v>
      </c>
      <c r="C1185" t="str">
        <f t="shared" si="36"/>
        <v>INSERT INTO url_rewrite (entity_type, entity_id, redirect_type, store_id, request_path, target_path) VALUES ('custom', 0, 301, 1,'64894/173922/Security-Locks-Announcers-Detectors-Mirrors/Wired-Entrance-Motion-Detector.html',(SELECT CONCAT(url_path, '.html') FROM catalog_category_flat_store_1 WHERE entity_id=1140));</v>
      </c>
      <c r="D1185" t="str">
        <f t="shared" si="37"/>
        <v>UPDATE url_rewrite SET request_path = '64894/173922/Security-Locks-Announcers-Detectors-Mirrors/Wired-Entrance-Motion-Detector.html' WHERE entity_type='custom' AND target_path=(SELECT CONCAT(url_path, '.html') FROM catalog_category_flat_store_1 WHERE entity_id=1140);</v>
      </c>
    </row>
    <row r="1186" spans="1:4" x14ac:dyDescent="0.25">
      <c r="A1186">
        <f>categories!B1186</f>
        <v>1141</v>
      </c>
      <c r="B1186" t="str">
        <f>SUBSTITUTE(SUBSTITUTE(categories!H1186,"\","/"),"www.americanretailsupply.com/","")</f>
        <v>64894/173923/Security-Locks-Announcers-Detectors-Mirrors/Self-Contained-Entrance-Door-Announcer.html</v>
      </c>
      <c r="C1186" t="str">
        <f t="shared" si="36"/>
        <v>INSERT INTO url_rewrite (entity_type, entity_id, redirect_type, store_id, request_path, target_path) VALUES ('custom', 0, 301, 1,'64894/173923/Security-Locks-Announcers-Detectors-Mirrors/Self-Contained-Entrance-Door-Announcer.html',(SELECT CONCAT(url_path, '.html') FROM catalog_category_flat_store_1 WHERE entity_id=1141));</v>
      </c>
      <c r="D1186" t="str">
        <f t="shared" si="37"/>
        <v>UPDATE url_rewrite SET request_path = '64894/173923/Security-Locks-Announcers-Detectors-Mirrors/Self-Contained-Entrance-Door-Announcer.html' WHERE entity_type='custom' AND target_path=(SELECT CONCAT(url_path, '.html') FROM catalog_category_flat_store_1 WHERE entity_id=1141);</v>
      </c>
    </row>
    <row r="1187" spans="1:4" x14ac:dyDescent="0.25">
      <c r="A1187">
        <f>categories!B1187</f>
        <v>1142</v>
      </c>
      <c r="B1187" t="str">
        <f>SUBSTITUTE(SUBSTITUTE(categories!H1187,"\","/"),"www.americanretailsupply.com/","")</f>
        <v>64894/775072/Security-Locks-Announcers-Detectors-Mirrors/Anti-Shoplifting-Convex-Glass-Mirrors.html</v>
      </c>
      <c r="C1187" t="str">
        <f t="shared" si="36"/>
        <v>INSERT INTO url_rewrite (entity_type, entity_id, redirect_type, store_id, request_path, target_path) VALUES ('custom', 0, 301, 1,'64894/775072/Security-Locks-Announcers-Detectors-Mirrors/Anti-Shoplifting-Convex-Glass-Mirrors.html',(SELECT CONCAT(url_path, '.html') FROM catalog_category_flat_store_1 WHERE entity_id=1142));</v>
      </c>
      <c r="D1187" t="str">
        <f t="shared" si="37"/>
        <v>UPDATE url_rewrite SET request_path = '64894/775072/Security-Locks-Announcers-Detectors-Mirrors/Anti-Shoplifting-Convex-Glass-Mirrors.html' WHERE entity_type='custom' AND target_path=(SELECT CONCAT(url_path, '.html') FROM catalog_category_flat_store_1 WHERE entity_id=1142);</v>
      </c>
    </row>
    <row r="1188" spans="1:4" x14ac:dyDescent="0.25">
      <c r="A1188">
        <f>categories!B1188</f>
        <v>1143</v>
      </c>
      <c r="B1188" t="str">
        <f>SUBSTITUTE(SUBSTITUTE(categories!H1188,"\","/"),"www.americanretailsupply.com/","")</f>
        <v>64894/779398/Security-Locks-Announcers-Detectors-Mirrors/Security-Peg-Hook-Locks.html</v>
      </c>
      <c r="C1188" t="str">
        <f t="shared" si="36"/>
        <v>INSERT INTO url_rewrite (entity_type, entity_id, redirect_type, store_id, request_path, target_path) VALUES ('custom', 0, 301, 1,'64894/779398/Security-Locks-Announcers-Detectors-Mirrors/Security-Peg-Hook-Locks.html',(SELECT CONCAT(url_path, '.html') FROM catalog_category_flat_store_1 WHERE entity_id=1143));</v>
      </c>
      <c r="D1188" t="str">
        <f t="shared" si="37"/>
        <v>UPDATE url_rewrite SET request_path = '64894/779398/Security-Locks-Announcers-Detectors-Mirrors/Security-Peg-Hook-Locks.html' WHERE entity_type='custom' AND target_path=(SELECT CONCAT(url_path, '.html') FROM catalog_category_flat_store_1 WHERE entity_id=1143);</v>
      </c>
    </row>
    <row r="1189" spans="1:4" x14ac:dyDescent="0.25">
      <c r="A1189">
        <f>categories!B1189</f>
        <v>1145</v>
      </c>
      <c r="B1189" t="str">
        <f>SUBSTITUTE(SUBSTITUTE(categories!H1189,"\","/"),"www.americanretailsupply.com/","")</f>
        <v>64685/1499/Security-Loops/Secur-A-Tach.html</v>
      </c>
      <c r="C1189" t="str">
        <f t="shared" si="36"/>
        <v>INSERT INTO url_rewrite (entity_type, entity_id, redirect_type, store_id, request_path, target_path) VALUES ('custom', 0, 301, 1,'64685/1499/Security-Loops/Secur-A-Tach.html',(SELECT CONCAT(url_path, '.html') FROM catalog_category_flat_store_1 WHERE entity_id=1145));</v>
      </c>
      <c r="D1189" t="str">
        <f t="shared" si="37"/>
        <v>UPDATE url_rewrite SET request_path = '64685/1499/Security-Loops/Secur-A-Tach.html' WHERE entity_type='custom' AND target_path=(SELECT CONCAT(url_path, '.html') FROM catalog_category_flat_store_1 WHERE entity_id=1145);</v>
      </c>
    </row>
    <row r="1190" spans="1:4" x14ac:dyDescent="0.25">
      <c r="A1190">
        <f>categories!B1190</f>
        <v>1146</v>
      </c>
      <c r="B1190" t="str">
        <f>SUBSTITUTE(SUBSTITUTE(categories!H1190,"\","/"),"www.americanretailsupply.com/","")</f>
        <v>64685/1528/Security-Loops/TG-Tacher-Security-Loops.html</v>
      </c>
      <c r="C1190" t="str">
        <f t="shared" si="36"/>
        <v>INSERT INTO url_rewrite (entity_type, entity_id, redirect_type, store_id, request_path, target_path) VALUES ('custom', 0, 301, 1,'64685/1528/Security-Loops/TG-Tacher-Security-Loops.html',(SELECT CONCAT(url_path, '.html') FROM catalog_category_flat_store_1 WHERE entity_id=1146));</v>
      </c>
      <c r="D1190" t="str">
        <f t="shared" si="37"/>
        <v>UPDATE url_rewrite SET request_path = '64685/1528/Security-Loops/TG-Tacher-Security-Loops.html' WHERE entity_type='custom' AND target_path=(SELECT CONCAT(url_path, '.html') FROM catalog_category_flat_store_1 WHERE entity_id=1146);</v>
      </c>
    </row>
    <row r="1191" spans="1:4" x14ac:dyDescent="0.25">
      <c r="A1191">
        <f>categories!B1191</f>
        <v>1147</v>
      </c>
      <c r="B1191" t="str">
        <f>SUBSTITUTE(SUBSTITUTE(categories!H1191,"\","/"),"www.americanretailsupply.com/","")</f>
        <v>64685/48135/Security-Loops/StringTach.html</v>
      </c>
      <c r="C1191" t="str">
        <f t="shared" si="36"/>
        <v>INSERT INTO url_rewrite (entity_type, entity_id, redirect_type, store_id, request_path, target_path) VALUES ('custom', 0, 301, 1,'64685/48135/Security-Loops/StringTach.html',(SELECT CONCAT(url_path, '.html') FROM catalog_category_flat_store_1 WHERE entity_id=1147));</v>
      </c>
      <c r="D1191" t="str">
        <f t="shared" si="37"/>
        <v>UPDATE url_rewrite SET request_path = '64685/48135/Security-Loops/StringTach.html' WHERE entity_type='custom' AND target_path=(SELECT CONCAT(url_path, '.html') FROM catalog_category_flat_store_1 WHERE entity_id=1147);</v>
      </c>
    </row>
    <row r="1192" spans="1:4" x14ac:dyDescent="0.25">
      <c r="A1192">
        <f>categories!B1192</f>
        <v>1148</v>
      </c>
      <c r="B1192" t="str">
        <f>SUBSTITUTE(SUBSTITUTE(categories!H1192,"\","/"),"www.americanretailsupply.com/","")</f>
        <v>64685/48296/Security-Loops/Secur-A-Tie-Adjustable.html</v>
      </c>
      <c r="C1192" t="str">
        <f t="shared" si="36"/>
        <v>INSERT INTO url_rewrite (entity_type, entity_id, redirect_type, store_id, request_path, target_path) VALUES ('custom', 0, 301, 1,'64685/48296/Security-Loops/Secur-A-Tie-Adjustable.html',(SELECT CONCAT(url_path, '.html') FROM catalog_category_flat_store_1 WHERE entity_id=1148));</v>
      </c>
      <c r="D1192" t="str">
        <f t="shared" si="37"/>
        <v>UPDATE url_rewrite SET request_path = '64685/48296/Security-Loops/Secur-A-Tie-Adjustable.html' WHERE entity_type='custom' AND target_path=(SELECT CONCAT(url_path, '.html') FROM catalog_category_flat_store_1 WHERE entity_id=1148);</v>
      </c>
    </row>
    <row r="1193" spans="1:4" x14ac:dyDescent="0.25">
      <c r="A1193">
        <f>categories!B1193</f>
        <v>1150</v>
      </c>
      <c r="B1193" t="str">
        <f>SUBSTITUTE(SUBSTITUTE(categories!H1193,"\","/"),"www.americanretailsupply.com/","")</f>
        <v>65799/788867/Shamrock/Baby-and-Juvenile-Giftwrap.html</v>
      </c>
      <c r="C1193" t="str">
        <f t="shared" si="36"/>
        <v>INSERT INTO url_rewrite (entity_type, entity_id, redirect_type, store_id, request_path, target_path) VALUES ('custom', 0, 301, 1,'65799/788867/Shamrock/Baby-and-Juvenile-Giftwrap.html',(SELECT CONCAT(url_path, '.html') FROM catalog_category_flat_store_1 WHERE entity_id=1150));</v>
      </c>
      <c r="D1193" t="str">
        <f t="shared" si="37"/>
        <v>UPDATE url_rewrite SET request_path = '65799/788867/Shamrock/Baby-and-Juvenile-Giftwrap.html' WHERE entity_type='custom' AND target_path=(SELECT CONCAT(url_path, '.html') FROM catalog_category_flat_store_1 WHERE entity_id=1150);</v>
      </c>
    </row>
    <row r="1194" spans="1:4" x14ac:dyDescent="0.25">
      <c r="A1194">
        <f>categories!B1194</f>
        <v>1151</v>
      </c>
      <c r="B1194" t="str">
        <f>SUBSTITUTE(SUBSTITUTE(categories!H1194,"\","/"),"www.americanretailsupply.com/","")</f>
        <v>65799/788868/Shamrock/Celebrate-Giftwrap.html</v>
      </c>
      <c r="C1194" t="str">
        <f t="shared" si="36"/>
        <v>INSERT INTO url_rewrite (entity_type, entity_id, redirect_type, store_id, request_path, target_path) VALUES ('custom', 0, 301, 1,'65799/788868/Shamrock/Celebrate-Giftwrap.html',(SELECT CONCAT(url_path, '.html') FROM catalog_category_flat_store_1 WHERE entity_id=1151));</v>
      </c>
      <c r="D1194" t="str">
        <f t="shared" si="37"/>
        <v>UPDATE url_rewrite SET request_path = '65799/788868/Shamrock/Celebrate-Giftwrap.html' WHERE entity_type='custom' AND target_path=(SELECT CONCAT(url_path, '.html') FROM catalog_category_flat_store_1 WHERE entity_id=1151);</v>
      </c>
    </row>
    <row r="1195" spans="1:4" x14ac:dyDescent="0.25">
      <c r="A1195">
        <f>categories!B1195</f>
        <v>1152</v>
      </c>
      <c r="B1195" t="str">
        <f>SUBSTITUTE(SUBSTITUTE(categories!H1195,"\","/"),"www.americanretailsupply.com/","")</f>
        <v>65799/788869/Shamrock/Christmas-and-Holiday-Giftwrap-5.html</v>
      </c>
      <c r="C1195" t="str">
        <f t="shared" si="36"/>
        <v>INSERT INTO url_rewrite (entity_type, entity_id, redirect_type, store_id, request_path, target_path) VALUES ('custom', 0, 301, 1,'65799/788869/Shamrock/Christmas-and-Holiday-Giftwrap-5.html',(SELECT CONCAT(url_path, '.html') FROM catalog_category_flat_store_1 WHERE entity_id=1152));</v>
      </c>
      <c r="D1195" t="str">
        <f t="shared" si="37"/>
        <v>UPDATE url_rewrite SET request_path = '65799/788869/Shamrock/Christmas-and-Holiday-Giftwrap-5.html' WHERE entity_type='custom' AND target_path=(SELECT CONCAT(url_path, '.html') FROM catalog_category_flat_store_1 WHERE entity_id=1152);</v>
      </c>
    </row>
    <row r="1196" spans="1:4" x14ac:dyDescent="0.25">
      <c r="A1196">
        <f>categories!B1196</f>
        <v>1153</v>
      </c>
      <c r="B1196" t="str">
        <f>SUBSTITUTE(SUBSTITUTE(categories!H1196,"\","/"),"www.americanretailsupply.com/","")</f>
        <v>65799/788870/Shamrock/Christmas-and-Holiday-Giftwrap-6.html</v>
      </c>
      <c r="C1196" t="str">
        <f t="shared" si="36"/>
        <v>INSERT INTO url_rewrite (entity_type, entity_id, redirect_type, store_id, request_path, target_path) VALUES ('custom', 0, 301, 1,'65799/788870/Shamrock/Christmas-and-Holiday-Giftwrap-6.html',(SELECT CONCAT(url_path, '.html') FROM catalog_category_flat_store_1 WHERE entity_id=1153));</v>
      </c>
      <c r="D1196" t="str">
        <f t="shared" si="37"/>
        <v>UPDATE url_rewrite SET request_path = '65799/788870/Shamrock/Christmas-and-Holiday-Giftwrap-6.html' WHERE entity_type='custom' AND target_path=(SELECT CONCAT(url_path, '.html') FROM catalog_category_flat_store_1 WHERE entity_id=1153);</v>
      </c>
    </row>
    <row r="1197" spans="1:4" x14ac:dyDescent="0.25">
      <c r="A1197">
        <f>categories!B1197</f>
        <v>1154</v>
      </c>
      <c r="B1197" t="str">
        <f>SUBSTITUTE(SUBSTITUTE(categories!H1197,"\","/"),"www.americanretailsupply.com/","")</f>
        <v>65799/788871/Shamrock/Feminine-and-Floral-Giftwrap.html</v>
      </c>
      <c r="C1197" t="str">
        <f t="shared" si="36"/>
        <v>INSERT INTO url_rewrite (entity_type, entity_id, redirect_type, store_id, request_path, target_path) VALUES ('custom', 0, 301, 1,'65799/788871/Shamrock/Feminine-and-Floral-Giftwrap.html',(SELECT CONCAT(url_path, '.html') FROM catalog_category_flat_store_1 WHERE entity_id=1154));</v>
      </c>
      <c r="D1197" t="str">
        <f t="shared" si="37"/>
        <v>UPDATE url_rewrite SET request_path = '65799/788871/Shamrock/Feminine-and-Floral-Giftwrap.html' WHERE entity_type='custom' AND target_path=(SELECT CONCAT(url_path, '.html') FROM catalog_category_flat_store_1 WHERE entity_id=1154);</v>
      </c>
    </row>
    <row r="1198" spans="1:4" x14ac:dyDescent="0.25">
      <c r="A1198">
        <f>categories!B1198</f>
        <v>1155</v>
      </c>
      <c r="B1198" t="str">
        <f>SUBSTITUTE(SUBSTITUTE(categories!H1198,"\","/"),"www.americanretailsupply.com/","")</f>
        <v>65799/788874/Shamrock/Special-Finishes-Solids-Foils--Specialty-Krafts-Giftwrap.html</v>
      </c>
      <c r="C1198" t="str">
        <f t="shared" si="36"/>
        <v>INSERT INTO url_rewrite (entity_type, entity_id, redirect_type, store_id, request_path, target_path) VALUES ('custom', 0, 301, 1,'65799/788874/Shamrock/Special-Finishes-Solids-Foils--Specialty-Krafts-Giftwrap.html',(SELECT CONCAT(url_path, '.html') FROM catalog_category_flat_store_1 WHERE entity_id=1155));</v>
      </c>
      <c r="D1198" t="str">
        <f t="shared" si="37"/>
        <v>UPDATE url_rewrite SET request_path = '65799/788874/Shamrock/Special-Finishes-Solids-Foils--Specialty-Krafts-Giftwrap.html' WHERE entity_type='custom' AND target_path=(SELECT CONCAT(url_path, '.html') FROM catalog_category_flat_store_1 WHERE entity_id=1155);</v>
      </c>
    </row>
    <row r="1199" spans="1:4" x14ac:dyDescent="0.25">
      <c r="A1199">
        <f>categories!B1199</f>
        <v>1156</v>
      </c>
      <c r="B1199" t="str">
        <f>SUBSTITUTE(SUBSTITUTE(categories!H1199,"\","/"),"www.americanretailsupply.com/","")</f>
        <v>65799/788875/Shamrock/Wedding-and-Valentine-Giftwrap.html</v>
      </c>
      <c r="C1199" t="str">
        <f t="shared" si="36"/>
        <v>INSERT INTO url_rewrite (entity_type, entity_id, redirect_type, store_id, request_path, target_path) VALUES ('custom', 0, 301, 1,'65799/788875/Shamrock/Wedding-and-Valentine-Giftwrap.html',(SELECT CONCAT(url_path, '.html') FROM catalog_category_flat_store_1 WHERE entity_id=1156));</v>
      </c>
      <c r="D1199" t="str">
        <f t="shared" si="37"/>
        <v>UPDATE url_rewrite SET request_path = '65799/788875/Shamrock/Wedding-and-Valentine-Giftwrap.html' WHERE entity_type='custom' AND target_path=(SELECT CONCAT(url_path, '.html') FROM catalog_category_flat_store_1 WHERE entity_id=1156);</v>
      </c>
    </row>
    <row r="1200" spans="1:4" x14ac:dyDescent="0.25">
      <c r="A1200">
        <f>categories!B1200</f>
        <v>1158</v>
      </c>
      <c r="B1200" t="str">
        <f>SUBSTITUTE(SUBSTITUTE(categories!H1200,"\","/"),"www.americanretailsupply.com/","")</f>
        <v>64865/22330/Shipping-Envelopes/Jiffy-Mailing-Envelopes.html</v>
      </c>
      <c r="C1200" t="str">
        <f t="shared" si="36"/>
        <v>INSERT INTO url_rewrite (entity_type, entity_id, redirect_type, store_id, request_path, target_path) VALUES ('custom', 0, 301, 1,'64865/22330/Shipping-Envelopes/Jiffy-Mailing-Envelopes.html',(SELECT CONCAT(url_path, '.html') FROM catalog_category_flat_store_1 WHERE entity_id=1158));</v>
      </c>
      <c r="D1200" t="str">
        <f t="shared" si="37"/>
        <v>UPDATE url_rewrite SET request_path = '64865/22330/Shipping-Envelopes/Jiffy-Mailing-Envelopes.html' WHERE entity_type='custom' AND target_path=(SELECT CONCAT(url_path, '.html') FROM catalog_category_flat_store_1 WHERE entity_id=1158);</v>
      </c>
    </row>
    <row r="1201" spans="1:4" x14ac:dyDescent="0.25">
      <c r="A1201">
        <f>categories!B1201</f>
        <v>1159</v>
      </c>
      <c r="B1201" t="str">
        <f>SUBSTITUTE(SUBSTITUTE(categories!H1201,"\","/"),"www.americanretailsupply.com/","")</f>
        <v>64865/639444/Shipping-Envelopes/Eco--Shipper-Peel--Seal-Mailers.html</v>
      </c>
      <c r="C1201" t="str">
        <f t="shared" si="36"/>
        <v>INSERT INTO url_rewrite (entity_type, entity_id, redirect_type, store_id, request_path, target_path) VALUES ('custom', 0, 301, 1,'64865/639444/Shipping-Envelopes/Eco--Shipper-Peel--Seal-Mailers.html',(SELECT CONCAT(url_path, '.html') FROM catalog_category_flat_store_1 WHERE entity_id=1159));</v>
      </c>
      <c r="D1201" t="str">
        <f t="shared" si="37"/>
        <v>UPDATE url_rewrite SET request_path = '64865/639444/Shipping-Envelopes/Eco--Shipper-Peel--Seal-Mailers.html' WHERE entity_type='custom' AND target_path=(SELECT CONCAT(url_path, '.html') FROM catalog_category_flat_store_1 WHERE entity_id=1159);</v>
      </c>
    </row>
    <row r="1202" spans="1:4" x14ac:dyDescent="0.25">
      <c r="A1202">
        <f>categories!B1202</f>
        <v>1160</v>
      </c>
      <c r="B1202" t="str">
        <f>SUBSTITUTE(SUBSTITUTE(categories!H1202,"\","/"),"www.americanretailsupply.com/","")</f>
        <v>64865/639445/Shipping-Envelopes/Dura-Bag-Peel--Seal-Mailers-80-basis-weight.html</v>
      </c>
      <c r="C1202" t="str">
        <f t="shared" si="36"/>
        <v>INSERT INTO url_rewrite (entity_type, entity_id, redirect_type, store_id, request_path, target_path) VALUES ('custom', 0, 301, 1,'64865/639445/Shipping-Envelopes/Dura-Bag-Peel--Seal-Mailers-80-basis-weight.html',(SELECT CONCAT(url_path, '.html') FROM catalog_category_flat_store_1 WHERE entity_id=1160));</v>
      </c>
      <c r="D1202" t="str">
        <f t="shared" si="37"/>
        <v>UPDATE url_rewrite SET request_path = '64865/639445/Shipping-Envelopes/Dura-Bag-Peel--Seal-Mailers-80-basis-weight.html' WHERE entity_type='custom' AND target_path=(SELECT CONCAT(url_path, '.html') FROM catalog_category_flat_store_1 WHERE entity_id=1160);</v>
      </c>
    </row>
    <row r="1203" spans="1:4" x14ac:dyDescent="0.25">
      <c r="A1203">
        <f>categories!B1203</f>
        <v>1162</v>
      </c>
      <c r="B1203" t="str">
        <f>SUBSTITUTE(SUBSTITUTE(categories!H1203,"\","/"),"www.americanretailsupply.com/","")</f>
        <v>64859/48215/Shipping-Supplies/Single-Face-Corrugated-Rolls-B-Flute.html</v>
      </c>
      <c r="C1203" t="str">
        <f t="shared" si="36"/>
        <v>INSERT INTO url_rewrite (entity_type, entity_id, redirect_type, store_id, request_path, target_path) VALUES ('custom', 0, 301, 1,'64859/48215/Shipping-Supplies/Single-Face-Corrugated-Rolls-B-Flute.html',(SELECT CONCAT(url_path, '.html') FROM catalog_category_flat_store_1 WHERE entity_id=1162));</v>
      </c>
      <c r="D1203" t="str">
        <f t="shared" si="37"/>
        <v>UPDATE url_rewrite SET request_path = '64859/48215/Shipping-Supplies/Single-Face-Corrugated-Rolls-B-Flute.html' WHERE entity_type='custom' AND target_path=(SELECT CONCAT(url_path, '.html') FROM catalog_category_flat_store_1 WHERE entity_id=1162);</v>
      </c>
    </row>
    <row r="1204" spans="1:4" x14ac:dyDescent="0.25">
      <c r="A1204">
        <f>categories!B1204</f>
        <v>1163</v>
      </c>
      <c r="B1204" t="str">
        <f>SUBSTITUTE(SUBSTITUTE(categories!H1204,"\","/"),"www.americanretailsupply.com/","")</f>
        <v>64859/48217/Shipping-Supplies/Kraft-Paper-Rolls.html</v>
      </c>
      <c r="C1204" t="str">
        <f t="shared" si="36"/>
        <v>INSERT INTO url_rewrite (entity_type, entity_id, redirect_type, store_id, request_path, target_path) VALUES ('custom', 0, 301, 1,'64859/48217/Shipping-Supplies/Kraft-Paper-Rolls.html',(SELECT CONCAT(url_path, '.html') FROM catalog_category_flat_store_1 WHERE entity_id=1163));</v>
      </c>
      <c r="D1204" t="str">
        <f t="shared" si="37"/>
        <v>UPDATE url_rewrite SET request_path = '64859/48217/Shipping-Supplies/Kraft-Paper-Rolls.html' WHERE entity_type='custom' AND target_path=(SELECT CONCAT(url_path, '.html') FROM catalog_category_flat_store_1 WHERE entity_id=1163);</v>
      </c>
    </row>
    <row r="1205" spans="1:4" x14ac:dyDescent="0.25">
      <c r="A1205">
        <f>categories!B1205</f>
        <v>1164</v>
      </c>
      <c r="B1205" t="str">
        <f>SUBSTITUTE(SUBSTITUTE(categories!H1205,"\","/"),"www.americanretailsupply.com/","")</f>
        <v>64859/48220/Shipping-Supplies/Bubble-Wrap-Packing-Rolls.html</v>
      </c>
      <c r="C1205" t="str">
        <f t="shared" si="36"/>
        <v>INSERT INTO url_rewrite (entity_type, entity_id, redirect_type, store_id, request_path, target_path) VALUES ('custom', 0, 301, 1,'64859/48220/Shipping-Supplies/Bubble-Wrap-Packing-Rolls.html',(SELECT CONCAT(url_path, '.html') FROM catalog_category_flat_store_1 WHERE entity_id=1164));</v>
      </c>
      <c r="D1205" t="str">
        <f t="shared" si="37"/>
        <v>UPDATE url_rewrite SET request_path = '64859/48220/Shipping-Supplies/Bubble-Wrap-Packing-Rolls.html' WHERE entity_type='custom' AND target_path=(SELECT CONCAT(url_path, '.html') FROM catalog_category_flat_store_1 WHERE entity_id=1164);</v>
      </c>
    </row>
    <row r="1206" spans="1:4" x14ac:dyDescent="0.25">
      <c r="A1206">
        <f>categories!B1206</f>
        <v>1165</v>
      </c>
      <c r="B1206" t="str">
        <f>SUBSTITUTE(SUBSTITUTE(categories!H1206,"\","/"),"www.americanretailsupply.com/","")</f>
        <v>64859/48221/Shipping-Supplies/Packaging-Peanuts-Green.html</v>
      </c>
      <c r="C1206" t="str">
        <f t="shared" si="36"/>
        <v>INSERT INTO url_rewrite (entity_type, entity_id, redirect_type, store_id, request_path, target_path) VALUES ('custom', 0, 301, 1,'64859/48221/Shipping-Supplies/Packaging-Peanuts-Green.html',(SELECT CONCAT(url_path, '.html') FROM catalog_category_flat_store_1 WHERE entity_id=1165));</v>
      </c>
      <c r="D1206" t="str">
        <f t="shared" si="37"/>
        <v>UPDATE url_rewrite SET request_path = '64859/48221/Shipping-Supplies/Packaging-Peanuts-Green.html' WHERE entity_type='custom' AND target_path=(SELECT CONCAT(url_path, '.html') FROM catalog_category_flat_store_1 WHERE entity_id=1165);</v>
      </c>
    </row>
    <row r="1207" spans="1:4" x14ac:dyDescent="0.25">
      <c r="A1207">
        <f>categories!B1207</f>
        <v>1166</v>
      </c>
      <c r="B1207" t="str">
        <f>SUBSTITUTE(SUBSTITUTE(categories!H1207,"\","/"),"www.americanretailsupply.com/","")</f>
        <v>64859/176650/Shipping-Supplies/Polystyrene-Edge-Protectors.html</v>
      </c>
      <c r="C1207" t="str">
        <f t="shared" si="36"/>
        <v>INSERT INTO url_rewrite (entity_type, entity_id, redirect_type, store_id, request_path, target_path) VALUES ('custom', 0, 301, 1,'64859/176650/Shipping-Supplies/Polystyrene-Edge-Protectors.html',(SELECT CONCAT(url_path, '.html') FROM catalog_category_flat_store_1 WHERE entity_id=1166));</v>
      </c>
      <c r="D1207" t="str">
        <f t="shared" si="37"/>
        <v>UPDATE url_rewrite SET request_path = '64859/176650/Shipping-Supplies/Polystyrene-Edge-Protectors.html' WHERE entity_type='custom' AND target_path=(SELECT CONCAT(url_path, '.html') FROM catalog_category_flat_store_1 WHERE entity_id=1166);</v>
      </c>
    </row>
    <row r="1208" spans="1:4" x14ac:dyDescent="0.25">
      <c r="A1208">
        <f>categories!B1208</f>
        <v>1167</v>
      </c>
      <c r="B1208" t="str">
        <f>SUBSTITUTE(SUBSTITUTE(categories!H1208,"\","/"),"www.americanretailsupply.com/","")</f>
        <v>64859/176652/Shipping-Supplies/Corrugated-Corner-Protection-Pads.html</v>
      </c>
      <c r="C1208" t="str">
        <f t="shared" si="36"/>
        <v>INSERT INTO url_rewrite (entity_type, entity_id, redirect_type, store_id, request_path, target_path) VALUES ('custom', 0, 301, 1,'64859/176652/Shipping-Supplies/Corrugated-Corner-Protection-Pads.html',(SELECT CONCAT(url_path, '.html') FROM catalog_category_flat_store_1 WHERE entity_id=1167));</v>
      </c>
      <c r="D1208" t="str">
        <f t="shared" si="37"/>
        <v>UPDATE url_rewrite SET request_path = '64859/176652/Shipping-Supplies/Corrugated-Corner-Protection-Pads.html' WHERE entity_type='custom' AND target_path=(SELECT CONCAT(url_path, '.html') FROM catalog_category_flat_store_1 WHERE entity_id=1167);</v>
      </c>
    </row>
    <row r="1209" spans="1:4" x14ac:dyDescent="0.25">
      <c r="A1209">
        <f>categories!B1209</f>
        <v>1168</v>
      </c>
      <c r="B1209" t="str">
        <f>SUBSTITUTE(SUBSTITUTE(categories!H1209,"\","/"),"www.americanretailsupply.com/","")</f>
        <v>64859/176661/Shipping-Supplies/Flat-Corrugated-White-Pads.html</v>
      </c>
      <c r="C1209" t="str">
        <f t="shared" si="36"/>
        <v>INSERT INTO url_rewrite (entity_type, entity_id, redirect_type, store_id, request_path, target_path) VALUES ('custom', 0, 301, 1,'64859/176661/Shipping-Supplies/Flat-Corrugated-White-Pads.html',(SELECT CONCAT(url_path, '.html') FROM catalog_category_flat_store_1 WHERE entity_id=1168));</v>
      </c>
      <c r="D1209" t="str">
        <f t="shared" si="37"/>
        <v>UPDATE url_rewrite SET request_path = '64859/176661/Shipping-Supplies/Flat-Corrugated-White-Pads.html' WHERE entity_type='custom' AND target_path=(SELECT CONCAT(url_path, '.html') FROM catalog_category_flat_store_1 WHERE entity_id=1168);</v>
      </c>
    </row>
    <row r="1210" spans="1:4" x14ac:dyDescent="0.25">
      <c r="A1210">
        <f>categories!B1210</f>
        <v>1169</v>
      </c>
      <c r="B1210" t="str">
        <f>SUBSTITUTE(SUBSTITUTE(categories!H1210,"\","/"),"www.americanretailsupply.com/","")</f>
        <v>64859/176664/Shipping-Supplies/Five-Panel-Tube-Folders.html</v>
      </c>
      <c r="C1210" t="str">
        <f t="shared" si="36"/>
        <v>INSERT INTO url_rewrite (entity_type, entity_id, redirect_type, store_id, request_path, target_path) VALUES ('custom', 0, 301, 1,'64859/176664/Shipping-Supplies/Five-Panel-Tube-Folders.html',(SELECT CONCAT(url_path, '.html') FROM catalog_category_flat_store_1 WHERE entity_id=1169));</v>
      </c>
      <c r="D1210" t="str">
        <f t="shared" si="37"/>
        <v>UPDATE url_rewrite SET request_path = '64859/176664/Shipping-Supplies/Five-Panel-Tube-Folders.html' WHERE entity_type='custom' AND target_path=(SELECT CONCAT(url_path, '.html') FROM catalog_category_flat_store_1 WHERE entity_id=1169);</v>
      </c>
    </row>
    <row r="1211" spans="1:4" x14ac:dyDescent="0.25">
      <c r="A1211">
        <f>categories!B1211</f>
        <v>1170</v>
      </c>
      <c r="B1211" t="str">
        <f>SUBSTITUTE(SUBSTITUTE(categories!H1211,"\","/"),"www.americanretailsupply.com/","")</f>
        <v>64859/176666/Shipping-Supplies/Triangle-Mailing-Tubes.html</v>
      </c>
      <c r="C1211" t="str">
        <f t="shared" si="36"/>
        <v>INSERT INTO url_rewrite (entity_type, entity_id, redirect_type, store_id, request_path, target_path) VALUES ('custom', 0, 301, 1,'64859/176666/Shipping-Supplies/Triangle-Mailing-Tubes.html',(SELECT CONCAT(url_path, '.html') FROM catalog_category_flat_store_1 WHERE entity_id=1170));</v>
      </c>
      <c r="D1211" t="str">
        <f t="shared" si="37"/>
        <v>UPDATE url_rewrite SET request_path = '64859/176666/Shipping-Supplies/Triangle-Mailing-Tubes.html' WHERE entity_type='custom' AND target_path=(SELECT CONCAT(url_path, '.html') FROM catalog_category_flat_store_1 WHERE entity_id=1170);</v>
      </c>
    </row>
    <row r="1212" spans="1:4" x14ac:dyDescent="0.25">
      <c r="A1212">
        <f>categories!B1212</f>
        <v>1171</v>
      </c>
      <c r="B1212" t="str">
        <f>SUBSTITUTE(SUBSTITUTE(categories!H1212,"\","/"),"www.americanretailsupply.com/","")</f>
        <v>64859/177729/Shipping-Supplies/Flat-Corrugated-Brown-Pads.html</v>
      </c>
      <c r="C1212" t="str">
        <f t="shared" si="36"/>
        <v>INSERT INTO url_rewrite (entity_type, entity_id, redirect_type, store_id, request_path, target_path) VALUES ('custom', 0, 301, 1,'64859/177729/Shipping-Supplies/Flat-Corrugated-Brown-Pads.html',(SELECT CONCAT(url_path, '.html') FROM catalog_category_flat_store_1 WHERE entity_id=1171));</v>
      </c>
      <c r="D1212" t="str">
        <f t="shared" si="37"/>
        <v>UPDATE url_rewrite SET request_path = '64859/177729/Shipping-Supplies/Flat-Corrugated-Brown-Pads.html' WHERE entity_type='custom' AND target_path=(SELECT CONCAT(url_path, '.html') FROM catalog_category_flat_store_1 WHERE entity_id=1171);</v>
      </c>
    </row>
    <row r="1213" spans="1:4" x14ac:dyDescent="0.25">
      <c r="A1213">
        <f>categories!B1213</f>
        <v>1172</v>
      </c>
      <c r="B1213" t="str">
        <f>SUBSTITUTE(SUBSTITUTE(categories!H1213,"\","/"),"www.americanretailsupply.com/","")</f>
        <v>64859/778399/Shipping-Supplies/Packing-List-Enclosure-Envelopes.html</v>
      </c>
      <c r="C1213" t="str">
        <f t="shared" si="36"/>
        <v>INSERT INTO url_rewrite (entity_type, entity_id, redirect_type, store_id, request_path, target_path) VALUES ('custom', 0, 301, 1,'64859/778399/Shipping-Supplies/Packing-List-Enclosure-Envelopes.html',(SELECT CONCAT(url_path, '.html') FROM catalog_category_flat_store_1 WHERE entity_id=1172));</v>
      </c>
      <c r="D1213" t="str">
        <f t="shared" si="37"/>
        <v>UPDATE url_rewrite SET request_path = '64859/778399/Shipping-Supplies/Packing-List-Enclosure-Envelopes.html' WHERE entity_type='custom' AND target_path=(SELECT CONCAT(url_path, '.html') FROM catalog_category_flat_store_1 WHERE entity_id=1172);</v>
      </c>
    </row>
    <row r="1214" spans="1:4" x14ac:dyDescent="0.25">
      <c r="A1214">
        <f>categories!B1214</f>
        <v>1174</v>
      </c>
      <c r="B1214" t="str">
        <f>SUBSTITUTE(SUBSTITUTE(categories!H1214,"\","/"),"www.americanretailsupply.com/","")</f>
        <v>64855/12529/Shopping-Baskets/Shopping-Baskets.html</v>
      </c>
      <c r="C1214" t="str">
        <f t="shared" si="36"/>
        <v>INSERT INTO url_rewrite (entity_type, entity_id, redirect_type, store_id, request_path, target_path) VALUES ('custom', 0, 301, 1,'64855/12529/Shopping-Baskets/Shopping-Baskets.html',(SELECT CONCAT(url_path, '.html') FROM catalog_category_flat_store_1 WHERE entity_id=1174));</v>
      </c>
      <c r="D1214" t="str">
        <f t="shared" si="37"/>
        <v>UPDATE url_rewrite SET request_path = '64855/12529/Shopping-Baskets/Shopping-Baskets.html' WHERE entity_type='custom' AND target_path=(SELECT CONCAT(url_path, '.html') FROM catalog_category_flat_store_1 WHERE entity_id=1174);</v>
      </c>
    </row>
    <row r="1215" spans="1:4" x14ac:dyDescent="0.25">
      <c r="A1215">
        <f>categories!B1215</f>
        <v>1175</v>
      </c>
      <c r="B1215" t="str">
        <f>SUBSTITUTE(SUBSTITUTE(categories!H1215,"\","/"),"www.americanretailsupply.com/","")</f>
        <v>64855/48204/Shopping-Baskets/Hand-Carry-Wire-Mesh-Shopping-Baskets.html</v>
      </c>
      <c r="C1215" t="str">
        <f t="shared" si="36"/>
        <v>INSERT INTO url_rewrite (entity_type, entity_id, redirect_type, store_id, request_path, target_path) VALUES ('custom', 0, 301, 1,'64855/48204/Shopping-Baskets/Hand-Carry-Wire-Mesh-Shopping-Baskets.html',(SELECT CONCAT(url_path, '.html') FROM catalog_category_flat_store_1 WHERE entity_id=1175));</v>
      </c>
      <c r="D1215" t="str">
        <f t="shared" si="37"/>
        <v>UPDATE url_rewrite SET request_path = '64855/48204/Shopping-Baskets/Hand-Carry-Wire-Mesh-Shopping-Baskets.html' WHERE entity_type='custom' AND target_path=(SELECT CONCAT(url_path, '.html') FROM catalog_category_flat_store_1 WHERE entity_id=1175);</v>
      </c>
    </row>
    <row r="1216" spans="1:4" x14ac:dyDescent="0.25">
      <c r="A1216">
        <f>categories!B1216</f>
        <v>1177</v>
      </c>
      <c r="B1216" t="str">
        <f>SUBSTITUTE(SUBSTITUTE(categories!H1216,"\","/"),"www.americanretailsupply.com/","")</f>
        <v>64704/19622/Shreds/Natural-Wood-Excelsior-Shred.html</v>
      </c>
      <c r="C1216" t="str">
        <f t="shared" si="36"/>
        <v>INSERT INTO url_rewrite (entity_type, entity_id, redirect_type, store_id, request_path, target_path) VALUES ('custom', 0, 301, 1,'64704/19622/Shreds/Natural-Wood-Excelsior-Shred.html',(SELECT CONCAT(url_path, '.html') FROM catalog_category_flat_store_1 WHERE entity_id=1177));</v>
      </c>
      <c r="D1216" t="str">
        <f t="shared" si="37"/>
        <v>UPDATE url_rewrite SET request_path = '64704/19622/Shreds/Natural-Wood-Excelsior-Shred.html' WHERE entity_type='custom' AND target_path=(SELECT CONCAT(url_path, '.html') FROM catalog_category_flat_store_1 WHERE entity_id=1177);</v>
      </c>
    </row>
    <row r="1217" spans="1:4" x14ac:dyDescent="0.25">
      <c r="A1217">
        <f>categories!B1217</f>
        <v>1178</v>
      </c>
      <c r="B1217" t="str">
        <f>SUBSTITUTE(SUBSTITUTE(categories!H1217,"\","/"),"www.americanretailsupply.com/","")</f>
        <v>64704/19927/Shreds/Crinkle-Cut-Shred.html</v>
      </c>
      <c r="C1217" t="str">
        <f t="shared" si="36"/>
        <v>INSERT INTO url_rewrite (entity_type, entity_id, redirect_type, store_id, request_path, target_path) VALUES ('custom', 0, 301, 1,'64704/19927/Shreds/Crinkle-Cut-Shred.html',(SELECT CONCAT(url_path, '.html') FROM catalog_category_flat_store_1 WHERE entity_id=1178));</v>
      </c>
      <c r="D1217" t="str">
        <f t="shared" si="37"/>
        <v>UPDATE url_rewrite SET request_path = '64704/19927/Shreds/Crinkle-Cut-Shred.html' WHERE entity_type='custom' AND target_path=(SELECT CONCAT(url_path, '.html') FROM catalog_category_flat_store_1 WHERE entity_id=1178);</v>
      </c>
    </row>
    <row r="1218" spans="1:4" x14ac:dyDescent="0.25">
      <c r="A1218">
        <f>categories!B1218</f>
        <v>1179</v>
      </c>
      <c r="B1218" t="str">
        <f>SUBSTITUTE(SUBSTITUTE(categories!H1218,"\","/"),"www.americanretailsupply.com/","")</f>
        <v>25199/19928/Shreds/Very-Fine-Cut-Shred.html</v>
      </c>
      <c r="C1218" t="str">
        <f t="shared" si="36"/>
        <v>INSERT INTO url_rewrite (entity_type, entity_id, redirect_type, store_id, request_path, target_path) VALUES ('custom', 0, 301, 1,'25199/19928/Shreds/Very-Fine-Cut-Shred.html',(SELECT CONCAT(url_path, '.html') FROM catalog_category_flat_store_1 WHERE entity_id=1179));</v>
      </c>
      <c r="D1218" t="str">
        <f t="shared" si="37"/>
        <v>UPDATE url_rewrite SET request_path = '25199/19928/Shreds/Very-Fine-Cut-Shred.html' WHERE entity_type='custom' AND target_path=(SELECT CONCAT(url_path, '.html') FROM catalog_category_flat_store_1 WHERE entity_id=1179);</v>
      </c>
    </row>
    <row r="1219" spans="1:4" x14ac:dyDescent="0.25">
      <c r="A1219">
        <f>categories!B1219</f>
        <v>1181</v>
      </c>
      <c r="B1219" t="str">
        <f>SUBSTITUTE(SUBSTITUTE(categories!H1219,"\","/"),"www.americanretailsupply.com/","")</f>
        <v>64691/647269/Sidewalk-Signs/QLA-Quick-Load-Rolling-A-Frame-Sidewalk-Signs.html</v>
      </c>
      <c r="C1219" t="str">
        <f t="shared" ref="C1219:C1282" si="38">"INSERT INTO url_rewrite (entity_type, entity_id, redirect_type, store_id, request_path, target_path) VALUES ('custom', 0, 301, 1,'"&amp;B1219&amp;"',(SELECT CONCAT(url_path, '.html') FROM catalog_category_flat_store_1 WHERE entity_id="&amp;A1219&amp;"));"</f>
        <v>INSERT INTO url_rewrite (entity_type, entity_id, redirect_type, store_id, request_path, target_path) VALUES ('custom', 0, 301, 1,'64691/647269/Sidewalk-Signs/QLA-Quick-Load-Rolling-A-Frame-Sidewalk-Signs.html',(SELECT CONCAT(url_path, '.html') FROM catalog_category_flat_store_1 WHERE entity_id=1181));</v>
      </c>
      <c r="D1219" t="str">
        <f t="shared" ref="D1219:D1282" si="39">"UPDATE url_rewrite SET request_path = '"&amp;B1219&amp;"' WHERE entity_type='custom' AND target_path=(SELECT CONCAT(url_path, '.html') FROM catalog_category_flat_store_1 WHERE entity_id="&amp;A1219&amp;");"</f>
        <v>UPDATE url_rewrite SET request_path = '64691/647269/Sidewalk-Signs/QLA-Quick-Load-Rolling-A-Frame-Sidewalk-Signs.html' WHERE entity_type='custom' AND target_path=(SELECT CONCAT(url_path, '.html') FROM catalog_category_flat_store_1 WHERE entity_id=1181);</v>
      </c>
    </row>
    <row r="1220" spans="1:4" x14ac:dyDescent="0.25">
      <c r="A1220">
        <f>categories!B1220</f>
        <v>1182</v>
      </c>
      <c r="B1220" t="str">
        <f>SUBSTITUTE(SUBSTITUTE(categories!H1220,"\","/"),"www.americanretailsupply.com/","")</f>
        <v>64691/647270/Sidewalk-Signs/Swinger-Sidewalk--Roadside-Signs.html</v>
      </c>
      <c r="C1220" t="str">
        <f t="shared" si="38"/>
        <v>INSERT INTO url_rewrite (entity_type, entity_id, redirect_type, store_id, request_path, target_path) VALUES ('custom', 0, 301, 1,'64691/647270/Sidewalk-Signs/Swinger-Sidewalk--Roadside-Signs.html',(SELECT CONCAT(url_path, '.html') FROM catalog_category_flat_store_1 WHERE entity_id=1182));</v>
      </c>
      <c r="D1220" t="str">
        <f t="shared" si="39"/>
        <v>UPDATE url_rewrite SET request_path = '64691/647270/Sidewalk-Signs/Swinger-Sidewalk--Roadside-Signs.html' WHERE entity_type='custom' AND target_path=(SELECT CONCAT(url_path, '.html') FROM catalog_category_flat_store_1 WHERE entity_id=1182);</v>
      </c>
    </row>
    <row r="1221" spans="1:4" x14ac:dyDescent="0.25">
      <c r="A1221">
        <f>categories!B1221</f>
        <v>1183</v>
      </c>
      <c r="B1221" t="str">
        <f>SUBSTITUTE(SUBSTITUTE(categories!H1221,"\","/"),"www.americanretailsupply.com/","")</f>
        <v>64691/753853/Sidewalk-Signs/Springer-Sidewalk-Signs.html</v>
      </c>
      <c r="C1221" t="str">
        <f t="shared" si="38"/>
        <v>INSERT INTO url_rewrite (entity_type, entity_id, redirect_type, store_id, request_path, target_path) VALUES ('custom', 0, 301, 1,'64691/753853/Sidewalk-Signs/Springer-Sidewalk-Signs.html',(SELECT CONCAT(url_path, '.html') FROM catalog_category_flat_store_1 WHERE entity_id=1183));</v>
      </c>
      <c r="D1221" t="str">
        <f t="shared" si="39"/>
        <v>UPDATE url_rewrite SET request_path = '64691/753853/Sidewalk-Signs/Springer-Sidewalk-Signs.html' WHERE entity_type='custom' AND target_path=(SELECT CONCAT(url_path, '.html') FROM catalog_category_flat_store_1 WHERE entity_id=1183);</v>
      </c>
    </row>
    <row r="1222" spans="1:4" x14ac:dyDescent="0.25">
      <c r="A1222">
        <f>categories!B1222</f>
        <v>1184</v>
      </c>
      <c r="B1222" t="str">
        <f>SUBSTITUTE(SUBSTITUTE(categories!H1222,"\","/"),"www.americanretailsupply.com/","")</f>
        <v>64691/753995/Sidewalk-Signs/Tip-N-Roll-Sidewalk-Signs.html</v>
      </c>
      <c r="C1222" t="str">
        <f t="shared" si="38"/>
        <v>INSERT INTO url_rewrite (entity_type, entity_id, redirect_type, store_id, request_path, target_path) VALUES ('custom', 0, 301, 1,'64691/753995/Sidewalk-Signs/Tip-N-Roll-Sidewalk-Signs.html',(SELECT CONCAT(url_path, '.html') FROM catalog_category_flat_store_1 WHERE entity_id=1184));</v>
      </c>
      <c r="D1222" t="str">
        <f t="shared" si="39"/>
        <v>UPDATE url_rewrite SET request_path = '64691/753995/Sidewalk-Signs/Tip-N-Roll-Sidewalk-Signs.html' WHERE entity_type='custom' AND target_path=(SELECT CONCAT(url_path, '.html') FROM catalog_category_flat_store_1 WHERE entity_id=1184);</v>
      </c>
    </row>
    <row r="1223" spans="1:4" x14ac:dyDescent="0.25">
      <c r="A1223">
        <f>categories!B1223</f>
        <v>1186</v>
      </c>
      <c r="B1223" t="str">
        <f>SUBSTITUTE(SUBSTITUTE(categories!H1223,"\","/"),"www.americanretailsupply.com/","")</f>
        <v>64687/1608/Sign-Cards/Open-Closed-Sign.html</v>
      </c>
      <c r="C1223" t="str">
        <f t="shared" si="38"/>
        <v>INSERT INTO url_rewrite (entity_type, entity_id, redirect_type, store_id, request_path, target_path) VALUES ('custom', 0, 301, 1,'64687/1608/Sign-Cards/Open-Closed-Sign.html',(SELECT CONCAT(url_path, '.html') FROM catalog_category_flat_store_1 WHERE entity_id=1186));</v>
      </c>
      <c r="D1223" t="str">
        <f t="shared" si="39"/>
        <v>UPDATE url_rewrite SET request_path = '64687/1608/Sign-Cards/Open-Closed-Sign.html' WHERE entity_type='custom' AND target_path=(SELECT CONCAT(url_path, '.html') FROM catalog_category_flat_store_1 WHERE entity_id=1186);</v>
      </c>
    </row>
    <row r="1224" spans="1:4" x14ac:dyDescent="0.25">
      <c r="A1224">
        <f>categories!B1224</f>
        <v>1187</v>
      </c>
      <c r="B1224" t="str">
        <f>SUBSTITUTE(SUBSTITUTE(categories!H1224,"\","/"),"www.americanretailsupply.com/","")</f>
        <v>64687/48119/Sign-Cards/Sign-Cards-with-Printed-Message.html</v>
      </c>
      <c r="C1224" t="str">
        <f t="shared" si="38"/>
        <v>INSERT INTO url_rewrite (entity_type, entity_id, redirect_type, store_id, request_path, target_path) VALUES ('custom', 0, 301, 1,'64687/48119/Sign-Cards/Sign-Cards-with-Printed-Message.html',(SELECT CONCAT(url_path, '.html') FROM catalog_category_flat_store_1 WHERE entity_id=1187));</v>
      </c>
      <c r="D1224" t="str">
        <f t="shared" si="39"/>
        <v>UPDATE url_rewrite SET request_path = '64687/48119/Sign-Cards/Sign-Cards-with-Printed-Message.html' WHERE entity_type='custom' AND target_path=(SELECT CONCAT(url_path, '.html') FROM catalog_category_flat_store_1 WHERE entity_id=1187);</v>
      </c>
    </row>
    <row r="1225" spans="1:4" x14ac:dyDescent="0.25">
      <c r="A1225">
        <f>categories!B1225</f>
        <v>1188</v>
      </c>
      <c r="B1225" t="str">
        <f>SUBSTITUTE(SUBSTITUTE(categories!H1225,"\","/"),"www.americanretailsupply.com/","")</f>
        <v>64687/173720/Sign-Cards/Sign-Cards-Laser-Print-Ready.html</v>
      </c>
      <c r="C1225" t="str">
        <f t="shared" si="38"/>
        <v>INSERT INTO url_rewrite (entity_type, entity_id, redirect_type, store_id, request_path, target_path) VALUES ('custom', 0, 301, 1,'64687/173720/Sign-Cards/Sign-Cards-Laser-Print-Ready.html',(SELECT CONCAT(url_path, '.html') FROM catalog_category_flat_store_1 WHERE entity_id=1188));</v>
      </c>
      <c r="D1225" t="str">
        <f t="shared" si="39"/>
        <v>UPDATE url_rewrite SET request_path = '64687/173720/Sign-Cards/Sign-Cards-Laser-Print-Ready.html' WHERE entity_type='custom' AND target_path=(SELECT CONCAT(url_path, '.html') FROM catalog_category_flat_store_1 WHERE entity_id=1188);</v>
      </c>
    </row>
    <row r="1226" spans="1:4" x14ac:dyDescent="0.25">
      <c r="A1226">
        <f>categories!B1226</f>
        <v>1189</v>
      </c>
      <c r="B1226" t="str">
        <f>SUBSTITUTE(SUBSTITUTE(categories!H1226,"\","/"),"www.americanretailsupply.com/","")</f>
        <v>64687/730332/Sign-Cards/Seasonal-Sign-Cards-Laser-Print-Ready.html</v>
      </c>
      <c r="C1226" t="str">
        <f t="shared" si="38"/>
        <v>INSERT INTO url_rewrite (entity_type, entity_id, redirect_type, store_id, request_path, target_path) VALUES ('custom', 0, 301, 1,'64687/730332/Sign-Cards/Seasonal-Sign-Cards-Laser-Print-Ready.html',(SELECT CONCAT(url_path, '.html') FROM catalog_category_flat_store_1 WHERE entity_id=1189));</v>
      </c>
      <c r="D1226" t="str">
        <f t="shared" si="39"/>
        <v>UPDATE url_rewrite SET request_path = '64687/730332/Sign-Cards/Seasonal-Sign-Cards-Laser-Print-Ready.html' WHERE entity_type='custom' AND target_path=(SELECT CONCAT(url_path, '.html') FROM catalog_category_flat_store_1 WHERE entity_id=1189);</v>
      </c>
    </row>
    <row r="1227" spans="1:4" x14ac:dyDescent="0.25">
      <c r="A1227">
        <f>categories!B1227</f>
        <v>1190</v>
      </c>
      <c r="B1227" t="str">
        <f>SUBSTITUTE(SUBSTITUTE(categories!H1227,"\","/"),"www.americanretailsupply.com/","")</f>
        <v>64687/733219/Sign-Cards/Burst-Blank-Fluorescent-Sign-Cards.html</v>
      </c>
      <c r="C1227" t="str">
        <f t="shared" si="38"/>
        <v>INSERT INTO url_rewrite (entity_type, entity_id, redirect_type, store_id, request_path, target_path) VALUES ('custom', 0, 301, 1,'64687/733219/Sign-Cards/Burst-Blank-Fluorescent-Sign-Cards.html',(SELECT CONCAT(url_path, '.html') FROM catalog_category_flat_store_1 WHERE entity_id=1190));</v>
      </c>
      <c r="D1227" t="str">
        <f t="shared" si="39"/>
        <v>UPDATE url_rewrite SET request_path = '64687/733219/Sign-Cards/Burst-Blank-Fluorescent-Sign-Cards.html' WHERE entity_type='custom' AND target_path=(SELECT CONCAT(url_path, '.html') FROM catalog_category_flat_store_1 WHERE entity_id=1190);</v>
      </c>
    </row>
    <row r="1228" spans="1:4" x14ac:dyDescent="0.25">
      <c r="A1228">
        <f>categories!B1228</f>
        <v>1191</v>
      </c>
      <c r="B1228" t="str">
        <f>SUBSTITUTE(SUBSTITUTE(categories!H1228,"\","/"),"www.americanretailsupply.com/","")</f>
        <v>64687/733435/Sign-Cards/Rectangle-Blank-Fluorescent-Sign-Cards.html</v>
      </c>
      <c r="C1228" t="str">
        <f t="shared" si="38"/>
        <v>INSERT INTO url_rewrite (entity_type, entity_id, redirect_type, store_id, request_path, target_path) VALUES ('custom', 0, 301, 1,'64687/733435/Sign-Cards/Rectangle-Blank-Fluorescent-Sign-Cards.html',(SELECT CONCAT(url_path, '.html') FROM catalog_category_flat_store_1 WHERE entity_id=1191));</v>
      </c>
      <c r="D1228" t="str">
        <f t="shared" si="39"/>
        <v>UPDATE url_rewrite SET request_path = '64687/733435/Sign-Cards/Rectangle-Blank-Fluorescent-Sign-Cards.html' WHERE entity_type='custom' AND target_path=(SELECT CONCAT(url_path, '.html') FROM catalog_category_flat_store_1 WHERE entity_id=1191);</v>
      </c>
    </row>
    <row r="1229" spans="1:4" x14ac:dyDescent="0.25">
      <c r="A1229">
        <f>categories!B1229</f>
        <v>1193</v>
      </c>
      <c r="B1229" t="str">
        <f>SUBSTITUTE(SUBSTITUTE(categories!H1229,"\","/"),"www.americanretailsupply.com/","")</f>
        <v>65196/36357/Sizers-Markers--Size-Labels/Mini-Size-Markers-for-Hangers.html</v>
      </c>
      <c r="C1229" t="str">
        <f t="shared" si="38"/>
        <v>INSERT INTO url_rewrite (entity_type, entity_id, redirect_type, store_id, request_path, target_path) VALUES ('custom', 0, 301, 1,'65196/36357/Sizers-Markers--Size-Labels/Mini-Size-Markers-for-Hangers.html',(SELECT CONCAT(url_path, '.html') FROM catalog_category_flat_store_1 WHERE entity_id=1193));</v>
      </c>
      <c r="D1229" t="str">
        <f t="shared" si="39"/>
        <v>UPDATE url_rewrite SET request_path = '65196/36357/Sizers-Markers--Size-Labels/Mini-Size-Markers-for-Hangers.html' WHERE entity_type='custom' AND target_path=(SELECT CONCAT(url_path, '.html') FROM catalog_category_flat_store_1 WHERE entity_id=1193);</v>
      </c>
    </row>
    <row r="1230" spans="1:4" x14ac:dyDescent="0.25">
      <c r="A1230">
        <f>categories!B1230</f>
        <v>1194</v>
      </c>
      <c r="B1230" t="str">
        <f>SUBSTITUTE(SUBSTITUTE(categories!H1230,"\","/"),"www.americanretailsupply.com/","")</f>
        <v>65196/36358/Sizers-Markers--Size-Labels/Regular-Size-Markers-for-Hangers.html</v>
      </c>
      <c r="C1230" t="str">
        <f t="shared" si="38"/>
        <v>INSERT INTO url_rewrite (entity_type, entity_id, redirect_type, store_id, request_path, target_path) VALUES ('custom', 0, 301, 1,'65196/36358/Sizers-Markers--Size-Labels/Regular-Size-Markers-for-Hangers.html',(SELECT CONCAT(url_path, '.html') FROM catalog_category_flat_store_1 WHERE entity_id=1194));</v>
      </c>
      <c r="D1230" t="str">
        <f t="shared" si="39"/>
        <v>UPDATE url_rewrite SET request_path = '65196/36358/Sizers-Markers--Size-Labels/Regular-Size-Markers-for-Hangers.html' WHERE entity_type='custom' AND target_path=(SELECT CONCAT(url_path, '.html') FROM catalog_category_flat_store_1 WHERE entity_id=1194);</v>
      </c>
    </row>
    <row r="1231" spans="1:4" x14ac:dyDescent="0.25">
      <c r="A1231">
        <f>categories!B1231</f>
        <v>1195</v>
      </c>
      <c r="B1231" t="str">
        <f>SUBSTITUTE(SUBSTITUTE(categories!H1231,"\","/"),"www.americanretailsupply.com/","")</f>
        <v>65196/36359/Sizers-Markers--Size-Labels/12-Clear-Circle-Size-Labels-with-Black-Print.html</v>
      </c>
      <c r="C1231" t="str">
        <f t="shared" si="38"/>
        <v>INSERT INTO url_rewrite (entity_type, entity_id, redirect_type, store_id, request_path, target_path) VALUES ('custom', 0, 301, 1,'65196/36359/Sizers-Markers--Size-Labels/12-Clear-Circle-Size-Labels-with-Black-Print.html',(SELECT CONCAT(url_path, '.html') FROM catalog_category_flat_store_1 WHERE entity_id=1195));</v>
      </c>
      <c r="D1231" t="str">
        <f t="shared" si="39"/>
        <v>UPDATE url_rewrite SET request_path = '65196/36359/Sizers-Markers--Size-Labels/12-Clear-Circle-Size-Labels-with-Black-Print.html' WHERE entity_type='custom' AND target_path=(SELECT CONCAT(url_path, '.html') FROM catalog_category_flat_store_1 WHERE entity_id=1195);</v>
      </c>
    </row>
    <row r="1232" spans="1:4" x14ac:dyDescent="0.25">
      <c r="A1232">
        <f>categories!B1232</f>
        <v>1196</v>
      </c>
      <c r="B1232" t="str">
        <f>SUBSTITUTE(SUBSTITUTE(categories!H1232,"\","/"),"www.americanretailsupply.com/","")</f>
        <v>65196/36360/Sizers-Markers--Size-Labels/Storage-Box-for-Size-Markers.html</v>
      </c>
      <c r="C1232" t="str">
        <f t="shared" si="38"/>
        <v>INSERT INTO url_rewrite (entity_type, entity_id, redirect_type, store_id, request_path, target_path) VALUES ('custom', 0, 301, 1,'65196/36360/Sizers-Markers--Size-Labels/Storage-Box-for-Size-Markers.html',(SELECT CONCAT(url_path, '.html') FROM catalog_category_flat_store_1 WHERE entity_id=1196));</v>
      </c>
      <c r="D1232" t="str">
        <f t="shared" si="39"/>
        <v>UPDATE url_rewrite SET request_path = '65196/36360/Sizers-Markers--Size-Labels/Storage-Box-for-Size-Markers.html' WHERE entity_type='custom' AND target_path=(SELECT CONCAT(url_path, '.html') FROM catalog_category_flat_store_1 WHERE entity_id=1196);</v>
      </c>
    </row>
    <row r="1233" spans="1:4" x14ac:dyDescent="0.25">
      <c r="A1233">
        <f>categories!B1233</f>
        <v>1197</v>
      </c>
      <c r="B1233" t="str">
        <f>SUBSTITUTE(SUBSTITUTE(categories!H1233,"\","/"),"www.americanretailsupply.com/","")</f>
        <v>65196/36399/Sizers-Markers--Size-Labels/Size-Dividers-Round-White-with-Black-Numbers.html</v>
      </c>
      <c r="C1233" t="str">
        <f t="shared" si="38"/>
        <v>INSERT INTO url_rewrite (entity_type, entity_id, redirect_type, store_id, request_path, target_path) VALUES ('custom', 0, 301, 1,'65196/36399/Sizers-Markers--Size-Labels/Size-Dividers-Round-White-with-Black-Numbers.html',(SELECT CONCAT(url_path, '.html') FROM catalog_category_flat_store_1 WHERE entity_id=1197));</v>
      </c>
      <c r="D1233" t="str">
        <f t="shared" si="39"/>
        <v>UPDATE url_rewrite SET request_path = '65196/36399/Sizers-Markers--Size-Labels/Size-Dividers-Round-White-with-Black-Numbers.html' WHERE entity_type='custom' AND target_path=(SELECT CONCAT(url_path, '.html') FROM catalog_category_flat_store_1 WHERE entity_id=1197);</v>
      </c>
    </row>
    <row r="1234" spans="1:4" x14ac:dyDescent="0.25">
      <c r="A1234">
        <f>categories!B1234</f>
        <v>1198</v>
      </c>
      <c r="B1234" t="str">
        <f>SUBSTITUTE(SUBSTITUTE(categories!H1234,"\","/"),"www.americanretailsupply.com/","")</f>
        <v>65196/36400/Sizers-Markers--Size-Labels/Size-Dividers-Oblong-White-with-Black-Numbers.html</v>
      </c>
      <c r="C1234" t="str">
        <f t="shared" si="38"/>
        <v>INSERT INTO url_rewrite (entity_type, entity_id, redirect_type, store_id, request_path, target_path) VALUES ('custom', 0, 301, 1,'65196/36400/Sizers-Markers--Size-Labels/Size-Dividers-Oblong-White-with-Black-Numbers.html',(SELECT CONCAT(url_path, '.html') FROM catalog_category_flat_store_1 WHERE entity_id=1198));</v>
      </c>
      <c r="D1234" t="str">
        <f t="shared" si="39"/>
        <v>UPDATE url_rewrite SET request_path = '65196/36400/Sizers-Markers--Size-Labels/Size-Dividers-Oblong-White-with-Black-Numbers.html' WHERE entity_type='custom' AND target_path=(SELECT CONCAT(url_path, '.html') FROM catalog_category_flat_store_1 WHERE entity_id=1198);</v>
      </c>
    </row>
    <row r="1235" spans="1:4" x14ac:dyDescent="0.25">
      <c r="A1235">
        <f>categories!B1235</f>
        <v>1199</v>
      </c>
      <c r="B1235" t="str">
        <f>SUBSTITUTE(SUBSTITUTE(categories!H1235,"\","/"),"www.americanretailsupply.com/","")</f>
        <v>65196/47339/Sizers-Markers--Size-Labels/1-14-x-5-Clear-Rectangle-Size-Labels.html</v>
      </c>
      <c r="C1235" t="str">
        <f t="shared" si="38"/>
        <v>INSERT INTO url_rewrite (entity_type, entity_id, redirect_type, store_id, request_path, target_path) VALUES ('custom', 0, 301, 1,'65196/47339/Sizers-Markers--Size-Labels/1-14-x-5-Clear-Rectangle-Size-Labels.html',(SELECT CONCAT(url_path, '.html') FROM catalog_category_flat_store_1 WHERE entity_id=1199));</v>
      </c>
      <c r="D1235" t="str">
        <f t="shared" si="39"/>
        <v>UPDATE url_rewrite SET request_path = '65196/47339/Sizers-Markers--Size-Labels/1-14-x-5-Clear-Rectangle-Size-Labels.html' WHERE entity_type='custom' AND target_path=(SELECT CONCAT(url_path, '.html') FROM catalog_category_flat_store_1 WHERE entity_id=1199);</v>
      </c>
    </row>
    <row r="1236" spans="1:4" x14ac:dyDescent="0.25">
      <c r="A1236">
        <f>categories!B1236</f>
        <v>1200</v>
      </c>
      <c r="B1236" t="str">
        <f>SUBSTITUTE(SUBSTITUTE(categories!H1236,"\","/"),"www.americanretailsupply.com/","")</f>
        <v>65196/754860/Sizers-Markers--Size-Labels/Rectangle-Size-Label-Dispenser-Box.html</v>
      </c>
      <c r="C1236" t="str">
        <f t="shared" si="38"/>
        <v>INSERT INTO url_rewrite (entity_type, entity_id, redirect_type, store_id, request_path, target_path) VALUES ('custom', 0, 301, 1,'65196/754860/Sizers-Markers--Size-Labels/Rectangle-Size-Label-Dispenser-Box.html',(SELECT CONCAT(url_path, '.html') FROM catalog_category_flat_store_1 WHERE entity_id=1200));</v>
      </c>
      <c r="D1236" t="str">
        <f t="shared" si="39"/>
        <v>UPDATE url_rewrite SET request_path = '65196/754860/Sizers-Markers--Size-Labels/Rectangle-Size-Label-Dispenser-Box.html' WHERE entity_type='custom' AND target_path=(SELECT CONCAT(url_path, '.html') FROM catalog_category_flat_store_1 WHERE entity_id=1200);</v>
      </c>
    </row>
    <row r="1237" spans="1:4" x14ac:dyDescent="0.25">
      <c r="A1237">
        <f>categories!B1237</f>
        <v>1202</v>
      </c>
      <c r="B1237" t="str">
        <f>SUBSTITUTE(SUBSTITUTE(categories!H1237,"\","/"),"www.americanretailsupply.com/","")</f>
        <v>64945/239521/Slatbox-Displays/Storbox-Standard-Display.html</v>
      </c>
      <c r="C1237" t="str">
        <f t="shared" si="38"/>
        <v>INSERT INTO url_rewrite (entity_type, entity_id, redirect_type, store_id, request_path, target_path) VALUES ('custom', 0, 301, 1,'64945/239521/Slatbox-Displays/Storbox-Standard-Display.html',(SELECT CONCAT(url_path, '.html') FROM catalog_category_flat_store_1 WHERE entity_id=1202));</v>
      </c>
      <c r="D1237" t="str">
        <f t="shared" si="39"/>
        <v>UPDATE url_rewrite SET request_path = '64945/239521/Slatbox-Displays/Storbox-Standard-Display.html' WHERE entity_type='custom' AND target_path=(SELECT CONCAT(url_path, '.html') FROM catalog_category_flat_store_1 WHERE entity_id=1202);</v>
      </c>
    </row>
    <row r="1238" spans="1:4" x14ac:dyDescent="0.25">
      <c r="A1238">
        <f>categories!B1238</f>
        <v>1203</v>
      </c>
      <c r="B1238" t="str">
        <f>SUBSTITUTE(SUBSTITUTE(categories!H1238,"\","/"),"www.americanretailsupply.com/","")</f>
        <v>64945/239522/Slatbox-Displays/Storbox-Wide-Display.html</v>
      </c>
      <c r="C1238" t="str">
        <f t="shared" si="38"/>
        <v>INSERT INTO url_rewrite (entity_type, entity_id, redirect_type, store_id, request_path, target_path) VALUES ('custom', 0, 301, 1,'64945/239522/Slatbox-Displays/Storbox-Wide-Display.html',(SELECT CONCAT(url_path, '.html') FROM catalog_category_flat_store_1 WHERE entity_id=1203));</v>
      </c>
      <c r="D1238" t="str">
        <f t="shared" si="39"/>
        <v>UPDATE url_rewrite SET request_path = '64945/239522/Slatbox-Displays/Storbox-Wide-Display.html' WHERE entity_type='custom' AND target_path=(SELECT CONCAT(url_path, '.html') FROM catalog_category_flat_store_1 WHERE entity_id=1203);</v>
      </c>
    </row>
    <row r="1239" spans="1:4" x14ac:dyDescent="0.25">
      <c r="A1239">
        <f>categories!B1239</f>
        <v>1204</v>
      </c>
      <c r="B1239" t="str">
        <f>SUBSTITUTE(SUBSTITUTE(categories!H1239,"\","/"),"www.americanretailsupply.com/","")</f>
        <v>64945/239523/Slatbox-Displays/Storbox-Cube-Display.html</v>
      </c>
      <c r="C1239" t="str">
        <f t="shared" si="38"/>
        <v>INSERT INTO url_rewrite (entity_type, entity_id, redirect_type, store_id, request_path, target_path) VALUES ('custom', 0, 301, 1,'64945/239523/Slatbox-Displays/Storbox-Cube-Display.html',(SELECT CONCAT(url_path, '.html') FROM catalog_category_flat_store_1 WHERE entity_id=1204));</v>
      </c>
      <c r="D1239" t="str">
        <f t="shared" si="39"/>
        <v>UPDATE url_rewrite SET request_path = '64945/239523/Slatbox-Displays/Storbox-Cube-Display.html' WHERE entity_type='custom' AND target_path=(SELECT CONCAT(url_path, '.html') FROM catalog_category_flat_store_1 WHERE entity_id=1204);</v>
      </c>
    </row>
    <row r="1240" spans="1:4" x14ac:dyDescent="0.25">
      <c r="A1240">
        <f>categories!B1240</f>
        <v>1205</v>
      </c>
      <c r="B1240" t="str">
        <f>SUBSTITUTE(SUBSTITUTE(categories!H1240,"\","/"),"www.americanretailsupply.com/","")</f>
        <v>64945/239524/Slatbox-Displays/Storbox-Large-Display.html</v>
      </c>
      <c r="C1240" t="str">
        <f t="shared" si="38"/>
        <v>INSERT INTO url_rewrite (entity_type, entity_id, redirect_type, store_id, request_path, target_path) VALUES ('custom', 0, 301, 1,'64945/239524/Slatbox-Displays/Storbox-Large-Display.html',(SELECT CONCAT(url_path, '.html') FROM catalog_category_flat_store_1 WHERE entity_id=1205));</v>
      </c>
      <c r="D1240" t="str">
        <f t="shared" si="39"/>
        <v>UPDATE url_rewrite SET request_path = '64945/239524/Slatbox-Displays/Storbox-Large-Display.html' WHERE entity_type='custom' AND target_path=(SELECT CONCAT(url_path, '.html') FROM catalog_category_flat_store_1 WHERE entity_id=1205);</v>
      </c>
    </row>
    <row r="1241" spans="1:4" x14ac:dyDescent="0.25">
      <c r="A1241">
        <f>categories!B1241</f>
        <v>1206</v>
      </c>
      <c r="B1241" t="str">
        <f>SUBSTITUTE(SUBSTITUTE(categories!H1241,"\","/"),"www.americanretailsupply.com/","")</f>
        <v>64945/239525/Slatbox-Displays/Shelfbox-Long-200-Display.html</v>
      </c>
      <c r="C1241" t="str">
        <f t="shared" si="38"/>
        <v>INSERT INTO url_rewrite (entity_type, entity_id, redirect_type, store_id, request_path, target_path) VALUES ('custom', 0, 301, 1,'64945/239525/Slatbox-Displays/Shelfbox-Long-200-Display.html',(SELECT CONCAT(url_path, '.html') FROM catalog_category_flat_store_1 WHERE entity_id=1206));</v>
      </c>
      <c r="D1241" t="str">
        <f t="shared" si="39"/>
        <v>UPDATE url_rewrite SET request_path = '64945/239525/Slatbox-Displays/Shelfbox-Long-200-Display.html' WHERE entity_type='custom' AND target_path=(SELECT CONCAT(url_path, '.html') FROM catalog_category_flat_store_1 WHERE entity_id=1206);</v>
      </c>
    </row>
    <row r="1242" spans="1:4" x14ac:dyDescent="0.25">
      <c r="A1242">
        <f>categories!B1242</f>
        <v>1207</v>
      </c>
      <c r="B1242" t="str">
        <f>SUBSTITUTE(SUBSTITUTE(categories!H1242,"\","/"),"www.americanretailsupply.com/","")</f>
        <v>64945/239526/Slatbox-Displays/Shelfbox-Long-300-Display.html</v>
      </c>
      <c r="C1242" t="str">
        <f t="shared" si="38"/>
        <v>INSERT INTO url_rewrite (entity_type, entity_id, redirect_type, store_id, request_path, target_path) VALUES ('custom', 0, 301, 1,'64945/239526/Slatbox-Displays/Shelfbox-Long-300-Display.html',(SELECT CONCAT(url_path, '.html') FROM catalog_category_flat_store_1 WHERE entity_id=1207));</v>
      </c>
      <c r="D1242" t="str">
        <f t="shared" si="39"/>
        <v>UPDATE url_rewrite SET request_path = '64945/239526/Slatbox-Displays/Shelfbox-Long-300-Display.html' WHERE entity_type='custom' AND target_path=(SELECT CONCAT(url_path, '.html') FROM catalog_category_flat_store_1 WHERE entity_id=1207);</v>
      </c>
    </row>
    <row r="1243" spans="1:4" x14ac:dyDescent="0.25">
      <c r="A1243">
        <f>categories!B1243</f>
        <v>1208</v>
      </c>
      <c r="B1243" t="str">
        <f>SUBSTITUTE(SUBSTITUTE(categories!H1243,"\","/"),"www.americanretailsupply.com/","")</f>
        <v>64945/239527/Slatbox-Displays/ShelfBox-Long-400-Display.html</v>
      </c>
      <c r="C1243" t="str">
        <f t="shared" si="38"/>
        <v>INSERT INTO url_rewrite (entity_type, entity_id, redirect_type, store_id, request_path, target_path) VALUES ('custom', 0, 301, 1,'64945/239527/Slatbox-Displays/ShelfBox-Long-400-Display.html',(SELECT CONCAT(url_path, '.html') FROM catalog_category_flat_store_1 WHERE entity_id=1208));</v>
      </c>
      <c r="D1243" t="str">
        <f t="shared" si="39"/>
        <v>UPDATE url_rewrite SET request_path = '64945/239527/Slatbox-Displays/ShelfBox-Long-400-Display.html' WHERE entity_type='custom' AND target_path=(SELECT CONCAT(url_path, '.html') FROM catalog_category_flat_store_1 WHERE entity_id=1208);</v>
      </c>
    </row>
    <row r="1244" spans="1:4" x14ac:dyDescent="0.25">
      <c r="A1244">
        <f>categories!B1244</f>
        <v>1209</v>
      </c>
      <c r="B1244" t="str">
        <f>SUBSTITUTE(SUBSTITUTE(categories!H1244,"\","/"),"www.americanretailsupply.com/","")</f>
        <v>64945/239528/Slatbox-Displays/Slatbox-Dividers.html</v>
      </c>
      <c r="C1244" t="str">
        <f t="shared" si="38"/>
        <v>INSERT INTO url_rewrite (entity_type, entity_id, redirect_type, store_id, request_path, target_path) VALUES ('custom', 0, 301, 1,'64945/239528/Slatbox-Displays/Slatbox-Dividers.html',(SELECT CONCAT(url_path, '.html') FROM catalog_category_flat_store_1 WHERE entity_id=1209));</v>
      </c>
      <c r="D1244" t="str">
        <f t="shared" si="39"/>
        <v>UPDATE url_rewrite SET request_path = '64945/239528/Slatbox-Displays/Slatbox-Dividers.html' WHERE entity_type='custom' AND target_path=(SELECT CONCAT(url_path, '.html') FROM catalog_category_flat_store_1 WHERE entity_id=1209);</v>
      </c>
    </row>
    <row r="1245" spans="1:4" x14ac:dyDescent="0.25">
      <c r="A1245">
        <f>categories!B1245</f>
        <v>1210</v>
      </c>
      <c r="B1245" t="str">
        <f>SUBSTITUTE(SUBSTITUTE(categories!H1245,"\","/"),"www.americanretailsupply.com/","")</f>
        <v>64945/251992/Slatbox-Displays/Slatbox-Adaptors.html</v>
      </c>
      <c r="C1245" t="str">
        <f t="shared" si="38"/>
        <v>INSERT INTO url_rewrite (entity_type, entity_id, redirect_type, store_id, request_path, target_path) VALUES ('custom', 0, 301, 1,'64945/251992/Slatbox-Displays/Slatbox-Adaptors.html',(SELECT CONCAT(url_path, '.html') FROM catalog_category_flat_store_1 WHERE entity_id=1210));</v>
      </c>
      <c r="D1245" t="str">
        <f t="shared" si="39"/>
        <v>UPDATE url_rewrite SET request_path = '64945/251992/Slatbox-Displays/Slatbox-Adaptors.html' WHERE entity_type='custom' AND target_path=(SELECT CONCAT(url_path, '.html') FROM catalog_category_flat_store_1 WHERE entity_id=1210);</v>
      </c>
    </row>
    <row r="1246" spans="1:4" x14ac:dyDescent="0.25">
      <c r="A1246">
        <f>categories!B1246</f>
        <v>1211</v>
      </c>
      <c r="B1246" t="str">
        <f>SUBSTITUTE(SUBSTITUTE(categories!H1246,"\","/"),"www.americanretailsupply.com/","")</f>
        <v>64945/446212/Slatbox-Displays/Slatbox-Cratebox.html</v>
      </c>
      <c r="C1246" t="str">
        <f t="shared" si="38"/>
        <v>INSERT INTO url_rewrite (entity_type, entity_id, redirect_type, store_id, request_path, target_path) VALUES ('custom', 0, 301, 1,'64945/446212/Slatbox-Displays/Slatbox-Cratebox.html',(SELECT CONCAT(url_path, '.html') FROM catalog_category_flat_store_1 WHERE entity_id=1211));</v>
      </c>
      <c r="D1246" t="str">
        <f t="shared" si="39"/>
        <v>UPDATE url_rewrite SET request_path = '64945/446212/Slatbox-Displays/Slatbox-Cratebox.html' WHERE entity_type='custom' AND target_path=(SELECT CONCAT(url_path, '.html') FROM catalog_category_flat_store_1 WHERE entity_id=1211);</v>
      </c>
    </row>
    <row r="1247" spans="1:4" x14ac:dyDescent="0.25">
      <c r="A1247">
        <f>categories!B1247</f>
        <v>1212</v>
      </c>
      <c r="B1247" t="str">
        <f>SUBSTITUTE(SUBSTITUTE(categories!H1247,"\","/"),"www.americanretailsupply.com/","")</f>
        <v>64945/446213/Slatbox-Displays/Slatbox-Popbox.html</v>
      </c>
      <c r="C1247" t="str">
        <f t="shared" si="38"/>
        <v>INSERT INTO url_rewrite (entity_type, entity_id, redirect_type, store_id, request_path, target_path) VALUES ('custom', 0, 301, 1,'64945/446213/Slatbox-Displays/Slatbox-Popbox.html',(SELECT CONCAT(url_path, '.html') FROM catalog_category_flat_store_1 WHERE entity_id=1212));</v>
      </c>
      <c r="D1247" t="str">
        <f t="shared" si="39"/>
        <v>UPDATE url_rewrite SET request_path = '64945/446213/Slatbox-Displays/Slatbox-Popbox.html' WHERE entity_type='custom' AND target_path=(SELECT CONCAT(url_path, '.html') FROM catalog_category_flat_store_1 WHERE entity_id=1212);</v>
      </c>
    </row>
    <row r="1248" spans="1:4" x14ac:dyDescent="0.25">
      <c r="A1248">
        <f>categories!B1248</f>
        <v>1214</v>
      </c>
      <c r="B1248" t="str">
        <f>SUBSTITUTE(SUBSTITUTE(categories!H1248,"\","/"),"www.americanretailsupply.com/","")</f>
        <v>64946/787599/Slatwall-Free-Standing-Displays/Slatwall-Spinning-Display.html</v>
      </c>
      <c r="C1248" t="str">
        <f t="shared" si="38"/>
        <v>INSERT INTO url_rewrite (entity_type, entity_id, redirect_type, store_id, request_path, target_path) VALUES ('custom', 0, 301, 1,'64946/787599/Slatwall-Free-Standing-Displays/Slatwall-Spinning-Display.html',(SELECT CONCAT(url_path, '.html') FROM catalog_category_flat_store_1 WHERE entity_id=1214));</v>
      </c>
      <c r="D1248" t="str">
        <f t="shared" si="39"/>
        <v>UPDATE url_rewrite SET request_path = '64946/787599/Slatwall-Free-Standing-Displays/Slatwall-Spinning-Display.html' WHERE entity_type='custom' AND target_path=(SELECT CONCAT(url_path, '.html') FROM catalog_category_flat_store_1 WHERE entity_id=1214);</v>
      </c>
    </row>
    <row r="1249" spans="1:4" x14ac:dyDescent="0.25">
      <c r="A1249">
        <f>categories!B1249</f>
        <v>1216</v>
      </c>
      <c r="B1249" t="str">
        <f>SUBSTITUTE(SUBSTITUTE(categories!H1249,"\","/"),"www.americanretailsupply.com/","")</f>
        <v>64914/34304/Slatwall-FreeStanding-Displays/Slatwall-Ready-To-Assemble-Four-Sided-Slatwall-Display.html</v>
      </c>
      <c r="C1249" t="str">
        <f t="shared" si="38"/>
        <v>INSERT INTO url_rewrite (entity_type, entity_id, redirect_type, store_id, request_path, target_path) VALUES ('custom', 0, 301, 1,'64914/34304/Slatwall-FreeStanding-Displays/Slatwall-Ready-To-Assemble-Four-Sided-Slatwall-Display.html',(SELECT CONCAT(url_path, '.html') FROM catalog_category_flat_store_1 WHERE entity_id=1216));</v>
      </c>
      <c r="D1249" t="str">
        <f t="shared" si="39"/>
        <v>UPDATE url_rewrite SET request_path = '64914/34304/Slatwall-FreeStanding-Displays/Slatwall-Ready-To-Assemble-Four-Sided-Slatwall-Display.html' WHERE entity_type='custom' AND target_path=(SELECT CONCAT(url_path, '.html') FROM catalog_category_flat_store_1 WHERE entity_id=1216);</v>
      </c>
    </row>
    <row r="1250" spans="1:4" x14ac:dyDescent="0.25">
      <c r="A1250">
        <f>categories!B1250</f>
        <v>1217</v>
      </c>
      <c r="B1250" t="str">
        <f>SUBSTITUTE(SUBSTITUTE(categories!H1250,"\","/"),"www.americanretailsupply.com/","")</f>
        <v>64914/34307/Slatwall-FreeStanding-Displays/Slatwall-Ready-To-Assemble-H-Unit-Display.html</v>
      </c>
      <c r="C1250" t="str">
        <f t="shared" si="38"/>
        <v>INSERT INTO url_rewrite (entity_type, entity_id, redirect_type, store_id, request_path, target_path) VALUES ('custom', 0, 301, 1,'64914/34307/Slatwall-FreeStanding-Displays/Slatwall-Ready-To-Assemble-H-Unit-Display.html',(SELECT CONCAT(url_path, '.html') FROM catalog_category_flat_store_1 WHERE entity_id=1217));</v>
      </c>
      <c r="D1250" t="str">
        <f t="shared" si="39"/>
        <v>UPDATE url_rewrite SET request_path = '64914/34307/Slatwall-FreeStanding-Displays/Slatwall-Ready-To-Assemble-H-Unit-Display.html' WHERE entity_type='custom' AND target_path=(SELECT CONCAT(url_path, '.html') FROM catalog_category_flat_store_1 WHERE entity_id=1217);</v>
      </c>
    </row>
    <row r="1251" spans="1:4" x14ac:dyDescent="0.25">
      <c r="A1251">
        <f>categories!B1251</f>
        <v>1218</v>
      </c>
      <c r="B1251" t="str">
        <f>SUBSTITUTE(SUBSTITUTE(categories!H1251,"\","/"),"www.americanretailsupply.com/","")</f>
        <v>64914/34308/Slatwall-FreeStanding-Displays/Slatwall-Ready-To-Assemble-4-Sided-Tower.html</v>
      </c>
      <c r="C1251" t="str">
        <f t="shared" si="38"/>
        <v>INSERT INTO url_rewrite (entity_type, entity_id, redirect_type, store_id, request_path, target_path) VALUES ('custom', 0, 301, 1,'64914/34308/Slatwall-FreeStanding-Displays/Slatwall-Ready-To-Assemble-4-Sided-Tower.html',(SELECT CONCAT(url_path, '.html') FROM catalog_category_flat_store_1 WHERE entity_id=1218));</v>
      </c>
      <c r="D1251" t="str">
        <f t="shared" si="39"/>
        <v>UPDATE url_rewrite SET request_path = '64914/34308/Slatwall-FreeStanding-Displays/Slatwall-Ready-To-Assemble-4-Sided-Tower.html' WHERE entity_type='custom' AND target_path=(SELECT CONCAT(url_path, '.html') FROM catalog_category_flat_store_1 WHERE entity_id=1218);</v>
      </c>
    </row>
    <row r="1252" spans="1:4" x14ac:dyDescent="0.25">
      <c r="A1252">
        <f>categories!B1252</f>
        <v>1219</v>
      </c>
      <c r="B1252" t="str">
        <f>SUBSTITUTE(SUBSTITUTE(categories!H1252,"\","/"),"www.americanretailsupply.com/","")</f>
        <v>64914/37299/Slatwall-FreeStanding-Displays/Slatwall-Ready-To-Assemble-Gondola.html</v>
      </c>
      <c r="C1252" t="str">
        <f t="shared" si="38"/>
        <v>INSERT INTO url_rewrite (entity_type, entity_id, redirect_type, store_id, request_path, target_path) VALUES ('custom', 0, 301, 1,'64914/37299/Slatwall-FreeStanding-Displays/Slatwall-Ready-To-Assemble-Gondola.html',(SELECT CONCAT(url_path, '.html') FROM catalog_category_flat_store_1 WHERE entity_id=1219));</v>
      </c>
      <c r="D1252" t="str">
        <f t="shared" si="39"/>
        <v>UPDATE url_rewrite SET request_path = '64914/37299/Slatwall-FreeStanding-Displays/Slatwall-Ready-To-Assemble-Gondola.html' WHERE entity_type='custom' AND target_path=(SELECT CONCAT(url_path, '.html') FROM catalog_category_flat_store_1 WHERE entity_id=1219);</v>
      </c>
    </row>
    <row r="1253" spans="1:4" x14ac:dyDescent="0.25">
      <c r="A1253">
        <f>categories!B1253</f>
        <v>1220</v>
      </c>
      <c r="B1253" t="str">
        <f>SUBSTITUTE(SUBSTITUTE(categories!H1253,"\","/"),"www.americanretailsupply.com/","")</f>
        <v>64914/759411/Slatwall-FreeStanding-Displays/Slatwall-Spinning-Countertop-Display.html</v>
      </c>
      <c r="C1253" t="str">
        <f t="shared" si="38"/>
        <v>INSERT INTO url_rewrite (entity_type, entity_id, redirect_type, store_id, request_path, target_path) VALUES ('custom', 0, 301, 1,'64914/759411/Slatwall-FreeStanding-Displays/Slatwall-Spinning-Countertop-Display.html',(SELECT CONCAT(url_path, '.html') FROM catalog_category_flat_store_1 WHERE entity_id=1220));</v>
      </c>
      <c r="D1253" t="str">
        <f t="shared" si="39"/>
        <v>UPDATE url_rewrite SET request_path = '64914/759411/Slatwall-FreeStanding-Displays/Slatwall-Spinning-Countertop-Display.html' WHERE entity_type='custom' AND target_path=(SELECT CONCAT(url_path, '.html') FROM catalog_category_flat_store_1 WHERE entity_id=1220);</v>
      </c>
    </row>
    <row r="1254" spans="1:4" x14ac:dyDescent="0.25">
      <c r="A1254">
        <f>categories!B1254</f>
        <v>1222</v>
      </c>
      <c r="B1254" t="str">
        <f>SUBSTITUTE(SUBSTITUTE(categories!H1254,"\","/"),"www.americanretailsupply.com/","")</f>
        <v>64942/762388/Slatwall-Panels--Inserts/Textured-Slatwall-Panels.html</v>
      </c>
      <c r="C1254" t="str">
        <f t="shared" si="38"/>
        <v>INSERT INTO url_rewrite (entity_type, entity_id, redirect_type, store_id, request_path, target_path) VALUES ('custom', 0, 301, 1,'64942/762388/Slatwall-Panels--Inserts/Textured-Slatwall-Panels.html',(SELECT CONCAT(url_path, '.html') FROM catalog_category_flat_store_1 WHERE entity_id=1222));</v>
      </c>
      <c r="D1254" t="str">
        <f t="shared" si="39"/>
        <v>UPDATE url_rewrite SET request_path = '64942/762388/Slatwall-Panels--Inserts/Textured-Slatwall-Panels.html' WHERE entity_type='custom' AND target_path=(SELECT CONCAT(url_path, '.html') FROM catalog_category_flat_store_1 WHERE entity_id=1222);</v>
      </c>
    </row>
    <row r="1255" spans="1:4" x14ac:dyDescent="0.25">
      <c r="A1255">
        <f>categories!B1255</f>
        <v>1224</v>
      </c>
      <c r="B1255" t="str">
        <f>SUBSTITUTE(SUBSTITUTE(categories!H1255,"\","/"),"www.americanretailsupply.com/","")</f>
        <v>64737/19670/Star-Prenotched-Bows-Ribbon/Star-Bows.html</v>
      </c>
      <c r="C1255" t="str">
        <f t="shared" si="38"/>
        <v>INSERT INTO url_rewrite (entity_type, entity_id, redirect_type, store_id, request_path, target_path) VALUES ('custom', 0, 301, 1,'64737/19670/Star-Prenotched-Bows-Ribbon/Star-Bows.html',(SELECT CONCAT(url_path, '.html') FROM catalog_category_flat_store_1 WHERE entity_id=1224));</v>
      </c>
      <c r="D1255" t="str">
        <f t="shared" si="39"/>
        <v>UPDATE url_rewrite SET request_path = '64737/19670/Star-Prenotched-Bows-Ribbon/Star-Bows.html' WHERE entity_type='custom' AND target_path=(SELECT CONCAT(url_path, '.html') FROM catalog_category_flat_store_1 WHERE entity_id=1224);</v>
      </c>
    </row>
    <row r="1256" spans="1:4" x14ac:dyDescent="0.25">
      <c r="A1256">
        <f>categories!B1256</f>
        <v>1225</v>
      </c>
      <c r="B1256" t="str">
        <f>SUBSTITUTE(SUBSTITUTE(categories!H1256,"\","/"),"www.americanretailsupply.com/","")</f>
        <v>64737/19770/Star-Prenotched-Bows-Ribbon/Pull-Out-Pre--Notch-Bows.html</v>
      </c>
      <c r="C1256" t="str">
        <f t="shared" si="38"/>
        <v>INSERT INTO url_rewrite (entity_type, entity_id, redirect_type, store_id, request_path, target_path) VALUES ('custom', 0, 301, 1,'64737/19770/Star-Prenotched-Bows-Ribbon/Pull-Out-Pre--Notch-Bows.html',(SELECT CONCAT(url_path, '.html') FROM catalog_category_flat_store_1 WHERE entity_id=1225));</v>
      </c>
      <c r="D1256" t="str">
        <f t="shared" si="39"/>
        <v>UPDATE url_rewrite SET request_path = '64737/19770/Star-Prenotched-Bows-Ribbon/Pull-Out-Pre--Notch-Bows.html' WHERE entity_type='custom' AND target_path=(SELECT CONCAT(url_path, '.html') FROM catalog_category_flat_store_1 WHERE entity_id=1225);</v>
      </c>
    </row>
    <row r="1257" spans="1:4" x14ac:dyDescent="0.25">
      <c r="A1257">
        <f>categories!B1257</f>
        <v>1226</v>
      </c>
      <c r="B1257" t="str">
        <f>SUBSTITUTE(SUBSTITUTE(categories!H1257,"\","/"),"www.americanretailsupply.com/","")</f>
        <v>64737/19861/Star-Prenotched-Bows-Ribbon/Splendorette-Ribbon.html</v>
      </c>
      <c r="C1257" t="str">
        <f t="shared" si="38"/>
        <v>INSERT INTO url_rewrite (entity_type, entity_id, redirect_type, store_id, request_path, target_path) VALUES ('custom', 0, 301, 1,'64737/19861/Star-Prenotched-Bows-Ribbon/Splendorette-Ribbon.html',(SELECT CONCAT(url_path, '.html') FROM catalog_category_flat_store_1 WHERE entity_id=1226));</v>
      </c>
      <c r="D1257" t="str">
        <f t="shared" si="39"/>
        <v>UPDATE url_rewrite SET request_path = '64737/19861/Star-Prenotched-Bows-Ribbon/Splendorette-Ribbon.html' WHERE entity_type='custom' AND target_path=(SELECT CONCAT(url_path, '.html') FROM catalog_category_flat_store_1 WHERE entity_id=1226);</v>
      </c>
    </row>
    <row r="1258" spans="1:4" x14ac:dyDescent="0.25">
      <c r="A1258">
        <f>categories!B1258</f>
        <v>1228</v>
      </c>
      <c r="B1258" t="str">
        <f>SUBSTITUTE(SUBSTITUTE(categories!H1258,"\","/"),"www.americanretailsupply.com/","")</f>
        <v>64851/36430/Steamers/J-2-Standard-Duty-Steamer.html</v>
      </c>
      <c r="C1258" t="str">
        <f t="shared" si="38"/>
        <v>INSERT INTO url_rewrite (entity_type, entity_id, redirect_type, store_id, request_path, target_path) VALUES ('custom', 0, 301, 1,'64851/36430/Steamers/J-2-Standard-Duty-Steamer.html',(SELECT CONCAT(url_path, '.html') FROM catalog_category_flat_store_1 WHERE entity_id=1228));</v>
      </c>
      <c r="D1258" t="str">
        <f t="shared" si="39"/>
        <v>UPDATE url_rewrite SET request_path = '64851/36430/Steamers/J-2-Standard-Duty-Steamer.html' WHERE entity_type='custom' AND target_path=(SELECT CONCAT(url_path, '.html') FROM catalog_category_flat_store_1 WHERE entity_id=1228);</v>
      </c>
    </row>
    <row r="1259" spans="1:4" x14ac:dyDescent="0.25">
      <c r="A1259">
        <f>categories!B1259</f>
        <v>1229</v>
      </c>
      <c r="B1259" t="str">
        <f>SUBSTITUTE(SUBSTITUTE(categories!H1259,"\","/"),"www.americanretailsupply.com/","")</f>
        <v>64851/36431/Steamers/J-4000-Heavy-Duty-Commercial-Steamer.html</v>
      </c>
      <c r="C1259" t="str">
        <f t="shared" si="38"/>
        <v>INSERT INTO url_rewrite (entity_type, entity_id, redirect_type, store_id, request_path, target_path) VALUES ('custom', 0, 301, 1,'64851/36431/Steamers/J-4000-Heavy-Duty-Commercial-Steamer.html',(SELECT CONCAT(url_path, '.html') FROM catalog_category_flat_store_1 WHERE entity_id=1229));</v>
      </c>
      <c r="D1259" t="str">
        <f t="shared" si="39"/>
        <v>UPDATE url_rewrite SET request_path = '64851/36431/Steamers/J-4000-Heavy-Duty-Commercial-Steamer.html' WHERE entity_type='custom' AND target_path=(SELECT CONCAT(url_path, '.html') FROM catalog_category_flat_store_1 WHERE entity_id=1229);</v>
      </c>
    </row>
    <row r="1260" spans="1:4" x14ac:dyDescent="0.25">
      <c r="A1260">
        <f>categories!B1260</f>
        <v>1230</v>
      </c>
      <c r="B1260" t="str">
        <f>SUBSTITUTE(SUBSTITUTE(categories!H1260,"\","/"),"www.americanretailsupply.com/","")</f>
        <v>64851/223605/Steamers/Jiffy-Steamer-Liquid-Cleaner.html</v>
      </c>
      <c r="C1260" t="str">
        <f t="shared" si="38"/>
        <v>INSERT INTO url_rewrite (entity_type, entity_id, redirect_type, store_id, request_path, target_path) VALUES ('custom', 0, 301, 1,'64851/223605/Steamers/Jiffy-Steamer-Liquid-Cleaner.html',(SELECT CONCAT(url_path, '.html') FROM catalog_category_flat_store_1 WHERE entity_id=1230));</v>
      </c>
      <c r="D1260" t="str">
        <f t="shared" si="39"/>
        <v>UPDATE url_rewrite SET request_path = '64851/223605/Steamers/Jiffy-Steamer-Liquid-Cleaner.html' WHERE entity_type='custom' AND target_path=(SELECT CONCAT(url_path, '.html') FROM catalog_category_flat_store_1 WHERE entity_id=1230);</v>
      </c>
    </row>
    <row r="1261" spans="1:4" x14ac:dyDescent="0.25">
      <c r="A1261">
        <f>categories!B1261</f>
        <v>1231</v>
      </c>
      <c r="B1261" t="str">
        <f>SUBSTITUTE(SUBSTITUTE(categories!H1261,"\","/"),"www.americanretailsupply.com/","")</f>
        <v>64851/435378/Steamers/G-4-Standard-Duty-Steamer.html</v>
      </c>
      <c r="C1261" t="str">
        <f t="shared" si="38"/>
        <v>INSERT INTO url_rewrite (entity_type, entity_id, redirect_type, store_id, request_path, target_path) VALUES ('custom', 0, 301, 1,'64851/435378/Steamers/G-4-Standard-Duty-Steamer.html',(SELECT CONCAT(url_path, '.html') FROM catalog_category_flat_store_1 WHERE entity_id=1231));</v>
      </c>
      <c r="D1261" t="str">
        <f t="shared" si="39"/>
        <v>UPDATE url_rewrite SET request_path = '64851/435378/Steamers/G-4-Standard-Duty-Steamer.html' WHERE entity_type='custom' AND target_path=(SELECT CONCAT(url_path, '.html') FROM catalog_category_flat_store_1 WHERE entity_id=1231);</v>
      </c>
    </row>
    <row r="1262" spans="1:4" x14ac:dyDescent="0.25">
      <c r="A1262">
        <f>categories!B1262</f>
        <v>1232</v>
      </c>
      <c r="B1262" t="str">
        <f>SUBSTITUTE(SUBSTITUTE(categories!H1262,"\","/"),"www.americanretailsupply.com/","")</f>
        <v>64851/784084/Steamers/Steamer-Replacement-Parts.html</v>
      </c>
      <c r="C1262" t="str">
        <f t="shared" si="38"/>
        <v>INSERT INTO url_rewrite (entity_type, entity_id, redirect_type, store_id, request_path, target_path) VALUES ('custom', 0, 301, 1,'64851/784084/Steamers/Steamer-Replacement-Parts.html',(SELECT CONCAT(url_path, '.html') FROM catalog_category_flat_store_1 WHERE entity_id=1232));</v>
      </c>
      <c r="D1262" t="str">
        <f t="shared" si="39"/>
        <v>UPDATE url_rewrite SET request_path = '64851/784084/Steamers/Steamer-Replacement-Parts.html' WHERE entity_type='custom' AND target_path=(SELECT CONCAT(url_path, '.html') FROM catalog_category_flat_store_1 WHERE entity_id=1232);</v>
      </c>
    </row>
    <row r="1263" spans="1:4" x14ac:dyDescent="0.25">
      <c r="A1263">
        <f>categories!B1263</f>
        <v>1233</v>
      </c>
      <c r="B1263" t="str">
        <f>SUBSTITUTE(SUBSTITUTE(categories!H1263,"\","/"),"www.americanretailsupply.com/","")</f>
        <v>64851/788322/Steamers/Hat-Steamer--Model-J--4000H.html</v>
      </c>
      <c r="C1263" t="str">
        <f t="shared" si="38"/>
        <v>INSERT INTO url_rewrite (entity_type, entity_id, redirect_type, store_id, request_path, target_path) VALUES ('custom', 0, 301, 1,'64851/788322/Steamers/Hat-Steamer--Model-J--4000H.html',(SELECT CONCAT(url_path, '.html') FROM catalog_category_flat_store_1 WHERE entity_id=1233));</v>
      </c>
      <c r="D1263" t="str">
        <f t="shared" si="39"/>
        <v>UPDATE url_rewrite SET request_path = '64851/788322/Steamers/Hat-Steamer--Model-J--4000H.html' WHERE entity_type='custom' AND target_path=(SELECT CONCAT(url_path, '.html') FROM catalog_category_flat_store_1 WHERE entity_id=1233);</v>
      </c>
    </row>
    <row r="1264" spans="1:4" x14ac:dyDescent="0.25">
      <c r="A1264">
        <f>categories!B1264</f>
        <v>1234</v>
      </c>
      <c r="B1264" t="str">
        <f>SUBSTITUTE(SUBSTITUTE(categories!H1264,"\","/"),"www.americanretailsupply.com/","")</f>
        <v>64851/788323/Steamers/Hat-SteamerModel-J1.html</v>
      </c>
      <c r="C1264" t="str">
        <f t="shared" si="38"/>
        <v>INSERT INTO url_rewrite (entity_type, entity_id, redirect_type, store_id, request_path, target_path) VALUES ('custom', 0, 301, 1,'64851/788323/Steamers/Hat-SteamerModel-J1.html',(SELECT CONCAT(url_path, '.html') FROM catalog_category_flat_store_1 WHERE entity_id=1234));</v>
      </c>
      <c r="D1264" t="str">
        <f t="shared" si="39"/>
        <v>UPDATE url_rewrite SET request_path = '64851/788323/Steamers/Hat-SteamerModel-J1.html' WHERE entity_type='custom' AND target_path=(SELECT CONCAT(url_path, '.html') FROM catalog_category_flat_store_1 WHERE entity_id=1234);</v>
      </c>
    </row>
    <row r="1265" spans="1:4" x14ac:dyDescent="0.25">
      <c r="A1265">
        <f>categories!B1265</f>
        <v>1236</v>
      </c>
      <c r="B1265" t="str">
        <f>SUBSTITUTE(SUBSTITUTE(categories!H1265,"\","/"),"www.americanretailsupply.com/","")</f>
        <v>64741/19919/Stretch-Loops--Cord/Stretch-Loops.html</v>
      </c>
      <c r="C1265" t="str">
        <f t="shared" si="38"/>
        <v>INSERT INTO url_rewrite (entity_type, entity_id, redirect_type, store_id, request_path, target_path) VALUES ('custom', 0, 301, 1,'64741/19919/Stretch-Loops--Cord/Stretch-Loops.html',(SELECT CONCAT(url_path, '.html') FROM catalog_category_flat_store_1 WHERE entity_id=1236));</v>
      </c>
      <c r="D1265" t="str">
        <f t="shared" si="39"/>
        <v>UPDATE url_rewrite SET request_path = '64741/19919/Stretch-Loops--Cord/Stretch-Loops.html' WHERE entity_type='custom' AND target_path=(SELECT CONCAT(url_path, '.html') FROM catalog_category_flat_store_1 WHERE entity_id=1236);</v>
      </c>
    </row>
    <row r="1266" spans="1:4" x14ac:dyDescent="0.25">
      <c r="A1266">
        <f>categories!B1266</f>
        <v>1237</v>
      </c>
      <c r="B1266" t="str">
        <f>SUBSTITUTE(SUBSTITUTE(categories!H1266,"\","/"),"www.americanretailsupply.com/","")</f>
        <v>64741/19921/Stretch-Loops--Cord/Tinsel-Cord.html</v>
      </c>
      <c r="C1266" t="str">
        <f t="shared" si="38"/>
        <v>INSERT INTO url_rewrite (entity_type, entity_id, redirect_type, store_id, request_path, target_path) VALUES ('custom', 0, 301, 1,'64741/19921/Stretch-Loops--Cord/Tinsel-Cord.html',(SELECT CONCAT(url_path, '.html') FROM catalog_category_flat_store_1 WHERE entity_id=1237));</v>
      </c>
      <c r="D1266" t="str">
        <f t="shared" si="39"/>
        <v>UPDATE url_rewrite SET request_path = '64741/19921/Stretch-Loops--Cord/Tinsel-Cord.html' WHERE entity_type='custom' AND target_path=(SELECT CONCAT(url_path, '.html') FROM catalog_category_flat_store_1 WHERE entity_id=1237);</v>
      </c>
    </row>
    <row r="1267" spans="1:4" x14ac:dyDescent="0.25">
      <c r="A1267">
        <f>categories!B1267</f>
        <v>1238</v>
      </c>
      <c r="B1267" t="str">
        <f>SUBSTITUTE(SUBSTITUTE(categories!H1267,"\","/"),"www.americanretailsupply.com/","")</f>
        <v>64741/172809/Stretch-Loops--Cord/Cleopatra-Cord.html</v>
      </c>
      <c r="C1267" t="str">
        <f t="shared" si="38"/>
        <v>INSERT INTO url_rewrite (entity_type, entity_id, redirect_type, store_id, request_path, target_path) VALUES ('custom', 0, 301, 1,'64741/172809/Stretch-Loops--Cord/Cleopatra-Cord.html',(SELECT CONCAT(url_path, '.html') FROM catalog_category_flat_store_1 WHERE entity_id=1238));</v>
      </c>
      <c r="D1267" t="str">
        <f t="shared" si="39"/>
        <v>UPDATE url_rewrite SET request_path = '64741/172809/Stretch-Loops--Cord/Cleopatra-Cord.html' WHERE entity_type='custom' AND target_path=(SELECT CONCAT(url_path, '.html') FROM catalog_category_flat_store_1 WHERE entity_id=1238);</v>
      </c>
    </row>
    <row r="1268" spans="1:4" x14ac:dyDescent="0.25">
      <c r="A1268">
        <f>categories!B1268</f>
        <v>1240</v>
      </c>
      <c r="B1268" t="str">
        <f>SUBSTITUTE(SUBSTITUTE(categories!H1268,"\","/"),"www.americanretailsupply.com/","")</f>
        <v>64866/48218/Stretch-Wrap/Stretch-Wrap-Hand-Dispenser.html</v>
      </c>
      <c r="C1268" t="str">
        <f t="shared" si="38"/>
        <v>INSERT INTO url_rewrite (entity_type, entity_id, redirect_type, store_id, request_path, target_path) VALUES ('custom', 0, 301, 1,'64866/48218/Stretch-Wrap/Stretch-Wrap-Hand-Dispenser.html',(SELECT CONCAT(url_path, '.html') FROM catalog_category_flat_store_1 WHERE entity_id=1240));</v>
      </c>
      <c r="D1268" t="str">
        <f t="shared" si="39"/>
        <v>UPDATE url_rewrite SET request_path = '64866/48218/Stretch-Wrap/Stretch-Wrap-Hand-Dispenser.html' WHERE entity_type='custom' AND target_path=(SELECT CONCAT(url_path, '.html') FROM catalog_category_flat_store_1 WHERE entity_id=1240);</v>
      </c>
    </row>
    <row r="1269" spans="1:4" x14ac:dyDescent="0.25">
      <c r="A1269">
        <f>categories!B1269</f>
        <v>1241</v>
      </c>
      <c r="B1269" t="str">
        <f>SUBSTITUTE(SUBSTITUTE(categories!H1269,"\","/"),"www.americanretailsupply.com/","")</f>
        <v>64866/48219/Stretch-Wrap/Stretch-Wrap-Clear-Film.html</v>
      </c>
      <c r="C1269" t="str">
        <f t="shared" si="38"/>
        <v>INSERT INTO url_rewrite (entity_type, entity_id, redirect_type, store_id, request_path, target_path) VALUES ('custom', 0, 301, 1,'64866/48219/Stretch-Wrap/Stretch-Wrap-Clear-Film.html',(SELECT CONCAT(url_path, '.html') FROM catalog_category_flat_store_1 WHERE entity_id=1241));</v>
      </c>
      <c r="D1269" t="str">
        <f t="shared" si="39"/>
        <v>UPDATE url_rewrite SET request_path = '64866/48219/Stretch-Wrap/Stretch-Wrap-Clear-Film.html' WHERE entity_type='custom' AND target_path=(SELECT CONCAT(url_path, '.html') FROM catalog_category_flat_store_1 WHERE entity_id=1241);</v>
      </c>
    </row>
    <row r="1270" spans="1:4" x14ac:dyDescent="0.25">
      <c r="A1270">
        <f>categories!B1270</f>
        <v>1242</v>
      </c>
      <c r="B1270" t="str">
        <f>SUBSTITUTE(SUBSTITUTE(categories!H1270,"\","/"),"www.americanretailsupply.com/","")</f>
        <v>25471/36443/Suit-Dress-Blouse--Shirt-Forms/Mens-Suit-and-Shirt-Forms.html</v>
      </c>
      <c r="C1270" t="str">
        <f t="shared" si="38"/>
        <v>INSERT INTO url_rewrite (entity_type, entity_id, redirect_type, store_id, request_path, target_path) VALUES ('custom', 0, 301, 1,'25471/36443/Suit-Dress-Blouse--Shirt-Forms/Mens-Suit-and-Shirt-Forms.html',(SELECT CONCAT(url_path, '.html') FROM catalog_category_flat_store_1 WHERE entity_id=1242));</v>
      </c>
      <c r="D1270" t="str">
        <f t="shared" si="39"/>
        <v>UPDATE url_rewrite SET request_path = '25471/36443/Suit-Dress-Blouse--Shirt-Forms/Mens-Suit-and-Shirt-Forms.html' WHERE entity_type='custom' AND target_path=(SELECT CONCAT(url_path, '.html') FROM catalog_category_flat_store_1 WHERE entity_id=1242);</v>
      </c>
    </row>
    <row r="1271" spans="1:4" x14ac:dyDescent="0.25">
      <c r="A1271">
        <f>categories!B1271</f>
        <v>1244</v>
      </c>
      <c r="B1271" t="str">
        <f>SUBSTITUTE(SUBSTITUTE(categories!H1271,"\","/"),"www.americanretailsupply.com/","")</f>
        <v>65152/756600/Suit-Dress-Forms/Womens-Dress--Blouse-Form-with-Metal-Base.html</v>
      </c>
      <c r="C1271" t="str">
        <f t="shared" si="38"/>
        <v>INSERT INTO url_rewrite (entity_type, entity_id, redirect_type, store_id, request_path, target_path) VALUES ('custom', 0, 301, 1,'65152/756600/Suit-Dress-Forms/Womens-Dress--Blouse-Form-with-Metal-Base.html',(SELECT CONCAT(url_path, '.html') FROM catalog_category_flat_store_1 WHERE entity_id=1244));</v>
      </c>
      <c r="D1271" t="str">
        <f t="shared" si="39"/>
        <v>UPDATE url_rewrite SET request_path = '65152/756600/Suit-Dress-Forms/Womens-Dress--Blouse-Form-with-Metal-Base.html' WHERE entity_type='custom' AND target_path=(SELECT CONCAT(url_path, '.html') FROM catalog_category_flat_store_1 WHERE entity_id=1244);</v>
      </c>
    </row>
    <row r="1272" spans="1:4" x14ac:dyDescent="0.25">
      <c r="A1272">
        <f>categories!B1272</f>
        <v>1245</v>
      </c>
      <c r="B1272" t="str">
        <f>SUBSTITUTE(SUBSTITUTE(categories!H1272,"\","/"),"www.americanretailsupply.com/","")</f>
        <v>65152/756601/Suit-Dress-Forms/Mens-Suit--Shirt-Form-with-Metal-Base.html</v>
      </c>
      <c r="C1272" t="str">
        <f t="shared" si="38"/>
        <v>INSERT INTO url_rewrite (entity_type, entity_id, redirect_type, store_id, request_path, target_path) VALUES ('custom', 0, 301, 1,'65152/756601/Suit-Dress-Forms/Mens-Suit--Shirt-Form-with-Metal-Base.html',(SELECT CONCAT(url_path, '.html') FROM catalog_category_flat_store_1 WHERE entity_id=1245));</v>
      </c>
      <c r="D1272" t="str">
        <f t="shared" si="39"/>
        <v>UPDATE url_rewrite SET request_path = '65152/756601/Suit-Dress-Forms/Mens-Suit--Shirt-Form-with-Metal-Base.html' WHERE entity_type='custom' AND target_path=(SELECT CONCAT(url_path, '.html') FROM catalog_category_flat_store_1 WHERE entity_id=1245);</v>
      </c>
    </row>
    <row r="1273" spans="1:4" x14ac:dyDescent="0.25">
      <c r="A1273">
        <f>categories!B1273</f>
        <v>1247</v>
      </c>
      <c r="B1273" t="str">
        <f>SUBSTITUTE(SUBSTITUTE(categories!H1273,"\","/"),"www.americanretailsupply.com/","")</f>
        <v>64719/50116/Sullivan-GiftWrap/Ethnic-Animal-Prints--Classics-Giftwrap.html</v>
      </c>
      <c r="C1273" t="str">
        <f t="shared" si="38"/>
        <v>INSERT INTO url_rewrite (entity_type, entity_id, redirect_type, store_id, request_path, target_path) VALUES ('custom', 0, 301, 1,'64719/50116/Sullivan-GiftWrap/Ethnic-Animal-Prints--Classics-Giftwrap.html',(SELECT CONCAT(url_path, '.html') FROM catalog_category_flat_store_1 WHERE entity_id=1247));</v>
      </c>
      <c r="D1273" t="str">
        <f t="shared" si="39"/>
        <v>UPDATE url_rewrite SET request_path = '64719/50116/Sullivan-GiftWrap/Ethnic-Animal-Prints--Classics-Giftwrap.html' WHERE entity_type='custom' AND target_path=(SELECT CONCAT(url_path, '.html') FROM catalog_category_flat_store_1 WHERE entity_id=1247);</v>
      </c>
    </row>
    <row r="1274" spans="1:4" x14ac:dyDescent="0.25">
      <c r="A1274">
        <f>categories!B1274</f>
        <v>1248</v>
      </c>
      <c r="B1274" t="str">
        <f>SUBSTITUTE(SUBSTITUTE(categories!H1274,"\","/"),"www.americanretailsupply.com/","")</f>
        <v>64719/50846/Sullivan-GiftWrap/Florentines-Florals-Fruits--Tapestries-Giftwrap-1.html</v>
      </c>
      <c r="C1274" t="str">
        <f t="shared" si="38"/>
        <v>INSERT INTO url_rewrite (entity_type, entity_id, redirect_type, store_id, request_path, target_path) VALUES ('custom', 0, 301, 1,'64719/50846/Sullivan-GiftWrap/Florentines-Florals-Fruits--Tapestries-Giftwrap-1.html',(SELECT CONCAT(url_path, '.html') FROM catalog_category_flat_store_1 WHERE entity_id=1248));</v>
      </c>
      <c r="D1274" t="str">
        <f t="shared" si="39"/>
        <v>UPDATE url_rewrite SET request_path = '64719/50846/Sullivan-GiftWrap/Florentines-Florals-Fruits--Tapestries-Giftwrap-1.html' WHERE entity_type='custom' AND target_path=(SELECT CONCAT(url_path, '.html') FROM catalog_category_flat_store_1 WHERE entity_id=1248);</v>
      </c>
    </row>
    <row r="1275" spans="1:4" x14ac:dyDescent="0.25">
      <c r="A1275">
        <f>categories!B1275</f>
        <v>1249</v>
      </c>
      <c r="B1275" t="str">
        <f>SUBSTITUTE(SUBSTITUTE(categories!H1275,"\","/"),"www.americanretailsupply.com/","")</f>
        <v>64719/51636/Sullivan-GiftWrap/Florentines-Florals-Fruits--Tapestries-Gift-Wrap-2.html</v>
      </c>
      <c r="C1275" t="str">
        <f t="shared" si="38"/>
        <v>INSERT INTO url_rewrite (entity_type, entity_id, redirect_type, store_id, request_path, target_path) VALUES ('custom', 0, 301, 1,'64719/51636/Sullivan-GiftWrap/Florentines-Florals-Fruits--Tapestries-Gift-Wrap-2.html',(SELECT CONCAT(url_path, '.html') FROM catalog_category_flat_store_1 WHERE entity_id=1249));</v>
      </c>
      <c r="D1275" t="str">
        <f t="shared" si="39"/>
        <v>UPDATE url_rewrite SET request_path = '64719/51636/Sullivan-GiftWrap/Florentines-Florals-Fruits--Tapestries-Gift-Wrap-2.html' WHERE entity_type='custom' AND target_path=(SELECT CONCAT(url_path, '.html') FROM catalog_category_flat_store_1 WHERE entity_id=1249);</v>
      </c>
    </row>
    <row r="1276" spans="1:4" x14ac:dyDescent="0.25">
      <c r="A1276">
        <f>categories!B1276</f>
        <v>1250</v>
      </c>
      <c r="B1276" t="str">
        <f>SUBSTITUTE(SUBSTITUTE(categories!H1276,"\","/"),"www.americanretailsupply.com/","")</f>
        <v>64719/51688/Sullivan-GiftWrap/Wedding--Shower.html</v>
      </c>
      <c r="C1276" t="str">
        <f t="shared" si="38"/>
        <v>INSERT INTO url_rewrite (entity_type, entity_id, redirect_type, store_id, request_path, target_path) VALUES ('custom', 0, 301, 1,'64719/51688/Sullivan-GiftWrap/Wedding--Shower.html',(SELECT CONCAT(url_path, '.html') FROM catalog_category_flat_store_1 WHERE entity_id=1250));</v>
      </c>
      <c r="D1276" t="str">
        <f t="shared" si="39"/>
        <v>UPDATE url_rewrite SET request_path = '64719/51688/Sullivan-GiftWrap/Wedding--Shower.html' WHERE entity_type='custom' AND target_path=(SELECT CONCAT(url_path, '.html') FROM catalog_category_flat_store_1 WHERE entity_id=1250);</v>
      </c>
    </row>
    <row r="1277" spans="1:4" x14ac:dyDescent="0.25">
      <c r="A1277">
        <f>categories!B1277</f>
        <v>1251</v>
      </c>
      <c r="B1277" t="str">
        <f>SUBSTITUTE(SUBSTITUTE(categories!H1277,"\","/"),"www.americanretailsupply.com/","")</f>
        <v>64719/51689/Sullivan-GiftWrap/Valentines-Day-Giftwrap.html</v>
      </c>
      <c r="C1277" t="str">
        <f t="shared" si="38"/>
        <v>INSERT INTO url_rewrite (entity_type, entity_id, redirect_type, store_id, request_path, target_path) VALUES ('custom', 0, 301, 1,'64719/51689/Sullivan-GiftWrap/Valentines-Day-Giftwrap.html',(SELECT CONCAT(url_path, '.html') FROM catalog_category_flat_store_1 WHERE entity_id=1251));</v>
      </c>
      <c r="D1277" t="str">
        <f t="shared" si="39"/>
        <v>UPDATE url_rewrite SET request_path = '64719/51689/Sullivan-GiftWrap/Valentines-Day-Giftwrap.html' WHERE entity_type='custom' AND target_path=(SELECT CONCAT(url_path, '.html') FROM catalog_category_flat_store_1 WHERE entity_id=1251);</v>
      </c>
    </row>
    <row r="1278" spans="1:4" x14ac:dyDescent="0.25">
      <c r="A1278">
        <f>categories!B1278</f>
        <v>1252</v>
      </c>
      <c r="B1278" t="str">
        <f>SUBSTITUTE(SUBSTITUTE(categories!H1278,"\","/"),"www.americanretailsupply.com/","")</f>
        <v>64719/51720/Sullivan-GiftWrap/Foils-Metallics-and-Pearlescents-Giftwrap.html</v>
      </c>
      <c r="C1278" t="str">
        <f t="shared" si="38"/>
        <v>INSERT INTO url_rewrite (entity_type, entity_id, redirect_type, store_id, request_path, target_path) VALUES ('custom', 0, 301, 1,'64719/51720/Sullivan-GiftWrap/Foils-Metallics-and-Pearlescents-Giftwrap.html',(SELECT CONCAT(url_path, '.html') FROM catalog_category_flat_store_1 WHERE entity_id=1252));</v>
      </c>
      <c r="D1278" t="str">
        <f t="shared" si="39"/>
        <v>UPDATE url_rewrite SET request_path = '64719/51720/Sullivan-GiftWrap/Foils-Metallics-and-Pearlescents-Giftwrap.html' WHERE entity_type='custom' AND target_path=(SELECT CONCAT(url_path, '.html') FROM catalog_category_flat_store_1 WHERE entity_id=1252);</v>
      </c>
    </row>
    <row r="1279" spans="1:4" x14ac:dyDescent="0.25">
      <c r="A1279">
        <f>categories!B1279</f>
        <v>1253</v>
      </c>
      <c r="B1279" t="str">
        <f>SUBSTITUTE(SUBSTITUTE(categories!H1279,"\","/"),"www.americanretailsupply.com/","")</f>
        <v>64719/51722/Sullivan-GiftWrap/Birthday-Celebration--Party-Giftwrap.html</v>
      </c>
      <c r="C1279" t="str">
        <f t="shared" si="38"/>
        <v>INSERT INTO url_rewrite (entity_type, entity_id, redirect_type, store_id, request_path, target_path) VALUES ('custom', 0, 301, 1,'64719/51722/Sullivan-GiftWrap/Birthday-Celebration--Party-Giftwrap.html',(SELECT CONCAT(url_path, '.html') FROM catalog_category_flat_store_1 WHERE entity_id=1253));</v>
      </c>
      <c r="D1279" t="str">
        <f t="shared" si="39"/>
        <v>UPDATE url_rewrite SET request_path = '64719/51722/Sullivan-GiftWrap/Birthday-Celebration--Party-Giftwrap.html' WHERE entity_type='custom' AND target_path=(SELECT CONCAT(url_path, '.html') FROM catalog_category_flat_store_1 WHERE entity_id=1253);</v>
      </c>
    </row>
    <row r="1280" spans="1:4" x14ac:dyDescent="0.25">
      <c r="A1280">
        <f>categories!B1280</f>
        <v>1254</v>
      </c>
      <c r="B1280" t="str">
        <f>SUBSTITUTE(SUBSTITUTE(categories!H1280,"\","/"),"www.americanretailsupply.com/","")</f>
        <v>64719/51723/Sullivan-GiftWrap/Baby--Juvenile-Giftwrap.html</v>
      </c>
      <c r="C1280" t="str">
        <f t="shared" si="38"/>
        <v>INSERT INTO url_rewrite (entity_type, entity_id, redirect_type, store_id, request_path, target_path) VALUES ('custom', 0, 301, 1,'64719/51723/Sullivan-GiftWrap/Baby--Juvenile-Giftwrap.html',(SELECT CONCAT(url_path, '.html') FROM catalog_category_flat_store_1 WHERE entity_id=1254));</v>
      </c>
      <c r="D1280" t="str">
        <f t="shared" si="39"/>
        <v>UPDATE url_rewrite SET request_path = '64719/51723/Sullivan-GiftWrap/Baby--Juvenile-Giftwrap.html' WHERE entity_type='custom' AND target_path=(SELECT CONCAT(url_path, '.html') FROM catalog_category_flat_store_1 WHERE entity_id=1254);</v>
      </c>
    </row>
    <row r="1281" spans="1:4" x14ac:dyDescent="0.25">
      <c r="A1281">
        <f>categories!B1281</f>
        <v>1255</v>
      </c>
      <c r="B1281" t="str">
        <f>SUBSTITUTE(SUBSTITUTE(categories!H1281,"\","/"),"www.americanretailsupply.com/","")</f>
        <v>64719/51748/Sullivan-GiftWrap/Geometrics-Giftwrap.html</v>
      </c>
      <c r="C1281" t="str">
        <f t="shared" si="38"/>
        <v>INSERT INTO url_rewrite (entity_type, entity_id, redirect_type, store_id, request_path, target_path) VALUES ('custom', 0, 301, 1,'64719/51748/Sullivan-GiftWrap/Geometrics-Giftwrap.html',(SELECT CONCAT(url_path, '.html') FROM catalog_category_flat_store_1 WHERE entity_id=1255));</v>
      </c>
      <c r="D1281" t="str">
        <f t="shared" si="39"/>
        <v>UPDATE url_rewrite SET request_path = '64719/51748/Sullivan-GiftWrap/Geometrics-Giftwrap.html' WHERE entity_type='custom' AND target_path=(SELECT CONCAT(url_path, '.html') FROM catalog_category_flat_store_1 WHERE entity_id=1255);</v>
      </c>
    </row>
    <row r="1282" spans="1:4" x14ac:dyDescent="0.25">
      <c r="A1282">
        <f>categories!B1282</f>
        <v>1256</v>
      </c>
      <c r="B1282" t="str">
        <f>SUBSTITUTE(SUBSTITUTE(categories!H1282,"\","/"),"www.americanretailsupply.com/","")</f>
        <v>64719/51749/Sullivan-GiftWrap/Dots-Stripes--Miscellaneous-Gift-Wrap.html</v>
      </c>
      <c r="C1282" t="str">
        <f t="shared" si="38"/>
        <v>INSERT INTO url_rewrite (entity_type, entity_id, redirect_type, store_id, request_path, target_path) VALUES ('custom', 0, 301, 1,'64719/51749/Sullivan-GiftWrap/Dots-Stripes--Miscellaneous-Gift-Wrap.html',(SELECT CONCAT(url_path, '.html') FROM catalog_category_flat_store_1 WHERE entity_id=1256));</v>
      </c>
      <c r="D1282" t="str">
        <f t="shared" si="39"/>
        <v>UPDATE url_rewrite SET request_path = '64719/51749/Sullivan-GiftWrap/Dots-Stripes--Miscellaneous-Gift-Wrap.html' WHERE entity_type='custom' AND target_path=(SELECT CONCAT(url_path, '.html') FROM catalog_category_flat_store_1 WHERE entity_id=1256);</v>
      </c>
    </row>
    <row r="1283" spans="1:4" x14ac:dyDescent="0.25">
      <c r="A1283">
        <f>categories!B1283</f>
        <v>1257</v>
      </c>
      <c r="B1283" t="str">
        <f>SUBSTITUTE(SUBSTITUTE(categories!H1283,"\","/"),"www.americanretailsupply.com/","")</f>
        <v>64719/51750/Sullivan-GiftWrap/Pastimes-Sports-Sailing-Marbles--Masculine-Giftwrap.html</v>
      </c>
      <c r="C1283" t="str">
        <f t="shared" ref="C1283:C1346" si="40">"INSERT INTO url_rewrite (entity_type, entity_id, redirect_type, store_id, request_path, target_path) VALUES ('custom', 0, 301, 1,'"&amp;B1283&amp;"',(SELECT CONCAT(url_path, '.html') FROM catalog_category_flat_store_1 WHERE entity_id="&amp;A1283&amp;"));"</f>
        <v>INSERT INTO url_rewrite (entity_type, entity_id, redirect_type, store_id, request_path, target_path) VALUES ('custom', 0, 301, 1,'64719/51750/Sullivan-GiftWrap/Pastimes-Sports-Sailing-Marbles--Masculine-Giftwrap.html',(SELECT CONCAT(url_path, '.html') FROM catalog_category_flat_store_1 WHERE entity_id=1257));</v>
      </c>
      <c r="D1283" t="str">
        <f t="shared" ref="D1283:D1346" si="41">"UPDATE url_rewrite SET request_path = '"&amp;B1283&amp;"' WHERE entity_type='custom' AND target_path=(SELECT CONCAT(url_path, '.html') FROM catalog_category_flat_store_1 WHERE entity_id="&amp;A1283&amp;");"</f>
        <v>UPDATE url_rewrite SET request_path = '64719/51750/Sullivan-GiftWrap/Pastimes-Sports-Sailing-Marbles--Masculine-Giftwrap.html' WHERE entity_type='custom' AND target_path=(SELECT CONCAT(url_path, '.html') FROM catalog_category_flat_store_1 WHERE entity_id=1257);</v>
      </c>
    </row>
    <row r="1284" spans="1:4" x14ac:dyDescent="0.25">
      <c r="A1284">
        <f>categories!B1284</f>
        <v>1258</v>
      </c>
      <c r="B1284" t="str">
        <f>SUBSTITUTE(SUBSTITUTE(categories!H1284,"\","/"),"www.americanretailsupply.com/","")</f>
        <v>64719/434882/Sullivan-GiftWrap/Solid-Colored-Giftwrap.html</v>
      </c>
      <c r="C1284" t="str">
        <f t="shared" si="40"/>
        <v>INSERT INTO url_rewrite (entity_type, entity_id, redirect_type, store_id, request_path, target_path) VALUES ('custom', 0, 301, 1,'64719/434882/Sullivan-GiftWrap/Solid-Colored-Giftwrap.html',(SELECT CONCAT(url_path, '.html') FROM catalog_category_flat_store_1 WHERE entity_id=1258));</v>
      </c>
      <c r="D1284" t="str">
        <f t="shared" si="41"/>
        <v>UPDATE url_rewrite SET request_path = '64719/434882/Sullivan-GiftWrap/Solid-Colored-Giftwrap.html' WHERE entity_type='custom' AND target_path=(SELECT CONCAT(url_path, '.html') FROM catalog_category_flat_store_1 WHERE entity_id=1258);</v>
      </c>
    </row>
    <row r="1285" spans="1:4" x14ac:dyDescent="0.25">
      <c r="A1285">
        <f>categories!B1285</f>
        <v>1259</v>
      </c>
      <c r="B1285" t="str">
        <f>SUBSTITUTE(SUBSTITUTE(categories!H1285,"\","/"),"www.americanretailsupply.com/","")</f>
        <v>64719/434967/Sullivan-GiftWrap/Special-Occasions-Giftwrap.html</v>
      </c>
      <c r="C1285" t="str">
        <f t="shared" si="40"/>
        <v>INSERT INTO url_rewrite (entity_type, entity_id, redirect_type, store_id, request_path, target_path) VALUES ('custom', 0, 301, 1,'64719/434967/Sullivan-GiftWrap/Special-Occasions-Giftwrap.html',(SELECT CONCAT(url_path, '.html') FROM catalog_category_flat_store_1 WHERE entity_id=1259));</v>
      </c>
      <c r="D1285" t="str">
        <f t="shared" si="41"/>
        <v>UPDATE url_rewrite SET request_path = '64719/434967/Sullivan-GiftWrap/Special-Occasions-Giftwrap.html' WHERE entity_type='custom' AND target_path=(SELECT CONCAT(url_path, '.html') FROM catalog_category_flat_store_1 WHERE entity_id=1259);</v>
      </c>
    </row>
    <row r="1286" spans="1:4" x14ac:dyDescent="0.25">
      <c r="A1286">
        <f>categories!B1286</f>
        <v>1261</v>
      </c>
      <c r="B1286" t="str">
        <f>SUBSTITUTE(SUBSTITUTE(categories!H1286,"\","/"),"www.americanretailsupply.com/","")</f>
        <v>64684/231731/Tach-It-Taggers/Replacement-Needles.html</v>
      </c>
      <c r="C1286" t="str">
        <f t="shared" si="40"/>
        <v>INSERT INTO url_rewrite (entity_type, entity_id, redirect_type, store_id, request_path, target_path) VALUES ('custom', 0, 301, 1,'64684/231731/Tach-It-Taggers/Replacement-Needles.html',(SELECT CONCAT(url_path, '.html') FROM catalog_category_flat_store_1 WHERE entity_id=1261));</v>
      </c>
      <c r="D1286" t="str">
        <f t="shared" si="41"/>
        <v>UPDATE url_rewrite SET request_path = '64684/231731/Tach-It-Taggers/Replacement-Needles.html' WHERE entity_type='custom' AND target_path=(SELECT CONCAT(url_path, '.html') FROM catalog_category_flat_store_1 WHERE entity_id=1261);</v>
      </c>
    </row>
    <row r="1287" spans="1:4" x14ac:dyDescent="0.25">
      <c r="A1287">
        <f>categories!B1287</f>
        <v>1262</v>
      </c>
      <c r="B1287" t="str">
        <f>SUBSTITUTE(SUBSTITUTE(categories!H1287,"\","/"),"www.americanretailsupply.com/","")</f>
        <v>64684/231732/Tach-It-Taggers/TACH-IT-Taggers.html</v>
      </c>
      <c r="C1287" t="str">
        <f t="shared" si="40"/>
        <v>INSERT INTO url_rewrite (entity_type, entity_id, redirect_type, store_id, request_path, target_path) VALUES ('custom', 0, 301, 1,'64684/231732/Tach-It-Taggers/TACH-IT-Taggers.html',(SELECT CONCAT(url_path, '.html') FROM catalog_category_flat_store_1 WHERE entity_id=1262));</v>
      </c>
      <c r="D1287" t="str">
        <f t="shared" si="41"/>
        <v>UPDATE url_rewrite SET request_path = '64684/231732/Tach-It-Taggers/TACH-IT-Taggers.html' WHERE entity_type='custom' AND target_path=(SELECT CONCAT(url_path, '.html') FROM catalog_category_flat_store_1 WHERE entity_id=1262);</v>
      </c>
    </row>
    <row r="1288" spans="1:4" x14ac:dyDescent="0.25">
      <c r="A1288">
        <f>categories!B1288</f>
        <v>1263</v>
      </c>
      <c r="B1288" t="str">
        <f>SUBSTITUTE(SUBSTITUTE(categories!H1288,"\","/"),"www.americanretailsupply.com/","")</f>
        <v>64684/231735/Tach-It-Taggers/Tach-IT-Fasteners.html</v>
      </c>
      <c r="C1288" t="str">
        <f t="shared" si="40"/>
        <v>INSERT INTO url_rewrite (entity_type, entity_id, redirect_type, store_id, request_path, target_path) VALUES ('custom', 0, 301, 1,'64684/231735/Tach-It-Taggers/Tach-IT-Fasteners.html',(SELECT CONCAT(url_path, '.html') FROM catalog_category_flat_store_1 WHERE entity_id=1263));</v>
      </c>
      <c r="D1288" t="str">
        <f t="shared" si="41"/>
        <v>UPDATE url_rewrite SET request_path = '64684/231735/Tach-It-Taggers/Tach-IT-Fasteners.html' WHERE entity_type='custom' AND target_path=(SELECT CONCAT(url_path, '.html') FROM catalog_category_flat_store_1 WHERE entity_id=1263);</v>
      </c>
    </row>
    <row r="1289" spans="1:4" x14ac:dyDescent="0.25">
      <c r="A1289">
        <f>categories!B1289</f>
        <v>1265</v>
      </c>
      <c r="B1289" t="str">
        <f>SUBSTITUTE(SUBSTITUTE(categories!H1289,"\","/"),"www.americanretailsupply.com/","")</f>
        <v>64980/1756/Tags/Manila-Blank-Tags.html</v>
      </c>
      <c r="C1289" t="str">
        <f t="shared" si="40"/>
        <v>INSERT INTO url_rewrite (entity_type, entity_id, redirect_type, store_id, request_path, target_path) VALUES ('custom', 0, 301, 1,'64980/1756/Tags/Manila-Blank-Tags.html',(SELECT CONCAT(url_path, '.html') FROM catalog_category_flat_store_1 WHERE entity_id=1265));</v>
      </c>
      <c r="D1289" t="str">
        <f t="shared" si="41"/>
        <v>UPDATE url_rewrite SET request_path = '64980/1756/Tags/Manila-Blank-Tags.html' WHERE entity_type='custom' AND target_path=(SELECT CONCAT(url_path, '.html') FROM catalog_category_flat_store_1 WHERE entity_id=1265);</v>
      </c>
    </row>
    <row r="1290" spans="1:4" x14ac:dyDescent="0.25">
      <c r="A1290">
        <f>categories!B1290</f>
        <v>1266</v>
      </c>
      <c r="B1290" t="str">
        <f>SUBSTITUTE(SUBSTITUTE(categories!H1290,"\","/"),"www.americanretailsupply.com/","")</f>
        <v>64980/1757/Tags/Blank-White-Scallop-Top-Tags.html</v>
      </c>
      <c r="C1290" t="str">
        <f t="shared" si="40"/>
        <v>INSERT INTO url_rewrite (entity_type, entity_id, redirect_type, store_id, request_path, target_path) VALUES ('custom', 0, 301, 1,'64980/1757/Tags/Blank-White-Scallop-Top-Tags.html',(SELECT CONCAT(url_path, '.html') FROM catalog_category_flat_store_1 WHERE entity_id=1266));</v>
      </c>
      <c r="D1290" t="str">
        <f t="shared" si="41"/>
        <v>UPDATE url_rewrite SET request_path = '64980/1757/Tags/Blank-White-Scallop-Top-Tags.html' WHERE entity_type='custom' AND target_path=(SELECT CONCAT(url_path, '.html') FROM catalog_category_flat_store_1 WHERE entity_id=1266);</v>
      </c>
    </row>
    <row r="1291" spans="1:4" x14ac:dyDescent="0.25">
      <c r="A1291">
        <f>categories!B1291</f>
        <v>1267</v>
      </c>
      <c r="B1291" t="str">
        <f>SUBSTITUTE(SUBSTITUTE(categories!H1291,"\","/"),"www.americanretailsupply.com/","")</f>
        <v>64980/47297/Tags/Apparel-Tags-Colored-with-Perforation.html</v>
      </c>
      <c r="C1291" t="str">
        <f t="shared" si="40"/>
        <v>INSERT INTO url_rewrite (entity_type, entity_id, redirect_type, store_id, request_path, target_path) VALUES ('custom', 0, 301, 1,'64980/47297/Tags/Apparel-Tags-Colored-with-Perforation.html',(SELECT CONCAT(url_path, '.html') FROM catalog_category_flat_store_1 WHERE entity_id=1267));</v>
      </c>
      <c r="D1291" t="str">
        <f t="shared" si="41"/>
        <v>UPDATE url_rewrite SET request_path = '64980/47297/Tags/Apparel-Tags-Colored-with-Perforation.html' WHERE entity_type='custom' AND target_path=(SELECT CONCAT(url_path, '.html') FROM catalog_category_flat_store_1 WHERE entity_id=1267);</v>
      </c>
    </row>
    <row r="1292" spans="1:4" x14ac:dyDescent="0.25">
      <c r="A1292">
        <f>categories!B1292</f>
        <v>1268</v>
      </c>
      <c r="B1292" t="str">
        <f>SUBSTITUTE(SUBSTITUTE(categories!H1292,"\","/"),"www.americanretailsupply.com/","")</f>
        <v>64980/47299/Tags/Manila-Service-Tags.html</v>
      </c>
      <c r="C1292" t="str">
        <f t="shared" si="40"/>
        <v>INSERT INTO url_rewrite (entity_type, entity_id, redirect_type, store_id, request_path, target_path) VALUES ('custom', 0, 301, 1,'64980/47299/Tags/Manila-Service-Tags.html',(SELECT CONCAT(url_path, '.html') FROM catalog_category_flat_store_1 WHERE entity_id=1268));</v>
      </c>
      <c r="D1292" t="str">
        <f t="shared" si="41"/>
        <v>UPDATE url_rewrite SET request_path = '64980/47299/Tags/Manila-Service-Tags.html' WHERE entity_type='custom' AND target_path=(SELECT CONCAT(url_path, '.html') FROM catalog_category_flat_store_1 WHERE entity_id=1268);</v>
      </c>
    </row>
    <row r="1293" spans="1:4" x14ac:dyDescent="0.25">
      <c r="A1293">
        <f>categories!B1293</f>
        <v>1269</v>
      </c>
      <c r="B1293" t="str">
        <f>SUBSTITUTE(SUBSTITUTE(categories!H1293,"\","/"),"www.americanretailsupply.com/","")</f>
        <v>64980/47307/Tags/Sale-Price-Tags.html</v>
      </c>
      <c r="C1293" t="str">
        <f t="shared" si="40"/>
        <v>INSERT INTO url_rewrite (entity_type, entity_id, redirect_type, store_id, request_path, target_path) VALUES ('custom', 0, 301, 1,'64980/47307/Tags/Sale-Price-Tags.html',(SELECT CONCAT(url_path, '.html') FROM catalog_category_flat_store_1 WHERE entity_id=1269));</v>
      </c>
      <c r="D1293" t="str">
        <f t="shared" si="41"/>
        <v>UPDATE url_rewrite SET request_path = '64980/47307/Tags/Sale-Price-Tags.html' WHERE entity_type='custom' AND target_path=(SELECT CONCAT(url_path, '.html') FROM catalog_category_flat_store_1 WHERE entity_id=1269);</v>
      </c>
    </row>
    <row r="1294" spans="1:4" x14ac:dyDescent="0.25">
      <c r="A1294">
        <f>categories!B1294</f>
        <v>1270</v>
      </c>
      <c r="B1294" t="str">
        <f>SUBSTITUTE(SUBSTITUTE(categories!H1294,"\","/"),"www.americanretailsupply.com/","")</f>
        <v>64980/173733/Tags/Sold--Hold-Tags.html</v>
      </c>
      <c r="C1294" t="str">
        <f t="shared" si="40"/>
        <v>INSERT INTO url_rewrite (entity_type, entity_id, redirect_type, store_id, request_path, target_path) VALUES ('custom', 0, 301, 1,'64980/173733/Tags/Sold--Hold-Tags.html',(SELECT CONCAT(url_path, '.html') FROM catalog_category_flat_store_1 WHERE entity_id=1270));</v>
      </c>
      <c r="D1294" t="str">
        <f t="shared" si="41"/>
        <v>UPDATE url_rewrite SET request_path = '64980/173733/Tags/Sold--Hold-Tags.html' WHERE entity_type='custom' AND target_path=(SELECT CONCAT(url_path, '.html') FROM catalog_category_flat_store_1 WHERE entity_id=1270);</v>
      </c>
    </row>
    <row r="1295" spans="1:4" x14ac:dyDescent="0.25">
      <c r="A1295">
        <f>categories!B1295</f>
        <v>1271</v>
      </c>
      <c r="B1295" t="str">
        <f>SUBSTITUTE(SUBSTITUTE(categories!H1295,"\","/"),"www.americanretailsupply.com/","")</f>
        <v>64980/226084/Tags/White-Rectangle-Apparel-Tags.html</v>
      </c>
      <c r="C1295" t="str">
        <f t="shared" si="40"/>
        <v>INSERT INTO url_rewrite (entity_type, entity_id, redirect_type, store_id, request_path, target_path) VALUES ('custom', 0, 301, 1,'64980/226084/Tags/White-Rectangle-Apparel-Tags.html',(SELECT CONCAT(url_path, '.html') FROM catalog_category_flat_store_1 WHERE entity_id=1271));</v>
      </c>
      <c r="D1295" t="str">
        <f t="shared" si="41"/>
        <v>UPDATE url_rewrite SET request_path = '64980/226084/Tags/White-Rectangle-Apparel-Tags.html' WHERE entity_type='custom' AND target_path=(SELECT CONCAT(url_path, '.html') FROM catalog_category_flat_store_1 WHERE entity_id=1271);</v>
      </c>
    </row>
    <row r="1296" spans="1:4" x14ac:dyDescent="0.25">
      <c r="A1296">
        <f>categories!B1296</f>
        <v>1273</v>
      </c>
      <c r="B1296" t="str">
        <f>SUBSTITUTE(SUBSTITUTE(categories!H1296,"\","/"),"www.americanretailsupply.com/","")</f>
        <v>64849/48235/Tape/3M-Carton-Sealing-Tape.html</v>
      </c>
      <c r="C1296" t="str">
        <f t="shared" si="40"/>
        <v>INSERT INTO url_rewrite (entity_type, entity_id, redirect_type, store_id, request_path, target_path) VALUES ('custom', 0, 301, 1,'64849/48235/Tape/3M-Carton-Sealing-Tape.html',(SELECT CONCAT(url_path, '.html') FROM catalog_category_flat_store_1 WHERE entity_id=1273));</v>
      </c>
      <c r="D1296" t="str">
        <f t="shared" si="41"/>
        <v>UPDATE url_rewrite SET request_path = '64849/48235/Tape/3M-Carton-Sealing-Tape.html' WHERE entity_type='custom' AND target_path=(SELECT CONCAT(url_path, '.html') FROM catalog_category_flat_store_1 WHERE entity_id=1273);</v>
      </c>
    </row>
    <row r="1297" spans="1:4" x14ac:dyDescent="0.25">
      <c r="A1297">
        <f>categories!B1297</f>
        <v>1274</v>
      </c>
      <c r="B1297" t="str">
        <f>SUBSTITUTE(SUBSTITUTE(categories!H1297,"\","/"),"www.americanretailsupply.com/","")</f>
        <v>64849/48236/Tape/Hand-Held-Tape-Dispensers.html</v>
      </c>
      <c r="C1297" t="str">
        <f t="shared" si="40"/>
        <v>INSERT INTO url_rewrite (entity_type, entity_id, redirect_type, store_id, request_path, target_path) VALUES ('custom', 0, 301, 1,'64849/48236/Tape/Hand-Held-Tape-Dispensers.html',(SELECT CONCAT(url_path, '.html') FROM catalog_category_flat_store_1 WHERE entity_id=1274));</v>
      </c>
      <c r="D1297" t="str">
        <f t="shared" si="41"/>
        <v>UPDATE url_rewrite SET request_path = '64849/48236/Tape/Hand-Held-Tape-Dispensers.html' WHERE entity_type='custom' AND target_path=(SELECT CONCAT(url_path, '.html') FROM catalog_category_flat_store_1 WHERE entity_id=1274);</v>
      </c>
    </row>
    <row r="1298" spans="1:4" x14ac:dyDescent="0.25">
      <c r="A1298">
        <f>categories!B1298</f>
        <v>1275</v>
      </c>
      <c r="B1298" t="str">
        <f>SUBSTITUTE(SUBSTITUTE(categories!H1298,"\","/"),"www.americanretailsupply.com/","")</f>
        <v>64849/777695/Tape/White-Tape-Carry-Handles.html</v>
      </c>
      <c r="C1298" t="str">
        <f t="shared" si="40"/>
        <v>INSERT INTO url_rewrite (entity_type, entity_id, redirect_type, store_id, request_path, target_path) VALUES ('custom', 0, 301, 1,'64849/777695/Tape/White-Tape-Carry-Handles.html',(SELECT CONCAT(url_path, '.html') FROM catalog_category_flat_store_1 WHERE entity_id=1275));</v>
      </c>
      <c r="D1298" t="str">
        <f t="shared" si="41"/>
        <v>UPDATE url_rewrite SET request_path = '64849/777695/Tape/White-Tape-Carry-Handles.html' WHERE entity_type='custom' AND target_path=(SELECT CONCAT(url_path, '.html') FROM catalog_category_flat_store_1 WHERE entity_id=1275);</v>
      </c>
    </row>
    <row r="1299" spans="1:4" x14ac:dyDescent="0.25">
      <c r="A1299">
        <f>categories!B1299</f>
        <v>1276</v>
      </c>
      <c r="B1299" t="str">
        <f>SUBSTITUTE(SUBSTITUTE(categories!H1299,"\","/"),"www.americanretailsupply.com/","")</f>
        <v>64849/777696/Tape/Repair-Tape-Pocket-Pads.html</v>
      </c>
      <c r="C1299" t="str">
        <f t="shared" si="40"/>
        <v>INSERT INTO url_rewrite (entity_type, entity_id, redirect_type, store_id, request_path, target_path) VALUES ('custom', 0, 301, 1,'64849/777696/Tape/Repair-Tape-Pocket-Pads.html',(SELECT CONCAT(url_path, '.html') FROM catalog_category_flat_store_1 WHERE entity_id=1276));</v>
      </c>
      <c r="D1299" t="str">
        <f t="shared" si="41"/>
        <v>UPDATE url_rewrite SET request_path = '64849/777696/Tape/Repair-Tape-Pocket-Pads.html' WHERE entity_type='custom' AND target_path=(SELECT CONCAT(url_path, '.html') FROM catalog_category_flat_store_1 WHERE entity_id=1276);</v>
      </c>
    </row>
    <row r="1300" spans="1:4" x14ac:dyDescent="0.25">
      <c r="A1300">
        <f>categories!B1300</f>
        <v>1277</v>
      </c>
      <c r="B1300" t="str">
        <f>SUBSTITUTE(SUBSTITUTE(categories!H1300,"\","/"),"www.americanretailsupply.com/","")</f>
        <v>64849/777697/Tape/Double-Coated-Tape-Pads.html</v>
      </c>
      <c r="C1300" t="str">
        <f t="shared" si="40"/>
        <v>INSERT INTO url_rewrite (entity_type, entity_id, redirect_type, store_id, request_path, target_path) VALUES ('custom', 0, 301, 1,'64849/777697/Tape/Double-Coated-Tape-Pads.html',(SELECT CONCAT(url_path, '.html') FROM catalog_category_flat_store_1 WHERE entity_id=1277));</v>
      </c>
      <c r="D1300" t="str">
        <f t="shared" si="41"/>
        <v>UPDATE url_rewrite SET request_path = '64849/777697/Tape/Double-Coated-Tape-Pads.html' WHERE entity_type='custom' AND target_path=(SELECT CONCAT(url_path, '.html') FROM catalog_category_flat_store_1 WHERE entity_id=1277);</v>
      </c>
    </row>
    <row r="1301" spans="1:4" x14ac:dyDescent="0.25">
      <c r="A1301">
        <f>categories!B1301</f>
        <v>1279</v>
      </c>
      <c r="B1301" t="str">
        <f>SUBSTITUTE(SUBSTITUTE(categories!H1301,"\","/"),"www.americanretailsupply.com/","")</f>
        <v>64765/37205/Tempered-Glass/316-Tempered-Cube-Glass.html</v>
      </c>
      <c r="C1301" t="str">
        <f t="shared" si="40"/>
        <v>INSERT INTO url_rewrite (entity_type, entity_id, redirect_type, store_id, request_path, target_path) VALUES ('custom', 0, 301, 1,'64765/37205/Tempered-Glass/316-Tempered-Cube-Glass.html',(SELECT CONCAT(url_path, '.html') FROM catalog_category_flat_store_1 WHERE entity_id=1279));</v>
      </c>
      <c r="D1301" t="str">
        <f t="shared" si="41"/>
        <v>UPDATE url_rewrite SET request_path = '64765/37205/Tempered-Glass/316-Tempered-Cube-Glass.html' WHERE entity_type='custom' AND target_path=(SELECT CONCAT(url_path, '.html') FROM catalog_category_flat_store_1 WHERE entity_id=1279);</v>
      </c>
    </row>
    <row r="1302" spans="1:4" x14ac:dyDescent="0.25">
      <c r="A1302">
        <f>categories!B1302</f>
        <v>1280</v>
      </c>
      <c r="B1302" t="str">
        <f>SUBSTITUTE(SUBSTITUTE(categories!H1302,"\","/"),"www.americanretailsupply.com/","")</f>
        <v>64765/37254/Tempered-Glass/316-Tempered-with-2-Radius-Corners.html</v>
      </c>
      <c r="C1302" t="str">
        <f t="shared" si="40"/>
        <v>INSERT INTO url_rewrite (entity_type, entity_id, redirect_type, store_id, request_path, target_path) VALUES ('custom', 0, 301, 1,'64765/37254/Tempered-Glass/316-Tempered-with-2-Radius-Corners.html',(SELECT CONCAT(url_path, '.html') FROM catalog_category_flat_store_1 WHERE entity_id=1280));</v>
      </c>
      <c r="D1302" t="str">
        <f t="shared" si="41"/>
        <v>UPDATE url_rewrite SET request_path = '64765/37254/Tempered-Glass/316-Tempered-with-2-Radius-Corners.html' WHERE entity_type='custom' AND target_path=(SELECT CONCAT(url_path, '.html') FROM catalog_category_flat_store_1 WHERE entity_id=1280);</v>
      </c>
    </row>
    <row r="1303" spans="1:4" x14ac:dyDescent="0.25">
      <c r="A1303">
        <f>categories!B1303</f>
        <v>1281</v>
      </c>
      <c r="B1303" t="str">
        <f>SUBSTITUTE(SUBSTITUTE(categories!H1303,"\","/"),"www.americanretailsupply.com/","")</f>
        <v>64765/37258/Tempered-Glass/316-Tempered-Quarter-Round.html</v>
      </c>
      <c r="C1303" t="str">
        <f t="shared" si="40"/>
        <v>INSERT INTO url_rewrite (entity_type, entity_id, redirect_type, store_id, request_path, target_path) VALUES ('custom', 0, 301, 1,'64765/37258/Tempered-Glass/316-Tempered-Quarter-Round.html',(SELECT CONCAT(url_path, '.html') FROM catalog_category_flat_store_1 WHERE entity_id=1281));</v>
      </c>
      <c r="D1303" t="str">
        <f t="shared" si="41"/>
        <v>UPDATE url_rewrite SET request_path = '64765/37258/Tempered-Glass/316-Tempered-Quarter-Round.html' WHERE entity_type='custom' AND target_path=(SELECT CONCAT(url_path, '.html') FROM catalog_category_flat_store_1 WHERE entity_id=1281);</v>
      </c>
    </row>
    <row r="1304" spans="1:4" x14ac:dyDescent="0.25">
      <c r="A1304">
        <f>categories!B1304</f>
        <v>1282</v>
      </c>
      <c r="B1304" t="str">
        <f>SUBSTITUTE(SUBSTITUTE(categories!H1304,"\","/"),"www.americanretailsupply.com/","")</f>
        <v>64765/37260/Tempered-Glass/38-Tempered-Shelf-Glass-Square-Corners.html</v>
      </c>
      <c r="C1304" t="str">
        <f t="shared" si="40"/>
        <v>INSERT INTO url_rewrite (entity_type, entity_id, redirect_type, store_id, request_path, target_path) VALUES ('custom', 0, 301, 1,'64765/37260/Tempered-Glass/38-Tempered-Shelf-Glass-Square-Corners.html',(SELECT CONCAT(url_path, '.html') FROM catalog_category_flat_store_1 WHERE entity_id=1282));</v>
      </c>
      <c r="D1304" t="str">
        <f t="shared" si="41"/>
        <v>UPDATE url_rewrite SET request_path = '64765/37260/Tempered-Glass/38-Tempered-Shelf-Glass-Square-Corners.html' WHERE entity_type='custom' AND target_path=(SELECT CONCAT(url_path, '.html') FROM catalog_category_flat_store_1 WHERE entity_id=1282);</v>
      </c>
    </row>
    <row r="1305" spans="1:4" x14ac:dyDescent="0.25">
      <c r="A1305">
        <f>categories!B1305</f>
        <v>1283</v>
      </c>
      <c r="B1305" t="str">
        <f>SUBSTITUTE(SUBSTITUTE(categories!H1305,"\","/"),"www.americanretailsupply.com/","")</f>
        <v>64765/37261/Tempered-Glass/38-Tempered-Shelf-Glass-with-Dime-Radius-Corners.html</v>
      </c>
      <c r="C1305" t="str">
        <f t="shared" si="40"/>
        <v>INSERT INTO url_rewrite (entity_type, entity_id, redirect_type, store_id, request_path, target_path) VALUES ('custom', 0, 301, 1,'64765/37261/Tempered-Glass/38-Tempered-Shelf-Glass-with-Dime-Radius-Corners.html',(SELECT CONCAT(url_path, '.html') FROM catalog_category_flat_store_1 WHERE entity_id=1283));</v>
      </c>
      <c r="D1305" t="str">
        <f t="shared" si="41"/>
        <v>UPDATE url_rewrite SET request_path = '64765/37261/Tempered-Glass/38-Tempered-Shelf-Glass-with-Dime-Radius-Corners.html' WHERE entity_type='custom' AND target_path=(SELECT CONCAT(url_path, '.html') FROM catalog_category_flat_store_1 WHERE entity_id=1283);</v>
      </c>
    </row>
    <row r="1306" spans="1:4" x14ac:dyDescent="0.25">
      <c r="A1306">
        <f>categories!B1306</f>
        <v>1284</v>
      </c>
      <c r="B1306" t="str">
        <f>SUBSTITUTE(SUBSTITUTE(categories!H1306,"\","/"),"www.americanretailsupply.com/","")</f>
        <v>64765/47145/Tempered-Glass/316-Tempered-Shelf-Glass-Square-Corners.html</v>
      </c>
      <c r="C1306" t="str">
        <f t="shared" si="40"/>
        <v>INSERT INTO url_rewrite (entity_type, entity_id, redirect_type, store_id, request_path, target_path) VALUES ('custom', 0, 301, 1,'64765/47145/Tempered-Glass/316-Tempered-Shelf-Glass-Square-Corners.html',(SELECT CONCAT(url_path, '.html') FROM catalog_category_flat_store_1 WHERE entity_id=1284));</v>
      </c>
      <c r="D1306" t="str">
        <f t="shared" si="41"/>
        <v>UPDATE url_rewrite SET request_path = '64765/47145/Tempered-Glass/316-Tempered-Shelf-Glass-Square-Corners.html' WHERE entity_type='custom' AND target_path=(SELECT CONCAT(url_path, '.html') FROM catalog_category_flat_store_1 WHERE entity_id=1284);</v>
      </c>
    </row>
    <row r="1307" spans="1:4" x14ac:dyDescent="0.25">
      <c r="A1307">
        <f>categories!B1307</f>
        <v>1285</v>
      </c>
      <c r="B1307" t="str">
        <f>SUBSTITUTE(SUBSTITUTE(categories!H1307,"\","/"),"www.americanretailsupply.com/","")</f>
        <v>64765/174132/Tempered-Glass/Shelf-Dividers.html</v>
      </c>
      <c r="C1307" t="str">
        <f t="shared" si="40"/>
        <v>INSERT INTO url_rewrite (entity_type, entity_id, redirect_type, store_id, request_path, target_path) VALUES ('custom', 0, 301, 1,'64765/174132/Tempered-Glass/Shelf-Dividers.html',(SELECT CONCAT(url_path, '.html') FROM catalog_category_flat_store_1 WHERE entity_id=1285));</v>
      </c>
      <c r="D1307" t="str">
        <f t="shared" si="41"/>
        <v>UPDATE url_rewrite SET request_path = '64765/174132/Tempered-Glass/Shelf-Dividers.html' WHERE entity_type='custom' AND target_path=(SELECT CONCAT(url_path, '.html') FROM catalog_category_flat_store_1 WHERE entity_id=1285);</v>
      </c>
    </row>
    <row r="1308" spans="1:4" x14ac:dyDescent="0.25">
      <c r="A1308">
        <f>categories!B1308</f>
        <v>1287</v>
      </c>
      <c r="B1308" t="str">
        <f>SUBSTITUTE(SUBSTITUTE(categories!H1308,"\","/"),"www.americanretailsupply.com/","")</f>
        <v>64766/37267/Tempered-Glass-Tower-Displays/Radius-Tower.html</v>
      </c>
      <c r="C1308" t="str">
        <f t="shared" si="40"/>
        <v>INSERT INTO url_rewrite (entity_type, entity_id, redirect_type, store_id, request_path, target_path) VALUES ('custom', 0, 301, 1,'64766/37267/Tempered-Glass-Tower-Displays/Radius-Tower.html',(SELECT CONCAT(url_path, '.html') FROM catalog_category_flat_store_1 WHERE entity_id=1287));</v>
      </c>
      <c r="D1308" t="str">
        <f t="shared" si="41"/>
        <v>UPDATE url_rewrite SET request_path = '64766/37267/Tempered-Glass-Tower-Displays/Radius-Tower.html' WHERE entity_type='custom' AND target_path=(SELECT CONCAT(url_path, '.html') FROM catalog_category_flat_store_1 WHERE entity_id=1287);</v>
      </c>
    </row>
    <row r="1309" spans="1:4" x14ac:dyDescent="0.25">
      <c r="A1309">
        <f>categories!B1309</f>
        <v>1288</v>
      </c>
      <c r="B1309" t="str">
        <f>SUBSTITUTE(SUBSTITUTE(categories!H1309,"\","/"),"www.americanretailsupply.com/","")</f>
        <v>64766/37271/Tempered-Glass-Tower-Displays/Radius-Extended-Tower.html</v>
      </c>
      <c r="C1309" t="str">
        <f t="shared" si="40"/>
        <v>INSERT INTO url_rewrite (entity_type, entity_id, redirect_type, store_id, request_path, target_path) VALUES ('custom', 0, 301, 1,'64766/37271/Tempered-Glass-Tower-Displays/Radius-Extended-Tower.html',(SELECT CONCAT(url_path, '.html') FROM catalog_category_flat_store_1 WHERE entity_id=1288));</v>
      </c>
      <c r="D1309" t="str">
        <f t="shared" si="41"/>
        <v>UPDATE url_rewrite SET request_path = '64766/37271/Tempered-Glass-Tower-Displays/Radius-Extended-Tower.html' WHERE entity_type='custom' AND target_path=(SELECT CONCAT(url_path, '.html') FROM catalog_category_flat_store_1 WHERE entity_id=1288);</v>
      </c>
    </row>
    <row r="1310" spans="1:4" x14ac:dyDescent="0.25">
      <c r="A1310">
        <f>categories!B1310</f>
        <v>1289</v>
      </c>
      <c r="B1310" t="str">
        <f>SUBSTITUTE(SUBSTITUTE(categories!H1310,"\","/"),"www.americanretailsupply.com/","")</f>
        <v>64766/37273/Tempered-Glass-Tower-Displays/3-Tier-Graduated-Tower.html</v>
      </c>
      <c r="C1310" t="str">
        <f t="shared" si="40"/>
        <v>INSERT INTO url_rewrite (entity_type, entity_id, redirect_type, store_id, request_path, target_path) VALUES ('custom', 0, 301, 1,'64766/37273/Tempered-Glass-Tower-Displays/3-Tier-Graduated-Tower.html',(SELECT CONCAT(url_path, '.html') FROM catalog_category_flat_store_1 WHERE entity_id=1289));</v>
      </c>
      <c r="D1310" t="str">
        <f t="shared" si="41"/>
        <v>UPDATE url_rewrite SET request_path = '64766/37273/Tempered-Glass-Tower-Displays/3-Tier-Graduated-Tower.html' WHERE entity_type='custom' AND target_path=(SELECT CONCAT(url_path, '.html') FROM catalog_category_flat_store_1 WHERE entity_id=1289);</v>
      </c>
    </row>
    <row r="1311" spans="1:4" x14ac:dyDescent="0.25">
      <c r="A1311">
        <f>categories!B1311</f>
        <v>1290</v>
      </c>
      <c r="B1311" t="str">
        <f>SUBSTITUTE(SUBSTITUTE(categories!H1311,"\","/"),"www.americanretailsupply.com/","")</f>
        <v>64766/37275/Tempered-Glass-Tower-Displays/Quarter-Round-Extended-Tower.html</v>
      </c>
      <c r="C1311" t="str">
        <f t="shared" si="40"/>
        <v>INSERT INTO url_rewrite (entity_type, entity_id, redirect_type, store_id, request_path, target_path) VALUES ('custom', 0, 301, 1,'64766/37275/Tempered-Glass-Tower-Displays/Quarter-Round-Extended-Tower.html',(SELECT CONCAT(url_path, '.html') FROM catalog_category_flat_store_1 WHERE entity_id=1290));</v>
      </c>
      <c r="D1311" t="str">
        <f t="shared" si="41"/>
        <v>UPDATE url_rewrite SET request_path = '64766/37275/Tempered-Glass-Tower-Displays/Quarter-Round-Extended-Tower.html' WHERE entity_type='custom' AND target_path=(SELECT CONCAT(url_path, '.html') FROM catalog_category_flat_store_1 WHERE entity_id=1290);</v>
      </c>
    </row>
    <row r="1312" spans="1:4" x14ac:dyDescent="0.25">
      <c r="A1312">
        <f>categories!B1312</f>
        <v>1291</v>
      </c>
      <c r="B1312" t="str">
        <f>SUBSTITUTE(SUBSTITUTE(categories!H1312,"\","/"),"www.americanretailsupply.com/","")</f>
        <v>64766/37277/Tempered-Glass-Tower-Displays/Quarter-Round-Tower.html</v>
      </c>
      <c r="C1312" t="str">
        <f t="shared" si="40"/>
        <v>INSERT INTO url_rewrite (entity_type, entity_id, redirect_type, store_id, request_path, target_path) VALUES ('custom', 0, 301, 1,'64766/37277/Tempered-Glass-Tower-Displays/Quarter-Round-Tower.html',(SELECT CONCAT(url_path, '.html') FROM catalog_category_flat_store_1 WHERE entity_id=1291));</v>
      </c>
      <c r="D1312" t="str">
        <f t="shared" si="41"/>
        <v>UPDATE url_rewrite SET request_path = '64766/37277/Tempered-Glass-Tower-Displays/Quarter-Round-Tower.html' WHERE entity_type='custom' AND target_path=(SELECT CONCAT(url_path, '.html') FROM catalog_category_flat_store_1 WHERE entity_id=1291);</v>
      </c>
    </row>
    <row r="1313" spans="1:4" x14ac:dyDescent="0.25">
      <c r="A1313">
        <f>categories!B1313</f>
        <v>1293</v>
      </c>
      <c r="B1313" t="str">
        <f>SUBSTITUTE(SUBSTITUTE(categories!H1313,"\","/"),"www.americanretailsupply.com/","")</f>
        <v>64682/1513/TG-Tacher-Taggers/TG-Tacher-Standard-and-Fine-Fasteners.html</v>
      </c>
      <c r="C1313" t="str">
        <f t="shared" si="40"/>
        <v>INSERT INTO url_rewrite (entity_type, entity_id, redirect_type, store_id, request_path, target_path) VALUES ('custom', 0, 301, 1,'64682/1513/TG-Tacher-Taggers/TG-Tacher-Standard-and-Fine-Fasteners.html',(SELECT CONCAT(url_path, '.html') FROM catalog_category_flat_store_1 WHERE entity_id=1293));</v>
      </c>
      <c r="D1313" t="str">
        <f t="shared" si="41"/>
        <v>UPDATE url_rewrite SET request_path = '64682/1513/TG-Tacher-Taggers/TG-Tacher-Standard-and-Fine-Fasteners.html' WHERE entity_type='custom' AND target_path=(SELECT CONCAT(url_path, '.html') FROM catalog_category_flat_store_1 WHERE entity_id=1293);</v>
      </c>
    </row>
    <row r="1314" spans="1:4" x14ac:dyDescent="0.25">
      <c r="A1314">
        <f>categories!B1314</f>
        <v>1294</v>
      </c>
      <c r="B1314" t="str">
        <f>SUBSTITUTE(SUBSTITUTE(categories!H1314,"\","/"),"www.americanretailsupply.com/","")</f>
        <v>64682/48132/TG-Tacher-Taggers/TG-Tacher-Taggers.html</v>
      </c>
      <c r="C1314" t="str">
        <f t="shared" si="40"/>
        <v>INSERT INTO url_rewrite (entity_type, entity_id, redirect_type, store_id, request_path, target_path) VALUES ('custom', 0, 301, 1,'64682/48132/TG-Tacher-Taggers/TG-Tacher-Taggers.html',(SELECT CONCAT(url_path, '.html') FROM catalog_category_flat_store_1 WHERE entity_id=1294));</v>
      </c>
      <c r="D1314" t="str">
        <f t="shared" si="41"/>
        <v>UPDATE url_rewrite SET request_path = '64682/48132/TG-Tacher-Taggers/TG-Tacher-Taggers.html' WHERE entity_type='custom' AND target_path=(SELECT CONCAT(url_path, '.html') FROM catalog_category_flat_store_1 WHERE entity_id=1294);</v>
      </c>
    </row>
    <row r="1315" spans="1:4" x14ac:dyDescent="0.25">
      <c r="A1315">
        <f>categories!B1315</f>
        <v>1295</v>
      </c>
      <c r="B1315" t="str">
        <f>SUBSTITUTE(SUBSTITUTE(categories!H1315,"\","/"),"www.americanretailsupply.com/","")</f>
        <v>64682/792849/TG-Tacher-Taggers/Standard-Tagger-Package.html</v>
      </c>
      <c r="C1315" t="str">
        <f t="shared" si="40"/>
        <v>INSERT INTO url_rewrite (entity_type, entity_id, redirect_type, store_id, request_path, target_path) VALUES ('custom', 0, 301, 1,'64682/792849/TG-Tacher-Taggers/Standard-Tagger-Package.html',(SELECT CONCAT(url_path, '.html') FROM catalog_category_flat_store_1 WHERE entity_id=1295));</v>
      </c>
      <c r="D1315" t="str">
        <f t="shared" si="41"/>
        <v>UPDATE url_rewrite SET request_path = '64682/792849/TG-Tacher-Taggers/Standard-Tagger-Package.html' WHERE entity_type='custom' AND target_path=(SELECT CONCAT(url_path, '.html') FROM catalog_category_flat_store_1 WHERE entity_id=1295);</v>
      </c>
    </row>
    <row r="1316" spans="1:4" x14ac:dyDescent="0.25">
      <c r="A1316">
        <f>categories!B1316</f>
        <v>1297</v>
      </c>
      <c r="B1316" t="str">
        <f>SUBSTITUTE(SUBSTITUTE(categories!H1316,"\","/"),"www.americanretailsupply.com/","")</f>
        <v>64717/172935/Tin-Boxes/CD--DVD-Tins.html</v>
      </c>
      <c r="C1316" t="str">
        <f t="shared" si="40"/>
        <v>INSERT INTO url_rewrite (entity_type, entity_id, redirect_type, store_id, request_path, target_path) VALUES ('custom', 0, 301, 1,'64717/172935/Tin-Boxes/CD--DVD-Tins.html',(SELECT CONCAT(url_path, '.html') FROM catalog_category_flat_store_1 WHERE entity_id=1297));</v>
      </c>
      <c r="D1316" t="str">
        <f t="shared" si="41"/>
        <v>UPDATE url_rewrite SET request_path = '64717/172935/Tin-Boxes/CD--DVD-Tins.html' WHERE entity_type='custom' AND target_path=(SELECT CONCAT(url_path, '.html') FROM catalog_category_flat_store_1 WHERE entity_id=1297);</v>
      </c>
    </row>
    <row r="1317" spans="1:4" x14ac:dyDescent="0.25">
      <c r="A1317">
        <f>categories!B1317</f>
        <v>1298</v>
      </c>
      <c r="B1317" t="str">
        <f>SUBSTITUTE(SUBSTITUTE(categories!H1317,"\","/"),"www.americanretailsupply.com/","")</f>
        <v>64717/172936/Tin-Boxes/Solid-Tins-with-PET-Window.html</v>
      </c>
      <c r="C1317" t="str">
        <f t="shared" si="40"/>
        <v>INSERT INTO url_rewrite (entity_type, entity_id, redirect_type, store_id, request_path, target_path) VALUES ('custom', 0, 301, 1,'64717/172936/Tin-Boxes/Solid-Tins-with-PET-Window.html',(SELECT CONCAT(url_path, '.html') FROM catalog_category_flat_store_1 WHERE entity_id=1298));</v>
      </c>
      <c r="D1317" t="str">
        <f t="shared" si="41"/>
        <v>UPDATE url_rewrite SET request_path = '64717/172936/Tin-Boxes/Solid-Tins-with-PET-Window.html' WHERE entity_type='custom' AND target_path=(SELECT CONCAT(url_path, '.html') FROM catalog_category_flat_store_1 WHERE entity_id=1298);</v>
      </c>
    </row>
    <row r="1318" spans="1:4" x14ac:dyDescent="0.25">
      <c r="A1318">
        <f>categories!B1318</f>
        <v>1300</v>
      </c>
      <c r="B1318" t="str">
        <f>SUBSTITUTE(SUBSTITUTE(categories!H1318,"\","/"),"www.americanretailsupply.com/","")</f>
        <v>65005/742516/Tissue-in-Animal-Prints/Wildlife-Printed-Tissue-Paper-Assortment-Pack.html</v>
      </c>
      <c r="C1318" t="str">
        <f t="shared" si="40"/>
        <v>INSERT INTO url_rewrite (entity_type, entity_id, redirect_type, store_id, request_path, target_path) VALUES ('custom', 0, 301, 1,'65005/742516/Tissue-in-Animal-Prints/Wildlife-Printed-Tissue-Paper-Assortment-Pack.html',(SELECT CONCAT(url_path, '.html') FROM catalog_category_flat_store_1 WHERE entity_id=1300));</v>
      </c>
      <c r="D1318" t="str">
        <f t="shared" si="41"/>
        <v>UPDATE url_rewrite SET request_path = '65005/742516/Tissue-in-Animal-Prints/Wildlife-Printed-Tissue-Paper-Assortment-Pack.html' WHERE entity_type='custom' AND target_path=(SELECT CONCAT(url_path, '.html') FROM catalog_category_flat_store_1 WHERE entity_id=1300);</v>
      </c>
    </row>
    <row r="1319" spans="1:4" x14ac:dyDescent="0.25">
      <c r="A1319">
        <f>categories!B1319</f>
        <v>1301</v>
      </c>
      <c r="B1319" t="str">
        <f>SUBSTITUTE(SUBSTITUTE(categories!H1319,"\","/"),"www.americanretailsupply.com/","")</f>
        <v>64703/19955/Tissue-Paper/White-and-Recycled-Kraft-Tissue-Paper.html</v>
      </c>
      <c r="C1319" t="str">
        <f t="shared" si="40"/>
        <v>INSERT INTO url_rewrite (entity_type, entity_id, redirect_type, store_id, request_path, target_path) VALUES ('custom', 0, 301, 1,'64703/19955/Tissue-Paper/White-and-Recycled-Kraft-Tissue-Paper.html',(SELECT CONCAT(url_path, '.html') FROM catalog_category_flat_store_1 WHERE entity_id=1301));</v>
      </c>
      <c r="D1319" t="str">
        <f t="shared" si="41"/>
        <v>UPDATE url_rewrite SET request_path = '64703/19955/Tissue-Paper/White-and-Recycled-Kraft-Tissue-Paper.html' WHERE entity_type='custom' AND target_path=(SELECT CONCAT(url_path, '.html') FROM catalog_category_flat_store_1 WHERE entity_id=1301);</v>
      </c>
    </row>
    <row r="1320" spans="1:4" x14ac:dyDescent="0.25">
      <c r="A1320">
        <f>categories!B1320</f>
        <v>1302</v>
      </c>
      <c r="B1320" t="str">
        <f>SUBSTITUTE(SUBSTITUTE(categories!H1320,"\","/"),"www.americanretailsupply.com/","")</f>
        <v>64703/19964/Tissue-Paper/Solid-Color-Tissue-Paper-Assortment-Packs.html</v>
      </c>
      <c r="C1320" t="str">
        <f t="shared" si="40"/>
        <v>INSERT INTO url_rewrite (entity_type, entity_id, redirect_type, store_id, request_path, target_path) VALUES ('custom', 0, 301, 1,'64703/19964/Tissue-Paper/Solid-Color-Tissue-Paper-Assortment-Packs.html',(SELECT CONCAT(url_path, '.html') FROM catalog_category_flat_store_1 WHERE entity_id=1302));</v>
      </c>
      <c r="D1320" t="str">
        <f t="shared" si="41"/>
        <v>UPDATE url_rewrite SET request_path = '64703/19964/Tissue-Paper/Solid-Color-Tissue-Paper-Assortment-Packs.html' WHERE entity_type='custom' AND target_path=(SELECT CONCAT(url_path, '.html') FROM catalog_category_flat_store_1 WHERE entity_id=1302);</v>
      </c>
    </row>
    <row r="1321" spans="1:4" x14ac:dyDescent="0.25">
      <c r="A1321">
        <f>categories!B1321</f>
        <v>1303</v>
      </c>
      <c r="B1321" t="str">
        <f>SUBSTITUTE(SUBSTITUTE(categories!H1321,"\","/"),"www.americanretailsupply.com/","")</f>
        <v>64703/20014/Tissue-Paper/Precious-Metal-Patterns-Printed-Tissue-Paper.html</v>
      </c>
      <c r="C1321" t="str">
        <f t="shared" si="40"/>
        <v>INSERT INTO url_rewrite (entity_type, entity_id, redirect_type, store_id, request_path, target_path) VALUES ('custom', 0, 301, 1,'64703/20014/Tissue-Paper/Precious-Metal-Patterns-Printed-Tissue-Paper.html',(SELECT CONCAT(url_path, '.html') FROM catalog_category_flat_store_1 WHERE entity_id=1303));</v>
      </c>
      <c r="D1321" t="str">
        <f t="shared" si="41"/>
        <v>UPDATE url_rewrite SET request_path = '64703/20014/Tissue-Paper/Precious-Metal-Patterns-Printed-Tissue-Paper.html' WHERE entity_type='custom' AND target_path=(SELECT CONCAT(url_path, '.html') FROM catalog_category_flat_store_1 WHERE entity_id=1303);</v>
      </c>
    </row>
    <row r="1322" spans="1:4" x14ac:dyDescent="0.25">
      <c r="A1322">
        <f>categories!B1322</f>
        <v>1304</v>
      </c>
      <c r="B1322" t="str">
        <f>SUBSTITUTE(SUBSTITUTE(categories!H1322,"\","/"),"www.americanretailsupply.com/","")</f>
        <v>64703/22984/Tissue-Paper/Shamrock-Printed-Tissue-Paper.html</v>
      </c>
      <c r="C1322" t="str">
        <f t="shared" si="40"/>
        <v>INSERT INTO url_rewrite (entity_type, entity_id, redirect_type, store_id, request_path, target_path) VALUES ('custom', 0, 301, 1,'64703/22984/Tissue-Paper/Shamrock-Printed-Tissue-Paper.html',(SELECT CONCAT(url_path, '.html') FROM catalog_category_flat_store_1 WHERE entity_id=1304));</v>
      </c>
      <c r="D1322" t="str">
        <f t="shared" si="41"/>
        <v>UPDATE url_rewrite SET request_path = '64703/22984/Tissue-Paper/Shamrock-Printed-Tissue-Paper.html' WHERE entity_type='custom' AND target_path=(SELECT CONCAT(url_path, '.html') FROM catalog_category_flat_store_1 WHERE entity_id=1304);</v>
      </c>
    </row>
    <row r="1323" spans="1:4" x14ac:dyDescent="0.25">
      <c r="A1323">
        <f>categories!B1323</f>
        <v>1305</v>
      </c>
      <c r="B1323" t="str">
        <f>SUBSTITUTE(SUBSTITUTE(categories!H1323,"\","/"),"www.americanretailsupply.com/","")</f>
        <v>64703/27521/Tissue-Paper/Western-Printed-Tissue-Paper.html</v>
      </c>
      <c r="C1323" t="str">
        <f t="shared" si="40"/>
        <v>INSERT INTO url_rewrite (entity_type, entity_id, redirect_type, store_id, request_path, target_path) VALUES ('custom', 0, 301, 1,'64703/27521/Tissue-Paper/Western-Printed-Tissue-Paper.html',(SELECT CONCAT(url_path, '.html') FROM catalog_category_flat_store_1 WHERE entity_id=1305));</v>
      </c>
      <c r="D1323" t="str">
        <f t="shared" si="41"/>
        <v>UPDATE url_rewrite SET request_path = '64703/27521/Tissue-Paper/Western-Printed-Tissue-Paper.html' WHERE entity_type='custom' AND target_path=(SELECT CONCAT(url_path, '.html') FROM catalog_category_flat_store_1 WHERE entity_id=1305);</v>
      </c>
    </row>
    <row r="1324" spans="1:4" x14ac:dyDescent="0.25">
      <c r="A1324">
        <f>categories!B1324</f>
        <v>1306</v>
      </c>
      <c r="B1324" t="str">
        <f>SUBSTITUTE(SUBSTITUTE(categories!H1324,"\","/"),"www.americanretailsupply.com/","")</f>
        <v>64703/223360/Tissue-Paper/Botanical-Printed-Tissue-Paper.html</v>
      </c>
      <c r="C1324" t="str">
        <f t="shared" si="40"/>
        <v>INSERT INTO url_rewrite (entity_type, entity_id, redirect_type, store_id, request_path, target_path) VALUES ('custom', 0, 301, 1,'64703/223360/Tissue-Paper/Botanical-Printed-Tissue-Paper.html',(SELECT CONCAT(url_path, '.html') FROM catalog_category_flat_store_1 WHERE entity_id=1306));</v>
      </c>
      <c r="D1324" t="str">
        <f t="shared" si="41"/>
        <v>UPDATE url_rewrite SET request_path = '64703/223360/Tissue-Paper/Botanical-Printed-Tissue-Paper.html' WHERE entity_type='custom' AND target_path=(SELECT CONCAT(url_path, '.html') FROM catalog_category_flat_store_1 WHERE entity_id=1306);</v>
      </c>
    </row>
    <row r="1325" spans="1:4" x14ac:dyDescent="0.25">
      <c r="A1325">
        <f>categories!B1325</f>
        <v>1307</v>
      </c>
      <c r="B1325" t="str">
        <f>SUBSTITUTE(SUBSTITUTE(categories!H1325,"\","/"),"www.americanretailsupply.com/","")</f>
        <v>64703/223361/Tissue-Paper/All-Occasion-Printed-Tissue-Paper.html</v>
      </c>
      <c r="C1325" t="str">
        <f t="shared" si="40"/>
        <v>INSERT INTO url_rewrite (entity_type, entity_id, redirect_type, store_id, request_path, target_path) VALUES ('custom', 0, 301, 1,'64703/223361/Tissue-Paper/All-Occasion-Printed-Tissue-Paper.html',(SELECT CONCAT(url_path, '.html') FROM catalog_category_flat_store_1 WHERE entity_id=1307));</v>
      </c>
      <c r="D1325" t="str">
        <f t="shared" si="41"/>
        <v>UPDATE url_rewrite SET request_path = '64703/223361/Tissue-Paper/All-Occasion-Printed-Tissue-Paper.html' WHERE entity_type='custom' AND target_path=(SELECT CONCAT(url_path, '.html') FROM catalog_category_flat_store_1 WHERE entity_id=1307);</v>
      </c>
    </row>
    <row r="1326" spans="1:4" x14ac:dyDescent="0.25">
      <c r="A1326">
        <f>categories!B1326</f>
        <v>1308</v>
      </c>
      <c r="B1326" t="str">
        <f>SUBSTITUTE(SUBSTITUTE(categories!H1326,"\","/"),"www.americanretailsupply.com/","")</f>
        <v>64703/223465/Tissue-Paper/Pearlesence-Tissue-Paper.html</v>
      </c>
      <c r="C1326" t="str">
        <f t="shared" si="40"/>
        <v>INSERT INTO url_rewrite (entity_type, entity_id, redirect_type, store_id, request_path, target_path) VALUES ('custom', 0, 301, 1,'64703/223465/Tissue-Paper/Pearlesence-Tissue-Paper.html',(SELECT CONCAT(url_path, '.html') FROM catalog_category_flat_store_1 WHERE entity_id=1308));</v>
      </c>
      <c r="D1326" t="str">
        <f t="shared" si="41"/>
        <v>UPDATE url_rewrite SET request_path = '64703/223465/Tissue-Paper/Pearlesence-Tissue-Paper.html' WHERE entity_type='custom' AND target_path=(SELECT CONCAT(url_path, '.html') FROM catalog_category_flat_store_1 WHERE entity_id=1308);</v>
      </c>
    </row>
    <row r="1327" spans="1:4" x14ac:dyDescent="0.25">
      <c r="A1327">
        <f>categories!B1327</f>
        <v>1309</v>
      </c>
      <c r="B1327" t="str">
        <f>SUBSTITUTE(SUBSTITUTE(categories!H1327,"\","/"),"www.americanretailsupply.com/","")</f>
        <v>64703/223466/Tissue-Paper/Gemstones-Patterned-Tissue-Paper.html</v>
      </c>
      <c r="C1327" t="str">
        <f t="shared" si="40"/>
        <v>INSERT INTO url_rewrite (entity_type, entity_id, redirect_type, store_id, request_path, target_path) VALUES ('custom', 0, 301, 1,'64703/223466/Tissue-Paper/Gemstones-Patterned-Tissue-Paper.html',(SELECT CONCAT(url_path, '.html') FROM catalog_category_flat_store_1 WHERE entity_id=1309));</v>
      </c>
      <c r="D1327" t="str">
        <f t="shared" si="41"/>
        <v>UPDATE url_rewrite SET request_path = '64703/223466/Tissue-Paper/Gemstones-Patterned-Tissue-Paper.html' WHERE entity_type='custom' AND target_path=(SELECT CONCAT(url_path, '.html') FROM catalog_category_flat_store_1 WHERE entity_id=1309);</v>
      </c>
    </row>
    <row r="1328" spans="1:4" x14ac:dyDescent="0.25">
      <c r="A1328">
        <f>categories!B1328</f>
        <v>1310</v>
      </c>
      <c r="B1328" t="str">
        <f>SUBSTITUTE(SUBSTITUTE(categories!H1328,"\","/"),"www.americanretailsupply.com/","")</f>
        <v>64703/443003/Tissue-Paper/Reflections-Tissue-Paper.html</v>
      </c>
      <c r="C1328" t="str">
        <f t="shared" si="40"/>
        <v>INSERT INTO url_rewrite (entity_type, entity_id, redirect_type, store_id, request_path, target_path) VALUES ('custom', 0, 301, 1,'64703/443003/Tissue-Paper/Reflections-Tissue-Paper.html',(SELECT CONCAT(url_path, '.html') FROM catalog_category_flat_store_1 WHERE entity_id=1310));</v>
      </c>
      <c r="D1328" t="str">
        <f t="shared" si="41"/>
        <v>UPDATE url_rewrite SET request_path = '64703/443003/Tissue-Paper/Reflections-Tissue-Paper.html' WHERE entity_type='custom' AND target_path=(SELECT CONCAT(url_path, '.html') FROM catalog_category_flat_store_1 WHERE entity_id=1310);</v>
      </c>
    </row>
    <row r="1329" spans="1:4" x14ac:dyDescent="0.25">
      <c r="A1329">
        <f>categories!B1329</f>
        <v>1311</v>
      </c>
      <c r="B1329" t="str">
        <f>SUBSTITUTE(SUBSTITUTE(categories!H1329,"\","/"),"www.americanretailsupply.com/","")</f>
        <v>64703/742518/Tissue-Paper/Animal-Printed-Tissue-Paper.html</v>
      </c>
      <c r="C1329" t="str">
        <f t="shared" si="40"/>
        <v>INSERT INTO url_rewrite (entity_type, entity_id, redirect_type, store_id, request_path, target_path) VALUES ('custom', 0, 301, 1,'64703/742518/Tissue-Paper/Animal-Printed-Tissue-Paper.html',(SELECT CONCAT(url_path, '.html') FROM catalog_category_flat_store_1 WHERE entity_id=1311));</v>
      </c>
      <c r="D1329" t="str">
        <f t="shared" si="41"/>
        <v>UPDATE url_rewrite SET request_path = '64703/742518/Tissue-Paper/Animal-Printed-Tissue-Paper.html' WHERE entity_type='custom' AND target_path=(SELECT CONCAT(url_path, '.html') FROM catalog_category_flat_store_1 WHERE entity_id=1311);</v>
      </c>
    </row>
    <row r="1330" spans="1:4" x14ac:dyDescent="0.25">
      <c r="A1330">
        <f>categories!B1330</f>
        <v>1312</v>
      </c>
      <c r="B1330" t="str">
        <f>SUBSTITUTE(SUBSTITUTE(categories!H1330,"\","/"),"www.americanretailsupply.com/","")</f>
        <v>64942/2347/Traditional-Slatwall-Panels--Inserts/Slatwall-Panels.html</v>
      </c>
      <c r="C1330" t="str">
        <f t="shared" si="40"/>
        <v>INSERT INTO url_rewrite (entity_type, entity_id, redirect_type, store_id, request_path, target_path) VALUES ('custom', 0, 301, 1,'64942/2347/Traditional-Slatwall-Panels--Inserts/Slatwall-Panels.html',(SELECT CONCAT(url_path, '.html') FROM catalog_category_flat_store_1 WHERE entity_id=1312));</v>
      </c>
      <c r="D1330" t="str">
        <f t="shared" si="41"/>
        <v>UPDATE url_rewrite SET request_path = '64942/2347/Traditional-Slatwall-Panels--Inserts/Slatwall-Panels.html' WHERE entity_type='custom' AND target_path=(SELECT CONCAT(url_path, '.html') FROM catalog_category_flat_store_1 WHERE entity_id=1312);</v>
      </c>
    </row>
    <row r="1331" spans="1:4" x14ac:dyDescent="0.25">
      <c r="A1331">
        <f>categories!B1331</f>
        <v>1313</v>
      </c>
      <c r="B1331" t="str">
        <f>SUBSTITUTE(SUBSTITUTE(categories!H1331,"\","/"),"www.americanretailsupply.com/","")</f>
        <v>64942/148448/Traditional-Slatwall-Panels--Inserts/Slatwall-Panel-Inserts.html</v>
      </c>
      <c r="C1331" t="str">
        <f t="shared" si="40"/>
        <v>INSERT INTO url_rewrite (entity_type, entity_id, redirect_type, store_id, request_path, target_path) VALUES ('custom', 0, 301, 1,'64942/148448/Traditional-Slatwall-Panels--Inserts/Slatwall-Panel-Inserts.html',(SELECT CONCAT(url_path, '.html') FROM catalog_category_flat_store_1 WHERE entity_id=1313));</v>
      </c>
      <c r="D1331" t="str">
        <f t="shared" si="41"/>
        <v>UPDATE url_rewrite SET request_path = '64942/148448/Traditional-Slatwall-Panels--Inserts/Slatwall-Panel-Inserts.html' WHERE entity_type='custom' AND target_path=(SELECT CONCAT(url_path, '.html') FROM catalog_category_flat_store_1 WHERE entity_id=1313);</v>
      </c>
    </row>
    <row r="1332" spans="1:4" x14ac:dyDescent="0.25">
      <c r="A1332">
        <f>categories!B1332</f>
        <v>1315</v>
      </c>
      <c r="B1332" t="str">
        <f>SUBSTITUTE(SUBSTITUTE(categories!H1332,"\","/"),"www.americanretailsupply.com/","")</f>
        <v>64742/172821/Tulle/Tulle-Rolls.html</v>
      </c>
      <c r="C1332" t="str">
        <f t="shared" si="40"/>
        <v>INSERT INTO url_rewrite (entity_type, entity_id, redirect_type, store_id, request_path, target_path) VALUES ('custom', 0, 301, 1,'64742/172821/Tulle/Tulle-Rolls.html',(SELECT CONCAT(url_path, '.html') FROM catalog_category_flat_store_1 WHERE entity_id=1315));</v>
      </c>
      <c r="D1332" t="str">
        <f t="shared" si="41"/>
        <v>UPDATE url_rewrite SET request_path = '64742/172821/Tulle/Tulle-Rolls.html' WHERE entity_type='custom' AND target_path=(SELECT CONCAT(url_path, '.html') FROM catalog_category_flat_store_1 WHERE entity_id=1315);</v>
      </c>
    </row>
    <row r="1333" spans="1:4" x14ac:dyDescent="0.25">
      <c r="A1333">
        <f>categories!B1333</f>
        <v>1317</v>
      </c>
      <c r="B1333" t="str">
        <f>SUBSTITUTE(SUBSTITUTE(categories!H1333,"\","/"),"www.americanretailsupply.com/","")</f>
        <v>64854/12530/Turn--O--Matic-Systems/Turn-O-Matic-Systems.html</v>
      </c>
      <c r="C1333" t="str">
        <f t="shared" si="40"/>
        <v>INSERT INTO url_rewrite (entity_type, entity_id, redirect_type, store_id, request_path, target_path) VALUES ('custom', 0, 301, 1,'64854/12530/Turn--O--Matic-Systems/Turn-O-Matic-Systems.html',(SELECT CONCAT(url_path, '.html') FROM catalog_category_flat_store_1 WHERE entity_id=1317));</v>
      </c>
      <c r="D1333" t="str">
        <f t="shared" si="41"/>
        <v>UPDATE url_rewrite SET request_path = '64854/12530/Turn--O--Matic-Systems/Turn-O-Matic-Systems.html' WHERE entity_type='custom' AND target_path=(SELECT CONCAT(url_path, '.html') FROM catalog_category_flat_store_1 WHERE entity_id=1317);</v>
      </c>
    </row>
    <row r="1334" spans="1:4" x14ac:dyDescent="0.25">
      <c r="A1334">
        <f>categories!B1334</f>
        <v>1318</v>
      </c>
      <c r="B1334" t="str">
        <f>SUBSTITUTE(SUBSTITUTE(categories!H1334,"\","/"),"www.americanretailsupply.com/","")</f>
        <v>64854/148404/Turn--O--Matic-Systems/Turn-O-Matic-Tickets.html</v>
      </c>
      <c r="C1334" t="str">
        <f t="shared" si="40"/>
        <v>INSERT INTO url_rewrite (entity_type, entity_id, redirect_type, store_id, request_path, target_path) VALUES ('custom', 0, 301, 1,'64854/148404/Turn--O--Matic-Systems/Turn-O-Matic-Tickets.html',(SELECT CONCAT(url_path, '.html') FROM catalog_category_flat_store_1 WHERE entity_id=1318));</v>
      </c>
      <c r="D1334" t="str">
        <f t="shared" si="41"/>
        <v>UPDATE url_rewrite SET request_path = '64854/148404/Turn--O--Matic-Systems/Turn-O-Matic-Tickets.html' WHERE entity_type='custom' AND target_path=(SELECT CONCAT(url_path, '.html') FROM catalog_category_flat_store_1 WHERE entity_id=1318);</v>
      </c>
    </row>
    <row r="1335" spans="1:4" x14ac:dyDescent="0.25">
      <c r="A1335">
        <f>categories!B1335</f>
        <v>1320</v>
      </c>
      <c r="B1335" t="str">
        <f>SUBSTITUTE(SUBSTITUTE(categories!H1335,"\","/"),"www.americanretailsupply.com/","")</f>
        <v>65155/741086/Unbreakable-Forms/Female-Hanging-Torso-Form-with-No-Arms.html</v>
      </c>
      <c r="C1335" t="str">
        <f t="shared" si="40"/>
        <v>INSERT INTO url_rewrite (entity_type, entity_id, redirect_type, store_id, request_path, target_path) VALUES ('custom', 0, 301, 1,'65155/741086/Unbreakable-Forms/Female-Hanging-Torso-Form-with-No-Arms.html',(SELECT CONCAT(url_path, '.html') FROM catalog_category_flat_store_1 WHERE entity_id=1320));</v>
      </c>
      <c r="D1335" t="str">
        <f t="shared" si="41"/>
        <v>UPDATE url_rewrite SET request_path = '65155/741086/Unbreakable-Forms/Female-Hanging-Torso-Form-with-No-Arms.html' WHERE entity_type='custom' AND target_path=(SELECT CONCAT(url_path, '.html') FROM catalog_category_flat_store_1 WHERE entity_id=1320);</v>
      </c>
    </row>
    <row r="1336" spans="1:4" x14ac:dyDescent="0.25">
      <c r="A1336">
        <f>categories!B1336</f>
        <v>1321</v>
      </c>
      <c r="B1336" t="str">
        <f>SUBSTITUTE(SUBSTITUTE(categories!H1336,"\","/"),"www.americanretailsupply.com/","")</f>
        <v>65155/741088/Unbreakable-Forms/Female-Torso-Form-with-Arms.html</v>
      </c>
      <c r="C1336" t="str">
        <f t="shared" si="40"/>
        <v>INSERT INTO url_rewrite (entity_type, entity_id, redirect_type, store_id, request_path, target_path) VALUES ('custom', 0, 301, 1,'65155/741088/Unbreakable-Forms/Female-Torso-Form-with-Arms.html',(SELECT CONCAT(url_path, '.html') FROM catalog_category_flat_store_1 WHERE entity_id=1321));</v>
      </c>
      <c r="D1336" t="str">
        <f t="shared" si="41"/>
        <v>UPDATE url_rewrite SET request_path = '65155/741088/Unbreakable-Forms/Female-Torso-Form-with-Arms.html' WHERE entity_type='custom' AND target_path=(SELECT CONCAT(url_path, '.html') FROM catalog_category_flat_store_1 WHERE entity_id=1321);</v>
      </c>
    </row>
    <row r="1337" spans="1:4" x14ac:dyDescent="0.25">
      <c r="A1337">
        <f>categories!B1337</f>
        <v>1322</v>
      </c>
      <c r="B1337" t="str">
        <f>SUBSTITUTE(SUBSTITUTE(categories!H1337,"\","/"),"www.americanretailsupply.com/","")</f>
        <v>65155/741089/Unbreakable-Forms/Female-Torso-Form-with-No-Arms.html</v>
      </c>
      <c r="C1337" t="str">
        <f t="shared" si="40"/>
        <v>INSERT INTO url_rewrite (entity_type, entity_id, redirect_type, store_id, request_path, target_path) VALUES ('custom', 0, 301, 1,'65155/741089/Unbreakable-Forms/Female-Torso-Form-with-No-Arms.html',(SELECT CONCAT(url_path, '.html') FROM catalog_category_flat_store_1 WHERE entity_id=1322));</v>
      </c>
      <c r="D1337" t="str">
        <f t="shared" si="41"/>
        <v>UPDATE url_rewrite SET request_path = '65155/741089/Unbreakable-Forms/Female-Torso-Form-with-No-Arms.html' WHERE entity_type='custom' AND target_path=(SELECT CONCAT(url_path, '.html') FROM catalog_category_flat_store_1 WHERE entity_id=1322);</v>
      </c>
    </row>
    <row r="1338" spans="1:4" x14ac:dyDescent="0.25">
      <c r="A1338">
        <f>categories!B1338</f>
        <v>1323</v>
      </c>
      <c r="B1338" t="str">
        <f>SUBSTITUTE(SUBSTITUTE(categories!H1338,"\","/"),"www.americanretailsupply.com/","")</f>
        <v>65155/741093/Unbreakable-Forms/Male-Hanging-Torso-Form-with-No-Arms.html</v>
      </c>
      <c r="C1338" t="str">
        <f t="shared" si="40"/>
        <v>INSERT INTO url_rewrite (entity_type, entity_id, redirect_type, store_id, request_path, target_path) VALUES ('custom', 0, 301, 1,'65155/741093/Unbreakable-Forms/Male-Hanging-Torso-Form-with-No-Arms.html',(SELECT CONCAT(url_path, '.html') FROM catalog_category_flat_store_1 WHERE entity_id=1323));</v>
      </c>
      <c r="D1338" t="str">
        <f t="shared" si="41"/>
        <v>UPDATE url_rewrite SET request_path = '65155/741093/Unbreakable-Forms/Male-Hanging-Torso-Form-with-No-Arms.html' WHERE entity_type='custom' AND target_path=(SELECT CONCAT(url_path, '.html') FROM catalog_category_flat_store_1 WHERE entity_id=1323);</v>
      </c>
    </row>
    <row r="1339" spans="1:4" x14ac:dyDescent="0.25">
      <c r="A1339">
        <f>categories!B1339</f>
        <v>1324</v>
      </c>
      <c r="B1339" t="str">
        <f>SUBSTITUTE(SUBSTITUTE(categories!H1339,"\","/"),"www.americanretailsupply.com/","")</f>
        <v>65155/741095/Unbreakable-Forms/Male-Torso-Form-with-Arms.html</v>
      </c>
      <c r="C1339" t="str">
        <f t="shared" si="40"/>
        <v>INSERT INTO url_rewrite (entity_type, entity_id, redirect_type, store_id, request_path, target_path) VALUES ('custom', 0, 301, 1,'65155/741095/Unbreakable-Forms/Male-Torso-Form-with-Arms.html',(SELECT CONCAT(url_path, '.html') FROM catalog_category_flat_store_1 WHERE entity_id=1324));</v>
      </c>
      <c r="D1339" t="str">
        <f t="shared" si="41"/>
        <v>UPDATE url_rewrite SET request_path = '65155/741095/Unbreakable-Forms/Male-Torso-Form-with-Arms.html' WHERE entity_type='custom' AND target_path=(SELECT CONCAT(url_path, '.html') FROM catalog_category_flat_store_1 WHERE entity_id=1324);</v>
      </c>
    </row>
    <row r="1340" spans="1:4" x14ac:dyDescent="0.25">
      <c r="A1340">
        <f>categories!B1340</f>
        <v>1325</v>
      </c>
      <c r="B1340" t="str">
        <f>SUBSTITUTE(SUBSTITUTE(categories!H1340,"\","/"),"www.americanretailsupply.com/","")</f>
        <v>65155/741096/Unbreakable-Forms/Male-Torso-Form-with-No-Arms.html</v>
      </c>
      <c r="C1340" t="str">
        <f t="shared" si="40"/>
        <v>INSERT INTO url_rewrite (entity_type, entity_id, redirect_type, store_id, request_path, target_path) VALUES ('custom', 0, 301, 1,'65155/741096/Unbreakable-Forms/Male-Torso-Form-with-No-Arms.html',(SELECT CONCAT(url_path, '.html') FROM catalog_category_flat_store_1 WHERE entity_id=1325));</v>
      </c>
      <c r="D1340" t="str">
        <f t="shared" si="41"/>
        <v>UPDATE url_rewrite SET request_path = '65155/741096/Unbreakable-Forms/Male-Torso-Form-with-No-Arms.html' WHERE entity_type='custom' AND target_path=(SELECT CONCAT(url_path, '.html') FROM catalog_category_flat_store_1 WHERE entity_id=1325);</v>
      </c>
    </row>
    <row r="1341" spans="1:4" x14ac:dyDescent="0.25">
      <c r="A1341">
        <f>categories!B1341</f>
        <v>1326</v>
      </c>
      <c r="B1341" t="str">
        <f>SUBSTITUTE(SUBSTITUTE(categories!H1341,"\","/"),"www.americanretailsupply.com/","")</f>
        <v>65155/741098/Unbreakable-Forms/Female-with-Oval-Head.html</v>
      </c>
      <c r="C1341" t="str">
        <f t="shared" si="40"/>
        <v>INSERT INTO url_rewrite (entity_type, entity_id, redirect_type, store_id, request_path, target_path) VALUES ('custom', 0, 301, 1,'65155/741098/Unbreakable-Forms/Female-with-Oval-Head.html',(SELECT CONCAT(url_path, '.html') FROM catalog_category_flat_store_1 WHERE entity_id=1326));</v>
      </c>
      <c r="D1341" t="str">
        <f t="shared" si="41"/>
        <v>UPDATE url_rewrite SET request_path = '65155/741098/Unbreakable-Forms/Female-with-Oval-Head.html' WHERE entity_type='custom' AND target_path=(SELECT CONCAT(url_path, '.html') FROM catalog_category_flat_store_1 WHERE entity_id=1326);</v>
      </c>
    </row>
    <row r="1342" spans="1:4" x14ac:dyDescent="0.25">
      <c r="A1342">
        <f>categories!B1342</f>
        <v>1327</v>
      </c>
      <c r="B1342" t="str">
        <f>SUBSTITUTE(SUBSTITUTE(categories!H1342,"\","/"),"www.americanretailsupply.com/","")</f>
        <v>65155/741100/Unbreakable-Forms/Female-Headless-with-Straight-Legs--Arms.html</v>
      </c>
      <c r="C1342" t="str">
        <f t="shared" si="40"/>
        <v>INSERT INTO url_rewrite (entity_type, entity_id, redirect_type, store_id, request_path, target_path) VALUES ('custom', 0, 301, 1,'65155/741100/Unbreakable-Forms/Female-Headless-with-Straight-Legs--Arms.html',(SELECT CONCAT(url_path, '.html') FROM catalog_category_flat_store_1 WHERE entity_id=1327));</v>
      </c>
      <c r="D1342" t="str">
        <f t="shared" si="41"/>
        <v>UPDATE url_rewrite SET request_path = '65155/741100/Unbreakable-Forms/Female-Headless-with-Straight-Legs--Arms.html' WHERE entity_type='custom' AND target_path=(SELECT CONCAT(url_path, '.html') FROM catalog_category_flat_store_1 WHERE entity_id=1327);</v>
      </c>
    </row>
    <row r="1343" spans="1:4" x14ac:dyDescent="0.25">
      <c r="A1343">
        <f>categories!B1343</f>
        <v>1328</v>
      </c>
      <c r="B1343" t="str">
        <f>SUBSTITUTE(SUBSTITUTE(categories!H1343,"\","/"),"www.americanretailsupply.com/","")</f>
        <v>65155/741103/Unbreakable-Forms/Male-Headless-with-Straight-Legs-and-Arms.html</v>
      </c>
      <c r="C1343" t="str">
        <f t="shared" si="40"/>
        <v>INSERT INTO url_rewrite (entity_type, entity_id, redirect_type, store_id, request_path, target_path) VALUES ('custom', 0, 301, 1,'65155/741103/Unbreakable-Forms/Male-Headless-with-Straight-Legs-and-Arms.html',(SELECT CONCAT(url_path, '.html') FROM catalog_category_flat_store_1 WHERE entity_id=1328));</v>
      </c>
      <c r="D1343" t="str">
        <f t="shared" si="41"/>
        <v>UPDATE url_rewrite SET request_path = '65155/741103/Unbreakable-Forms/Male-Headless-with-Straight-Legs-and-Arms.html' WHERE entity_type='custom' AND target_path=(SELECT CONCAT(url_path, '.html') FROM catalog_category_flat_store_1 WHERE entity_id=1328);</v>
      </c>
    </row>
    <row r="1344" spans="1:4" x14ac:dyDescent="0.25">
      <c r="A1344">
        <f>categories!B1344</f>
        <v>1329</v>
      </c>
      <c r="B1344" t="str">
        <f>SUBSTITUTE(SUBSTITUTE(categories!H1344,"\","/"),"www.americanretailsupply.com/","")</f>
        <v>65155/741105/Unbreakable-Forms/Female-Leg-Form.html</v>
      </c>
      <c r="C1344" t="str">
        <f t="shared" si="40"/>
        <v>INSERT INTO url_rewrite (entity_type, entity_id, redirect_type, store_id, request_path, target_path) VALUES ('custom', 0, 301, 1,'65155/741105/Unbreakable-Forms/Female-Leg-Form.html',(SELECT CONCAT(url_path, '.html') FROM catalog_category_flat_store_1 WHERE entity_id=1329));</v>
      </c>
      <c r="D1344" t="str">
        <f t="shared" si="41"/>
        <v>UPDATE url_rewrite SET request_path = '65155/741105/Unbreakable-Forms/Female-Leg-Form.html' WHERE entity_type='custom' AND target_path=(SELECT CONCAT(url_path, '.html') FROM catalog_category_flat_store_1 WHERE entity_id=1329);</v>
      </c>
    </row>
    <row r="1345" spans="1:4" x14ac:dyDescent="0.25">
      <c r="A1345">
        <f>categories!B1345</f>
        <v>1330</v>
      </c>
      <c r="B1345" t="str">
        <f>SUBSTITUTE(SUBSTITUTE(categories!H1345,"\","/"),"www.americanretailsupply.com/","")</f>
        <v>65155/741106/Unbreakable-Forms/Male-Leg-Form.html</v>
      </c>
      <c r="C1345" t="str">
        <f t="shared" si="40"/>
        <v>INSERT INTO url_rewrite (entity_type, entity_id, redirect_type, store_id, request_path, target_path) VALUES ('custom', 0, 301, 1,'65155/741106/Unbreakable-Forms/Male-Leg-Form.html',(SELECT CONCAT(url_path, '.html') FROM catalog_category_flat_store_1 WHERE entity_id=1330));</v>
      </c>
      <c r="D1345" t="str">
        <f t="shared" si="41"/>
        <v>UPDATE url_rewrite SET request_path = '65155/741106/Unbreakable-Forms/Male-Leg-Form.html' WHERE entity_type='custom' AND target_path=(SELECT CONCAT(url_path, '.html') FROM catalog_category_flat_store_1 WHERE entity_id=1330);</v>
      </c>
    </row>
    <row r="1346" spans="1:4" x14ac:dyDescent="0.25">
      <c r="A1346">
        <f>categories!B1346</f>
        <v>1331</v>
      </c>
      <c r="B1346" t="str">
        <f>SUBSTITUTE(SUBSTITUTE(categories!H1346,"\","/"),"www.americanretailsupply.com/","")</f>
        <v>65155/741108/Unbreakable-Forms/Female-Hip-Form.html</v>
      </c>
      <c r="C1346" t="str">
        <f t="shared" si="40"/>
        <v>INSERT INTO url_rewrite (entity_type, entity_id, redirect_type, store_id, request_path, target_path) VALUES ('custom', 0, 301, 1,'65155/741108/Unbreakable-Forms/Female-Hip-Form.html',(SELECT CONCAT(url_path, '.html') FROM catalog_category_flat_store_1 WHERE entity_id=1331));</v>
      </c>
      <c r="D1346" t="str">
        <f t="shared" si="41"/>
        <v>UPDATE url_rewrite SET request_path = '65155/741108/Unbreakable-Forms/Female-Hip-Form.html' WHERE entity_type='custom' AND target_path=(SELECT CONCAT(url_path, '.html') FROM catalog_category_flat_store_1 WHERE entity_id=1331);</v>
      </c>
    </row>
    <row r="1347" spans="1:4" x14ac:dyDescent="0.25">
      <c r="A1347">
        <f>categories!B1347</f>
        <v>1332</v>
      </c>
      <c r="B1347" t="str">
        <f>SUBSTITUTE(SUBSTITUTE(categories!H1347,"\","/"),"www.americanretailsupply.com/","")</f>
        <v>65155/741109/Unbreakable-Forms/Male-Hip-Form.html</v>
      </c>
      <c r="C1347" t="str">
        <f t="shared" ref="C1347:C1410" si="42">"INSERT INTO url_rewrite (entity_type, entity_id, redirect_type, store_id, request_path, target_path) VALUES ('custom', 0, 301, 1,'"&amp;B1347&amp;"',(SELECT CONCAT(url_path, '.html') FROM catalog_category_flat_store_1 WHERE entity_id="&amp;A1347&amp;"));"</f>
        <v>INSERT INTO url_rewrite (entity_type, entity_id, redirect_type, store_id, request_path, target_path) VALUES ('custom', 0, 301, 1,'65155/741109/Unbreakable-Forms/Male-Hip-Form.html',(SELECT CONCAT(url_path, '.html') FROM catalog_category_flat_store_1 WHERE entity_id=1332));</v>
      </c>
      <c r="D1347" t="str">
        <f t="shared" ref="D1347:D1410" si="43">"UPDATE url_rewrite SET request_path = '"&amp;B1347&amp;"' WHERE entity_type='custom' AND target_path=(SELECT CONCAT(url_path, '.html') FROM catalog_category_flat_store_1 WHERE entity_id="&amp;A1347&amp;");"</f>
        <v>UPDATE url_rewrite SET request_path = '65155/741109/Unbreakable-Forms/Male-Hip-Form.html' WHERE entity_type='custom' AND target_path=(SELECT CONCAT(url_path, '.html') FROM catalog_category_flat_store_1 WHERE entity_id=1332);</v>
      </c>
    </row>
    <row r="1348" spans="1:4" x14ac:dyDescent="0.25">
      <c r="A1348">
        <f>categories!B1348</f>
        <v>1334</v>
      </c>
      <c r="B1348" t="str">
        <f>SUBSTITUTE(SUBSTITUTE(categories!H1348,"\","/"),"www.americanretailsupply.com/","")</f>
        <v>64966/41105/Universal-HD-Brackets/Universal-Brackets.html</v>
      </c>
      <c r="C1348" t="str">
        <f t="shared" si="42"/>
        <v>INSERT INTO url_rewrite (entity_type, entity_id, redirect_type, store_id, request_path, target_path) VALUES ('custom', 0, 301, 1,'64966/41105/Universal-HD-Brackets/Universal-Brackets.html',(SELECT CONCAT(url_path, '.html') FROM catalog_category_flat_store_1 WHERE entity_id=1334));</v>
      </c>
      <c r="D1348" t="str">
        <f t="shared" si="43"/>
        <v>UPDATE url_rewrite SET request_path = '64966/41105/Universal-HD-Brackets/Universal-Brackets.html' WHERE entity_type='custom' AND target_path=(SELECT CONCAT(url_path, '.html') FROM catalog_category_flat_store_1 WHERE entity_id=1334);</v>
      </c>
    </row>
    <row r="1349" spans="1:4" x14ac:dyDescent="0.25">
      <c r="A1349">
        <f>categories!B1349</f>
        <v>1335</v>
      </c>
      <c r="B1349" t="str">
        <f>SUBSTITUTE(SUBSTITUTE(categories!H1349,"\","/"),"www.americanretailsupply.com/","")</f>
        <v>64966/41106/Universal-HD-Brackets/Universal-Flange-Brackets.html</v>
      </c>
      <c r="C1349" t="str">
        <f t="shared" si="42"/>
        <v>INSERT INTO url_rewrite (entity_type, entity_id, redirect_type, store_id, request_path, target_path) VALUES ('custom', 0, 301, 1,'64966/41106/Universal-HD-Brackets/Universal-Flange-Brackets.html',(SELECT CONCAT(url_path, '.html') FROM catalog_category_flat_store_1 WHERE entity_id=1335));</v>
      </c>
      <c r="D1349" t="str">
        <f t="shared" si="43"/>
        <v>UPDATE url_rewrite SET request_path = '64966/41106/Universal-HD-Brackets/Universal-Flange-Brackets.html' WHERE entity_type='custom' AND target_path=(SELECT CONCAT(url_path, '.html') FROM catalog_category_flat_store_1 WHERE entity_id=1335);</v>
      </c>
    </row>
    <row r="1350" spans="1:4" x14ac:dyDescent="0.25">
      <c r="A1350">
        <f>categories!B1350</f>
        <v>1336</v>
      </c>
      <c r="B1350" t="str">
        <f>SUBSTITUTE(SUBSTITUTE(categories!H1350,"\","/"),"www.americanretailsupply.com/","")</f>
        <v>64966/41107/Universal-HD-Brackets/Universal-Adjustable-Flange-Brackets.html</v>
      </c>
      <c r="C1350" t="str">
        <f t="shared" si="42"/>
        <v>INSERT INTO url_rewrite (entity_type, entity_id, redirect_type, store_id, request_path, target_path) VALUES ('custom', 0, 301, 1,'64966/41107/Universal-HD-Brackets/Universal-Adjustable-Flange-Brackets.html',(SELECT CONCAT(url_path, '.html') FROM catalog_category_flat_store_1 WHERE entity_id=1336));</v>
      </c>
      <c r="D1350" t="str">
        <f t="shared" si="43"/>
        <v>UPDATE url_rewrite SET request_path = '64966/41107/Universal-HD-Brackets/Universal-Adjustable-Flange-Brackets.html' WHERE entity_type='custom' AND target_path=(SELECT CONCAT(url_path, '.html') FROM catalog_category_flat_store_1 WHERE entity_id=1336);</v>
      </c>
    </row>
    <row r="1351" spans="1:4" x14ac:dyDescent="0.25">
      <c r="A1351">
        <f>categories!B1351</f>
        <v>1337</v>
      </c>
      <c r="B1351" t="str">
        <f>SUBSTITUTE(SUBSTITUTE(categories!H1351,"\","/"),"www.americanretailsupply.com/","")</f>
        <v>64966/41108/Universal-HD-Brackets/Universal-Straight-Faceout-with-Metal-Lock-Nut.html</v>
      </c>
      <c r="C1351" t="str">
        <f t="shared" si="42"/>
        <v>INSERT INTO url_rewrite (entity_type, entity_id, redirect_type, store_id, request_path, target_path) VALUES ('custom', 0, 301, 1,'64966/41108/Universal-HD-Brackets/Universal-Straight-Faceout-with-Metal-Lock-Nut.html',(SELECT CONCAT(url_path, '.html') FROM catalog_category_flat_store_1 WHERE entity_id=1337));</v>
      </c>
      <c r="D1351" t="str">
        <f t="shared" si="43"/>
        <v>UPDATE url_rewrite SET request_path = '64966/41108/Universal-HD-Brackets/Universal-Straight-Faceout-with-Metal-Lock-Nut.html' WHERE entity_type='custom' AND target_path=(SELECT CONCAT(url_path, '.html') FROM catalog_category_flat_store_1 WHERE entity_id=1337);</v>
      </c>
    </row>
    <row r="1352" spans="1:4" x14ac:dyDescent="0.25">
      <c r="A1352">
        <f>categories!B1352</f>
        <v>1338</v>
      </c>
      <c r="B1352" t="str">
        <f>SUBSTITUTE(SUBSTITUTE(categories!H1352,"\","/"),"www.americanretailsupply.com/","")</f>
        <v>64966/41109/Universal-HD-Brackets/Waterfall-Ball-with-Metal-Lock-Nut.html</v>
      </c>
      <c r="C1352" t="str">
        <f t="shared" si="42"/>
        <v>INSERT INTO url_rewrite (entity_type, entity_id, redirect_type, store_id, request_path, target_path) VALUES ('custom', 0, 301, 1,'64966/41109/Universal-HD-Brackets/Waterfall-Ball-with-Metal-Lock-Nut.html',(SELECT CONCAT(url_path, '.html') FROM catalog_category_flat_store_1 WHERE entity_id=1338));</v>
      </c>
      <c r="D1352" t="str">
        <f t="shared" si="43"/>
        <v>UPDATE url_rewrite SET request_path = '64966/41109/Universal-HD-Brackets/Waterfall-Ball-with-Metal-Lock-Nut.html' WHERE entity_type='custom' AND target_path=(SELECT CONCAT(url_path, '.html') FROM catalog_category_flat_store_1 WHERE entity_id=1338);</v>
      </c>
    </row>
    <row r="1353" spans="1:4" x14ac:dyDescent="0.25">
      <c r="A1353">
        <f>categories!B1353</f>
        <v>1339</v>
      </c>
      <c r="B1353" t="str">
        <f>SUBSTITUTE(SUBSTITUTE(categories!H1353,"\","/"),"www.americanretailsupply.com/","")</f>
        <v>64966/41110/Universal-HD-Brackets/Waterfall-Hook-with-Metal-Lock-Nut.html</v>
      </c>
      <c r="C1353" t="str">
        <f t="shared" si="42"/>
        <v>INSERT INTO url_rewrite (entity_type, entity_id, redirect_type, store_id, request_path, target_path) VALUES ('custom', 0, 301, 1,'64966/41110/Universal-HD-Brackets/Waterfall-Hook-with-Metal-Lock-Nut.html',(SELECT CONCAT(url_path, '.html') FROM catalog_category_flat_store_1 WHERE entity_id=1339));</v>
      </c>
      <c r="D1353" t="str">
        <f t="shared" si="43"/>
        <v>UPDATE url_rewrite SET request_path = '64966/41110/Universal-HD-Brackets/Waterfall-Hook-with-Metal-Lock-Nut.html' WHERE entity_type='custom' AND target_path=(SELECT CONCAT(url_path, '.html') FROM catalog_category_flat_store_1 WHERE entity_id=1339);</v>
      </c>
    </row>
    <row r="1354" spans="1:4" x14ac:dyDescent="0.25">
      <c r="A1354">
        <f>categories!B1354</f>
        <v>1340</v>
      </c>
      <c r="B1354" t="str">
        <f>SUBSTITUTE(SUBSTITUTE(categories!H1354,"\","/"),"www.americanretailsupply.com/","")</f>
        <v>64966/41111/Universal-HD-Brackets/Universal-Brackets-for-Merchandise-Bar-with-Lock-Nuts.html</v>
      </c>
      <c r="C1354" t="str">
        <f t="shared" si="42"/>
        <v>INSERT INTO url_rewrite (entity_type, entity_id, redirect_type, store_id, request_path, target_path) VALUES ('custom', 0, 301, 1,'64966/41111/Universal-HD-Brackets/Universal-Brackets-for-Merchandise-Bar-with-Lock-Nuts.html',(SELECT CONCAT(url_path, '.html') FROM catalog_category_flat_store_1 WHERE entity_id=1340));</v>
      </c>
      <c r="D1354" t="str">
        <f t="shared" si="43"/>
        <v>UPDATE url_rewrite SET request_path = '64966/41111/Universal-HD-Brackets/Universal-Brackets-for-Merchandise-Bar-with-Lock-Nuts.html' WHERE entity_type='custom' AND target_path=(SELECT CONCAT(url_path, '.html') FROM catalog_category_flat_store_1 WHERE entity_id=1340);</v>
      </c>
    </row>
    <row r="1355" spans="1:4" x14ac:dyDescent="0.25">
      <c r="A1355">
        <f>categories!B1355</f>
        <v>1341</v>
      </c>
      <c r="B1355" t="str">
        <f>SUBSTITUTE(SUBSTITUTE(categories!H1355,"\","/"),"www.americanretailsupply.com/","")</f>
        <v>64966/41112/Universal-HD-Brackets/Universal-Hangrod-End-Mount-Bracket.html</v>
      </c>
      <c r="C1355" t="str">
        <f t="shared" si="42"/>
        <v>INSERT INTO url_rewrite (entity_type, entity_id, redirect_type, store_id, request_path, target_path) VALUES ('custom', 0, 301, 1,'64966/41112/Universal-HD-Brackets/Universal-Hangrod-End-Mount-Bracket.html',(SELECT CONCAT(url_path, '.html') FROM catalog_category_flat_store_1 WHERE entity_id=1341));</v>
      </c>
      <c r="D1355" t="str">
        <f t="shared" si="43"/>
        <v>UPDATE url_rewrite SET request_path = '64966/41112/Universal-HD-Brackets/Universal-Hangrod-End-Mount-Bracket.html' WHERE entity_type='custom' AND target_path=(SELECT CONCAT(url_path, '.html') FROM catalog_category_flat_store_1 WHERE entity_id=1341);</v>
      </c>
    </row>
    <row r="1356" spans="1:4" x14ac:dyDescent="0.25">
      <c r="A1356">
        <f>categories!B1356</f>
        <v>1342</v>
      </c>
      <c r="B1356" t="str">
        <f>SUBSTITUTE(SUBSTITUTE(categories!H1356,"\","/"),"www.americanretailsupply.com/","")</f>
        <v>64966/41113/Universal-HD-Brackets/Universal-Hangrod-Brackets-with-Spring-Clamp.html</v>
      </c>
      <c r="C1356" t="str">
        <f t="shared" si="42"/>
        <v>INSERT INTO url_rewrite (entity_type, entity_id, redirect_type, store_id, request_path, target_path) VALUES ('custom', 0, 301, 1,'64966/41113/Universal-HD-Brackets/Universal-Hangrod-Brackets-with-Spring-Clamp.html',(SELECT CONCAT(url_path, '.html') FROM catalog_category_flat_store_1 WHERE entity_id=1342));</v>
      </c>
      <c r="D1356" t="str">
        <f t="shared" si="43"/>
        <v>UPDATE url_rewrite SET request_path = '64966/41113/Universal-HD-Brackets/Universal-Hangrod-Brackets-with-Spring-Clamp.html' WHERE entity_type='custom' AND target_path=(SELECT CONCAT(url_path, '.html') FROM catalog_category_flat_store_1 WHERE entity_id=1342);</v>
      </c>
    </row>
    <row r="1357" spans="1:4" x14ac:dyDescent="0.25">
      <c r="A1357">
        <f>categories!B1357</f>
        <v>1343</v>
      </c>
      <c r="B1357" t="str">
        <f>SUBSTITUTE(SUBSTITUTE(categories!H1357,"\","/"),"www.americanretailsupply.com/","")</f>
        <v>64966/47132/Universal-HD-Brackets/Universal-Brackets-with-Plastic-Thumb-Lock.html</v>
      </c>
      <c r="C1357" t="str">
        <f t="shared" si="42"/>
        <v>INSERT INTO url_rewrite (entity_type, entity_id, redirect_type, store_id, request_path, target_path) VALUES ('custom', 0, 301, 1,'64966/47132/Universal-HD-Brackets/Universal-Brackets-with-Plastic-Thumb-Lock.html',(SELECT CONCAT(url_path, '.html') FROM catalog_category_flat_store_1 WHERE entity_id=1343));</v>
      </c>
      <c r="D1357" t="str">
        <f t="shared" si="43"/>
        <v>UPDATE url_rewrite SET request_path = '64966/47132/Universal-HD-Brackets/Universal-Brackets-with-Plastic-Thumb-Lock.html' WHERE entity_type='custom' AND target_path=(SELECT CONCAT(url_path, '.html') FROM catalog_category_flat_store_1 WHERE entity_id=1343);</v>
      </c>
    </row>
    <row r="1358" spans="1:4" x14ac:dyDescent="0.25">
      <c r="A1358">
        <f>categories!B1358</f>
        <v>1344</v>
      </c>
      <c r="B1358" t="str">
        <f>SUBSTITUTE(SUBSTITUTE(categories!H1358,"\","/"),"www.americanretailsupply.com/","")</f>
        <v>64966/47133/Universal-HD-Brackets/Universal-Brackets-wUpturn-at-Standard.html</v>
      </c>
      <c r="C1358" t="str">
        <f t="shared" si="42"/>
        <v>INSERT INTO url_rewrite (entity_type, entity_id, redirect_type, store_id, request_path, target_path) VALUES ('custom', 0, 301, 1,'64966/47133/Universal-HD-Brackets/Universal-Brackets-wUpturn-at-Standard.html',(SELECT CONCAT(url_path, '.html') FROM catalog_category_flat_store_1 WHERE entity_id=1344));</v>
      </c>
      <c r="D1358" t="str">
        <f t="shared" si="43"/>
        <v>UPDATE url_rewrite SET request_path = '64966/47133/Universal-HD-Brackets/Universal-Brackets-wUpturn-at-Standard.html' WHERE entity_type='custom' AND target_path=(SELECT CONCAT(url_path, '.html') FROM catalog_category_flat_store_1 WHERE entity_id=1344);</v>
      </c>
    </row>
    <row r="1359" spans="1:4" x14ac:dyDescent="0.25">
      <c r="A1359">
        <f>categories!B1359</f>
        <v>1345</v>
      </c>
      <c r="B1359" t="str">
        <f>SUBSTITUTE(SUBSTITUTE(categories!H1359,"\","/"),"www.americanretailsupply.com/","")</f>
        <v>64966/47134/Universal-HD-Brackets/Universal-Adjustable-Brackets.html</v>
      </c>
      <c r="C1359" t="str">
        <f t="shared" si="42"/>
        <v>INSERT INTO url_rewrite (entity_type, entity_id, redirect_type, store_id, request_path, target_path) VALUES ('custom', 0, 301, 1,'64966/47134/Universal-HD-Brackets/Universal-Adjustable-Brackets.html',(SELECT CONCAT(url_path, '.html') FROM catalog_category_flat_store_1 WHERE entity_id=1345));</v>
      </c>
      <c r="D1359" t="str">
        <f t="shared" si="43"/>
        <v>UPDATE url_rewrite SET request_path = '64966/47134/Universal-HD-Brackets/Universal-Adjustable-Brackets.html' WHERE entity_type='custom' AND target_path=(SELECT CONCAT(url_path, '.html') FROM catalog_category_flat_store_1 WHERE entity_id=1345);</v>
      </c>
    </row>
    <row r="1360" spans="1:4" x14ac:dyDescent="0.25">
      <c r="A1360">
        <f>categories!B1360</f>
        <v>1346</v>
      </c>
      <c r="B1360" t="str">
        <f>SUBSTITUTE(SUBSTITUTE(categories!H1360,"\","/"),"www.americanretailsupply.com/","")</f>
        <v>64966/47135/Universal-HD-Brackets/Universal-Heavy-Duty-Bracket.html</v>
      </c>
      <c r="C1360" t="str">
        <f t="shared" si="42"/>
        <v>INSERT INTO url_rewrite (entity_type, entity_id, redirect_type, store_id, request_path, target_path) VALUES ('custom', 0, 301, 1,'64966/47135/Universal-HD-Brackets/Universal-Heavy-Duty-Bracket.html',(SELECT CONCAT(url_path, '.html') FROM catalog_category_flat_store_1 WHERE entity_id=1346));</v>
      </c>
      <c r="D1360" t="str">
        <f t="shared" si="43"/>
        <v>UPDATE url_rewrite SET request_path = '64966/47135/Universal-HD-Brackets/Universal-Heavy-Duty-Bracket.html' WHERE entity_type='custom' AND target_path=(SELECT CONCAT(url_path, '.html') FROM catalog_category_flat_store_1 WHERE entity_id=1346);</v>
      </c>
    </row>
    <row r="1361" spans="1:4" x14ac:dyDescent="0.25">
      <c r="A1361">
        <f>categories!B1361</f>
        <v>1347</v>
      </c>
      <c r="B1361" t="str">
        <f>SUBSTITUTE(SUBSTITUTE(categories!H1361,"\","/"),"www.americanretailsupply.com/","")</f>
        <v>64966/228809/Universal-HD-Brackets/Replacement-Rubber-Buttons.html</v>
      </c>
      <c r="C1361" t="str">
        <f t="shared" si="42"/>
        <v>INSERT INTO url_rewrite (entity_type, entity_id, redirect_type, store_id, request_path, target_path) VALUES ('custom', 0, 301, 1,'64966/228809/Universal-HD-Brackets/Replacement-Rubber-Buttons.html',(SELECT CONCAT(url_path, '.html') FROM catalog_category_flat_store_1 WHERE entity_id=1347));</v>
      </c>
      <c r="D1361" t="str">
        <f t="shared" si="43"/>
        <v>UPDATE url_rewrite SET request_path = '64966/228809/Universal-HD-Brackets/Replacement-Rubber-Buttons.html' WHERE entity_type='custom' AND target_path=(SELECT CONCAT(url_path, '.html') FROM catalog_category_flat_store_1 WHERE entity_id=1347);</v>
      </c>
    </row>
    <row r="1362" spans="1:4" x14ac:dyDescent="0.25">
      <c r="A1362">
        <f>categories!B1362</f>
        <v>1349</v>
      </c>
      <c r="B1362" t="str">
        <f>SUBSTITUTE(SUBSTITUTE(categories!H1362,"\","/"),"www.americanretailsupply.com/","")</f>
        <v>64965/41114/Universal-HD-Wall-Standards/Universal-Single-Slotted-Standards.html</v>
      </c>
      <c r="C1362" t="str">
        <f t="shared" si="42"/>
        <v>INSERT INTO url_rewrite (entity_type, entity_id, redirect_type, store_id, request_path, target_path) VALUES ('custom', 0, 301, 1,'64965/41114/Universal-HD-Wall-Standards/Universal-Single-Slotted-Standards.html',(SELECT CONCAT(url_path, '.html') FROM catalog_category_flat_store_1 WHERE entity_id=1349));</v>
      </c>
      <c r="D1362" t="str">
        <f t="shared" si="43"/>
        <v>UPDATE url_rewrite SET request_path = '64965/41114/Universal-HD-Wall-Standards/Universal-Single-Slotted-Standards.html' WHERE entity_type='custom' AND target_path=(SELECT CONCAT(url_path, '.html') FROM catalog_category_flat_store_1 WHERE entity_id=1349);</v>
      </c>
    </row>
    <row r="1363" spans="1:4" x14ac:dyDescent="0.25">
      <c r="A1363">
        <f>categories!B1363</f>
        <v>1350</v>
      </c>
      <c r="B1363" t="str">
        <f>SUBSTITUTE(SUBSTITUTE(categories!H1363,"\","/"),"www.americanretailsupply.com/","")</f>
        <v>64965/41115/Universal-HD-Wall-Standards/Showcase-Mounting-Brackets-for-Universal-Standards.html</v>
      </c>
      <c r="C1363" t="str">
        <f t="shared" si="42"/>
        <v>INSERT INTO url_rewrite (entity_type, entity_id, redirect_type, store_id, request_path, target_path) VALUES ('custom', 0, 301, 1,'64965/41115/Universal-HD-Wall-Standards/Showcase-Mounting-Brackets-for-Universal-Standards.html',(SELECT CONCAT(url_path, '.html') FROM catalog_category_flat_store_1 WHERE entity_id=1350));</v>
      </c>
      <c r="D1363" t="str">
        <f t="shared" si="43"/>
        <v>UPDATE url_rewrite SET request_path = '64965/41115/Universal-HD-Wall-Standards/Showcase-Mounting-Brackets-for-Universal-Standards.html' WHERE entity_type='custom' AND target_path=(SELECT CONCAT(url_path, '.html') FROM catalog_category_flat_store_1 WHERE entity_id=1350);</v>
      </c>
    </row>
    <row r="1364" spans="1:4" x14ac:dyDescent="0.25">
      <c r="A1364">
        <f>categories!B1364</f>
        <v>1351</v>
      </c>
      <c r="B1364" t="str">
        <f>SUBSTITUTE(SUBSTITUTE(categories!H1364,"\","/"),"www.americanretailsupply.com/","")</f>
        <v>64965/41116/Universal-HD-Wall-Standards/Universal-T-Concealed-Standard.html</v>
      </c>
      <c r="C1364" t="str">
        <f t="shared" si="42"/>
        <v>INSERT INTO url_rewrite (entity_type, entity_id, redirect_type, store_id, request_path, target_path) VALUES ('custom', 0, 301, 1,'64965/41116/Universal-HD-Wall-Standards/Universal-T-Concealed-Standard.html',(SELECT CONCAT(url_path, '.html') FROM catalog_category_flat_store_1 WHERE entity_id=1351));</v>
      </c>
      <c r="D1364" t="str">
        <f t="shared" si="43"/>
        <v>UPDATE url_rewrite SET request_path = '64965/41116/Universal-HD-Wall-Standards/Universal-T-Concealed-Standard.html' WHERE entity_type='custom' AND target_path=(SELECT CONCAT(url_path, '.html') FROM catalog_category_flat_store_1 WHERE entity_id=1351);</v>
      </c>
    </row>
    <row r="1365" spans="1:4" x14ac:dyDescent="0.25">
      <c r="A1365">
        <f>categories!B1365</f>
        <v>1352</v>
      </c>
      <c r="B1365" t="str">
        <f>SUBSTITUTE(SUBSTITUTE(categories!H1365,"\","/"),"www.americanretailsupply.com/","")</f>
        <v>64965/41117/Universal-HD-Wall-Standards/Universal-Double-Slotted-Standards.html</v>
      </c>
      <c r="C1365" t="str">
        <f t="shared" si="42"/>
        <v>INSERT INTO url_rewrite (entity_type, entity_id, redirect_type, store_id, request_path, target_path) VALUES ('custom', 0, 301, 1,'64965/41117/Universal-HD-Wall-Standards/Universal-Double-Slotted-Standards.html',(SELECT CONCAT(url_path, '.html') FROM catalog_category_flat_store_1 WHERE entity_id=1352));</v>
      </c>
      <c r="D1365" t="str">
        <f t="shared" si="43"/>
        <v>UPDATE url_rewrite SET request_path = '64965/41117/Universal-HD-Wall-Standards/Universal-Double-Slotted-Standards.html' WHERE entity_type='custom' AND target_path=(SELECT CONCAT(url_path, '.html') FROM catalog_category_flat_store_1 WHERE entity_id=1352);</v>
      </c>
    </row>
    <row r="1366" spans="1:4" x14ac:dyDescent="0.25">
      <c r="A1366">
        <f>categories!B1366</f>
        <v>1353</v>
      </c>
      <c r="B1366" t="str">
        <f>SUBSTITUTE(SUBSTITUTE(categories!H1366,"\","/"),"www.americanretailsupply.com/","")</f>
        <v>64965/41118/Universal-HD-Wall-Standards/Universal-Slimline-Single-Slotted-Standards.html</v>
      </c>
      <c r="C1366" t="str">
        <f t="shared" si="42"/>
        <v>INSERT INTO url_rewrite (entity_type, entity_id, redirect_type, store_id, request_path, target_path) VALUES ('custom', 0, 301, 1,'64965/41118/Universal-HD-Wall-Standards/Universal-Slimline-Single-Slotted-Standards.html',(SELECT CONCAT(url_path, '.html') FROM catalog_category_flat_store_1 WHERE entity_id=1353));</v>
      </c>
      <c r="D1366" t="str">
        <f t="shared" si="43"/>
        <v>UPDATE url_rewrite SET request_path = '64965/41118/Universal-HD-Wall-Standards/Universal-Slimline-Single-Slotted-Standards.html' WHERE entity_type='custom' AND target_path=(SELECT CONCAT(url_path, '.html') FROM catalog_category_flat_store_1 WHERE entity_id=1353);</v>
      </c>
    </row>
    <row r="1367" spans="1:4" x14ac:dyDescent="0.25">
      <c r="A1367">
        <f>categories!B1367</f>
        <v>1355</v>
      </c>
      <c r="B1367" t="str">
        <f>SUBSTITUTE(SUBSTITUTE(categories!H1367,"\","/"),"www.americanretailsupply.com/","")</f>
        <v>64721/709419/VantagePOINT-GiftWrap/Recycled-Paper-Everyday-Patterns-Giftwrap.html</v>
      </c>
      <c r="C1367" t="str">
        <f t="shared" si="42"/>
        <v>INSERT INTO url_rewrite (entity_type, entity_id, redirect_type, store_id, request_path, target_path) VALUES ('custom', 0, 301, 1,'64721/709419/VantagePOINT-GiftWrap/Recycled-Paper-Everyday-Patterns-Giftwrap.html',(SELECT CONCAT(url_path, '.html') FROM catalog_category_flat_store_1 WHERE entity_id=1355));</v>
      </c>
      <c r="D1367" t="str">
        <f t="shared" si="43"/>
        <v>UPDATE url_rewrite SET request_path = '64721/709419/VantagePOINT-GiftWrap/Recycled-Paper-Everyday-Patterns-Giftwrap.html' WHERE entity_type='custom' AND target_path=(SELECT CONCAT(url_path, '.html') FROM catalog_category_flat_store_1 WHERE entity_id=1355);</v>
      </c>
    </row>
    <row r="1368" spans="1:4" x14ac:dyDescent="0.25">
      <c r="A1368">
        <f>categories!B1368</f>
        <v>1357</v>
      </c>
      <c r="B1368" t="str">
        <f>SUBSTITUTE(SUBSTITUTE(categories!H1368,"\","/"),"www.americanretailsupply.com/","")</f>
        <v>64982/783305/Vinyl-Envelope--Sign-Holders/Vinyl-Sign-Envelopes.html</v>
      </c>
      <c r="C1368" t="str">
        <f t="shared" si="42"/>
        <v>INSERT INTO url_rewrite (entity_type, entity_id, redirect_type, store_id, request_path, target_path) VALUES ('custom', 0, 301, 1,'64982/783305/Vinyl-Envelope--Sign-Holders/Vinyl-Sign-Envelopes.html',(SELECT CONCAT(url_path, '.html') FROM catalog_category_flat_store_1 WHERE entity_id=1357));</v>
      </c>
      <c r="D1368" t="str">
        <f t="shared" si="43"/>
        <v>UPDATE url_rewrite SET request_path = '64982/783305/Vinyl-Envelope--Sign-Holders/Vinyl-Sign-Envelopes.html' WHERE entity_type='custom' AND target_path=(SELECT CONCAT(url_path, '.html') FROM catalog_category_flat_store_1 WHERE entity_id=1357);</v>
      </c>
    </row>
    <row r="1369" spans="1:4" x14ac:dyDescent="0.25">
      <c r="A1369">
        <f>categories!B1369</f>
        <v>1359</v>
      </c>
      <c r="B1369" t="str">
        <f>SUBSTITUTE(SUBSTITUTE(categories!H1369,"\","/"),"www.americanretailsupply.com/","")</f>
        <v>64940/44174/Wallmount-Brackets/Chrome-Wallmount-Hooks.html</v>
      </c>
      <c r="C1369" t="str">
        <f t="shared" si="42"/>
        <v>INSERT INTO url_rewrite (entity_type, entity_id, redirect_type, store_id, request_path, target_path) VALUES ('custom', 0, 301, 1,'64940/44174/Wallmount-Brackets/Chrome-Wallmount-Hooks.html',(SELECT CONCAT(url_path, '.html') FROM catalog_category_flat_store_1 WHERE entity_id=1359));</v>
      </c>
      <c r="D1369" t="str">
        <f t="shared" si="43"/>
        <v>UPDATE url_rewrite SET request_path = '64940/44174/Wallmount-Brackets/Chrome-Wallmount-Hooks.html' WHERE entity_type='custom' AND target_path=(SELECT CONCAT(url_path, '.html') FROM catalog_category_flat_store_1 WHERE entity_id=1359);</v>
      </c>
    </row>
    <row r="1370" spans="1:4" x14ac:dyDescent="0.25">
      <c r="A1370">
        <f>categories!B1370</f>
        <v>1360</v>
      </c>
      <c r="B1370" t="str">
        <f>SUBSTITUTE(SUBSTITUTE(categories!H1370,"\","/"),"www.americanretailsupply.com/","")</f>
        <v>64940/253862/Wallmount-Brackets/Contemporary-Design-Wallmount-Fixtures.html</v>
      </c>
      <c r="C1370" t="str">
        <f t="shared" si="42"/>
        <v>INSERT INTO url_rewrite (entity_type, entity_id, redirect_type, store_id, request_path, target_path) VALUES ('custom', 0, 301, 1,'64940/253862/Wallmount-Brackets/Contemporary-Design-Wallmount-Fixtures.html',(SELECT CONCAT(url_path, '.html') FROM catalog_category_flat_store_1 WHERE entity_id=1360));</v>
      </c>
      <c r="D1370" t="str">
        <f t="shared" si="43"/>
        <v>UPDATE url_rewrite SET request_path = '64940/253862/Wallmount-Brackets/Contemporary-Design-Wallmount-Fixtures.html' WHERE entity_type='custom' AND target_path=(SELECT CONCAT(url_path, '.html') FROM catalog_category_flat_store_1 WHERE entity_id=1360);</v>
      </c>
    </row>
    <row r="1371" spans="1:4" x14ac:dyDescent="0.25">
      <c r="A1371">
        <f>categories!B1371</f>
        <v>1362</v>
      </c>
      <c r="B1371" t="str">
        <f>SUBSTITUTE(SUBSTITUTE(categories!H1371,"\","/"),"www.americanretailsupply.com/","")</f>
        <v>65003/734721/Western-Themed-Christmas-Bags/Western-Christmas-Bags.html</v>
      </c>
      <c r="C1371" t="str">
        <f t="shared" si="42"/>
        <v>INSERT INTO url_rewrite (entity_type, entity_id, redirect_type, store_id, request_path, target_path) VALUES ('custom', 0, 301, 1,'65003/734721/Western-Themed-Christmas-Bags/Western-Christmas-Bags.html',(SELECT CONCAT(url_path, '.html') FROM catalog_category_flat_store_1 WHERE entity_id=1362));</v>
      </c>
      <c r="D1371" t="str">
        <f t="shared" si="43"/>
        <v>UPDATE url_rewrite SET request_path = '65003/734721/Western-Themed-Christmas-Bags/Western-Christmas-Bags.html' WHERE entity_type='custom' AND target_path=(SELECT CONCAT(url_path, '.html') FROM catalog_category_flat_store_1 WHERE entity_id=1362);</v>
      </c>
    </row>
    <row r="1372" spans="1:4" x14ac:dyDescent="0.25">
      <c r="A1372">
        <f>categories!B1372</f>
        <v>1364</v>
      </c>
      <c r="B1372" t="str">
        <f>SUBSTITUTE(SUBSTITUTE(categories!H1372,"\","/"),"www.americanretailsupply.com/","")</f>
        <v>64722/27519/Western-Themed-GiftWrap/Everyday-Western--English-Gift-Wrap.html</v>
      </c>
      <c r="C1372" t="str">
        <f t="shared" si="42"/>
        <v>INSERT INTO url_rewrite (entity_type, entity_id, redirect_type, store_id, request_path, target_path) VALUES ('custom', 0, 301, 1,'64722/27519/Western-Themed-GiftWrap/Everyday-Western--English-Gift-Wrap.html',(SELECT CONCAT(url_path, '.html') FROM catalog_category_flat_store_1 WHERE entity_id=1364));</v>
      </c>
      <c r="D1372" t="str">
        <f t="shared" si="43"/>
        <v>UPDATE url_rewrite SET request_path = '64722/27519/Western-Themed-GiftWrap/Everyday-Western--English-Gift-Wrap.html' WHERE entity_type='custom' AND target_path=(SELECT CONCAT(url_path, '.html') FROM catalog_category_flat_store_1 WHERE entity_id=1364);</v>
      </c>
    </row>
    <row r="1373" spans="1:4" x14ac:dyDescent="0.25">
      <c r="A1373">
        <f>categories!B1373</f>
        <v>1365</v>
      </c>
      <c r="B1373" t="str">
        <f>SUBSTITUTE(SUBSTITUTE(categories!H1373,"\","/"),"www.americanretailsupply.com/","")</f>
        <v>64722/224448/Western-Themed-GiftWrap/Christmas-Western-Giftwrap.html</v>
      </c>
      <c r="C1373" t="str">
        <f t="shared" si="42"/>
        <v>INSERT INTO url_rewrite (entity_type, entity_id, redirect_type, store_id, request_path, target_path) VALUES ('custom', 0, 301, 1,'64722/224448/Western-Themed-GiftWrap/Christmas-Western-Giftwrap.html',(SELECT CONCAT(url_path, '.html') FROM catalog_category_flat_store_1 WHERE entity_id=1365));</v>
      </c>
      <c r="D1373" t="str">
        <f t="shared" si="43"/>
        <v>UPDATE url_rewrite SET request_path = '64722/224448/Western-Themed-GiftWrap/Christmas-Western-Giftwrap.html' WHERE entity_type='custom' AND target_path=(SELECT CONCAT(url_path, '.html') FROM catalog_category_flat_store_1 WHERE entity_id=1365);</v>
      </c>
    </row>
    <row r="1374" spans="1:4" x14ac:dyDescent="0.25">
      <c r="A1374">
        <f>categories!B1374</f>
        <v>1367</v>
      </c>
      <c r="B1374" t="str">
        <f>SUBSTITUTE(SUBSTITUTE(categories!H1374,"\","/"),"www.americanretailsupply.com/","")</f>
        <v>64665/2087/Wire--Acylic-Easels/Acrylic-Dinnerware-Plate-Holder.html</v>
      </c>
      <c r="C1374" t="str">
        <f t="shared" si="42"/>
        <v>INSERT INTO url_rewrite (entity_type, entity_id, redirect_type, store_id, request_path, target_path) VALUES ('custom', 0, 301, 1,'64665/2087/Wire--Acylic-Easels/Acrylic-Dinnerware-Plate-Holder.html',(SELECT CONCAT(url_path, '.html') FROM catalog_category_flat_store_1 WHERE entity_id=1367));</v>
      </c>
      <c r="D1374" t="str">
        <f t="shared" si="43"/>
        <v>UPDATE url_rewrite SET request_path = '64665/2087/Wire--Acylic-Easels/Acrylic-Dinnerware-Plate-Holder.html' WHERE entity_type='custom' AND target_path=(SELECT CONCAT(url_path, '.html') FROM catalog_category_flat_store_1 WHERE entity_id=1367);</v>
      </c>
    </row>
    <row r="1375" spans="1:4" x14ac:dyDescent="0.25">
      <c r="A1375">
        <f>categories!B1375</f>
        <v>1368</v>
      </c>
      <c r="B1375" t="str">
        <f>SUBSTITUTE(SUBSTITUTE(categories!H1375,"\","/"),"www.americanretailsupply.com/","")</f>
        <v>64665/17056/Wire--Acylic-Easels/Wire-Vinyl-Coated-Easels.html</v>
      </c>
      <c r="C1375" t="str">
        <f t="shared" si="42"/>
        <v>INSERT INTO url_rewrite (entity_type, entity_id, redirect_type, store_id, request_path, target_path) VALUES ('custom', 0, 301, 1,'64665/17056/Wire--Acylic-Easels/Wire-Vinyl-Coated-Easels.html',(SELECT CONCAT(url_path, '.html') FROM catalog_category_flat_store_1 WHERE entity_id=1368));</v>
      </c>
      <c r="D1375" t="str">
        <f t="shared" si="43"/>
        <v>UPDATE url_rewrite SET request_path = '64665/17056/Wire--Acylic-Easels/Wire-Vinyl-Coated-Easels.html' WHERE entity_type='custom' AND target_path=(SELECT CONCAT(url_path, '.html') FROM catalog_category_flat_store_1 WHERE entity_id=1368);</v>
      </c>
    </row>
    <row r="1376" spans="1:4" x14ac:dyDescent="0.25">
      <c r="A1376">
        <f>categories!B1376</f>
        <v>1369</v>
      </c>
      <c r="B1376" t="str">
        <f>SUBSTITUTE(SUBSTITUTE(categories!H1376,"\","/"),"www.americanretailsupply.com/","")</f>
        <v>64665/34059/Wire--Acylic-Easels/Acrylic-Countertop-1-Opening-Easels.html</v>
      </c>
      <c r="C1376" t="str">
        <f t="shared" si="42"/>
        <v>INSERT INTO url_rewrite (entity_type, entity_id, redirect_type, store_id, request_path, target_path) VALUES ('custom', 0, 301, 1,'64665/34059/Wire--Acylic-Easels/Acrylic-Countertop-1-Opening-Easels.html',(SELECT CONCAT(url_path, '.html') FROM catalog_category_flat_store_1 WHERE entity_id=1369));</v>
      </c>
      <c r="D1376" t="str">
        <f t="shared" si="43"/>
        <v>UPDATE url_rewrite SET request_path = '64665/34059/Wire--Acylic-Easels/Acrylic-Countertop-1-Opening-Easels.html' WHERE entity_type='custom' AND target_path=(SELECT CONCAT(url_path, '.html') FROM catalog_category_flat_store_1 WHERE entity_id=1369);</v>
      </c>
    </row>
    <row r="1377" spans="1:4" x14ac:dyDescent="0.25">
      <c r="A1377">
        <f>categories!B1377</f>
        <v>1370</v>
      </c>
      <c r="B1377" t="str">
        <f>SUBSTITUTE(SUBSTITUTE(categories!H1377,"\","/"),"www.americanretailsupply.com/","")</f>
        <v>64665/476305/Wire--Acylic-Easels/Acrylic-Cellphone-and-GPS-Easels.html</v>
      </c>
      <c r="C1377" t="str">
        <f t="shared" si="42"/>
        <v>INSERT INTO url_rewrite (entity_type, entity_id, redirect_type, store_id, request_path, target_path) VALUES ('custom', 0, 301, 1,'64665/476305/Wire--Acylic-Easels/Acrylic-Cellphone-and-GPS-Easels.html',(SELECT CONCAT(url_path, '.html') FROM catalog_category_flat_store_1 WHERE entity_id=1370));</v>
      </c>
      <c r="D1377" t="str">
        <f t="shared" si="43"/>
        <v>UPDATE url_rewrite SET request_path = '64665/476305/Wire--Acylic-Easels/Acrylic-Cellphone-and-GPS-Easels.html' WHERE entity_type='custom' AND target_path=(SELECT CONCAT(url_path, '.html') FROM catalog_category_flat_store_1 WHERE entity_id=1370);</v>
      </c>
    </row>
    <row r="1378" spans="1:4" x14ac:dyDescent="0.25">
      <c r="A1378">
        <f>categories!B1378</f>
        <v>1371</v>
      </c>
      <c r="B1378" t="str">
        <f>SUBSTITUTE(SUBSTITUTE(categories!H1378,"\","/"),"www.americanretailsupply.com/","")</f>
        <v>64665/476693/Wire--Acylic-Easels/Twisted-Wire-Easels.html</v>
      </c>
      <c r="C1378" t="str">
        <f t="shared" si="42"/>
        <v>INSERT INTO url_rewrite (entity_type, entity_id, redirect_type, store_id, request_path, target_path) VALUES ('custom', 0, 301, 1,'64665/476693/Wire--Acylic-Easels/Twisted-Wire-Easels.html',(SELECT CONCAT(url_path, '.html') FROM catalog_category_flat_store_1 WHERE entity_id=1371));</v>
      </c>
      <c r="D1378" t="str">
        <f t="shared" si="43"/>
        <v>UPDATE url_rewrite SET request_path = '64665/476693/Wire--Acylic-Easels/Twisted-Wire-Easels.html' WHERE entity_type='custom' AND target_path=(SELECT CONCAT(url_path, '.html') FROM catalog_category_flat_store_1 WHERE entity_id=1371);</v>
      </c>
    </row>
    <row r="1379" spans="1:4" x14ac:dyDescent="0.25">
      <c r="A1379">
        <f>categories!B1379</f>
        <v>1372</v>
      </c>
      <c r="B1379" t="str">
        <f>SUBSTITUTE(SUBSTITUTE(categories!H1379,"\","/"),"www.americanretailsupply.com/","")</f>
        <v>64665/476694/Wire--Acylic-Easels/Wooden-Hinged-Easels.html</v>
      </c>
      <c r="C1379" t="str">
        <f t="shared" si="42"/>
        <v>INSERT INTO url_rewrite (entity_type, entity_id, redirect_type, store_id, request_path, target_path) VALUES ('custom', 0, 301, 1,'64665/476694/Wire--Acylic-Easels/Wooden-Hinged-Easels.html',(SELECT CONCAT(url_path, '.html') FROM catalog_category_flat_store_1 WHERE entity_id=1372));</v>
      </c>
      <c r="D1379" t="str">
        <f t="shared" si="43"/>
        <v>UPDATE url_rewrite SET request_path = '64665/476694/Wire--Acylic-Easels/Wooden-Hinged-Easels.html' WHERE entity_type='custom' AND target_path=(SELECT CONCAT(url_path, '.html') FROM catalog_category_flat_store_1 WHERE entity_id=1372);</v>
      </c>
    </row>
    <row r="1380" spans="1:4" x14ac:dyDescent="0.25">
      <c r="A1380">
        <f>categories!B1380</f>
        <v>1374</v>
      </c>
      <c r="B1380" t="str">
        <f>SUBSTITUTE(SUBSTITUTE(categories!H1380,"\","/"),"www.americanretailsupply.com/","")</f>
        <v>64799/47248/Wire-Rack-Components/Counter-Rack-Metal-Base.html</v>
      </c>
      <c r="C1380" t="str">
        <f t="shared" si="42"/>
        <v>INSERT INTO url_rewrite (entity_type, entity_id, redirect_type, store_id, request_path, target_path) VALUES ('custom', 0, 301, 1,'64799/47248/Wire-Rack-Components/Counter-Rack-Metal-Base.html',(SELECT CONCAT(url_path, '.html') FROM catalog_category_flat_store_1 WHERE entity_id=1374));</v>
      </c>
      <c r="D1380" t="str">
        <f t="shared" si="43"/>
        <v>UPDATE url_rewrite SET request_path = '64799/47248/Wire-Rack-Components/Counter-Rack-Metal-Base.html' WHERE entity_type='custom' AND target_path=(SELECT CONCAT(url_path, '.html') FROM catalog_category_flat_store_1 WHERE entity_id=1374);</v>
      </c>
    </row>
    <row r="1381" spans="1:4" x14ac:dyDescent="0.25">
      <c r="A1381">
        <f>categories!B1381</f>
        <v>1375</v>
      </c>
      <c r="B1381" t="str">
        <f>SUBSTITUTE(SUBSTITUTE(categories!H1381,"\","/"),"www.americanretailsupply.com/","")</f>
        <v>64799/47250/Wire-Rack-Components/Tubular-Steel-Floor-Base.html</v>
      </c>
      <c r="C1381" t="str">
        <f t="shared" si="42"/>
        <v>INSERT INTO url_rewrite (entity_type, entity_id, redirect_type, store_id, request_path, target_path) VALUES ('custom', 0, 301, 1,'64799/47250/Wire-Rack-Components/Tubular-Steel-Floor-Base.html',(SELECT CONCAT(url_path, '.html') FROM catalog_category_flat_store_1 WHERE entity_id=1375));</v>
      </c>
      <c r="D1381" t="str">
        <f t="shared" si="43"/>
        <v>UPDATE url_rewrite SET request_path = '64799/47250/Wire-Rack-Components/Tubular-Steel-Floor-Base.html' WHERE entity_type='custom' AND target_path=(SELECT CONCAT(url_path, '.html') FROM catalog_category_flat_store_1 WHERE entity_id=1375);</v>
      </c>
    </row>
    <row r="1382" spans="1:4" x14ac:dyDescent="0.25">
      <c r="A1382">
        <f>categories!B1382</f>
        <v>1376</v>
      </c>
      <c r="B1382" t="str">
        <f>SUBSTITUTE(SUBSTITUTE(categories!H1382,"\","/"),"www.americanretailsupply.com/","")</f>
        <v>64799/47252/Wire-Rack-Components/Poles-for-Wire-Racks.html</v>
      </c>
      <c r="C1382" t="str">
        <f t="shared" si="42"/>
        <v>INSERT INTO url_rewrite (entity_type, entity_id, redirect_type, store_id, request_path, target_path) VALUES ('custom', 0, 301, 1,'64799/47252/Wire-Rack-Components/Poles-for-Wire-Racks.html',(SELECT CONCAT(url_path, '.html') FROM catalog_category_flat_store_1 WHERE entity_id=1376));</v>
      </c>
      <c r="D1382" t="str">
        <f t="shared" si="43"/>
        <v>UPDATE url_rewrite SET request_path = '64799/47252/Wire-Rack-Components/Poles-for-Wire-Racks.html' WHERE entity_type='custom' AND target_path=(SELECT CONCAT(url_path, '.html') FROM catalog_category_flat_store_1 WHERE entity_id=1376);</v>
      </c>
    </row>
    <row r="1383" spans="1:4" x14ac:dyDescent="0.25">
      <c r="A1383">
        <f>categories!B1383</f>
        <v>1377</v>
      </c>
      <c r="B1383" t="str">
        <f>SUBSTITUTE(SUBSTITUTE(categories!H1383,"\","/"),"www.americanretailsupply.com/","")</f>
        <v>64799/47261/Wire-Rack-Components/6-Hook-Tiers.html</v>
      </c>
      <c r="C1383" t="str">
        <f t="shared" si="42"/>
        <v>INSERT INTO url_rewrite (entity_type, entity_id, redirect_type, store_id, request_path, target_path) VALUES ('custom', 0, 301, 1,'64799/47261/Wire-Rack-Components/6-Hook-Tiers.html',(SELECT CONCAT(url_path, '.html') FROM catalog_category_flat_store_1 WHERE entity_id=1377));</v>
      </c>
      <c r="D1383" t="str">
        <f t="shared" si="43"/>
        <v>UPDATE url_rewrite SET request_path = '64799/47261/Wire-Rack-Components/6-Hook-Tiers.html' WHERE entity_type='custom' AND target_path=(SELECT CONCAT(url_path, '.html') FROM catalog_category_flat_store_1 WHERE entity_id=1377);</v>
      </c>
    </row>
    <row r="1384" spans="1:4" x14ac:dyDescent="0.25">
      <c r="A1384">
        <f>categories!B1384</f>
        <v>1378</v>
      </c>
      <c r="B1384" t="str">
        <f>SUBSTITUTE(SUBSTITUTE(categories!H1384,"\","/"),"www.americanretailsupply.com/","")</f>
        <v>64799/47263/Wire-Rack-Components/4-Hook-Tiers.html</v>
      </c>
      <c r="C1384" t="str">
        <f t="shared" si="42"/>
        <v>INSERT INTO url_rewrite (entity_type, entity_id, redirect_type, store_id, request_path, target_path) VALUES ('custom', 0, 301, 1,'64799/47263/Wire-Rack-Components/4-Hook-Tiers.html',(SELECT CONCAT(url_path, '.html') FROM catalog_category_flat_store_1 WHERE entity_id=1378));</v>
      </c>
      <c r="D1384" t="str">
        <f t="shared" si="43"/>
        <v>UPDATE url_rewrite SET request_path = '64799/47263/Wire-Rack-Components/4-Hook-Tiers.html' WHERE entity_type='custom' AND target_path=(SELECT CONCAT(url_path, '.html') FROM catalog_category_flat_store_1 WHERE entity_id=1378);</v>
      </c>
    </row>
    <row r="1385" spans="1:4" x14ac:dyDescent="0.25">
      <c r="A1385">
        <f>categories!B1385</f>
        <v>1379</v>
      </c>
      <c r="B1385" t="str">
        <f>SUBSTITUTE(SUBSTITUTE(categories!H1385,"\","/"),"www.americanretailsupply.com/","")</f>
        <v>64799/47264/Wire-Rack-Components/18-Hook-Tier.html</v>
      </c>
      <c r="C1385" t="str">
        <f t="shared" si="42"/>
        <v>INSERT INTO url_rewrite (entity_type, entity_id, redirect_type, store_id, request_path, target_path) VALUES ('custom', 0, 301, 1,'64799/47264/Wire-Rack-Components/18-Hook-Tier.html',(SELECT CONCAT(url_path, '.html') FROM catalog_category_flat_store_1 WHERE entity_id=1379));</v>
      </c>
      <c r="D1385" t="str">
        <f t="shared" si="43"/>
        <v>UPDATE url_rewrite SET request_path = '64799/47264/Wire-Rack-Components/18-Hook-Tier.html' WHERE entity_type='custom' AND target_path=(SELECT CONCAT(url_path, '.html') FROM catalog_category_flat_store_1 WHERE entity_id=1379);</v>
      </c>
    </row>
    <row r="1386" spans="1:4" x14ac:dyDescent="0.25">
      <c r="A1386">
        <f>categories!B1386</f>
        <v>1380</v>
      </c>
      <c r="B1386" t="str">
        <f>SUBSTITUTE(SUBSTITUTE(categories!H1386,"\","/"),"www.americanretailsupply.com/","")</f>
        <v>64799/47276/Wire-Rack-Components/Plastic-Base.html</v>
      </c>
      <c r="C1386" t="str">
        <f t="shared" si="42"/>
        <v>INSERT INTO url_rewrite (entity_type, entity_id, redirect_type, store_id, request_path, target_path) VALUES ('custom', 0, 301, 1,'64799/47276/Wire-Rack-Components/Plastic-Base.html',(SELECT CONCAT(url_path, '.html') FROM catalog_category_flat_store_1 WHERE entity_id=1380));</v>
      </c>
      <c r="D1386" t="str">
        <f t="shared" si="43"/>
        <v>UPDATE url_rewrite SET request_path = '64799/47276/Wire-Rack-Components/Plastic-Base.html' WHERE entity_type='custom' AND target_path=(SELECT CONCAT(url_path, '.html') FROM catalog_category_flat_store_1 WHERE entity_id=1380);</v>
      </c>
    </row>
    <row r="1387" spans="1:4" x14ac:dyDescent="0.25">
      <c r="A1387">
        <f>categories!B1387</f>
        <v>1381</v>
      </c>
      <c r="B1387" t="str">
        <f>SUBSTITUTE(SUBSTITUTE(categories!H1387,"\","/"),"www.americanretailsupply.com/","")</f>
        <v>64799/225890/Wire-Rack-Components/Video-Tier.html</v>
      </c>
      <c r="C1387" t="str">
        <f t="shared" si="42"/>
        <v>INSERT INTO url_rewrite (entity_type, entity_id, redirect_type, store_id, request_path, target_path) VALUES ('custom', 0, 301, 1,'64799/225890/Wire-Rack-Components/Video-Tier.html',(SELECT CONCAT(url_path, '.html') FROM catalog_category_flat_store_1 WHERE entity_id=1381));</v>
      </c>
      <c r="D1387" t="str">
        <f t="shared" si="43"/>
        <v>UPDATE url_rewrite SET request_path = '64799/225890/Wire-Rack-Components/Video-Tier.html' WHERE entity_type='custom' AND target_path=(SELECT CONCAT(url_path, '.html') FROM catalog_category_flat_store_1 WHERE entity_id=1381);</v>
      </c>
    </row>
    <row r="1388" spans="1:4" x14ac:dyDescent="0.25">
      <c r="A1388">
        <f>categories!B1388</f>
        <v>1382</v>
      </c>
      <c r="B1388" t="str">
        <f>SUBSTITUTE(SUBSTITUTE(categories!H1388,"\","/"),"www.americanretailsupply.com/","")</f>
        <v>64799/225891/Wire-Rack-Components/24-Hook-Tier.html</v>
      </c>
      <c r="C1388" t="str">
        <f t="shared" si="42"/>
        <v>INSERT INTO url_rewrite (entity_type, entity_id, redirect_type, store_id, request_path, target_path) VALUES ('custom', 0, 301, 1,'64799/225891/Wire-Rack-Components/24-Hook-Tier.html',(SELECT CONCAT(url_path, '.html') FROM catalog_category_flat_store_1 WHERE entity_id=1382));</v>
      </c>
      <c r="D1388" t="str">
        <f t="shared" si="43"/>
        <v>UPDATE url_rewrite SET request_path = '64799/225891/Wire-Rack-Components/24-Hook-Tier.html' WHERE entity_type='custom' AND target_path=(SELECT CONCAT(url_path, '.html') FROM catalog_category_flat_store_1 WHERE entity_id=1382);</v>
      </c>
    </row>
    <row r="1389" spans="1:4" x14ac:dyDescent="0.25">
      <c r="A1389">
        <f>categories!B1389</f>
        <v>1384</v>
      </c>
      <c r="B1389" t="str">
        <f>SUBSTITUTE(SUBSTITUTE(categories!H1389,"\","/"),"www.americanretailsupply.com/","")</f>
        <v>64814/224468/Wire-Shelves/Slatwall-Flat-Wire-Shelves.html</v>
      </c>
      <c r="C1389" t="str">
        <f t="shared" si="42"/>
        <v>INSERT INTO url_rewrite (entity_type, entity_id, redirect_type, store_id, request_path, target_path) VALUES ('custom', 0, 301, 1,'64814/224468/Wire-Shelves/Slatwall-Flat-Wire-Shelves.html',(SELECT CONCAT(url_path, '.html') FROM catalog_category_flat_store_1 WHERE entity_id=1384));</v>
      </c>
      <c r="D1389" t="str">
        <f t="shared" si="43"/>
        <v>UPDATE url_rewrite SET request_path = '64814/224468/Wire-Shelves/Slatwall-Flat-Wire-Shelves.html' WHERE entity_type='custom' AND target_path=(SELECT CONCAT(url_path, '.html') FROM catalog_category_flat_store_1 WHERE entity_id=1384);</v>
      </c>
    </row>
    <row r="1390" spans="1:4" x14ac:dyDescent="0.25">
      <c r="A1390">
        <f>categories!B1390</f>
        <v>1385</v>
      </c>
      <c r="B1390" t="str">
        <f>SUBSTITUTE(SUBSTITUTE(categories!H1390,"\","/"),"www.americanretailsupply.com/","")</f>
        <v>64814/225136/Wire-Shelves/Gridwall-Flat-Wire-Shelves.html</v>
      </c>
      <c r="C1390" t="str">
        <f t="shared" si="42"/>
        <v>INSERT INTO url_rewrite (entity_type, entity_id, redirect_type, store_id, request_path, target_path) VALUES ('custom', 0, 301, 1,'64814/225136/Wire-Shelves/Gridwall-Flat-Wire-Shelves.html',(SELECT CONCAT(url_path, '.html') FROM catalog_category_flat_store_1 WHERE entity_id=1385));</v>
      </c>
      <c r="D1390" t="str">
        <f t="shared" si="43"/>
        <v>UPDATE url_rewrite SET request_path = '64814/225136/Wire-Shelves/Gridwall-Flat-Wire-Shelves.html' WHERE entity_type='custom' AND target_path=(SELECT CONCAT(url_path, '.html') FROM catalog_category_flat_store_1 WHERE entity_id=1385);</v>
      </c>
    </row>
    <row r="1391" spans="1:4" x14ac:dyDescent="0.25">
      <c r="A1391">
        <f>categories!B1391</f>
        <v>1387</v>
      </c>
      <c r="B1391" t="str">
        <f>SUBSTITUTE(SUBSTITUTE(categories!H1391,"\","/"),"www.americanretailsupply.com/","")</f>
        <v>64740/19623/Wraphia-Raffia-Excelsior/Raffia.html</v>
      </c>
      <c r="C1391" t="str">
        <f t="shared" si="42"/>
        <v>INSERT INTO url_rewrite (entity_type, entity_id, redirect_type, store_id, request_path, target_path) VALUES ('custom', 0, 301, 1,'64740/19623/Wraphia-Raffia-Excelsior/Raffia.html',(SELECT CONCAT(url_path, '.html') FROM catalog_category_flat_store_1 WHERE entity_id=1387));</v>
      </c>
      <c r="D1391" t="str">
        <f t="shared" si="43"/>
        <v>UPDATE url_rewrite SET request_path = '64740/19623/Wraphia-Raffia-Excelsior/Raffia.html' WHERE entity_type='custom' AND target_path=(SELECT CONCAT(url_path, '.html') FROM catalog_category_flat_store_1 WHERE entity_id=1387);</v>
      </c>
    </row>
    <row r="1392" spans="1:4" x14ac:dyDescent="0.25">
      <c r="A1392">
        <f>categories!B1392</f>
        <v>1388</v>
      </c>
      <c r="B1392" t="str">
        <f>SUBSTITUTE(SUBSTITUTE(categories!H1392,"\","/"),"www.americanretailsupply.com/","")</f>
        <v>64740/19642/Wraphia-Raffia-Excelsior/Wraphia-in-Matte-Colors.html</v>
      </c>
      <c r="C1392" t="str">
        <f t="shared" si="42"/>
        <v>INSERT INTO url_rewrite (entity_type, entity_id, redirect_type, store_id, request_path, target_path) VALUES ('custom', 0, 301, 1,'64740/19642/Wraphia-Raffia-Excelsior/Wraphia-in-Matte-Colors.html',(SELECT CONCAT(url_path, '.html') FROM catalog_category_flat_store_1 WHERE entity_id=1388));</v>
      </c>
      <c r="D1392" t="str">
        <f t="shared" si="43"/>
        <v>UPDATE url_rewrite SET request_path = '64740/19642/Wraphia-Raffia-Excelsior/Wraphia-in-Matte-Colors.html' WHERE entity_type='custom' AND target_path=(SELECT CONCAT(url_path, '.html') FROM catalog_category_flat_store_1 WHERE entity_id=1388);</v>
      </c>
    </row>
    <row r="1393" spans="1:4" x14ac:dyDescent="0.25">
      <c r="A1393">
        <f>categories!B1393</f>
        <v>1389</v>
      </c>
      <c r="B1393" t="str">
        <f>SUBSTITUTE(SUBSTITUTE(categories!H1393,"\","/"),"www.americanretailsupply.com/","")</f>
        <v>64740/50120/Wraphia-Raffia-Excelsior/Wraphia-in-Pearlized-Colors.html</v>
      </c>
      <c r="C1393" t="str">
        <f t="shared" si="42"/>
        <v>INSERT INTO url_rewrite (entity_type, entity_id, redirect_type, store_id, request_path, target_path) VALUES ('custom', 0, 301, 1,'64740/50120/Wraphia-Raffia-Excelsior/Wraphia-in-Pearlized-Colors.html',(SELECT CONCAT(url_path, '.html') FROM catalog_category_flat_store_1 WHERE entity_id=1389));</v>
      </c>
      <c r="D1393" t="str">
        <f t="shared" si="43"/>
        <v>UPDATE url_rewrite SET request_path = '64740/50120/Wraphia-Raffia-Excelsior/Wraphia-in-Pearlized-Colors.html' WHERE entity_type='custom' AND target_path=(SELECT CONCAT(url_path, '.html') FROM catalog_category_flat_store_1 WHERE entity_id=1389);</v>
      </c>
    </row>
    <row r="1394" spans="1:4" x14ac:dyDescent="0.25">
      <c r="A1394">
        <f>categories!B1394</f>
        <v>1390</v>
      </c>
      <c r="B1394" t="str">
        <f>SUBSTITUTE(SUBSTITUTE(categories!H1394,"\","/"),"www.americanretailsupply.com/","")</f>
        <v>64769/575979/Acrylic-Risers--Cubes/-Acrylic-Risers-with-Built-in-Sign-Holders.html</v>
      </c>
      <c r="C1394" t="str">
        <f t="shared" si="42"/>
        <v>INSERT INTO url_rewrite (entity_type, entity_id, redirect_type, store_id, request_path, target_path) VALUES ('custom', 0, 301, 1,'64769/575979/Acrylic-Risers--Cubes/-Acrylic-Risers-with-Built-in-Sign-Holders.html',(SELECT CONCAT(url_path, '.html') FROM catalog_category_flat_store_1 WHERE entity_id=1390));</v>
      </c>
      <c r="D1394" t="str">
        <f t="shared" si="43"/>
        <v>UPDATE url_rewrite SET request_path = '64769/575979/Acrylic-Risers--Cubes/-Acrylic-Risers-with-Built-in-Sign-Holders.html' WHERE entity_type='custom' AND target_path=(SELECT CONCAT(url_path, '.html') FROM catalog_category_flat_store_1 WHERE entity_id=1390);</v>
      </c>
    </row>
    <row r="1395" spans="1:4" x14ac:dyDescent="0.25">
      <c r="A1395">
        <f>categories!B1395</f>
        <v>1392</v>
      </c>
      <c r="B1395" t="str">
        <f>SUBSTITUTE(SUBSTITUTE(categories!H1395,"\","/"),"www.americanretailsupply.com/","")</f>
        <v>66235/793244/Adult--Child-Jersey-Forms/Child-Jersey-Form.html</v>
      </c>
      <c r="C1395" t="str">
        <f t="shared" si="42"/>
        <v>INSERT INTO url_rewrite (entity_type, entity_id, redirect_type, store_id, request_path, target_path) VALUES ('custom', 0, 301, 1,'66235/793244/Adult--Child-Jersey-Forms/Child-Jersey-Form.html',(SELECT CONCAT(url_path, '.html') FROM catalog_category_flat_store_1 WHERE entity_id=1392));</v>
      </c>
      <c r="D1395" t="str">
        <f t="shared" si="43"/>
        <v>UPDATE url_rewrite SET request_path = '66235/793244/Adult--Child-Jersey-Forms/Child-Jersey-Form.html' WHERE entity_type='custom' AND target_path=(SELECT CONCAT(url_path, '.html') FROM catalog_category_flat_store_1 WHERE entity_id=1392);</v>
      </c>
    </row>
    <row r="1396" spans="1:4" x14ac:dyDescent="0.25">
      <c r="A1396">
        <f>categories!B1396</f>
        <v>1393</v>
      </c>
      <c r="B1396" t="str">
        <f>SUBSTITUTE(SUBSTITUTE(categories!H1396,"\","/"),"www.americanretailsupply.com/","")</f>
        <v>64960/243029/Cross-Bars/Crossbars.html</v>
      </c>
      <c r="C1396" t="str">
        <f t="shared" si="42"/>
        <v>INSERT INTO url_rewrite (entity_type, entity_id, redirect_type, store_id, request_path, target_path) VALUES ('custom', 0, 301, 1,'64960/243029/Cross-Bars/Crossbars.html',(SELECT CONCAT(url_path, '.html') FROM catalog_category_flat_store_1 WHERE entity_id=1393));</v>
      </c>
      <c r="D1396" t="str">
        <f t="shared" si="43"/>
        <v>UPDATE url_rewrite SET request_path = '64960/243029/Cross-Bars/Crossbars.html' WHERE entity_type='custom' AND target_path=(SELECT CONCAT(url_path, '.html') FROM catalog_category_flat_store_1 WHERE entity_id=1393);</v>
      </c>
    </row>
    <row r="1397" spans="1:4" x14ac:dyDescent="0.25">
      <c r="A1397">
        <f>categories!B1397</f>
        <v>1394</v>
      </c>
      <c r="B1397" t="str">
        <f>SUBSTITUTE(SUBSTITUTE(categories!H1397,"\","/"),"www.americanretailsupply.com/","")</f>
        <v>65070/793279/Paper-Shopping-Bags/Economy-Kraft-Shopping-Bags.html</v>
      </c>
      <c r="C1397" t="str">
        <f t="shared" si="42"/>
        <v>INSERT INTO url_rewrite (entity_type, entity_id, redirect_type, store_id, request_path, target_path) VALUES ('custom', 0, 301, 1,'65070/793279/Paper-Shopping-Bags/Economy-Kraft-Shopping-Bags.html',(SELECT CONCAT(url_path, '.html') FROM catalog_category_flat_store_1 WHERE entity_id=1394));</v>
      </c>
      <c r="D1397" t="str">
        <f t="shared" si="43"/>
        <v>UPDATE url_rewrite SET request_path = '65070/793279/Paper-Shopping-Bags/Economy-Kraft-Shopping-Bags.html' WHERE entity_type='custom' AND target_path=(SELECT CONCAT(url_path, '.html') FROM catalog_category_flat_store_1 WHERE entity_id=1394);</v>
      </c>
    </row>
    <row r="1398" spans="1:4" x14ac:dyDescent="0.25">
      <c r="A1398">
        <f>categories!B1398</f>
        <v>1395</v>
      </c>
      <c r="B1398" t="str">
        <f>SUBSTITUTE(SUBSTITUTE(categories!H1398,"\","/"),"www.americanretailsupply.com/","")</f>
        <v>64692/793297/Fluorescent-Labels/Fluorescent-Specialty-Labels.html</v>
      </c>
      <c r="C1398" t="str">
        <f t="shared" si="42"/>
        <v>INSERT INTO url_rewrite (entity_type, entity_id, redirect_type, store_id, request_path, target_path) VALUES ('custom', 0, 301, 1,'64692/793297/Fluorescent-Labels/Fluorescent-Specialty-Labels.html',(SELECT CONCAT(url_path, '.html') FROM catalog_category_flat_store_1 WHERE entity_id=1395));</v>
      </c>
      <c r="D1398" t="str">
        <f t="shared" si="43"/>
        <v>UPDATE url_rewrite SET request_path = '64692/793297/Fluorescent-Labels/Fluorescent-Specialty-Labels.html' WHERE entity_type='custom' AND target_path=(SELECT CONCAT(url_path, '.html') FROM catalog_category_flat_store_1 WHERE entity_id=1395);</v>
      </c>
    </row>
    <row r="1399" spans="1:4" x14ac:dyDescent="0.25">
      <c r="A1399">
        <f>categories!B1399</f>
        <v>1396</v>
      </c>
      <c r="B1399" t="str">
        <f>SUBSTITUTE(SUBSTITUTE(categories!H1399,"\","/"),"www.americanretailsupply.com/","")</f>
        <v>65195/793289/Hangers/Hanger-Clips.html</v>
      </c>
      <c r="C1399" t="str">
        <f t="shared" si="42"/>
        <v>INSERT INTO url_rewrite (entity_type, entity_id, redirect_type, store_id, request_path, target_path) VALUES ('custom', 0, 301, 1,'65195/793289/Hangers/Hanger-Clips.html',(SELECT CONCAT(url_path, '.html') FROM catalog_category_flat_store_1 WHERE entity_id=1396));</v>
      </c>
      <c r="D1399" t="str">
        <f t="shared" si="43"/>
        <v>UPDATE url_rewrite SET request_path = '65195/793289/Hangers/Hanger-Clips.html' WHERE entity_type='custom' AND target_path=(SELECT CONCAT(url_path, '.html') FROM catalog_category_flat_store_1 WHERE entity_id=1396);</v>
      </c>
    </row>
    <row r="1400" spans="1:4" x14ac:dyDescent="0.25">
      <c r="A1400">
        <f>categories!B1400</f>
        <v>1397</v>
      </c>
      <c r="B1400" t="str">
        <f>SUBSTITUTE(SUBSTITUTE(categories!H1400,"\","/"),"www.americanretailsupply.com/","")</f>
        <v>65799/788873/Shamrock/Masculine-Giftwrap.html</v>
      </c>
      <c r="C1400" t="str">
        <f t="shared" si="42"/>
        <v>INSERT INTO url_rewrite (entity_type, entity_id, redirect_type, store_id, request_path, target_path) VALUES ('custom', 0, 301, 1,'65799/788873/Shamrock/Masculine-Giftwrap.html',(SELECT CONCAT(url_path, '.html') FROM catalog_category_flat_store_1 WHERE entity_id=1397));</v>
      </c>
      <c r="D1400" t="str">
        <f t="shared" si="43"/>
        <v>UPDATE url_rewrite SET request_path = '65799/788873/Shamrock/Masculine-Giftwrap.html' WHERE entity_type='custom' AND target_path=(SELECT CONCAT(url_path, '.html') FROM catalog_category_flat_store_1 WHERE entity_id=1397);</v>
      </c>
    </row>
    <row r="1401" spans="1:4" x14ac:dyDescent="0.25">
      <c r="A1401">
        <f>categories!B1401</f>
        <v>1398</v>
      </c>
      <c r="B1401" t="str">
        <f>SUBSTITUTE(SUBSTITUTE(categories!H1401,"\","/"),"www.americanretailsupply.com/","")</f>
        <v>66235/793243/Adult--Child-Jersey-Forms/Mens-Jersey-Jacket-Form.html</v>
      </c>
      <c r="C1401" t="str">
        <f t="shared" si="42"/>
        <v>INSERT INTO url_rewrite (entity_type, entity_id, redirect_type, store_id, request_path, target_path) VALUES ('custom', 0, 301, 1,'66235/793243/Adult--Child-Jersey-Forms/Mens-Jersey-Jacket-Form.html',(SELECT CONCAT(url_path, '.html') FROM catalog_category_flat_store_1 WHERE entity_id=1398));</v>
      </c>
      <c r="D1401" t="str">
        <f t="shared" si="43"/>
        <v>UPDATE url_rewrite SET request_path = '66235/793243/Adult--Child-Jersey-Forms/Mens-Jersey-Jacket-Form.html' WHERE entity_type='custom' AND target_path=(SELECT CONCAT(url_path, '.html') FROM catalog_category_flat_store_1 WHERE entity_id=1398);</v>
      </c>
    </row>
    <row r="1402" spans="1:4" x14ac:dyDescent="0.25">
      <c r="A1402">
        <f>categories!B1402</f>
        <v>1399</v>
      </c>
      <c r="B1402" t="str">
        <f>SUBSTITUTE(SUBSTITUTE(categories!H1402,"\","/"),"www.americanretailsupply.com/","")</f>
        <v>66235/793242/Adult--Child-Jersey-Forms/Mens-Jersey-Shirt-Form.html</v>
      </c>
      <c r="C1402" t="str">
        <f t="shared" si="42"/>
        <v>INSERT INTO url_rewrite (entity_type, entity_id, redirect_type, store_id, request_path, target_path) VALUES ('custom', 0, 301, 1,'66235/793242/Adult--Child-Jersey-Forms/Mens-Jersey-Shirt-Form.html',(SELECT CONCAT(url_path, '.html') FROM catalog_category_flat_store_1 WHERE entity_id=1399));</v>
      </c>
      <c r="D1402" t="str">
        <f t="shared" si="43"/>
        <v>UPDATE url_rewrite SET request_path = '66235/793242/Adult--Child-Jersey-Forms/Mens-Jersey-Shirt-Form.html' WHERE entity_type='custom' AND target_path=(SELECT CONCAT(url_path, '.html') FROM catalog_category_flat_store_1 WHERE entity_id=1399);</v>
      </c>
    </row>
    <row r="1403" spans="1:4" x14ac:dyDescent="0.25">
      <c r="A1403">
        <f>categories!B1403</f>
        <v>1400</v>
      </c>
      <c r="B1403" t="str">
        <f>SUBSTITUTE(SUBSTITUTE(categories!H1403,"\","/"),"www.americanretailsupply.com/","")</f>
        <v>64715/172945/E--Flute-Decorative-Boxes/Pillow-Packs.html</v>
      </c>
      <c r="C1403" t="str">
        <f t="shared" si="42"/>
        <v>INSERT INTO url_rewrite (entity_type, entity_id, redirect_type, store_id, request_path, target_path) VALUES ('custom', 0, 301, 1,'64715/172945/E--Flute-Decorative-Boxes/Pillow-Packs.html',(SELECT CONCAT(url_path, '.html') FROM catalog_category_flat_store_1 WHERE entity_id=1400));</v>
      </c>
      <c r="D1403" t="str">
        <f t="shared" si="43"/>
        <v>UPDATE url_rewrite SET request_path = '64715/172945/E--Flute-Decorative-Boxes/Pillow-Packs.html' WHERE entity_type='custom' AND target_path=(SELECT CONCAT(url_path, '.html') FROM catalog_category_flat_store_1 WHERE entity_id=1400);</v>
      </c>
    </row>
    <row r="1404" spans="1:4" x14ac:dyDescent="0.25">
      <c r="A1404">
        <f>categories!B1404</f>
        <v>1401</v>
      </c>
      <c r="B1404" t="str">
        <f>SUBSTITUTE(SUBSTITUTE(categories!H1404,"\","/"),"www.americanretailsupply.com/","")</f>
        <v>66235/793240/Adult--Child-Jersey-Forms/Womens-Dress-Form.html</v>
      </c>
      <c r="C1404" t="str">
        <f t="shared" si="42"/>
        <v>INSERT INTO url_rewrite (entity_type, entity_id, redirect_type, store_id, request_path, target_path) VALUES ('custom', 0, 301, 1,'66235/793240/Adult--Child-Jersey-Forms/Womens-Dress-Form.html',(SELECT CONCAT(url_path, '.html') FROM catalog_category_flat_store_1 WHERE entity_id=1401));</v>
      </c>
      <c r="D1404" t="str">
        <f t="shared" si="43"/>
        <v>UPDATE url_rewrite SET request_path = '66235/793240/Adult--Child-Jersey-Forms/Womens-Dress-Form.html' WHERE entity_type='custom' AND target_path=(SELECT CONCAT(url_path, '.html') FROM catalog_category_flat_store_1 WHERE entity_id=1401);</v>
      </c>
    </row>
    <row r="1405" spans="1:4" x14ac:dyDescent="0.25">
      <c r="A1405">
        <f>categories!B1405</f>
        <v>1402</v>
      </c>
      <c r="B1405" t="str">
        <f>SUBSTITUTE(SUBSTITUTE(categories!H1405,"\","/"),"www.americanretailsupply.com/","")</f>
        <v>66235/793241/Adult--Child-Jersey-Forms/Womens-Jersey-Blouse-Forms.html</v>
      </c>
      <c r="C1405" t="str">
        <f t="shared" si="42"/>
        <v>INSERT INTO url_rewrite (entity_type, entity_id, redirect_type, store_id, request_path, target_path) VALUES ('custom', 0, 301, 1,'66235/793241/Adult--Child-Jersey-Forms/Womens-Jersey-Blouse-Forms.html',(SELECT CONCAT(url_path, '.html') FROM catalog_category_flat_store_1 WHERE entity_id=1402));</v>
      </c>
      <c r="D1405" t="str">
        <f t="shared" si="43"/>
        <v>UPDATE url_rewrite SET request_path = '66235/793241/Adult--Child-Jersey-Forms/Womens-Jersey-Blouse-Forms.html' WHERE entity_type='custom' AND target_path=(SELECT CONCAT(url_path, '.html') FROM catalog_category_flat_store_1 WHERE entity_id=1402);</v>
      </c>
    </row>
    <row r="1406" spans="1:4" x14ac:dyDescent="0.25">
      <c r="A1406">
        <f>categories!B1406</f>
        <v>1403</v>
      </c>
      <c r="B1406" t="str">
        <f>SUBSTITUTE(SUBSTITUTE(categories!H1406,"\","/"),"www.americanretailsupply.com/","")</f>
        <v>64595/793002/New-Arrivals/-Pipe-Hangers-with-Shelves.html</v>
      </c>
      <c r="C1406" t="str">
        <f t="shared" si="42"/>
        <v>INSERT INTO url_rewrite (entity_type, entity_id, redirect_type, store_id, request_path, target_path) VALUES ('custom', 0, 301, 1,'64595/793002/New-Arrivals/-Pipe-Hangers-with-Shelves.html',(SELECT CONCAT(url_path, '.html') FROM catalog_category_flat_store_1 WHERE entity_id=1403));</v>
      </c>
      <c r="D1406" t="str">
        <f t="shared" si="43"/>
        <v>UPDATE url_rewrite SET request_path = '64595/793002/New-Arrivals/-Pipe-Hangers-with-Shelves.html' WHERE entity_type='custom' AND target_path=(SELECT CONCAT(url_path, '.html') FROM catalog_category_flat_store_1 WHERE entity_id=1403);</v>
      </c>
    </row>
    <row r="1407" spans="1:4" x14ac:dyDescent="0.25">
      <c r="A1407">
        <f>categories!B1407</f>
        <v>1404</v>
      </c>
      <c r="B1407" t="str">
        <f>SUBSTITUTE(SUBSTITUTE(categories!H1407,"\","/"),"www.americanretailsupply.com/","")</f>
        <v>66198/744107/Eco-Friendly-Plastic-Bags/Gloss-Heavy-Duty-Merchandise-Bags.html</v>
      </c>
      <c r="C1407" t="str">
        <f t="shared" si="42"/>
        <v>INSERT INTO url_rewrite (entity_type, entity_id, redirect_type, store_id, request_path, target_path) VALUES ('custom', 0, 301, 1,'66198/744107/Eco-Friendly-Plastic-Bags/Gloss-Heavy-Duty-Merchandise-Bags.html',(SELECT CONCAT(url_path, '.html') FROM catalog_category_flat_store_1 WHERE entity_id=1404));</v>
      </c>
      <c r="D1407" t="str">
        <f t="shared" si="43"/>
        <v>UPDATE url_rewrite SET request_path = '66198/744107/Eco-Friendly-Plastic-Bags/Gloss-Heavy-Duty-Merchandise-Bags.html' WHERE entity_type='custom' AND target_path=(SELECT CONCAT(url_path, '.html') FROM catalog_category_flat_store_1 WHERE entity_id=1404);</v>
      </c>
    </row>
    <row r="1408" spans="1:4" x14ac:dyDescent="0.25">
      <c r="A1408">
        <f>categories!B1408</f>
        <v>1406</v>
      </c>
      <c r="B1408" t="str">
        <f>SUBSTITUTE(SUBSTITUTE(categories!H1408,"\","/"),"www.americanretailsupply.com/","")</f>
        <v>66192/793001/Pipe--Panel-Displays/Pipe-Hangers-without-Shelves.html</v>
      </c>
      <c r="C1408" t="str">
        <f t="shared" si="42"/>
        <v>INSERT INTO url_rewrite (entity_type, entity_id, redirect_type, store_id, request_path, target_path) VALUES ('custom', 0, 301, 1,'66192/793001/Pipe--Panel-Displays/Pipe-Hangers-without-Shelves.html',(SELECT CONCAT(url_path, '.html') FROM catalog_category_flat_store_1 WHERE entity_id=1406));</v>
      </c>
      <c r="D1408" t="str">
        <f t="shared" si="43"/>
        <v>UPDATE url_rewrite SET request_path = '66192/793001/Pipe--Panel-Displays/Pipe-Hangers-without-Shelves.html' WHERE entity_type='custom' AND target_path=(SELECT CONCAT(url_path, '.html') FROM catalog_category_flat_store_1 WHERE entity_id=1406);</v>
      </c>
    </row>
    <row r="1409" spans="1:4" x14ac:dyDescent="0.25">
      <c r="A1409">
        <f>categories!B1409</f>
        <v>1407</v>
      </c>
      <c r="B1409" t="str">
        <f>SUBSTITUTE(SUBSTITUTE(categories!H1409,"\","/"),"www.americanretailsupply.com/","")</f>
        <v>64665/34340/Wire--Acylic-Easels/Adjustable-Easel-for-Slatwall-or-Slatgrid.html</v>
      </c>
      <c r="C1409" t="str">
        <f t="shared" si="42"/>
        <v>INSERT INTO url_rewrite (entity_type, entity_id, redirect_type, store_id, request_path, target_path) VALUES ('custom', 0, 301, 1,'64665/34340/Wire--Acylic-Easels/Adjustable-Easel-for-Slatwall-or-Slatgrid.html',(SELECT CONCAT(url_path, '.html') FROM catalog_category_flat_store_1 WHERE entity_id=1407));</v>
      </c>
      <c r="D1409" t="str">
        <f t="shared" si="43"/>
        <v>UPDATE url_rewrite SET request_path = '64665/34340/Wire--Acylic-Easels/Adjustable-Easel-for-Slatwall-or-Slatgrid.html' WHERE entity_type='custom' AND target_path=(SELECT CONCAT(url_path, '.html') FROM catalog_category_flat_store_1 WHERE entity_id=1407);</v>
      </c>
    </row>
    <row r="1410" spans="1:4" x14ac:dyDescent="0.25">
      <c r="A1410">
        <f>categories!B1410</f>
        <v>1408</v>
      </c>
      <c r="B1410" t="str">
        <f>SUBSTITUTE(SUBSTITUTE(categories!H1410,"\","/"),"www.americanretailsupply.com/","")</f>
        <v>64787/640355/Necklace--Bracelet-Displays/Jewelry-Displays-for-Slatwall-or-Slatgrid.html</v>
      </c>
      <c r="C1410" t="str">
        <f t="shared" si="42"/>
        <v>INSERT INTO url_rewrite (entity_type, entity_id, redirect_type, store_id, request_path, target_path) VALUES ('custom', 0, 301, 1,'64787/640355/Necklace--Bracelet-Displays/Jewelry-Displays-for-Slatwall-or-Slatgrid.html',(SELECT CONCAT(url_path, '.html') FROM catalog_category_flat_store_1 WHERE entity_id=1408));</v>
      </c>
      <c r="D1410" t="str">
        <f t="shared" si="43"/>
        <v>UPDATE url_rewrite SET request_path = '64787/640355/Necklace--Bracelet-Displays/Jewelry-Displays-for-Slatwall-or-Slatgrid.html' WHERE entity_type='custom' AND target_path=(SELECT CONCAT(url_path, '.html') FROM catalog_category_flat_store_1 WHERE entity_id=1408);</v>
      </c>
    </row>
    <row r="1411" spans="1:4" x14ac:dyDescent="0.25">
      <c r="A1411">
        <f>categories!B1411</f>
        <v>1409</v>
      </c>
      <c r="B1411" t="str">
        <f>SUBSTITUTE(SUBSTITUTE(categories!H1411,"\","/"),"www.americanretailsupply.com/","")</f>
        <v>64829/793986/Ready-To-Assemble-Showcases/Showcase-16-Square-Display.html</v>
      </c>
      <c r="C1411" t="str">
        <f t="shared" ref="C1411:C1445" si="44">"INSERT INTO url_rewrite (entity_type, entity_id, redirect_type, store_id, request_path, target_path) VALUES ('custom', 0, 301, 1,'"&amp;B1411&amp;"',(SELECT CONCAT(url_path, '.html') FROM catalog_category_flat_store_1 WHERE entity_id="&amp;A1411&amp;"));"</f>
        <v>INSERT INTO url_rewrite (entity_type, entity_id, redirect_type, store_id, request_path, target_path) VALUES ('custom', 0, 301, 1,'64829/793986/Ready-To-Assemble-Showcases/Showcase-16-Square-Display.html',(SELECT CONCAT(url_path, '.html') FROM catalog_category_flat_store_1 WHERE entity_id=1409));</v>
      </c>
      <c r="D1411" t="str">
        <f t="shared" ref="D1411:D1445" si="45">"UPDATE url_rewrite SET request_path = '"&amp;B1411&amp;"' WHERE entity_type='custom' AND target_path=(SELECT CONCAT(url_path, '.html') FROM catalog_category_flat_store_1 WHERE entity_id="&amp;A1411&amp;");"</f>
        <v>UPDATE url_rewrite SET request_path = '64829/793986/Ready-To-Assemble-Showcases/Showcase-16-Square-Display.html' WHERE entity_type='custom' AND target_path=(SELECT CONCAT(url_path, '.html') FROM catalog_category_flat_store_1 WHERE entity_id=1409);</v>
      </c>
    </row>
    <row r="1412" spans="1:4" x14ac:dyDescent="0.25">
      <c r="A1412">
        <f>categories!B1412</f>
        <v>1410</v>
      </c>
      <c r="B1412" t="str">
        <f>SUBSTITUTE(SUBSTITUTE(categories!H1412,"\","/"),"www.americanretailsupply.com/","")</f>
        <v>64898/763796/Closeout-Display-Cases-and-Racks/-Showcase-Queen-Anne-Jewelry.html</v>
      </c>
      <c r="C1412" t="str">
        <f t="shared" si="44"/>
        <v>INSERT INTO url_rewrite (entity_type, entity_id, redirect_type, store_id, request_path, target_path) VALUES ('custom', 0, 301, 1,'64898/763796/Closeout-Display-Cases-and-Racks/-Showcase-Queen-Anne-Jewelry.html',(SELECT CONCAT(url_path, '.html') FROM catalog_category_flat_store_1 WHERE entity_id=1410));</v>
      </c>
      <c r="D1412" t="str">
        <f t="shared" si="45"/>
        <v>UPDATE url_rewrite SET request_path = '64898/763796/Closeout-Display-Cases-and-Racks/-Showcase-Queen-Anne-Jewelry.html' WHERE entity_type='custom' AND target_path=(SELECT CONCAT(url_path, '.html') FROM catalog_category_flat_store_1 WHERE entity_id=1410);</v>
      </c>
    </row>
    <row r="1413" spans="1:4" x14ac:dyDescent="0.25">
      <c r="A1413">
        <f>categories!B1413</f>
        <v>1411</v>
      </c>
      <c r="B1413" t="str">
        <f>SUBSTITUTE(SUBSTITUTE(categories!H1413,"\","/"),"www.americanretailsupply.com/","")</f>
        <v>64898/785445/Closeout-Display-Cases-and-Racks/Floor-Standing-Sign-Frame.html</v>
      </c>
      <c r="C1413" t="str">
        <f t="shared" si="44"/>
        <v>INSERT INTO url_rewrite (entity_type, entity_id, redirect_type, store_id, request_path, target_path) VALUES ('custom', 0, 301, 1,'64898/785445/Closeout-Display-Cases-and-Racks/Floor-Standing-Sign-Frame.html',(SELECT CONCAT(url_path, '.html') FROM catalog_category_flat_store_1 WHERE entity_id=1411));</v>
      </c>
      <c r="D1413" t="str">
        <f t="shared" si="45"/>
        <v>UPDATE url_rewrite SET request_path = '64898/785445/Closeout-Display-Cases-and-Racks/Floor-Standing-Sign-Frame.html' WHERE entity_type='custom' AND target_path=(SELECT CONCAT(url_path, '.html') FROM catalog_category_flat_store_1 WHERE entity_id=1411);</v>
      </c>
    </row>
    <row r="1414" spans="1:4" x14ac:dyDescent="0.25">
      <c r="A1414">
        <f>categories!B1414</f>
        <v>1412</v>
      </c>
      <c r="B1414" t="str">
        <f>SUBSTITUTE(SUBSTITUTE(categories!H1414,"\","/"),"www.americanretailsupply.com/","")</f>
        <v>64899/244866/Closeout-Packaging/Curling-Ribbon.html</v>
      </c>
      <c r="C1414" t="str">
        <f t="shared" si="44"/>
        <v>INSERT INTO url_rewrite (entity_type, entity_id, redirect_type, store_id, request_path, target_path) VALUES ('custom', 0, 301, 1,'64899/244866/Closeout-Packaging/Curling-Ribbon.html',(SELECT CONCAT(url_path, '.html') FROM catalog_category_flat_store_1 WHERE entity_id=1412));</v>
      </c>
      <c r="D1414" t="str">
        <f t="shared" si="45"/>
        <v>UPDATE url_rewrite SET request_path = '64899/244866/Closeout-Packaging/Curling-Ribbon.html' WHERE entity_type='custom' AND target_path=(SELECT CONCAT(url_path, '.html') FROM catalog_category_flat_store_1 WHERE entity_id=1412);</v>
      </c>
    </row>
    <row r="1415" spans="1:4" x14ac:dyDescent="0.25">
      <c r="A1415">
        <f>categories!B1415</f>
        <v>1413</v>
      </c>
      <c r="B1415" t="str">
        <f>SUBSTITUTE(SUBSTITUTE(categories!H1415,"\","/"),"www.americanretailsupply.com/","")</f>
        <v>64899/245005/Closeout-Packaging/Glitter-Ribbon.html</v>
      </c>
      <c r="C1415" t="str">
        <f t="shared" si="44"/>
        <v>INSERT INTO url_rewrite (entity_type, entity_id, redirect_type, store_id, request_path, target_path) VALUES ('custom', 0, 301, 1,'64899/245005/Closeout-Packaging/Glitter-Ribbon.html',(SELECT CONCAT(url_path, '.html') FROM catalog_category_flat_store_1 WHERE entity_id=1413));</v>
      </c>
      <c r="D1415" t="str">
        <f t="shared" si="45"/>
        <v>UPDATE url_rewrite SET request_path = '64899/245005/Closeout-Packaging/Glitter-Ribbon.html' WHERE entity_type='custom' AND target_path=(SELECT CONCAT(url_path, '.html') FROM catalog_category_flat_store_1 WHERE entity_id=1413);</v>
      </c>
    </row>
    <row r="1416" spans="1:4" x14ac:dyDescent="0.25">
      <c r="A1416">
        <f>categories!B1416</f>
        <v>1414</v>
      </c>
      <c r="B1416" t="str">
        <f>SUBSTITUTE(SUBSTITUTE(categories!H1416,"\","/"),"www.americanretailsupply.com/","")</f>
        <v>64899/245006/Closeout-Packaging/Splendorette-Ribbon.html</v>
      </c>
      <c r="C1416" t="str">
        <f t="shared" si="44"/>
        <v>INSERT INTO url_rewrite (entity_type, entity_id, redirect_type, store_id, request_path, target_path) VALUES ('custom', 0, 301, 1,'64899/245006/Closeout-Packaging/Splendorette-Ribbon.html',(SELECT CONCAT(url_path, '.html') FROM catalog_category_flat_store_1 WHERE entity_id=1414));</v>
      </c>
      <c r="D1416" t="str">
        <f t="shared" si="45"/>
        <v>UPDATE url_rewrite SET request_path = '64899/245006/Closeout-Packaging/Splendorette-Ribbon.html' WHERE entity_type='custom' AND target_path=(SELECT CONCAT(url_path, '.html') FROM catalog_category_flat_store_1 WHERE entity_id=1414);</v>
      </c>
    </row>
    <row r="1417" spans="1:4" x14ac:dyDescent="0.25">
      <c r="A1417">
        <f>categories!B1417</f>
        <v>1415</v>
      </c>
      <c r="B1417" t="str">
        <f>SUBSTITUTE(SUBSTITUTE(categories!H1417,"\","/"),"www.americanretailsupply.com/","")</f>
        <v>64901/240560/Closeout-Brackets-Hooks-Standards/Gridwall-Standard-Brackets.html</v>
      </c>
      <c r="C1417" t="str">
        <f t="shared" si="44"/>
        <v>INSERT INTO url_rewrite (entity_type, entity_id, redirect_type, store_id, request_path, target_path) VALUES ('custom', 0, 301, 1,'64901/240560/Closeout-Brackets-Hooks-Standards/Gridwall-Standard-Brackets.html',(SELECT CONCAT(url_path, '.html') FROM catalog_category_flat_store_1 WHERE entity_id=1415));</v>
      </c>
      <c r="D1417" t="str">
        <f t="shared" si="45"/>
        <v>UPDATE url_rewrite SET request_path = '64901/240560/Closeout-Brackets-Hooks-Standards/Gridwall-Standard-Brackets.html' WHERE entity_type='custom' AND target_path=(SELECT CONCAT(url_path, '.html') FROM catalog_category_flat_store_1 WHERE entity_id=1415);</v>
      </c>
    </row>
    <row r="1418" spans="1:4" x14ac:dyDescent="0.25">
      <c r="A1418">
        <f>categories!B1418</f>
        <v>1416</v>
      </c>
      <c r="B1418" t="str">
        <f>SUBSTITUTE(SUBSTITUTE(categories!H1418,"\","/"),"www.americanretailsupply.com/","")</f>
        <v>64901/793612/Closeout-Brackets-Hooks-Standards/Gridwall-Heavy-Duty-Hook-14-Diameter-90-tip-1-Chrome.html</v>
      </c>
      <c r="C1418" t="str">
        <f t="shared" si="44"/>
        <v>INSERT INTO url_rewrite (entity_type, entity_id, redirect_type, store_id, request_path, target_path) VALUES ('custom', 0, 301, 1,'64901/793612/Closeout-Brackets-Hooks-Standards/Gridwall-Heavy-Duty-Hook-14-Diameter-90-tip-1-Chrome.html',(SELECT CONCAT(url_path, '.html') FROM catalog_category_flat_store_1 WHERE entity_id=1416));</v>
      </c>
      <c r="D1418" t="str">
        <f t="shared" si="45"/>
        <v>UPDATE url_rewrite SET request_path = '64901/793612/Closeout-Brackets-Hooks-Standards/Gridwall-Heavy-Duty-Hook-14-Diameter-90-tip-1-Chrome.html' WHERE entity_type='custom' AND target_path=(SELECT CONCAT(url_path, '.html') FROM catalog_category_flat_store_1 WHERE entity_id=1416);</v>
      </c>
    </row>
    <row r="1419" spans="1:4" x14ac:dyDescent="0.25">
      <c r="A1419">
        <f>categories!B1419</f>
        <v>1417</v>
      </c>
      <c r="B1419" t="str">
        <f>SUBSTITUTE(SUBSTITUTE(categories!H1419,"\","/"),"www.americanretailsupply.com/","")</f>
        <v>64905/434399/Miscellaneous-Closeout/Adhesive-Label-Release.html</v>
      </c>
      <c r="C1419" t="str">
        <f t="shared" si="44"/>
        <v>INSERT INTO url_rewrite (entity_type, entity_id, redirect_type, store_id, request_path, target_path) VALUES ('custom', 0, 301, 1,'64905/434399/Miscellaneous-Closeout/Adhesive-Label-Release.html',(SELECT CONCAT(url_path, '.html') FROM catalog_category_flat_store_1 WHERE entity_id=1417));</v>
      </c>
      <c r="D1419" t="str">
        <f t="shared" si="45"/>
        <v>UPDATE url_rewrite SET request_path = '64905/434399/Miscellaneous-Closeout/Adhesive-Label-Release.html' WHERE entity_type='custom' AND target_path=(SELECT CONCAT(url_path, '.html') FROM catalog_category_flat_store_1 WHERE entity_id=1417);</v>
      </c>
    </row>
    <row r="1420" spans="1:4" x14ac:dyDescent="0.25">
      <c r="A1420">
        <f>categories!B1420</f>
        <v>1418</v>
      </c>
      <c r="B1420" t="str">
        <f>SUBSTITUTE(SUBSTITUTE(categories!H1420,"\","/"),"www.americanretailsupply.com/","")</f>
        <v>64905/434405/Miscellaneous-Closeout/Inside-The-Magic-Kingdom.html</v>
      </c>
      <c r="C1420" t="str">
        <f t="shared" si="44"/>
        <v>INSERT INTO url_rewrite (entity_type, entity_id, redirect_type, store_id, request_path, target_path) VALUES ('custom', 0, 301, 1,'64905/434405/Miscellaneous-Closeout/Inside-The-Magic-Kingdom.html',(SELECT CONCAT(url_path, '.html') FROM catalog_category_flat_store_1 WHERE entity_id=1418));</v>
      </c>
      <c r="D1420" t="str">
        <f t="shared" si="45"/>
        <v>UPDATE url_rewrite SET request_path = '64905/434405/Miscellaneous-Closeout/Inside-The-Magic-Kingdom.html' WHERE entity_type='custom' AND target_path=(SELECT CONCAT(url_path, '.html') FROM catalog_category_flat_store_1 WHERE entity_id=1418);</v>
      </c>
    </row>
    <row r="1421" spans="1:4" x14ac:dyDescent="0.25">
      <c r="A1421">
        <f>categories!B1421</f>
        <v>1419</v>
      </c>
      <c r="B1421" t="str">
        <f>SUBSTITUTE(SUBSTITUTE(categories!H1421,"\","/"),"www.americanretailsupply.com/","")</f>
        <v>64905/788053/Miscellaneous-Closeout/Shopping-Baskets.html</v>
      </c>
      <c r="C1421" t="str">
        <f t="shared" si="44"/>
        <v>INSERT INTO url_rewrite (entity_type, entity_id, redirect_type, store_id, request_path, target_path) VALUES ('custom', 0, 301, 1,'64905/788053/Miscellaneous-Closeout/Shopping-Baskets.html',(SELECT CONCAT(url_path, '.html') FROM catalog_category_flat_store_1 WHERE entity_id=1419));</v>
      </c>
      <c r="D1421" t="str">
        <f t="shared" si="45"/>
        <v>UPDATE url_rewrite SET request_path = '64905/788053/Miscellaneous-Closeout/Shopping-Baskets.html' WHERE entity_type='custom' AND target_path=(SELECT CONCAT(url_path, '.html') FROM catalog_category_flat_store_1 WHERE entity_id=1419);</v>
      </c>
    </row>
    <row r="1422" spans="1:4" x14ac:dyDescent="0.25">
      <c r="A1422">
        <f>categories!B1422</f>
        <v>1421</v>
      </c>
      <c r="B1422" t="str">
        <f>SUBSTITUTE(SUBSTITUTE(categories!H1422,"\","/"),"www.americanretailsupply.com/","")</f>
        <v>64943/2333/Slatwall-Accessories/Standard-Brackets-for-Slatwall-or-Slatgrid.html</v>
      </c>
      <c r="C1422" t="str">
        <f t="shared" si="44"/>
        <v>INSERT INTO url_rewrite (entity_type, entity_id, redirect_type, store_id, request_path, target_path) VALUES ('custom', 0, 301, 1,'64943/2333/Slatwall-Accessories/Standard-Brackets-for-Slatwall-or-Slatgrid.html',(SELECT CONCAT(url_path, '.html') FROM catalog_category_flat_store_1 WHERE entity_id=1421));</v>
      </c>
      <c r="D1422" t="str">
        <f t="shared" si="45"/>
        <v>UPDATE url_rewrite SET request_path = '64943/2333/Slatwall-Accessories/Standard-Brackets-for-Slatwall-or-Slatgrid.html' WHERE entity_type='custom' AND target_path=(SELECT CONCAT(url_path, '.html') FROM catalog_category_flat_store_1 WHERE entity_id=1421);</v>
      </c>
    </row>
    <row r="1423" spans="1:4" x14ac:dyDescent="0.25">
      <c r="A1423">
        <f>categories!B1423</f>
        <v>1422</v>
      </c>
      <c r="B1423" t="str">
        <f>SUBSTITUTE(SUBSTITUTE(categories!H1423,"\","/"),"www.americanretailsupply.com/","")</f>
        <v>64943/34098/Slatwall-Accessories/Picture-Hanger-for-Slatwall-or-Slatgrid.html</v>
      </c>
      <c r="C1423" t="str">
        <f t="shared" si="44"/>
        <v>INSERT INTO url_rewrite (entity_type, entity_id, redirect_type, store_id, request_path, target_path) VALUES ('custom', 0, 301, 1,'64943/34098/Slatwall-Accessories/Picture-Hanger-for-Slatwall-or-Slatgrid.html',(SELECT CONCAT(url_path, '.html') FROM catalog_category_flat_store_1 WHERE entity_id=1422));</v>
      </c>
      <c r="D1423" t="str">
        <f t="shared" si="45"/>
        <v>UPDATE url_rewrite SET request_path = '64943/34098/Slatwall-Accessories/Picture-Hanger-for-Slatwall-or-Slatgrid.html' WHERE entity_type='custom' AND target_path=(SELECT CONCAT(url_path, '.html') FROM catalog_category_flat_store_1 WHERE entity_id=1422);</v>
      </c>
    </row>
    <row r="1424" spans="1:4" x14ac:dyDescent="0.25">
      <c r="A1424">
        <f>categories!B1424</f>
        <v>1423</v>
      </c>
      <c r="B1424" t="str">
        <f>SUBSTITUTE(SUBSTITUTE(categories!H1424,"\","/"),"www.americanretailsupply.com/","")</f>
        <v>64943/34099/Slatwall-Accessories/Utility-Hook-for-Slatwall-or-Slatgrid.html</v>
      </c>
      <c r="C1424" t="str">
        <f t="shared" si="44"/>
        <v>INSERT INTO url_rewrite (entity_type, entity_id, redirect_type, store_id, request_path, target_path) VALUES ('custom', 0, 301, 1,'64943/34099/Slatwall-Accessories/Utility-Hook-for-Slatwall-or-Slatgrid.html',(SELECT CONCAT(url_path, '.html') FROM catalog_category_flat_store_1 WHERE entity_id=1423));</v>
      </c>
      <c r="D1424" t="str">
        <f t="shared" si="45"/>
        <v>UPDATE url_rewrite SET request_path = '64943/34099/Slatwall-Accessories/Utility-Hook-for-Slatwall-or-Slatgrid.html' WHERE entity_type='custom' AND target_path=(SELECT CONCAT(url_path, '.html') FROM catalog_category_flat_store_1 WHERE entity_id=1423);</v>
      </c>
    </row>
    <row r="1425" spans="1:4" x14ac:dyDescent="0.25">
      <c r="A1425">
        <f>categories!B1425</f>
        <v>1424</v>
      </c>
      <c r="B1425" t="str">
        <f>SUBSTITUTE(SUBSTITUTE(categories!H1425,"\","/"),"www.americanretailsupply.com/","")</f>
        <v>64943/34100/Slatwall-Accessories/Straight-Faceout-Bracket-for-Slatwall-or-Slatgrid.html</v>
      </c>
      <c r="C1425" t="str">
        <f t="shared" si="44"/>
        <v>INSERT INTO url_rewrite (entity_type, entity_id, redirect_type, store_id, request_path, target_path) VALUES ('custom', 0, 301, 1,'64943/34100/Slatwall-Accessories/Straight-Faceout-Bracket-for-Slatwall-or-Slatgrid.html',(SELECT CONCAT(url_path, '.html') FROM catalog_category_flat_store_1 WHERE entity_id=1424));</v>
      </c>
      <c r="D1425" t="str">
        <f t="shared" si="45"/>
        <v>UPDATE url_rewrite SET request_path = '64943/34100/Slatwall-Accessories/Straight-Faceout-Bracket-for-Slatwall-or-Slatgrid.html' WHERE entity_type='custom' AND target_path=(SELECT CONCAT(url_path, '.html') FROM catalog_category_flat_store_1 WHERE entity_id=1424);</v>
      </c>
    </row>
    <row r="1426" spans="1:4" x14ac:dyDescent="0.25">
      <c r="A1426">
        <f>categories!B1426</f>
        <v>1425</v>
      </c>
      <c r="B1426" t="str">
        <f>SUBSTITUTE(SUBSTITUTE(categories!H1426,"\","/"),"www.americanretailsupply.com/","")</f>
        <v>64943/34101/Slatwall-Accessories/Slatwall-or-Slatgrid-Waterfall-Brackets.html</v>
      </c>
      <c r="C1426" t="str">
        <f t="shared" si="44"/>
        <v>INSERT INTO url_rewrite (entity_type, entity_id, redirect_type, store_id, request_path, target_path) VALUES ('custom', 0, 301, 1,'64943/34101/Slatwall-Accessories/Slatwall-or-Slatgrid-Waterfall-Brackets.html',(SELECT CONCAT(url_path, '.html') FROM catalog_category_flat_store_1 WHERE entity_id=1425));</v>
      </c>
      <c r="D1426" t="str">
        <f t="shared" si="45"/>
        <v>UPDATE url_rewrite SET request_path = '64943/34101/Slatwall-Accessories/Slatwall-or-Slatgrid-Waterfall-Brackets.html' WHERE entity_type='custom' AND target_path=(SELECT CONCAT(url_path, '.html') FROM catalog_category_flat_store_1 WHERE entity_id=1425);</v>
      </c>
    </row>
    <row r="1427" spans="1:4" x14ac:dyDescent="0.25">
      <c r="A1427">
        <f>categories!B1427</f>
        <v>1426</v>
      </c>
      <c r="B1427" t="str">
        <f>SUBSTITUTE(SUBSTITUTE(categories!H1427,"\","/"),"www.americanretailsupply.com/","")</f>
        <v>64943/34102/Slatwall-Accessories/Waterfall-Bracket-with-Hooks-for-Slatwall-or-Slatgrid.html</v>
      </c>
      <c r="C1427" t="str">
        <f t="shared" si="44"/>
        <v>INSERT INTO url_rewrite (entity_type, entity_id, redirect_type, store_id, request_path, target_path) VALUES ('custom', 0, 301, 1,'64943/34102/Slatwall-Accessories/Waterfall-Bracket-with-Hooks-for-Slatwall-or-Slatgrid.html',(SELECT CONCAT(url_path, '.html') FROM catalog_category_flat_store_1 WHERE entity_id=1426));</v>
      </c>
      <c r="D1427" t="str">
        <f t="shared" si="45"/>
        <v>UPDATE url_rewrite SET request_path = '64943/34102/Slatwall-Accessories/Waterfall-Bracket-with-Hooks-for-Slatwall-or-Slatgrid.html' WHERE entity_type='custom' AND target_path=(SELECT CONCAT(url_path, '.html') FROM catalog_category_flat_store_1 WHERE entity_id=1426);</v>
      </c>
    </row>
    <row r="1428" spans="1:4" x14ac:dyDescent="0.25">
      <c r="A1428">
        <f>categories!B1428</f>
        <v>1427</v>
      </c>
      <c r="B1428" t="str">
        <f>SUBSTITUTE(SUBSTITUTE(categories!H1428,"\","/"),"www.americanretailsupply.com/","")</f>
        <v>64943/34103/Slatwall-Accessories/Hangrod-Bracket-with-Spring-Clamp-for-Slatwall.html</v>
      </c>
      <c r="C1428" t="str">
        <f t="shared" si="44"/>
        <v>INSERT INTO url_rewrite (entity_type, entity_id, redirect_type, store_id, request_path, target_path) VALUES ('custom', 0, 301, 1,'64943/34103/Slatwall-Accessories/Hangrod-Bracket-with-Spring-Clamp-for-Slatwall.html',(SELECT CONCAT(url_path, '.html') FROM catalog_category_flat_store_1 WHERE entity_id=1427));</v>
      </c>
      <c r="D1428" t="str">
        <f t="shared" si="45"/>
        <v>UPDATE url_rewrite SET request_path = '64943/34103/Slatwall-Accessories/Hangrod-Bracket-with-Spring-Clamp-for-Slatwall.html' WHERE entity_type='custom' AND target_path=(SELECT CONCAT(url_path, '.html') FROM catalog_category_flat_store_1 WHERE entity_id=1427);</v>
      </c>
    </row>
    <row r="1429" spans="1:4" x14ac:dyDescent="0.25">
      <c r="A1429">
        <f>categories!B1429</f>
        <v>1428</v>
      </c>
      <c r="B1429" t="str">
        <f>SUBSTITUTE(SUBSTITUTE(categories!H1429,"\","/"),"www.americanretailsupply.com/","")</f>
        <v>64943/34104/Slatwall-Accessories/Mechandising-Bar-Brackets-for-Slatwall-or-Slatgrid.html</v>
      </c>
      <c r="C1429" t="str">
        <f t="shared" si="44"/>
        <v>INSERT INTO url_rewrite (entity_type, entity_id, redirect_type, store_id, request_path, target_path) VALUES ('custom', 0, 301, 1,'64943/34104/Slatwall-Accessories/Mechandising-Bar-Brackets-for-Slatwall-or-Slatgrid.html',(SELECT CONCAT(url_path, '.html') FROM catalog_category_flat_store_1 WHERE entity_id=1428));</v>
      </c>
      <c r="D1429" t="str">
        <f t="shared" si="45"/>
        <v>UPDATE url_rewrite SET request_path = '64943/34104/Slatwall-Accessories/Mechandising-Bar-Brackets-for-Slatwall-or-Slatgrid.html' WHERE entity_type='custom' AND target_path=(SELECT CONCAT(url_path, '.html') FROM catalog_category_flat_store_1 WHERE entity_id=1428);</v>
      </c>
    </row>
    <row r="1430" spans="1:4" x14ac:dyDescent="0.25">
      <c r="A1430">
        <f>categories!B1430</f>
        <v>1429</v>
      </c>
      <c r="B1430" t="str">
        <f>SUBSTITUTE(SUBSTITUTE(categories!H1430,"\","/"),"www.americanretailsupply.com/","")</f>
        <v>64943/34105/Slatwall-Accessories/Heavy-Duty-Hooks-with-90-degree-Tip-for-Slatwall-or-Slatgrid.html</v>
      </c>
      <c r="C1430" t="str">
        <f t="shared" si="44"/>
        <v>INSERT INTO url_rewrite (entity_type, entity_id, redirect_type, store_id, request_path, target_path) VALUES ('custom', 0, 301, 1,'64943/34105/Slatwall-Accessories/Heavy-Duty-Hooks-with-90-degree-Tip-for-Slatwall-or-Slatgrid.html',(SELECT CONCAT(url_path, '.html') FROM catalog_category_flat_store_1 WHERE entity_id=1429));</v>
      </c>
      <c r="D1430" t="str">
        <f t="shared" si="45"/>
        <v>UPDATE url_rewrite SET request_path = '64943/34105/Slatwall-Accessories/Heavy-Duty-Hooks-with-90-degree-Tip-for-Slatwall-or-Slatgrid.html' WHERE entity_type='custom' AND target_path=(SELECT CONCAT(url_path, '.html') FROM catalog_category_flat_store_1 WHERE entity_id=1429);</v>
      </c>
    </row>
    <row r="1431" spans="1:4" x14ac:dyDescent="0.25">
      <c r="A1431">
        <f>categories!B1431</f>
        <v>1430</v>
      </c>
      <c r="B1431" t="str">
        <f>SUBSTITUTE(SUBSTITUTE(categories!H1431,"\","/"),"www.americanretailsupply.com/","")</f>
        <v>64943/34106/Slatwall-Accessories/Hooks-with-45-Degree-Tip-for-Slatwall-or-Slatgrid.html</v>
      </c>
      <c r="C1431" t="str">
        <f t="shared" si="44"/>
        <v>INSERT INTO url_rewrite (entity_type, entity_id, redirect_type, store_id, request_path, target_path) VALUES ('custom', 0, 301, 1,'64943/34106/Slatwall-Accessories/Hooks-with-45-Degree-Tip-for-Slatwall-or-Slatgrid.html',(SELECT CONCAT(url_path, '.html') FROM catalog_category_flat_store_1 WHERE entity_id=1430));</v>
      </c>
      <c r="D1431" t="str">
        <f t="shared" si="45"/>
        <v>UPDATE url_rewrite SET request_path = '64943/34106/Slatwall-Accessories/Hooks-with-45-Degree-Tip-for-Slatwall-or-Slatgrid.html' WHERE entity_type='custom' AND target_path=(SELECT CONCAT(url_path, '.html') FROM catalog_category_flat_store_1 WHERE entity_id=1430);</v>
      </c>
    </row>
    <row r="1432" spans="1:4" x14ac:dyDescent="0.25">
      <c r="A1432">
        <f>categories!B1432</f>
        <v>1431</v>
      </c>
      <c r="B1432" t="str">
        <f>SUBSTITUTE(SUBSTITUTE(categories!H1432,"\","/"),"www.americanretailsupply.com/","")</f>
        <v>64943/34107/Slatwall-Accessories/Adjustable-Literature-Holder-for-Slatwall-or-Slatgrid.html</v>
      </c>
      <c r="C1432" t="str">
        <f t="shared" si="44"/>
        <v>INSERT INTO url_rewrite (entity_type, entity_id, redirect_type, store_id, request_path, target_path) VALUES ('custom', 0, 301, 1,'64943/34107/Slatwall-Accessories/Adjustable-Literature-Holder-for-Slatwall-or-Slatgrid.html',(SELECT CONCAT(url_path, '.html') FROM catalog_category_flat_store_1 WHERE entity_id=1431));</v>
      </c>
      <c r="D1432" t="str">
        <f t="shared" si="45"/>
        <v>UPDATE url_rewrite SET request_path = '64943/34107/Slatwall-Accessories/Adjustable-Literature-Holder-for-Slatwall-or-Slatgrid.html' WHERE entity_type='custom' AND target_path=(SELECT CONCAT(url_path, '.html') FROM catalog_category_flat_store_1 WHERE entity_id=1431);</v>
      </c>
    </row>
    <row r="1433" spans="1:4" x14ac:dyDescent="0.25">
      <c r="A1433">
        <f>categories!B1433</f>
        <v>1432</v>
      </c>
      <c r="B1433" t="str">
        <f>SUBSTITUTE(SUBSTITUTE(categories!H1433,"\","/"),"www.americanretailsupply.com/","")</f>
        <v>64943/34301/Slatwall-Accessories/Heavy-Duty-Brackets-for-Slatwall-or-Slatgrid.html</v>
      </c>
      <c r="C1433" t="str">
        <f t="shared" si="44"/>
        <v>INSERT INTO url_rewrite (entity_type, entity_id, redirect_type, store_id, request_path, target_path) VALUES ('custom', 0, 301, 1,'64943/34301/Slatwall-Accessories/Heavy-Duty-Brackets-for-Slatwall-or-Slatgrid.html',(SELECT CONCAT(url_path, '.html') FROM catalog_category_flat_store_1 WHERE entity_id=1432));</v>
      </c>
      <c r="D1433" t="str">
        <f t="shared" si="45"/>
        <v>UPDATE url_rewrite SET request_path = '64943/34301/Slatwall-Accessories/Heavy-Duty-Brackets-for-Slatwall-or-Slatgrid.html' WHERE entity_type='custom' AND target_path=(SELECT CONCAT(url_path, '.html') FROM catalog_category_flat_store_1 WHERE entity_id=1432);</v>
      </c>
    </row>
    <row r="1434" spans="1:4" x14ac:dyDescent="0.25">
      <c r="A1434">
        <f>categories!B1434</f>
        <v>1433</v>
      </c>
      <c r="B1434" t="str">
        <f>SUBSTITUTE(SUBSTITUTE(categories!H1434,"\","/"),"www.americanretailsupply.com/","")</f>
        <v>64943/443004/Slatwall-Accessories/1-Piece-Scanning-Hooks-for-Slatwall-or-Slatgrid.html</v>
      </c>
      <c r="C1434" t="str">
        <f t="shared" si="44"/>
        <v>INSERT INTO url_rewrite (entity_type, entity_id, redirect_type, store_id, request_path, target_path) VALUES ('custom', 0, 301, 1,'64943/443004/Slatwall-Accessories/1-Piece-Scanning-Hooks-for-Slatwall-or-Slatgrid.html',(SELECT CONCAT(url_path, '.html') FROM catalog_category_flat_store_1 WHERE entity_id=1433));</v>
      </c>
      <c r="D1434" t="str">
        <f t="shared" si="45"/>
        <v>UPDATE url_rewrite SET request_path = '64943/443004/Slatwall-Accessories/1-Piece-Scanning-Hooks-for-Slatwall-or-Slatgrid.html' WHERE entity_type='custom' AND target_path=(SELECT CONCAT(url_path, '.html') FROM catalog_category_flat_store_1 WHERE entity_id=1433);</v>
      </c>
    </row>
    <row r="1435" spans="1:4" x14ac:dyDescent="0.25">
      <c r="A1435">
        <f>categories!B1435</f>
        <v>1434</v>
      </c>
      <c r="B1435" t="str">
        <f>SUBSTITUTE(SUBSTITUTE(categories!H1435,"\","/"),"www.americanretailsupply.com/","")</f>
        <v>64943/778864/Slatwall-Accessories/Hat-Displayer-for-Slatwall.html</v>
      </c>
      <c r="C1435" t="str">
        <f t="shared" si="44"/>
        <v>INSERT INTO url_rewrite (entity_type, entity_id, redirect_type, store_id, request_path, target_path) VALUES ('custom', 0, 301, 1,'64943/778864/Slatwall-Accessories/Hat-Displayer-for-Slatwall.html',(SELECT CONCAT(url_path, '.html') FROM catalog_category_flat_store_1 WHERE entity_id=1434));</v>
      </c>
      <c r="D1435" t="str">
        <f t="shared" si="45"/>
        <v>UPDATE url_rewrite SET request_path = '64943/778864/Slatwall-Accessories/Hat-Displayer-for-Slatwall.html' WHERE entity_type='custom' AND target_path=(SELECT CONCAT(url_path, '.html') FROM catalog_category_flat_store_1 WHERE entity_id=1434);</v>
      </c>
    </row>
    <row r="1436" spans="1:4" x14ac:dyDescent="0.25">
      <c r="A1436">
        <f>categories!B1436</f>
        <v>1435</v>
      </c>
      <c r="B1436" t="str">
        <f>SUBSTITUTE(SUBSTITUTE(categories!H1436,"\","/"),"www.americanretailsupply.com/","")</f>
        <v>64943/793000/Slatwall-Accessories/Designer-Faceouts-and-Waterfalls.html</v>
      </c>
      <c r="C1436" t="str">
        <f t="shared" si="44"/>
        <v>INSERT INTO url_rewrite (entity_type, entity_id, redirect_type, store_id, request_path, target_path) VALUES ('custom', 0, 301, 1,'64943/793000/Slatwall-Accessories/Designer-Faceouts-and-Waterfalls.html',(SELECT CONCAT(url_path, '.html') FROM catalog_category_flat_store_1 WHERE entity_id=1435));</v>
      </c>
      <c r="D1436" t="str">
        <f t="shared" si="45"/>
        <v>UPDATE url_rewrite SET request_path = '64943/793000/Slatwall-Accessories/Designer-Faceouts-and-Waterfalls.html' WHERE entity_type='custom' AND target_path=(SELECT CONCAT(url_path, '.html') FROM catalog_category_flat_store_1 WHERE entity_id=1435);</v>
      </c>
    </row>
    <row r="1437" spans="1:4" x14ac:dyDescent="0.25">
      <c r="A1437">
        <f>categories!B1437</f>
        <v>1436</v>
      </c>
      <c r="B1437" t="str">
        <f>SUBSTITUTE(SUBSTITUTE(categories!H1437,"\","/"),"www.americanretailsupply.com/","")</f>
        <v>65011/226753/Holiday-Boxes/Holly-Berry-Frost-Gift-Boxes.html</v>
      </c>
      <c r="C1437" t="str">
        <f t="shared" si="44"/>
        <v>INSERT INTO url_rewrite (entity_type, entity_id, redirect_type, store_id, request_path, target_path) VALUES ('custom', 0, 301, 1,'65011/226753/Holiday-Boxes/Holly-Berry-Frost-Gift-Boxes.html',(SELECT CONCAT(url_path, '.html') FROM catalog_category_flat_store_1 WHERE entity_id=1436));</v>
      </c>
      <c r="D1437" t="str">
        <f t="shared" si="45"/>
        <v>UPDATE url_rewrite SET request_path = '65011/226753/Holiday-Boxes/Holly-Berry-Frost-Gift-Boxes.html' WHERE entity_type='custom' AND target_path=(SELECT CONCAT(url_path, '.html') FROM catalog_category_flat_store_1 WHERE entity_id=1436);</v>
      </c>
    </row>
    <row r="1438" spans="1:4" x14ac:dyDescent="0.25">
      <c r="A1438">
        <f>categories!B1438</f>
        <v>1437</v>
      </c>
      <c r="B1438" t="str">
        <f>SUBSTITUTE(SUBSTITUTE(categories!H1438,"\","/"),"www.americanretailsupply.com/","")</f>
        <v>65011/476530/Holiday-Boxes/Merry-Dots.html</v>
      </c>
      <c r="C1438" t="str">
        <f t="shared" si="44"/>
        <v>INSERT INTO url_rewrite (entity_type, entity_id, redirect_type, store_id, request_path, target_path) VALUES ('custom', 0, 301, 1,'65011/476530/Holiday-Boxes/Merry-Dots.html',(SELECT CONCAT(url_path, '.html') FROM catalog_category_flat_store_1 WHERE entity_id=1437));</v>
      </c>
      <c r="D1438" t="str">
        <f t="shared" si="45"/>
        <v>UPDATE url_rewrite SET request_path = '65011/476530/Holiday-Boxes/Merry-Dots.html' WHERE entity_type='custom' AND target_path=(SELECT CONCAT(url_path, '.html') FROM catalog_category_flat_store_1 WHERE entity_id=1437);</v>
      </c>
    </row>
    <row r="1439" spans="1:4" x14ac:dyDescent="0.25">
      <c r="A1439">
        <f>categories!B1439</f>
        <v>1438</v>
      </c>
      <c r="B1439" t="str">
        <f>SUBSTITUTE(SUBSTITUTE(categories!H1439,"\","/"),"www.americanretailsupply.com/","")</f>
        <v>65011/476539/Holiday-Boxes/Stardust.html</v>
      </c>
      <c r="C1439" t="str">
        <f t="shared" si="44"/>
        <v>INSERT INTO url_rewrite (entity_type, entity_id, redirect_type, store_id, request_path, target_path) VALUES ('custom', 0, 301, 1,'65011/476539/Holiday-Boxes/Stardust.html',(SELECT CONCAT(url_path, '.html') FROM catalog_category_flat_store_1 WHERE entity_id=1438));</v>
      </c>
      <c r="D1439" t="str">
        <f t="shared" si="45"/>
        <v>UPDATE url_rewrite SET request_path = '65011/476539/Holiday-Boxes/Stardust.html' WHERE entity_type='custom' AND target_path=(SELECT CONCAT(url_path, '.html') FROM catalog_category_flat_store_1 WHERE entity_id=1438);</v>
      </c>
    </row>
    <row r="1440" spans="1:4" x14ac:dyDescent="0.25">
      <c r="A1440">
        <f>categories!B1440</f>
        <v>1439</v>
      </c>
      <c r="B1440" t="str">
        <f>SUBSTITUTE(SUBSTITUTE(categories!H1440,"\","/"),"www.americanretailsupply.com/","")</f>
        <v>65084/226768/Decorative-Corrugated-Boxes/Rainforest-Cranberry.html</v>
      </c>
      <c r="C1440" t="str">
        <f t="shared" si="44"/>
        <v>INSERT INTO url_rewrite (entity_type, entity_id, redirect_type, store_id, request_path, target_path) VALUES ('custom', 0, 301, 1,'65084/226768/Decorative-Corrugated-Boxes/Rainforest-Cranberry.html',(SELECT CONCAT(url_path, '.html') FROM catalog_category_flat_store_1 WHERE entity_id=1439));</v>
      </c>
      <c r="D1440" t="str">
        <f t="shared" si="45"/>
        <v>UPDATE url_rewrite SET request_path = '65084/226768/Decorative-Corrugated-Boxes/Rainforest-Cranberry.html' WHERE entity_type='custom' AND target_path=(SELECT CONCAT(url_path, '.html') FROM catalog_category_flat_store_1 WHERE entity_id=1439);</v>
      </c>
    </row>
    <row r="1441" spans="1:4" x14ac:dyDescent="0.25">
      <c r="A1441">
        <f>categories!B1441</f>
        <v>1440</v>
      </c>
      <c r="B1441" t="str">
        <f>SUBSTITUTE(SUBSTITUTE(categories!H1441,"\","/"),"www.americanretailsupply.com/","")</f>
        <v>65084/30014/Decorative-Corrugated-Boxes/Arctic-Frost-Gift-Boxes.html</v>
      </c>
      <c r="C1441" t="str">
        <f t="shared" si="44"/>
        <v>INSERT INTO url_rewrite (entity_type, entity_id, redirect_type, store_id, request_path, target_path) VALUES ('custom', 0, 301, 1,'65084/30014/Decorative-Corrugated-Boxes/Arctic-Frost-Gift-Boxes.html',(SELECT CONCAT(url_path, '.html') FROM catalog_category_flat_store_1 WHERE entity_id=1440));</v>
      </c>
      <c r="D1441" t="str">
        <f t="shared" si="45"/>
        <v>UPDATE url_rewrite SET request_path = '65084/30014/Decorative-Corrugated-Boxes/Arctic-Frost-Gift-Boxes.html' WHERE entity_type='custom' AND target_path=(SELECT CONCAT(url_path, '.html') FROM catalog_category_flat_store_1 WHERE entity_id=1440);</v>
      </c>
    </row>
    <row r="1442" spans="1:4" x14ac:dyDescent="0.25">
      <c r="A1442">
        <f>categories!B1442</f>
        <v>1441</v>
      </c>
      <c r="B1442" t="str">
        <f>SUBSTITUTE(SUBSTITUTE(categories!H1442,"\","/"),"www.americanretailsupply.com/","")</f>
        <v>65084/728270/Decorative-Corrugated-Boxes/Evergreen.html</v>
      </c>
      <c r="C1442" t="str">
        <f t="shared" si="44"/>
        <v>INSERT INTO url_rewrite (entity_type, entity_id, redirect_type, store_id, request_path, target_path) VALUES ('custom', 0, 301, 1,'65084/728270/Decorative-Corrugated-Boxes/Evergreen.html',(SELECT CONCAT(url_path, '.html') FROM catalog_category_flat_store_1 WHERE entity_id=1441));</v>
      </c>
      <c r="D1442" t="str">
        <f t="shared" si="45"/>
        <v>UPDATE url_rewrite SET request_path = '65084/728270/Decorative-Corrugated-Boxes/Evergreen.html' WHERE entity_type='custom' AND target_path=(SELECT CONCAT(url_path, '.html') FROM catalog_category_flat_store_1 WHERE entity_id=1441);</v>
      </c>
    </row>
    <row r="1443" spans="1:4" x14ac:dyDescent="0.25">
      <c r="A1443">
        <f>categories!B1443</f>
        <v>1442</v>
      </c>
      <c r="B1443" t="str">
        <f>SUBSTITUTE(SUBSTITUTE(categories!H1443,"\","/"),"www.americanretailsupply.com/","")</f>
        <v>65084/734400/Decorative-Corrugated-Boxes/Festive-Holiday.html</v>
      </c>
      <c r="C1443" t="str">
        <f t="shared" si="44"/>
        <v>INSERT INTO url_rewrite (entity_type, entity_id, redirect_type, store_id, request_path, target_path) VALUES ('custom', 0, 301, 1,'65084/734400/Decorative-Corrugated-Boxes/Festive-Holiday.html',(SELECT CONCAT(url_path, '.html') FROM catalog_category_flat_store_1 WHERE entity_id=1442));</v>
      </c>
      <c r="D1443" t="str">
        <f t="shared" si="45"/>
        <v>UPDATE url_rewrite SET request_path = '65084/734400/Decorative-Corrugated-Boxes/Festive-Holiday.html' WHERE entity_type='custom' AND target_path=(SELECT CONCAT(url_path, '.html') FROM catalog_category_flat_store_1 WHERE entity_id=1442);</v>
      </c>
    </row>
    <row r="1444" spans="1:4" x14ac:dyDescent="0.25">
      <c r="A1444">
        <f>categories!B1444</f>
        <v>1443</v>
      </c>
      <c r="B1444" t="str">
        <f>SUBSTITUTE(SUBSTITUTE(categories!H1444,"\","/"),"www.americanretailsupply.com/","")</f>
        <v>65084/782113/Decorative-Corrugated-Boxes/Cheerful-Chevron.html</v>
      </c>
      <c r="C1444" t="str">
        <f t="shared" si="44"/>
        <v>INSERT INTO url_rewrite (entity_type, entity_id, redirect_type, store_id, request_path, target_path) VALUES ('custom', 0, 301, 1,'65084/782113/Decorative-Corrugated-Boxes/Cheerful-Chevron.html',(SELECT CONCAT(url_path, '.html') FROM catalog_category_flat_store_1 WHERE entity_id=1443));</v>
      </c>
      <c r="D1444" t="str">
        <f t="shared" si="45"/>
        <v>UPDATE url_rewrite SET request_path = '65084/782113/Decorative-Corrugated-Boxes/Cheerful-Chevron.html' WHERE entity_type='custom' AND target_path=(SELECT CONCAT(url_path, '.html') FROM catalog_category_flat_store_1 WHERE entity_id=1443);</v>
      </c>
    </row>
    <row r="1445" spans="1:4" x14ac:dyDescent="0.25">
      <c r="A1445">
        <f>categories!B1445</f>
        <v>1444</v>
      </c>
      <c r="B1445" t="str">
        <f>SUBSTITUTE(SUBSTITUTE(categories!H1445,"\","/"),"www.americanretailsupply.com/","")</f>
        <v>65181/225166/Literature-Racks/Countertop-Literature-Racks.html</v>
      </c>
      <c r="C1445" t="str">
        <f t="shared" si="44"/>
        <v>INSERT INTO url_rewrite (entity_type, entity_id, redirect_type, store_id, request_path, target_path) VALUES ('custom', 0, 301, 1,'65181/225166/Literature-Racks/Countertop-Literature-Racks.html',(SELECT CONCAT(url_path, '.html') FROM catalog_category_flat_store_1 WHERE entity_id=1444));</v>
      </c>
      <c r="D1445" t="str">
        <f t="shared" si="45"/>
        <v>UPDATE url_rewrite SET request_path = '65181/225166/Literature-Racks/Countertop-Literature-Racks.html' WHERE entity_type='custom' AND target_path=(SELECT CONCAT(url_path, '.html') FROM catalog_category_flat_store_1 WHERE entity_id=1444);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E1450"/>
  <sheetViews>
    <sheetView tabSelected="1" topLeftCell="B95" workbookViewId="0">
      <selection activeCell="E152" sqref="E152"/>
    </sheetView>
  </sheetViews>
  <sheetFormatPr defaultRowHeight="15" x14ac:dyDescent="0.25"/>
  <cols>
    <col min="1" max="1" width="92.140625" customWidth="1"/>
    <col min="2" max="2" width="78.140625" customWidth="1"/>
    <col min="4" max="4" width="64.28515625" customWidth="1"/>
  </cols>
  <sheetData>
    <row r="1" spans="1:5" x14ac:dyDescent="0.25">
      <c r="A1" t="s">
        <v>8624</v>
      </c>
      <c r="C1" t="s">
        <v>10082</v>
      </c>
      <c r="D1" t="s">
        <v>10085</v>
      </c>
    </row>
    <row r="2" spans="1:5" x14ac:dyDescent="0.25">
      <c r="A2" t="str">
        <f>IF(LEN('categories-old'!G2) &gt; 0, "INSERT INTO `catalog_category_entity_varchar` (attribute_id,store_id,entity_id,value) VALUES (48,0,"&amp;'categories-old'!B2&amp;",'"&amp;RIGHT('categories-old'!G2,LEN('categories-old'!G2)-1)&amp;"');","")</f>
        <v/>
      </c>
      <c r="B2" t="str">
        <f>IF(LEN(categories!G2) &gt; 0, "INSERT INTO `catalog_category_entity_varchar` (attribute_id,store_id,entity_id,value) VALUES (48,0,"&amp;categories!B2&amp;",'"&amp;RIGHT(categories!G2,LEN(categories!G2)-1)&amp;"');","")</f>
        <v>INSERT INTO `catalog_category_entity_varchar` (attribute_id,store_id,entity_id,value) VALUES (48,0,257,'img3/img5512.jpg');</v>
      </c>
      <c r="C2">
        <f>VLOOKUP(categories!B2,'categories-old'!B:G,6,FALSE)</f>
        <v>0</v>
      </c>
      <c r="D2" t="str">
        <f>VLOOKUP(categories!B2,'categories-old'!B:H,7,FALSE)</f>
        <v>www.americanretailsupply.com/64690/Banners--Posters.html</v>
      </c>
      <c r="E2" t="str">
        <f>SUBSTITUTE(SUBSTITUTE(D2,"\","/"),"www.americanretailsupply.com/","")</f>
        <v>64690/Banners--Posters.html</v>
      </c>
    </row>
    <row r="3" spans="1:5" x14ac:dyDescent="0.25">
      <c r="A3" t="str">
        <f>IF(LEN('categories-old'!G3) &gt; 0, "INSERT INTO `catalog_category_entity_varchar` (attribute_id,store_id,entity_id,value) VALUES (48,0,"&amp;'categories-old'!B3&amp;",'"&amp;RIGHT('categories-old'!G3,LEN('categories-old'!G3)-1)&amp;"');","")</f>
        <v/>
      </c>
      <c r="B3" t="str">
        <f>IF(LEN(categories!G3) &gt; 0, "INSERT INTO `catalog_category_entity_varchar` (attribute_id,store_id,entity_id,value) VALUES (48,0,"&amp;categories!B3&amp;",'"&amp;RIGHT(categories!G3,LEN(categories!G3)-1)&amp;"');","")</f>
        <v>INSERT INTO `catalog_category_entity_varchar` (attribute_id,store_id,entity_id,value) VALUES (48,0,428,'img1/img1f5e.jpg');</v>
      </c>
      <c r="C3">
        <f>VLOOKUP(categories!B3,'categories-old'!B:G,6,FALSE)</f>
        <v>0</v>
      </c>
      <c r="D3" t="str">
        <f>VLOOKUP(categories!B3,'categories-old'!B:H,7,FALSE)</f>
        <v>www.americanretailsupply.com/64695/Contest-Boxes.html</v>
      </c>
      <c r="E3" t="str">
        <f t="shared" ref="E3:E4" si="0">SUBSTITUTE(SUBSTITUTE(D3,"\","/"),"www.americanretailsupply.com/","")</f>
        <v>64695/Contest-Boxes.html</v>
      </c>
    </row>
    <row r="4" spans="1:5" x14ac:dyDescent="0.25">
      <c r="A4" t="str">
        <f>IF(LEN('categories-old'!G4) &gt; 0, "INSERT INTO `catalog_category_entity_varchar` (attribute_id,store_id,entity_id,value) VALUES (48,0,"&amp;'categories-old'!B4&amp;",'"&amp;RIGHT('categories-old'!G4,LEN('categories-old'!G4)-1)&amp;"');","")</f>
        <v/>
      </c>
      <c r="B4" t="str">
        <f>IF(LEN(categories!G4) &gt; 0, "INSERT INTO `catalog_category_entity_varchar` (attribute_id,store_id,entity_id,value) VALUES (48,0,"&amp;categories!B4&amp;",'"&amp;RIGHT(categories!G4,LEN(categories!G4)-1)&amp;"');","")</f>
        <v>INSERT INTO `catalog_category_entity_varchar` (attribute_id,store_id,entity_id,value) VALUES (48,0,528,'img2/imge649.jpg');</v>
      </c>
      <c r="C4">
        <f>VLOOKUP(categories!B4,'categories-old'!B:G,6,FALSE)</f>
        <v>0</v>
      </c>
      <c r="D4" t="str">
        <f>VLOOKUP(categories!B4,'categories-old'!B:H,7,FALSE)</f>
        <v>www.americanretailsupply.com/64692/Fluorescent-Labels.html</v>
      </c>
      <c r="E4" t="str">
        <f t="shared" si="0"/>
        <v>64692/Fluorescent-Labels.html</v>
      </c>
    </row>
    <row r="5" spans="1:5" hidden="1" x14ac:dyDescent="0.25">
      <c r="A5" t="str">
        <f>IF(LEN('categories-old'!G5) &gt; 0, "INSERT INTO `catalog_category_entity_varchar` (attribute_id,store_id,entity_id,value) VALUES (48,0,"&amp;'categories-old'!B5&amp;",'"&amp;RIGHT('categories-old'!G5,LEN('categories-old'!G5)-1)&amp;"');","")</f>
        <v>INSERT INTO `catalog_category_entity_varchar` (attribute_id,store_id,entity_id,value) VALUES (48,0,603,'img2/img3619.jpg');</v>
      </c>
      <c r="B5" t="str">
        <f>IF(LEN(categories!G5) &gt; 0, "INSERT INTO `catalog_category_entity_varchar` (attribute_id,store_id,entity_id,value) VALUES (48,0,"&amp;categories!B5&amp;",'"&amp;RIGHT(categories!G5,LEN(categories!G5)-1)&amp;"');","")</f>
        <v>INSERT INTO `catalog_category_entity_varchar` (attribute_id,store_id,entity_id,value) VALUES (48,0,603,'img2/img3619.jpg');</v>
      </c>
      <c r="C5" t="str">
        <f>VLOOKUP(categories!B5,'categories-old'!B:G,6,FALSE)</f>
        <v>/img2/img3619.jpg</v>
      </c>
      <c r="D5" t="str">
        <f>VLOOKUP(categories!B5,'categories-old'!B:H,7,FALSE)</f>
        <v>www.americanretailsupply.com/64987/Gift-Cards.html</v>
      </c>
    </row>
    <row r="6" spans="1:5" hidden="1" x14ac:dyDescent="0.25">
      <c r="A6" t="str">
        <f>IF(LEN('categories-old'!G6) &gt; 0, "INSERT INTO `catalog_category_entity_varchar` (attribute_id,store_id,entity_id,value) VALUES (48,0,"&amp;'categories-old'!B6&amp;",'"&amp;RIGHT('categories-old'!G6,LEN('categories-old'!G6)-1)&amp;"');","")</f>
        <v>INSERT INTO `catalog_category_entity_varchar` (attribute_id,store_id,entity_id,value) VALUES (48,0,1031,'img2/img6e67.jpg');</v>
      </c>
      <c r="B6" t="str">
        <f>IF(LEN(categories!G6) &gt; 0, "INSERT INTO `catalog_category_entity_varchar` (attribute_id,store_id,entity_id,value) VALUES (48,0,"&amp;categories!B6&amp;",'"&amp;RIGHT(categories!G6,LEN(categories!G6)-1)&amp;"');","")</f>
        <v>INSERT INTO `catalog_category_entity_varchar` (attribute_id,store_id,entity_id,value) VALUES (48,0,1031,'img2/img6e67.jpg');</v>
      </c>
      <c r="C6" t="str">
        <f>VLOOKUP(categories!B6,'categories-old'!B:G,6,FALSE)</f>
        <v>/img2/img6e67.jpg</v>
      </c>
      <c r="D6" t="str">
        <f>VLOOKUP(categories!B6,'categories-old'!B:H,7,FALSE)</f>
        <v>www.americanretailsupply.com/64689/Pennants.html</v>
      </c>
    </row>
    <row r="7" spans="1:5" hidden="1" x14ac:dyDescent="0.25">
      <c r="A7" t="str">
        <f>IF(LEN('categories-old'!G7) &gt; 0, "INSERT INTO `catalog_category_entity_varchar` (attribute_id,store_id,entity_id,value) VALUES (48,0,"&amp;'categories-old'!B7&amp;",'"&amp;RIGHT('categories-old'!G7,LEN('categories-old'!G7)-1)&amp;"');","")</f>
        <v>INSERT INTO `catalog_category_entity_varchar` (attribute_id,store_id,entity_id,value) VALUES (48,0,1097,'img1/img49cc.jpg');</v>
      </c>
      <c r="B7" t="str">
        <f>IF(LEN(categories!G7) &gt; 0, "INSERT INTO `catalog_category_entity_varchar` (attribute_id,store_id,entity_id,value) VALUES (48,0,"&amp;categories!B7&amp;",'"&amp;RIGHT(categories!G7,LEN(categories!G7)-1)&amp;"');","")</f>
        <v>INSERT INTO `catalog_category_entity_varchar` (attribute_id,store_id,entity_id,value) VALUES (48,0,1097,'img1/img49cc.jpg');</v>
      </c>
      <c r="C7" t="str">
        <f>VLOOKUP(categories!B7,'categories-old'!B:G,6,FALSE)</f>
        <v>/img1/img49cc.jpg</v>
      </c>
      <c r="D7" t="str">
        <f>VLOOKUP(categories!B7,'categories-old'!B:H,7,FALSE)</f>
        <v>www.americanretailsupply.com/64693/Ready-Flow-Pen-Sets.html</v>
      </c>
    </row>
    <row r="8" spans="1:5" hidden="1" x14ac:dyDescent="0.25">
      <c r="A8" t="str">
        <f>IF(LEN('categories-old'!G8) &gt; 0, "INSERT INTO `catalog_category_entity_varchar` (attribute_id,store_id,entity_id,value) VALUES (48,0,"&amp;'categories-old'!B8&amp;",'"&amp;RIGHT('categories-old'!G8,LEN('categories-old'!G8)-1)&amp;"');","")</f>
        <v>INSERT INTO `catalog_category_entity_varchar` (attribute_id,store_id,entity_id,value) VALUES (48,0,1180,'img1/img1b28.jpg');</v>
      </c>
      <c r="B8" t="str">
        <f>IF(LEN(categories!G8) &gt; 0, "INSERT INTO `catalog_category_entity_varchar` (attribute_id,store_id,entity_id,value) VALUES (48,0,"&amp;categories!B8&amp;",'"&amp;RIGHT(categories!G8,LEN(categories!G8)-1)&amp;"');","")</f>
        <v>INSERT INTO `catalog_category_entity_varchar` (attribute_id,store_id,entity_id,value) VALUES (48,0,1180,'img1/img1b28.jpg');</v>
      </c>
      <c r="C8" t="str">
        <f>VLOOKUP(categories!B8,'categories-old'!B:G,6,FALSE)</f>
        <v>/img1/img1b28.jpg</v>
      </c>
      <c r="D8" t="str">
        <f>VLOOKUP(categories!B8,'categories-old'!B:H,7,FALSE)</f>
        <v>www.americanretailsupply.com/64691/Sidewalk-Signs.html</v>
      </c>
    </row>
    <row r="9" spans="1:5" hidden="1" x14ac:dyDescent="0.25">
      <c r="A9" t="str">
        <f>IF(LEN('categories-old'!G9) &gt; 0, "INSERT INTO `catalog_category_entity_varchar` (attribute_id,store_id,entity_id,value) VALUES (48,0,"&amp;'categories-old'!B9&amp;",'"&amp;RIGHT('categories-old'!G9,LEN('categories-old'!G9)-1)&amp;"');","")</f>
        <v>INSERT INTO `catalog_category_entity_varchar` (attribute_id,store_id,entity_id,value) VALUES (48,0,183,'img1/imgc53b.jpg');</v>
      </c>
      <c r="B9" t="str">
        <f>IF(LEN(categories!G9) &gt; 0, "INSERT INTO `catalog_category_entity_varchar` (attribute_id,store_id,entity_id,value) VALUES (48,0,"&amp;categories!B9&amp;",'"&amp;RIGHT(categories!G9,LEN(categories!G9)-1)&amp;"');","")</f>
        <v>INSERT INTO `catalog_category_entity_varchar` (attribute_id,store_id,entity_id,value) VALUES (48,0,183,'img1/imgc53b.jpg');</v>
      </c>
      <c r="C9" t="str">
        <f>VLOOKUP(categories!B9,'categories-old'!B:G,6,FALSE)</f>
        <v>/img1/imgc53b.jpg</v>
      </c>
      <c r="D9" t="str">
        <f>VLOOKUP(categories!B9,'categories-old'!B:H,7,FALSE)</f>
        <v>www.americanretailsupply.com/64983/Acrylic-Sign-Card-Frames.html</v>
      </c>
    </row>
    <row r="10" spans="1:5" hidden="1" x14ac:dyDescent="0.25">
      <c r="A10" t="str">
        <f>IF(LEN('categories-old'!G10) &gt; 0, "INSERT INTO `catalog_category_entity_varchar` (attribute_id,store_id,entity_id,value) VALUES (48,0,"&amp;'categories-old'!B10&amp;",'"&amp;RIGHT('categories-old'!G10,LEN('categories-old'!G10)-1)&amp;"');","")</f>
        <v>INSERT INTO `catalog_category_entity_varchar` (attribute_id,store_id,entity_id,value) VALUES (48,0,320,'img1/img5285.jpg');</v>
      </c>
      <c r="B10" t="str">
        <f>IF(LEN(categories!G10) &gt; 0, "INSERT INTO `catalog_category_entity_varchar` (attribute_id,store_id,entity_id,value) VALUES (48,0,"&amp;categories!B10&amp;",'"&amp;RIGHT(categories!G10,LEN(categories!G10)-1)&amp;"');","")</f>
        <v>INSERT INTO `catalog_category_entity_varchar` (attribute_id,store_id,entity_id,value) VALUES (48,0,320,'img1/img5285.jpg');</v>
      </c>
      <c r="C10" t="str">
        <f>VLOOKUP(categories!B10,'categories-old'!B:G,6,FALSE)</f>
        <v>/img1/img5285.jpg</v>
      </c>
      <c r="D10" t="str">
        <f>VLOOKUP(categories!B10,'categories-old'!B:H,7,FALSE)</f>
        <v>www.americanretailsupply.com/64984/Chrome-Sign-Card-Frames.html</v>
      </c>
    </row>
    <row r="11" spans="1:5" hidden="1" x14ac:dyDescent="0.25">
      <c r="A11" t="str">
        <f>IF(LEN('categories-old'!G11) &gt; 0, "INSERT INTO `catalog_category_entity_varchar` (attribute_id,store_id,entity_id,value) VALUES (48,0,"&amp;'categories-old'!B11&amp;",'"&amp;RIGHT('categories-old'!G11,LEN('categories-old'!G11)-1)&amp;"');","")</f>
        <v>INSERT INTO `catalog_category_entity_varchar` (attribute_id,store_id,entity_id,value) VALUES (48,0,946,'img1/img9236.jpg');</v>
      </c>
      <c r="B11" t="str">
        <f>IF(LEN(categories!G11) &gt; 0, "INSERT INTO `catalog_category_entity_varchar` (attribute_id,store_id,entity_id,value) VALUES (48,0,"&amp;categories!B11&amp;",'"&amp;RIGHT(categories!G11,LEN(categories!G11)-1)&amp;"');","")</f>
        <v>INSERT INTO `catalog_category_entity_varchar` (attribute_id,store_id,entity_id,value) VALUES (48,0,946,'img1/img9236.jpg');</v>
      </c>
      <c r="C11" t="str">
        <f>VLOOKUP(categories!B11,'categories-old'!B:G,6,FALSE)</f>
        <v>/img1/img9236.jpg</v>
      </c>
      <c r="D11" t="str">
        <f>VLOOKUP(categories!B11,'categories-old'!B:H,7,FALSE)</f>
        <v>www.americanretailsupply.com/64981/Miscellaneous-Sign-Holders.html</v>
      </c>
    </row>
    <row r="12" spans="1:5" hidden="1" x14ac:dyDescent="0.25">
      <c r="A12" t="str">
        <f>IF(LEN('categories-old'!G12) &gt; 0, "INSERT INTO `catalog_category_entity_varchar` (attribute_id,store_id,entity_id,value) VALUES (48,0,"&amp;'categories-old'!B12&amp;",'"&amp;RIGHT('categories-old'!G12,LEN('categories-old'!G12)-1)&amp;"');","")</f>
        <v>INSERT INTO `catalog_category_entity_varchar` (attribute_id,store_id,entity_id,value) VALUES (48,0,1356,'img2/img2421.jpg');</v>
      </c>
      <c r="B12" t="str">
        <f>IF(LEN(categories!G12) &gt; 0, "INSERT INTO `catalog_category_entity_varchar` (attribute_id,store_id,entity_id,value) VALUES (48,0,"&amp;categories!B12&amp;",'"&amp;RIGHT(categories!G12,LEN(categories!G12)-1)&amp;"');","")</f>
        <v>INSERT INTO `catalog_category_entity_varchar` (attribute_id,store_id,entity_id,value) VALUES (48,0,1356,'img2/img2421.jpg');</v>
      </c>
      <c r="C12" t="str">
        <f>VLOOKUP(categories!B12,'categories-old'!B:G,6,FALSE)</f>
        <v>/img2/img2421.jpg</v>
      </c>
      <c r="D12" t="str">
        <f>VLOOKUP(categories!B12,'categories-old'!B:H,7,FALSE)</f>
        <v>www.americanretailsupply.com/64982/Vinyl-Envelope--Sign-Holders.html</v>
      </c>
    </row>
    <row r="13" spans="1:5" x14ac:dyDescent="0.25">
      <c r="A13" t="str">
        <f>IF(LEN('categories-old'!G13) &gt; 0, "INSERT INTO `catalog_category_entity_varchar` (attribute_id,store_id,entity_id,value) VALUES (48,0,"&amp;'categories-old'!B13&amp;",'"&amp;RIGHT('categories-old'!G13,LEN('categories-old'!G13)-1)&amp;"');","")</f>
        <v/>
      </c>
      <c r="B13" t="str">
        <f>IF(LEN(categories!G13) &gt; 0, "INSERT INTO `catalog_category_entity_varchar` (attribute_id,store_id,entity_id,value) VALUES (48,0,"&amp;categories!B13&amp;",'"&amp;RIGHT(categories!G13,LEN(categories!G13)-1)&amp;"');","")</f>
        <v>INSERT INTO `catalog_category_entity_varchar` (attribute_id,store_id,entity_id,value) VALUES (48,0,1185,'img3/img8d3d.jpg');</v>
      </c>
      <c r="C13">
        <f>VLOOKUP(categories!B13,'categories-old'!B:G,6,FALSE)</f>
        <v>0</v>
      </c>
      <c r="D13" t="str">
        <f>VLOOKUP(categories!B13,'categories-old'!B:H,7,FALSE)</f>
        <v>www.americanretailsupply.com/64687/Sign-Cards.html</v>
      </c>
      <c r="E13" t="str">
        <f>SUBSTITUTE(SUBSTITUTE(D13,"\","/"),"www.americanretailsupply.com/","")</f>
        <v>64687/Sign-Cards.html</v>
      </c>
    </row>
    <row r="14" spans="1:5" hidden="1" x14ac:dyDescent="0.25">
      <c r="A14" t="str">
        <f>IF(LEN('categories-old'!G14) &gt; 0, "INSERT INTO `catalog_category_entity_varchar` (attribute_id,store_id,entity_id,value) VALUES (48,0,"&amp;'categories-old'!B14&amp;",'"&amp;RIGHT('categories-old'!G14,LEN('categories-old'!G14)-1)&amp;"');","")</f>
        <v>INSERT INTO `catalog_category_entity_varchar` (attribute_id,store_id,entity_id,value) VALUES (48,0,181,'img2/img681d.jpg');</v>
      </c>
      <c r="B14" t="str">
        <f>IF(LEN(categories!G14) &gt; 0, "INSERT INTO `catalog_category_entity_varchar` (attribute_id,store_id,entity_id,value) VALUES (48,0,"&amp;categories!B14&amp;",'"&amp;RIGHT(categories!G14,LEN(categories!G14)-1)&amp;"');","")</f>
        <v>INSERT INTO `catalog_category_entity_varchar` (attribute_id,store_id,entity_id,value) VALUES (48,0,181,'img2/img681d.jpg');</v>
      </c>
      <c r="C14" t="str">
        <f>VLOOKUP(categories!B14,'categories-old'!B:G,6,FALSE)</f>
        <v>/img2/img681d.jpg</v>
      </c>
      <c r="D14" t="str">
        <f>VLOOKUP(categories!B14,'categories-old'!B:H,7,FALSE)</f>
        <v>www.americanretailsupply.com/64600/Advertising-Aids.html</v>
      </c>
    </row>
    <row r="15" spans="1:5" hidden="1" x14ac:dyDescent="0.25">
      <c r="A15" t="str">
        <f>IF(LEN('categories-old'!G15) &gt; 0, "INSERT INTO `catalog_category_entity_varchar` (attribute_id,store_id,entity_id,value) VALUES (48,0,"&amp;'categories-old'!B15&amp;",'"&amp;RIGHT('categories-old'!G15,LEN('categories-old'!G15)-1)&amp;"');","")</f>
        <v/>
      </c>
      <c r="B15" t="str">
        <f>IF(LEN(categories!G15) &gt; 0, "INSERT INTO `catalog_category_entity_varchar` (attribute_id,store_id,entity_id,value) VALUES (48,0,"&amp;categories!B15&amp;",'"&amp;RIGHT(categories!G15,LEN(categories!G15)-1)&amp;"');","")</f>
        <v/>
      </c>
      <c r="C15">
        <f>VLOOKUP(categories!B15,'categories-old'!B:G,6,FALSE)</f>
        <v>0</v>
      </c>
      <c r="D15" t="str">
        <f>VLOOKUP(categories!B15,'categories-old'!B:H,7,FALSE)</f>
        <v>www.americanretailsupply.com/64900/Closeout-Acrylic-Glass-Jewelry-Displays.html</v>
      </c>
      <c r="E15" t="str">
        <f t="shared" ref="E15:E21" si="1">SUBSTITUTE(SUBSTITUTE(D15,"\","/"),"www.americanretailsupply.com/","")</f>
        <v>64900/Closeout-Acrylic-Glass-Jewelry-Displays.html</v>
      </c>
    </row>
    <row r="16" spans="1:5" hidden="1" x14ac:dyDescent="0.25">
      <c r="A16" t="str">
        <f>IF(LEN('categories-old'!G16) &gt; 0, "INSERT INTO `catalog_category_entity_varchar` (attribute_id,store_id,entity_id,value) VALUES (48,0,"&amp;'categories-old'!B16&amp;",'"&amp;RIGHT('categories-old'!G16,LEN('categories-old'!G16)-1)&amp;"');","")</f>
        <v/>
      </c>
      <c r="B16" t="str">
        <f>IF(LEN(categories!G16) &gt; 0, "INSERT INTO `catalog_category_entity_varchar` (attribute_id,store_id,entity_id,value) VALUES (48,0,"&amp;categories!B16&amp;",'"&amp;RIGHT(categories!G16,LEN(categories!G16)-1)&amp;"');","")</f>
        <v/>
      </c>
      <c r="C16">
        <f>VLOOKUP(categories!B16,'categories-old'!B:G,6,FALSE)</f>
        <v>0</v>
      </c>
      <c r="D16" t="str">
        <f>VLOOKUP(categories!B16,'categories-old'!B:H,7,FALSE)</f>
        <v>www.americanretailsupply.com/64904/Closeout-Apparel-Accessories.html</v>
      </c>
      <c r="E16" t="str">
        <f t="shared" si="1"/>
        <v>64904/Closeout-Apparel-Accessories.html</v>
      </c>
    </row>
    <row r="17" spans="1:5" hidden="1" x14ac:dyDescent="0.25">
      <c r="A17" t="str">
        <f>IF(LEN('categories-old'!G17) &gt; 0, "INSERT INTO `catalog_category_entity_varchar` (attribute_id,store_id,entity_id,value) VALUES (48,0,"&amp;'categories-old'!B17&amp;",'"&amp;RIGHT('categories-old'!G17,LEN('categories-old'!G17)-1)&amp;"');","")</f>
        <v/>
      </c>
      <c r="B17" t="str">
        <f>IF(LEN(categories!G17) &gt; 0, "INSERT INTO `catalog_category_entity_varchar` (attribute_id,store_id,entity_id,value) VALUES (48,0,"&amp;categories!B17&amp;",'"&amp;RIGHT(categories!G17,LEN(categories!G17)-1)&amp;"');","")</f>
        <v/>
      </c>
      <c r="C17">
        <f>VLOOKUP(categories!B17,'categories-old'!B:G,6,FALSE)</f>
        <v>0</v>
      </c>
      <c r="D17" t="str">
        <f>VLOOKUP(categories!B17,'categories-old'!B:H,7,FALSE)</f>
        <v>www.americanretailsupply.com/64901/Closeout-Brackets-Hooks-Standards.html</v>
      </c>
      <c r="E17" t="str">
        <f t="shared" si="1"/>
        <v>64901/Closeout-Brackets-Hooks-Standards.html</v>
      </c>
    </row>
    <row r="18" spans="1:5" hidden="1" x14ac:dyDescent="0.25">
      <c r="A18" t="str">
        <f>IF(LEN('categories-old'!G18) &gt; 0, "INSERT INTO `catalog_category_entity_varchar` (attribute_id,store_id,entity_id,value) VALUES (48,0,"&amp;'categories-old'!B18&amp;",'"&amp;RIGHT('categories-old'!G18,LEN('categories-old'!G18)-1)&amp;"');","")</f>
        <v/>
      </c>
      <c r="B18" t="str">
        <f>IF(LEN(categories!G18) &gt; 0, "INSERT INTO `catalog_category_entity_varchar` (attribute_id,store_id,entity_id,value) VALUES (48,0,"&amp;categories!B18&amp;",'"&amp;RIGHT(categories!G18,LEN(categories!G18)-1)&amp;"');","")</f>
        <v/>
      </c>
      <c r="C18">
        <f>VLOOKUP(categories!B18,'categories-old'!B:G,6,FALSE)</f>
        <v>0</v>
      </c>
      <c r="D18" t="str">
        <f>VLOOKUP(categories!B18,'categories-old'!B:H,7,FALSE)</f>
        <v>www.americanretailsupply.com/64898/Closeout-Display-Cases-and-Racks.html</v>
      </c>
      <c r="E18" t="str">
        <f t="shared" si="1"/>
        <v>64898/Closeout-Display-Cases-and-Racks.html</v>
      </c>
    </row>
    <row r="19" spans="1:5" hidden="1" x14ac:dyDescent="0.25">
      <c r="A19" t="str">
        <f>IF(LEN('categories-old'!G19) &gt; 0, "INSERT INTO `catalog_category_entity_varchar` (attribute_id,store_id,entity_id,value) VALUES (48,0,"&amp;'categories-old'!B19&amp;",'"&amp;RIGHT('categories-old'!G19,LEN('categories-old'!G19)-1)&amp;"');","")</f>
        <v/>
      </c>
      <c r="B19" t="str">
        <f>IF(LEN(categories!G19) &gt; 0, "INSERT INTO `catalog_category_entity_varchar` (attribute_id,store_id,entity_id,value) VALUES (48,0,"&amp;categories!B19&amp;",'"&amp;RIGHT(categories!G19,LEN(categories!G19)-1)&amp;"');","")</f>
        <v/>
      </c>
      <c r="C19">
        <f>VLOOKUP(categories!B19,'categories-old'!B:G,6,FALSE)</f>
        <v>0</v>
      </c>
      <c r="D19" t="str">
        <f>VLOOKUP(categories!B19,'categories-old'!B:H,7,FALSE)</f>
        <v>www.americanretailsupply.com/64899/Closeout-Packaging.html</v>
      </c>
      <c r="E19" t="str">
        <f t="shared" si="1"/>
        <v>64899/Closeout-Packaging.html</v>
      </c>
    </row>
    <row r="20" spans="1:5" hidden="1" x14ac:dyDescent="0.25">
      <c r="A20" t="str">
        <f>IF(LEN('categories-old'!G20) &gt; 0, "INSERT INTO `catalog_category_entity_varchar` (attribute_id,store_id,entity_id,value) VALUES (48,0,"&amp;'categories-old'!B20&amp;",'"&amp;RIGHT('categories-old'!G20,LEN('categories-old'!G20)-1)&amp;"');","")</f>
        <v/>
      </c>
      <c r="B20" t="str">
        <f>IF(LEN(categories!G20) &gt; 0, "INSERT INTO `catalog_category_entity_varchar` (attribute_id,store_id,entity_id,value) VALUES (48,0,"&amp;categories!B20&amp;",'"&amp;RIGHT(categories!G20,LEN(categories!G20)-1)&amp;"');","")</f>
        <v/>
      </c>
      <c r="C20">
        <f>VLOOKUP(categories!B20,'categories-old'!B:G,6,FALSE)</f>
        <v>0</v>
      </c>
      <c r="D20" t="str">
        <f>VLOOKUP(categories!B20,'categories-old'!B:H,7,FALSE)</f>
        <v>www.americanretailsupply.com/64902/Closeout-Price-Marking.html</v>
      </c>
      <c r="E20" t="str">
        <f t="shared" si="1"/>
        <v>64902/Closeout-Price-Marking.html</v>
      </c>
    </row>
    <row r="21" spans="1:5" hidden="1" x14ac:dyDescent="0.25">
      <c r="A21" t="str">
        <f>IF(LEN('categories-old'!G21) &gt; 0, "INSERT INTO `catalog_category_entity_varchar` (attribute_id,store_id,entity_id,value) VALUES (48,0,"&amp;'categories-old'!B21&amp;",'"&amp;RIGHT('categories-old'!G21,LEN('categories-old'!G21)-1)&amp;"');","")</f>
        <v/>
      </c>
      <c r="B21" t="str">
        <f>IF(LEN(categories!G21) &gt; 0, "INSERT INTO `catalog_category_entity_varchar` (attribute_id,store_id,entity_id,value) VALUES (48,0,"&amp;categories!B21&amp;",'"&amp;RIGHT(categories!G21,LEN(categories!G21)-1)&amp;"');","")</f>
        <v/>
      </c>
      <c r="C21">
        <f>VLOOKUP(categories!B21,'categories-old'!B:G,6,FALSE)</f>
        <v>0</v>
      </c>
      <c r="D21" t="str">
        <f>VLOOKUP(categories!B21,'categories-old'!B:H,7,FALSE)</f>
        <v>www.americanretailsupply.com/64905/Miscellaneous-Closeout.html</v>
      </c>
      <c r="E21" t="str">
        <f t="shared" si="1"/>
        <v>64905/Miscellaneous-Closeout.html</v>
      </c>
    </row>
    <row r="22" spans="1:5" hidden="1" x14ac:dyDescent="0.25">
      <c r="A22" t="str">
        <f>IF(LEN('categories-old'!G22) &gt; 0, "INSERT INTO `catalog_category_entity_varchar` (attribute_id,store_id,entity_id,value) VALUES (48,0,"&amp;'categories-old'!B22&amp;",'"&amp;RIGHT('categories-old'!G22,LEN('categories-old'!G22)-1)&amp;"');","")</f>
        <v>INSERT INTO `catalog_category_entity_varchar` (attribute_id,store_id,entity_id,value) VALUES (48,0,332,'img2/imgaddf.jpg');</v>
      </c>
      <c r="B22" t="str">
        <f>IF(LEN(categories!G22) &gt; 0, "INSERT INTO `catalog_category_entity_varchar` (attribute_id,store_id,entity_id,value) VALUES (48,0,"&amp;categories!B22&amp;",'"&amp;RIGHT(categories!G22,LEN(categories!G22)-1)&amp;"');","")</f>
        <v>INSERT INTO `catalog_category_entity_varchar` (attribute_id,store_id,entity_id,value) VALUES (48,0,332,'img2/imgaddf.jpg');</v>
      </c>
      <c r="C22" t="str">
        <f>VLOOKUP(categories!B22,'categories-old'!B:G,6,FALSE)</f>
        <v>/img2/imgaddf.jpg</v>
      </c>
      <c r="D22" t="str">
        <f>VLOOKUP(categories!B22,'categories-old'!B:H,7,FALSE)</f>
        <v>www.americanretailsupply.com/64594/Closeouts.html</v>
      </c>
    </row>
    <row r="23" spans="1:5" x14ac:dyDescent="0.25">
      <c r="A23" t="str">
        <f>IF(LEN('categories-old'!G23) &gt; 0, "INSERT INTO `catalog_category_entity_varchar` (attribute_id,store_id,entity_id,value) VALUES (48,0,"&amp;'categories-old'!B23&amp;",'"&amp;RIGHT('categories-old'!G23,LEN('categories-old'!G23)-1)&amp;"');","")</f>
        <v/>
      </c>
      <c r="B23" t="str">
        <f>IF(LEN(categories!G23) &gt; 0, "INSERT INTO `catalog_category_entity_varchar` (attribute_id,store_id,entity_id,value) VALUES (48,0,"&amp;categories!B23&amp;",'"&amp;RIGHT(categories!G23,LEN(categories!G23)-1)&amp;"');","")</f>
        <v>INSERT INTO `catalog_category_entity_varchar` (attribute_id,store_id,entity_id,value) VALUES (48,0,182,'img1/img5285.jpg');</v>
      </c>
      <c r="C23">
        <f>VLOOKUP(categories!B23,'categories-old'!B:G,6,FALSE)</f>
        <v>0</v>
      </c>
      <c r="D23" t="str">
        <f>VLOOKUP(categories!B23,'categories-old'!B:H,7,FALSE)</f>
        <v>www.americanretailsupply.com/64688/Sign-Card-Frames-and-Vinyl-Envelopes.html</v>
      </c>
      <c r="E23" t="str">
        <f t="shared" ref="E23:E24" si="2">SUBSTITUTE(SUBSTITUTE(D23,"\","/"),"www.americanretailsupply.com/","")</f>
        <v>64688/Sign-Card-Frames-and-Vinyl-Envelopes.html</v>
      </c>
    </row>
    <row r="24" spans="1:5" x14ac:dyDescent="0.25">
      <c r="A24" t="str">
        <f>IF(LEN('categories-old'!G24) &gt; 0, "INSERT INTO `catalog_category_entity_varchar` (attribute_id,store_id,entity_id,value) VALUES (48,0,"&amp;'categories-old'!B24&amp;",'"&amp;RIGHT('categories-old'!G24,LEN('categories-old'!G24)-1)&amp;"');","")</f>
        <v/>
      </c>
      <c r="B24" t="str">
        <f>IF(LEN(categories!G24) &gt; 0, "INSERT INTO `catalog_category_entity_varchar` (attribute_id,store_id,entity_id,value) VALUES (48,0,"&amp;categories!B24&amp;",'"&amp;RIGHT(categories!G24,LEN(categories!G24)-1)&amp;"');","")</f>
        <v>INSERT INTO `catalog_category_entity_varchar` (attribute_id,store_id,entity_id,value) VALUES (48,0,206,'img3/img8adf.jpg');</v>
      </c>
      <c r="C24">
        <f>VLOOKUP(categories!B24,'categories-old'!B:G,6,FALSE)</f>
        <v>0</v>
      </c>
      <c r="D24" t="str">
        <f>VLOOKUP(categories!B24,'categories-old'!B:H,7,FALSE)</f>
        <v>www.americanretailsupply.com/65197/Apparel-Accessories--Apparel-Store-Supplies.html</v>
      </c>
      <c r="E24" t="str">
        <f t="shared" si="2"/>
        <v>65197/Apparel-Accessories--Apparel-Store-Supplies.html</v>
      </c>
    </row>
    <row r="25" spans="1:5" hidden="1" x14ac:dyDescent="0.25">
      <c r="A25" t="str">
        <f>IF(LEN('categories-old'!G25) &gt; 0, "INSERT INTO `catalog_category_entity_varchar` (attribute_id,store_id,entity_id,value) VALUES (48,0,"&amp;'categories-old'!B25&amp;",'"&amp;RIGHT('categories-old'!G25,LEN('categories-old'!G25)-1)&amp;"');","")</f>
        <v>INSERT INTO `catalog_category_entity_varchar` (attribute_id,store_id,entity_id,value) VALUES (48,0,284,'img1/img4b67.jpg');</v>
      </c>
      <c r="B25" t="str">
        <f>IF(LEN(categories!G25) &gt; 0, "INSERT INTO `catalog_category_entity_varchar` (attribute_id,store_id,entity_id,value) VALUES (48,0,"&amp;categories!B25&amp;",'"&amp;RIGHT(categories!G25,LEN(categories!G25)-1)&amp;"');","")</f>
        <v>INSERT INTO `catalog_category_entity_varchar` (attribute_id,store_id,entity_id,value) VALUES (48,0,284,'img1/img4b67.jpg');</v>
      </c>
      <c r="C25" t="str">
        <f>VLOOKUP(categories!B25,'categories-old'!B:G,6,FALSE)</f>
        <v>/img1/img4b67.jpg</v>
      </c>
      <c r="D25" t="str">
        <f>VLOOKUP(categories!B25,'categories-old'!B:H,7,FALSE)</f>
        <v>www.americanretailsupply.com/64848/Box-Cutters.html</v>
      </c>
    </row>
    <row r="26" spans="1:5" hidden="1" x14ac:dyDescent="0.25">
      <c r="A26" t="str">
        <f>IF(LEN('categories-old'!G26) &gt; 0, "INSERT INTO `catalog_category_entity_varchar` (attribute_id,store_id,entity_id,value) VALUES (48,0,"&amp;'categories-old'!B26&amp;",'"&amp;RIGHT('categories-old'!G26,LEN('categories-old'!G26)-1)&amp;"');","")</f>
        <v>INSERT INTO `catalog_category_entity_varchar` (attribute_id,store_id,entity_id,value) VALUES (48,0,298,'img2/img17ce.jpg');</v>
      </c>
      <c r="B26" t="str">
        <f>IF(LEN(categories!G26) &gt; 0, "INSERT INTO `catalog_category_entity_varchar` (attribute_id,store_id,entity_id,value) VALUES (48,0,"&amp;categories!B26&amp;",'"&amp;RIGHT(categories!G26,LEN(categories!G26)-1)&amp;"');","")</f>
        <v>INSERT INTO `catalog_category_entity_varchar` (attribute_id,store_id,entity_id,value) VALUES (48,0,298,'img2/img17ce.jpg');</v>
      </c>
      <c r="C26" t="str">
        <f>VLOOKUP(categories!B26,'categories-old'!B:G,6,FALSE)</f>
        <v>/img2/img17ce.jpg</v>
      </c>
      <c r="D26" t="str">
        <f>VLOOKUP(categories!B26,'categories-old'!B:H,7,FALSE)</f>
        <v>www.americanretailsupply.com/64850/Carts.html</v>
      </c>
    </row>
    <row r="27" spans="1:5" x14ac:dyDescent="0.25">
      <c r="A27" t="str">
        <f>IF(LEN('categories-old'!G27) &gt; 0, "INSERT INTO `catalog_category_entity_varchar` (attribute_id,store_id,entity_id,value) VALUES (48,0,"&amp;'categories-old'!B27&amp;",'"&amp;RIGHT('categories-old'!G27,LEN('categories-old'!G27)-1)&amp;"');","")</f>
        <v/>
      </c>
      <c r="B27" t="str">
        <f>IF(LEN(categories!G27) &gt; 0, "INSERT INTO `catalog_category_entity_varchar` (attribute_id,store_id,entity_id,value) VALUES (48,0,"&amp;categories!B27&amp;",'"&amp;RIGHT(categories!G27,LEN(categories!G27)-1)&amp;"');","")</f>
        <v>INSERT INTO `catalog_category_entity_varchar` (attribute_id,store_id,entity_id,value) VALUES (48,0,306,'img1/img46a1.jpg');</v>
      </c>
      <c r="C27">
        <f>VLOOKUP(categories!B27,'categories-old'!B:G,6,FALSE)</f>
        <v>0</v>
      </c>
      <c r="D27" t="str">
        <f>VLOOKUP(categories!B27,'categories-old'!B:H,7,FALSE)</f>
        <v>www.americanretailsupply.com/64857/Cash-Register-Paper.html</v>
      </c>
      <c r="E27" t="str">
        <f>SUBSTITUTE(SUBSTITUTE(D27,"\","/"),"www.americanretailsupply.com/","")</f>
        <v>64857/Cash-Register-Paper.html</v>
      </c>
    </row>
    <row r="28" spans="1:5" hidden="1" x14ac:dyDescent="0.25">
      <c r="A28" t="str">
        <f>IF(LEN('categories-old'!G28) &gt; 0, "INSERT INTO `catalog_category_entity_varchar` (attribute_id,store_id,entity_id,value) VALUES (48,0,"&amp;'categories-old'!B28&amp;",'"&amp;RIGHT('categories-old'!G28,LEN('categories-old'!G28)-1)&amp;"');","")</f>
        <v>INSERT INTO `catalog_category_entity_varchar` (attribute_id,store_id,entity_id,value) VALUES (48,0,613,'img1/imge04e.jpg');</v>
      </c>
      <c r="B28" t="str">
        <f>IF(LEN(categories!G28) &gt; 0, "INSERT INTO `catalog_category_entity_varchar` (attribute_id,store_id,entity_id,value) VALUES (48,0,"&amp;categories!B28&amp;",'"&amp;RIGHT(categories!G28,LEN(categories!G28)-1)&amp;"');","")</f>
        <v>INSERT INTO `catalog_category_entity_varchar` (attribute_id,store_id,entity_id,value) VALUES (48,0,613,'img1/imge04e.jpg');</v>
      </c>
      <c r="C28" t="str">
        <f>VLOOKUP(categories!B28,'categories-old'!B:G,6,FALSE)</f>
        <v>/img1/imge04e.jpg</v>
      </c>
      <c r="D28" t="str">
        <f>VLOOKUP(categories!B28,'categories-old'!B:H,7,FALSE)</f>
        <v>www.americanretailsupply.com/64860/Giftwrap-Ribbon-Tissue-Racks.html</v>
      </c>
    </row>
    <row r="29" spans="1:5" hidden="1" x14ac:dyDescent="0.25">
      <c r="A29" t="str">
        <f>IF(LEN('categories-old'!G29) &gt; 0, "INSERT INTO `catalog_category_entity_varchar` (attribute_id,store_id,entity_id,value) VALUES (48,0,"&amp;'categories-old'!B29&amp;",'"&amp;RIGHT('categories-old'!G29,LEN('categories-old'!G29)-1)&amp;"');","")</f>
        <v>INSERT INTO `catalog_category_entity_varchar` (attribute_id,store_id,entity_id,value) VALUES (48,0,751,'img2/imga7c2.jpg');</v>
      </c>
      <c r="B29" t="str">
        <f>IF(LEN(categories!G29) &gt; 0, "INSERT INTO `catalog_category_entity_varchar` (attribute_id,store_id,entity_id,value) VALUES (48,0,"&amp;categories!B29&amp;",'"&amp;RIGHT(categories!G29,LEN(categories!G29)-1)&amp;"');","")</f>
        <v>INSERT INTO `catalog_category_entity_varchar` (attribute_id,store_id,entity_id,value) VALUES (48,0,751,'img2/imga7c2.jpg');</v>
      </c>
      <c r="C29" t="str">
        <f>VLOOKUP(categories!B29,'categories-old'!B:G,6,FALSE)</f>
        <v>/img2/imga7c2.jpg</v>
      </c>
      <c r="D29" t="str">
        <f>VLOOKUP(categories!B29,'categories-old'!B:H,7,FALSE)</f>
        <v>www.americanretailsupply.com/64852/Impulse-Sealers--Shrink-Wrap.html</v>
      </c>
    </row>
    <row r="30" spans="1:5" x14ac:dyDescent="0.25">
      <c r="A30" t="str">
        <f>IF(LEN('categories-old'!G30) &gt; 0, "INSERT INTO `catalog_category_entity_varchar` (attribute_id,store_id,entity_id,value) VALUES (48,0,"&amp;'categories-old'!B30&amp;",'"&amp;RIGHT('categories-old'!G30,LEN('categories-old'!G30)-1)&amp;"');","")</f>
        <v/>
      </c>
      <c r="B30" t="str">
        <f>IF(LEN(categories!G30) &gt; 0, "INSERT INTO `catalog_category_entity_varchar` (attribute_id,store_id,entity_id,value) VALUES (48,0,"&amp;categories!B30&amp;",'"&amp;RIGHT(categories!G30,LEN(categories!G30)-1)&amp;"');","")</f>
        <v>INSERT INTO `catalog_category_entity_varchar` (attribute_id,store_id,entity_id,value) VALUES (48,0,857,'img1/img0504.jpg');</v>
      </c>
      <c r="C30">
        <f>VLOOKUP(categories!B30,'categories-old'!B:G,6,FALSE)</f>
        <v>0</v>
      </c>
      <c r="D30" t="str">
        <f>VLOOKUP(categories!B30,'categories-old'!B:H,7,FALSE)</f>
        <v>www.americanretailsupply.com/64847/Lights.html</v>
      </c>
      <c r="E30" t="str">
        <f t="shared" ref="E30:E32" si="3">SUBSTITUTE(SUBSTITUTE(D30,"\","/"),"www.americanretailsupply.com/","")</f>
        <v>64847/Lights.html</v>
      </c>
    </row>
    <row r="31" spans="1:5" x14ac:dyDescent="0.25">
      <c r="A31" t="str">
        <f>IF(LEN('categories-old'!G31) &gt; 0, "INSERT INTO `catalog_category_entity_varchar` (attribute_id,store_id,entity_id,value) VALUES (48,0,"&amp;'categories-old'!B31&amp;",'"&amp;RIGHT('categories-old'!G31,LEN('categories-old'!G31)-1)&amp;"');","")</f>
        <v/>
      </c>
      <c r="B31" t="str">
        <f>IF(LEN(categories!G31) &gt; 0, "INSERT INTO `catalog_category_entity_varchar` (attribute_id,store_id,entity_id,value) VALUES (48,0,"&amp;categories!B31&amp;",'"&amp;RIGHT(categories!G31,LEN(categories!G31)-1)&amp;"');","")</f>
        <v>INSERT INTO `catalog_category_entity_varchar` (attribute_id,store_id,entity_id,value) VALUES (48,0,884,'img2/img8309.jpg');</v>
      </c>
      <c r="C31">
        <f>VLOOKUP(categories!B31,'categories-old'!B:G,6,FALSE)</f>
        <v>0</v>
      </c>
      <c r="D31" t="str">
        <f>VLOOKUP(categories!B31,'categories-old'!B:H,7,FALSE)</f>
        <v>www.americanretailsupply.com/64864/Merchandising-Aids.html</v>
      </c>
      <c r="E31" t="str">
        <f t="shared" si="3"/>
        <v>64864/Merchandising-Aids.html</v>
      </c>
    </row>
    <row r="32" spans="1:5" x14ac:dyDescent="0.25">
      <c r="A32" t="str">
        <f>IF(LEN('categories-old'!G32) &gt; 0, "INSERT INTO `catalog_category_entity_varchar` (attribute_id,store_id,entity_id,value) VALUES (48,0,"&amp;'categories-old'!B32&amp;",'"&amp;RIGHT('categories-old'!G32,LEN('categories-old'!G32)-1)&amp;"');","")</f>
        <v/>
      </c>
      <c r="B32" t="str">
        <f>IF(LEN(categories!G32) &gt; 0, "INSERT INTO `catalog_category_entity_varchar` (attribute_id,store_id,entity_id,value) VALUES (48,0,"&amp;categories!B32&amp;",'"&amp;RIGHT(categories!G32,LEN(categories!G32)-1)&amp;"');","")</f>
        <v>INSERT INTO `catalog_category_entity_varchar` (attribute_id,store_id,entity_id,value) VALUES (48,0,1058,'img2/imge7b1.jpg');</v>
      </c>
      <c r="C32">
        <f>VLOOKUP(categories!B32,'categories-old'!B:G,6,FALSE)</f>
        <v>0</v>
      </c>
      <c r="D32" t="str">
        <f>VLOOKUP(categories!B32,'categories-old'!B:H,7,FALSE)</f>
        <v>www.americanretailsupply.com/64856/Printer-Labels.html</v>
      </c>
      <c r="E32" t="str">
        <f t="shared" si="3"/>
        <v>64856/Printer-Labels.html</v>
      </c>
    </row>
    <row r="33" spans="1:5" hidden="1" x14ac:dyDescent="0.25">
      <c r="A33" t="str">
        <f>IF(LEN('categories-old'!G33) &gt; 0, "INSERT INTO `catalog_category_entity_varchar` (attribute_id,store_id,entity_id,value) VALUES (48,0,"&amp;'categories-old'!B33&amp;",'"&amp;RIGHT('categories-old'!G33,LEN('categories-old'!G33)-1)&amp;"');","")</f>
        <v>INSERT INTO `catalog_category_entity_varchar` (attribute_id,store_id,entity_id,value) VALUES (48,0,1157,'img1/img191a.jpg');</v>
      </c>
      <c r="B33" t="str">
        <f>IF(LEN(categories!G33) &gt; 0, "INSERT INTO `catalog_category_entity_varchar` (attribute_id,store_id,entity_id,value) VALUES (48,0,"&amp;categories!B33&amp;",'"&amp;RIGHT(categories!G33,LEN(categories!G33)-1)&amp;"');","")</f>
        <v>INSERT INTO `catalog_category_entity_varchar` (attribute_id,store_id,entity_id,value) VALUES (48,0,1157,'img1/img191a.jpg');</v>
      </c>
      <c r="C33" t="str">
        <f>VLOOKUP(categories!B33,'categories-old'!B:G,6,FALSE)</f>
        <v>/img1/img191a.jpg</v>
      </c>
      <c r="D33" t="str">
        <f>VLOOKUP(categories!B33,'categories-old'!B:H,7,FALSE)</f>
        <v>www.americanretailsupply.com/64865/Shipping-Envelopes.html</v>
      </c>
    </row>
    <row r="34" spans="1:5" hidden="1" x14ac:dyDescent="0.25">
      <c r="A34" t="str">
        <f>IF(LEN('categories-old'!G34) &gt; 0, "INSERT INTO `catalog_category_entity_varchar` (attribute_id,store_id,entity_id,value) VALUES (48,0,"&amp;'categories-old'!B34&amp;",'"&amp;RIGHT('categories-old'!G34,LEN('categories-old'!G34)-1)&amp;"');","")</f>
        <v>INSERT INTO `catalog_category_entity_varchar` (attribute_id,store_id,entity_id,value) VALUES (48,0,1161,'img3/img8a85.jpg');</v>
      </c>
      <c r="B34" t="str">
        <f>IF(LEN(categories!G34) &gt; 0, "INSERT INTO `catalog_category_entity_varchar` (attribute_id,store_id,entity_id,value) VALUES (48,0,"&amp;categories!B34&amp;",'"&amp;RIGHT(categories!G34,LEN(categories!G34)-1)&amp;"');","")</f>
        <v>INSERT INTO `catalog_category_entity_varchar` (attribute_id,store_id,entity_id,value) VALUES (48,0,1161,'img3/img8a85.jpg');</v>
      </c>
      <c r="C34" t="str">
        <f>VLOOKUP(categories!B34,'categories-old'!B:G,6,FALSE)</f>
        <v>/img3/img8a85.jpg</v>
      </c>
      <c r="D34" t="str">
        <f>VLOOKUP(categories!B34,'categories-old'!B:H,7,FALSE)</f>
        <v>www.americanretailsupply.com/64859/Shipping-Supplies.html</v>
      </c>
    </row>
    <row r="35" spans="1:5" hidden="1" x14ac:dyDescent="0.25">
      <c r="A35" t="str">
        <f>IF(LEN('categories-old'!G35) &gt; 0, "INSERT INTO `catalog_category_entity_varchar` (attribute_id,store_id,entity_id,value) VALUES (48,0,"&amp;'categories-old'!B35&amp;",'"&amp;RIGHT('categories-old'!G35,LEN('categories-old'!G35)-1)&amp;"');","")</f>
        <v>INSERT INTO `catalog_category_entity_varchar` (attribute_id,store_id,entity_id,value) VALUES (48,0,1173,'img3/img3c43.jpg');</v>
      </c>
      <c r="B35" t="str">
        <f>IF(LEN(categories!G35) &gt; 0, "INSERT INTO `catalog_category_entity_varchar` (attribute_id,store_id,entity_id,value) VALUES (48,0,"&amp;categories!B35&amp;",'"&amp;RIGHT(categories!G35,LEN(categories!G35)-1)&amp;"');","")</f>
        <v>INSERT INTO `catalog_category_entity_varchar` (attribute_id,store_id,entity_id,value) VALUES (48,0,1173,'img3/img3c43.jpg');</v>
      </c>
      <c r="C35" t="str">
        <f>VLOOKUP(categories!B35,'categories-old'!B:G,6,FALSE)</f>
        <v>/img3/img3c43.jpg</v>
      </c>
      <c r="D35" t="str">
        <f>VLOOKUP(categories!B35,'categories-old'!B:H,7,FALSE)</f>
        <v>www.americanretailsupply.com/64855/Shopping-Baskets.html</v>
      </c>
    </row>
    <row r="36" spans="1:5" x14ac:dyDescent="0.25">
      <c r="A36" t="str">
        <f>IF(LEN('categories-old'!G36) &gt; 0, "INSERT INTO `catalog_category_entity_varchar` (attribute_id,store_id,entity_id,value) VALUES (48,0,"&amp;'categories-old'!B36&amp;",'"&amp;RIGHT('categories-old'!G36,LEN('categories-old'!G36)-1)&amp;"');","")</f>
        <v/>
      </c>
      <c r="B36" t="str">
        <f>IF(LEN(categories!G36) &gt; 0, "INSERT INTO `catalog_category_entity_varchar` (attribute_id,store_id,entity_id,value) VALUES (48,0,"&amp;categories!B36&amp;",'"&amp;RIGHT(categories!G36,LEN(categories!G36)-1)&amp;"');","")</f>
        <v>INSERT INTO `catalog_category_entity_varchar` (attribute_id,store_id,entity_id,value) VALUES (48,0,1192,'img1/img6f1c.jpg');</v>
      </c>
      <c r="C36">
        <f>VLOOKUP(categories!B36,'categories-old'!B:G,6,FALSE)</f>
        <v>0</v>
      </c>
      <c r="D36" t="str">
        <f>VLOOKUP(categories!B36,'categories-old'!B:H,7,FALSE)</f>
        <v>www.americanretailsupply.com/65196/Sizers-Markers--Size-Labels.html</v>
      </c>
      <c r="E36" t="str">
        <f t="shared" ref="E36:E37" si="4">SUBSTITUTE(SUBSTITUTE(D36,"\","/"),"www.americanretailsupply.com/","")</f>
        <v>65196/Sizers-Markers--Size-Labels.html</v>
      </c>
    </row>
    <row r="37" spans="1:5" x14ac:dyDescent="0.25">
      <c r="A37" t="str">
        <f>IF(LEN('categories-old'!G37) &gt; 0, "INSERT INTO `catalog_category_entity_varchar` (attribute_id,store_id,entity_id,value) VALUES (48,0,"&amp;'categories-old'!B37&amp;",'"&amp;RIGHT('categories-old'!G37,LEN('categories-old'!G37)-1)&amp;"');","")</f>
        <v/>
      </c>
      <c r="B37" t="str">
        <f>IF(LEN(categories!G37) &gt; 0, "INSERT INTO `catalog_category_entity_varchar` (attribute_id,store_id,entity_id,value) VALUES (48,0,"&amp;categories!B37&amp;",'"&amp;RIGHT(categories!G37,LEN(categories!G37)-1)&amp;"');","")</f>
        <v>INSERT INTO `catalog_category_entity_varchar` (attribute_id,store_id,entity_id,value) VALUES (48,0,1227,'img3/imge237.jpg');</v>
      </c>
      <c r="C37">
        <f>VLOOKUP(categories!B37,'categories-old'!B:G,6,FALSE)</f>
        <v>0</v>
      </c>
      <c r="D37" t="str">
        <f>VLOOKUP(categories!B37,'categories-old'!B:H,7,FALSE)</f>
        <v>www.americanretailsupply.com/64851/Steamers.html</v>
      </c>
      <c r="E37" t="str">
        <f t="shared" si="4"/>
        <v>64851/Steamers.html</v>
      </c>
    </row>
    <row r="38" spans="1:5" hidden="1" x14ac:dyDescent="0.25">
      <c r="A38" t="str">
        <f>IF(LEN('categories-old'!G38) &gt; 0, "INSERT INTO `catalog_category_entity_varchar` (attribute_id,store_id,entity_id,value) VALUES (48,0,"&amp;'categories-old'!B38&amp;",'"&amp;RIGHT('categories-old'!G38,LEN('categories-old'!G38)-1)&amp;"');","")</f>
        <v>INSERT INTO `catalog_category_entity_varchar` (attribute_id,store_id,entity_id,value) VALUES (48,0,1239,'img1/imgbbb3.jpg');</v>
      </c>
      <c r="B38" t="str">
        <f>IF(LEN(categories!G38) &gt; 0, "INSERT INTO `catalog_category_entity_varchar` (attribute_id,store_id,entity_id,value) VALUES (48,0,"&amp;categories!B38&amp;",'"&amp;RIGHT(categories!G38,LEN(categories!G38)-1)&amp;"');","")</f>
        <v>INSERT INTO `catalog_category_entity_varchar` (attribute_id,store_id,entity_id,value) VALUES (48,0,1239,'img1/imgbbb3.jpg');</v>
      </c>
      <c r="C38" t="str">
        <f>VLOOKUP(categories!B38,'categories-old'!B:G,6,FALSE)</f>
        <v>/img1/imgbbb3.jpg</v>
      </c>
      <c r="D38" t="str">
        <f>VLOOKUP(categories!B38,'categories-old'!B:H,7,FALSE)</f>
        <v>www.americanretailsupply.com/64866/Stretch-Wrap.html</v>
      </c>
    </row>
    <row r="39" spans="1:5" hidden="1" x14ac:dyDescent="0.25">
      <c r="A39" t="str">
        <f>IF(LEN('categories-old'!G39) &gt; 0, "INSERT INTO `catalog_category_entity_varchar` (attribute_id,store_id,entity_id,value) VALUES (48,0,"&amp;'categories-old'!B39&amp;",'"&amp;RIGHT('categories-old'!G39,LEN('categories-old'!G39)-1)&amp;"');","")</f>
        <v>INSERT INTO `catalog_category_entity_varchar` (attribute_id,store_id,entity_id,value) VALUES (48,0,1272,'img1/imgd6bf.jpg');</v>
      </c>
      <c r="B39" t="str">
        <f>IF(LEN(categories!G39) &gt; 0, "INSERT INTO `catalog_category_entity_varchar` (attribute_id,store_id,entity_id,value) VALUES (48,0,"&amp;categories!B39&amp;",'"&amp;RIGHT(categories!G39,LEN(categories!G39)-1)&amp;"');","")</f>
        <v>INSERT INTO `catalog_category_entity_varchar` (attribute_id,store_id,entity_id,value) VALUES (48,0,1272,'img1/imgd6bf.jpg');</v>
      </c>
      <c r="C39" t="str">
        <f>VLOOKUP(categories!B39,'categories-old'!B:G,6,FALSE)</f>
        <v>/img1/imgd6bf.jpg</v>
      </c>
      <c r="D39" t="str">
        <f>VLOOKUP(categories!B39,'categories-old'!B:H,7,FALSE)</f>
        <v>www.americanretailsupply.com/64849/Tape.html</v>
      </c>
    </row>
    <row r="40" spans="1:5" hidden="1" x14ac:dyDescent="0.25">
      <c r="A40" t="str">
        <f>IF(LEN('categories-old'!G40) &gt; 0, "INSERT INTO `catalog_category_entity_varchar` (attribute_id,store_id,entity_id,value) VALUES (48,0,"&amp;'categories-old'!B40&amp;",'"&amp;RIGHT('categories-old'!G40,LEN('categories-old'!G40)-1)&amp;"');","")</f>
        <v>INSERT INTO `catalog_category_entity_varchar` (attribute_id,store_id,entity_id,value) VALUES (48,0,1316,'img3/img6967.jpg');</v>
      </c>
      <c r="B40" t="str">
        <f>IF(LEN(categories!G40) &gt; 0, "INSERT INTO `catalog_category_entity_varchar` (attribute_id,store_id,entity_id,value) VALUES (48,0,"&amp;categories!B40&amp;",'"&amp;RIGHT(categories!G40,LEN(categories!G40)-1)&amp;"');","")</f>
        <v>INSERT INTO `catalog_category_entity_varchar` (attribute_id,store_id,entity_id,value) VALUES (48,0,1316,'img3/img6967.jpg');</v>
      </c>
      <c r="C40" t="str">
        <f>VLOOKUP(categories!B40,'categories-old'!B:G,6,FALSE)</f>
        <v>/img3/img6967.jpg</v>
      </c>
      <c r="D40" t="str">
        <f>VLOOKUP(categories!B40,'categories-old'!B:H,7,FALSE)</f>
        <v>www.americanretailsupply.com/64854/Turn--O--Matic-Systems.html</v>
      </c>
    </row>
    <row r="41" spans="1:5" hidden="1" x14ac:dyDescent="0.25">
      <c r="A41" t="str">
        <f>IF(LEN('categories-old'!G41) &gt; 0, "INSERT INTO `catalog_category_entity_varchar` (attribute_id,store_id,entity_id,value) VALUES (48,0,"&amp;'categories-old'!B41&amp;",'"&amp;RIGHT('categories-old'!G41,LEN('categories-old'!G41)-1)&amp;"');","")</f>
        <v>INSERT INTO `catalog_category_entity_varchar` (attribute_id,store_id,entity_id,value) VALUES (48,0,205,'img3/img0b27.jpg');</v>
      </c>
      <c r="B41" t="str">
        <f>IF(LEN(categories!G41) &gt; 0, "INSERT INTO `catalog_category_entity_varchar` (attribute_id,store_id,entity_id,value) VALUES (48,0,"&amp;categories!B41&amp;",'"&amp;RIGHT(categories!G41,LEN(categories!G41)-1)&amp;"');","")</f>
        <v>INSERT INTO `catalog_category_entity_varchar` (attribute_id,store_id,entity_id,value) VALUES (48,0,205,'img3/img0b27.jpg');</v>
      </c>
      <c r="C41" t="str">
        <f>VLOOKUP(categories!B41,'categories-old'!B:G,6,FALSE)</f>
        <v>/img3/img0b27.jpg</v>
      </c>
      <c r="D41" t="str">
        <f>VLOOKUP(categories!B41,'categories-old'!B:H,7,FALSE)</f>
        <v>www.americanretailsupply.com/64602/General-Store-Supplies.html</v>
      </c>
    </row>
    <row r="42" spans="1:5" hidden="1" x14ac:dyDescent="0.25">
      <c r="A42" t="str">
        <f>IF(LEN('categories-old'!G42) &gt; 0, "INSERT INTO `catalog_category_entity_varchar` (attribute_id,store_id,entity_id,value) VALUES (48,0,"&amp;'categories-old'!B42&amp;",'"&amp;RIGHT('categories-old'!G42,LEN('categories-old'!G42)-1)&amp;"');","")</f>
        <v>INSERT INTO `catalog_category_entity_varchar` (attribute_id,store_id,entity_id,value) VALUES (48,0,453,'img2/img0d01.jpg');</v>
      </c>
      <c r="B42" t="str">
        <f>IF(LEN(categories!G42) &gt; 0, "INSERT INTO `catalog_category_entity_varchar` (attribute_id,store_id,entity_id,value) VALUES (48,0,"&amp;categories!B42&amp;",'"&amp;RIGHT(categories!G42,LEN(categories!G42)-1)&amp;"');","")</f>
        <v>INSERT INTO `catalog_category_entity_varchar` (attribute_id,store_id,entity_id,value) VALUES (48,0,453,'img2/img0d01.jpg');</v>
      </c>
      <c r="C42" t="str">
        <f>VLOOKUP(categories!B42,'categories-old'!B:G,6,FALSE)</f>
        <v>/img2/img0d01.jpg</v>
      </c>
      <c r="D42" t="str">
        <f>VLOOKUP(categories!B42,'categories-old'!B:H,7,FALSE)</f>
        <v>www.americanretailsupply.com/64735/Curling-Ribbon.html</v>
      </c>
    </row>
    <row r="43" spans="1:5" hidden="1" x14ac:dyDescent="0.25">
      <c r="A43" t="str">
        <f>IF(LEN('categories-old'!G43) &gt; 0, "INSERT INTO `catalog_category_entity_varchar` (attribute_id,store_id,entity_id,value) VALUES (48,0,"&amp;'categories-old'!B43&amp;",'"&amp;RIGHT('categories-old'!G43,LEN('categories-old'!G43)-1)&amp;"');","")</f>
        <v>INSERT INTO `catalog_category_entity_varchar` (attribute_id,store_id,entity_id,value) VALUES (48,0,520,'img3/img2a8c.jpg');</v>
      </c>
      <c r="B43" t="str">
        <f>IF(LEN(categories!G43) &gt; 0, "INSERT INTO `catalog_category_entity_varchar` (attribute_id,store_id,entity_id,value) VALUES (48,0,"&amp;categories!B43&amp;",'"&amp;RIGHT(categories!G43,LEN(categories!G43)-1)&amp;"');","")</f>
        <v>INSERT INTO `catalog_category_entity_varchar` (attribute_id,store_id,entity_id,value) VALUES (48,0,520,'img3/img2a8c.jpg');</v>
      </c>
      <c r="C43" t="str">
        <f>VLOOKUP(categories!B43,'categories-old'!B:G,6,FALSE)</f>
        <v>/img3/img2a8c.jpg</v>
      </c>
      <c r="D43" t="str">
        <f>VLOOKUP(categories!B43,'categories-old'!B:H,7,FALSE)</f>
        <v>www.americanretailsupply.com/64738/Fabric-Ribbon.html</v>
      </c>
    </row>
    <row r="44" spans="1:5" x14ac:dyDescent="0.25">
      <c r="A44" t="str">
        <f>IF(LEN('categories-old'!G44) &gt; 0, "INSERT INTO `catalog_category_entity_varchar` (attribute_id,store_id,entity_id,value) VALUES (48,0,"&amp;'categories-old'!B44&amp;",'"&amp;RIGHT('categories-old'!G44,LEN('categories-old'!G44)-1)&amp;"');","")</f>
        <v/>
      </c>
      <c r="B44" t="str">
        <f>IF(LEN(categories!G44) &gt; 0, "INSERT INTO `catalog_category_entity_varchar` (attribute_id,store_id,entity_id,value) VALUES (48,0,"&amp;categories!B44&amp;",'"&amp;RIGHT(categories!G44,LEN(categories!G44)-1)&amp;"');","")</f>
        <v>INSERT INTO `catalog_category_entity_varchar` (attribute_id,store_id,entity_id,value) VALUES (48,0,900,'img1/imgfd6e.jpg');</v>
      </c>
      <c r="C44">
        <f>VLOOKUP(categories!B44,'categories-old'!B:G,6,FALSE)</f>
        <v>0</v>
      </c>
      <c r="D44" t="str">
        <f>VLOOKUP(categories!B44,'categories-old'!B:H,7,FALSE)</f>
        <v>www.americanretailsupply.com/64739/Metallic-Bows--Ribbon.html</v>
      </c>
      <c r="E44" t="str">
        <f>SUBSTITUTE(SUBSTITUTE(D44,"\","/"),"www.americanretailsupply.com/","")</f>
        <v>64739/Metallic-Bows--Ribbon.html</v>
      </c>
    </row>
    <row r="45" spans="1:5" hidden="1" x14ac:dyDescent="0.25">
      <c r="A45" t="str">
        <f>IF(LEN('categories-old'!G45) &gt; 0, "INSERT INTO `catalog_category_entity_varchar` (attribute_id,store_id,entity_id,value) VALUES (48,0,"&amp;'categories-old'!B45&amp;",'"&amp;RIGHT('categories-old'!G45,LEN('categories-old'!G45)-1)&amp;"');","")</f>
        <v>INSERT INTO `catalog_category_entity_varchar` (attribute_id,store_id,entity_id,value) VALUES (48,0,973,'img2/img4a56.jpg');</v>
      </c>
      <c r="B45" t="str">
        <f>IF(LEN(categories!G45) &gt; 0, "INSERT INTO `catalog_category_entity_varchar` (attribute_id,store_id,entity_id,value) VALUES (48,0,"&amp;categories!B45&amp;",'"&amp;RIGHT(categories!G45,LEN(categories!G45)-1)&amp;"');","")</f>
        <v>INSERT INTO `catalog_category_entity_varchar` (attribute_id,store_id,entity_id,value) VALUES (48,0,973,'img2/img4a56.jpg');</v>
      </c>
      <c r="C45" t="str">
        <f>VLOOKUP(categories!B45,'categories-old'!B:G,6,FALSE)</f>
        <v>/img2/img4a56.jpg</v>
      </c>
      <c r="D45" t="str">
        <f>VLOOKUP(categories!B45,'categories-old'!B:H,7,FALSE)</f>
        <v>www.americanretailsupply.com/64734/Natural-Curling-Ribbon.html</v>
      </c>
    </row>
    <row r="46" spans="1:5" hidden="1" x14ac:dyDescent="0.25">
      <c r="A46" t="str">
        <f>IF(LEN('categories-old'!G46) &gt; 0, "INSERT INTO `catalog_category_entity_varchar` (attribute_id,store_id,entity_id,value) VALUES (48,0,"&amp;'categories-old'!B46&amp;",'"&amp;RIGHT('categories-old'!G46,LEN('categories-old'!G46)-1)&amp;"');","")</f>
        <v>INSERT INTO `catalog_category_entity_varchar` (attribute_id,store_id,entity_id,value) VALUES (48,0,1036,'img2/img37ca.jpg');</v>
      </c>
      <c r="B46" t="str">
        <f>IF(LEN(categories!G46) &gt; 0, "INSERT INTO `catalog_category_entity_varchar` (attribute_id,store_id,entity_id,value) VALUES (48,0,"&amp;categories!B46&amp;",'"&amp;RIGHT(categories!G46,LEN(categories!G46)-1)&amp;"');","")</f>
        <v>INSERT INTO `catalog_category_entity_varchar` (attribute_id,store_id,entity_id,value) VALUES (48,0,1036,'img2/img37ca.jpg');</v>
      </c>
      <c r="C46" t="str">
        <f>VLOOKUP(categories!B46,'categories-old'!B:G,6,FALSE)</f>
        <v>/img2/img37ca.jpg</v>
      </c>
      <c r="D46" t="str">
        <f>VLOOKUP(categories!B46,'categories-old'!B:H,7,FALSE)</f>
        <v>www.americanretailsupply.com/64736/Perfect-Bows--Ribbon.html</v>
      </c>
    </row>
    <row r="47" spans="1:5" hidden="1" x14ac:dyDescent="0.25">
      <c r="A47" t="str">
        <f>IF(LEN('categories-old'!G47) &gt; 0, "INSERT INTO `catalog_category_entity_varchar` (attribute_id,store_id,entity_id,value) VALUES (48,0,"&amp;'categories-old'!B47&amp;",'"&amp;RIGHT('categories-old'!G47,LEN('categories-old'!G47)-1)&amp;"');","")</f>
        <v>INSERT INTO `catalog_category_entity_varchar` (attribute_id,store_id,entity_id,value) VALUES (48,0,1223,'img1/img48bb.jpg');</v>
      </c>
      <c r="B47" t="str">
        <f>IF(LEN(categories!G47) &gt; 0, "INSERT INTO `catalog_category_entity_varchar` (attribute_id,store_id,entity_id,value) VALUES (48,0,"&amp;categories!B47&amp;",'"&amp;RIGHT(categories!G47,LEN(categories!G47)-1)&amp;"');","")</f>
        <v>INSERT INTO `catalog_category_entity_varchar` (attribute_id,store_id,entity_id,value) VALUES (48,0,1223,'img1/img48bb.jpg');</v>
      </c>
      <c r="C47" t="str">
        <f>VLOOKUP(categories!B47,'categories-old'!B:G,6,FALSE)</f>
        <v>/img1/img48bb.jpg</v>
      </c>
      <c r="D47" t="str">
        <f>VLOOKUP(categories!B47,'categories-old'!B:H,7,FALSE)</f>
        <v>www.americanretailsupply.com/64737/Star-Prenotched-Bows-Ribbon.html</v>
      </c>
    </row>
    <row r="48" spans="1:5" hidden="1" x14ac:dyDescent="0.25">
      <c r="A48" t="str">
        <f>IF(LEN('categories-old'!G48) &gt; 0, "INSERT INTO `catalog_category_entity_varchar` (attribute_id,store_id,entity_id,value) VALUES (48,0,"&amp;'categories-old'!B48&amp;",'"&amp;RIGHT('categories-old'!G48,LEN('categories-old'!G48)-1)&amp;"');","")</f>
        <v>INSERT INTO `catalog_category_entity_varchar` (attribute_id,store_id,entity_id,value) VALUES (48,0,1235,'img3/img24de.jpg');</v>
      </c>
      <c r="B48" t="str">
        <f>IF(LEN(categories!G48) &gt; 0, "INSERT INTO `catalog_category_entity_varchar` (attribute_id,store_id,entity_id,value) VALUES (48,0,"&amp;categories!B48&amp;",'"&amp;RIGHT(categories!G48,LEN(categories!G48)-1)&amp;"');","")</f>
        <v>INSERT INTO `catalog_category_entity_varchar` (attribute_id,store_id,entity_id,value) VALUES (48,0,1235,'img3/img24de.jpg');</v>
      </c>
      <c r="C48" t="str">
        <f>VLOOKUP(categories!B48,'categories-old'!B:G,6,FALSE)</f>
        <v>/img3/img24de.jpg</v>
      </c>
      <c r="D48" t="str">
        <f>VLOOKUP(categories!B48,'categories-old'!B:H,7,FALSE)</f>
        <v>www.americanretailsupply.com/64741/Stretch-Loops--Cord.html</v>
      </c>
    </row>
    <row r="49" spans="1:5" hidden="1" x14ac:dyDescent="0.25">
      <c r="A49" t="str">
        <f>IF(LEN('categories-old'!G49) &gt; 0, "INSERT INTO `catalog_category_entity_varchar` (attribute_id,store_id,entity_id,value) VALUES (48,0,"&amp;'categories-old'!B49&amp;",'"&amp;RIGHT('categories-old'!G49,LEN('categories-old'!G49)-1)&amp;"');","")</f>
        <v>INSERT INTO `catalog_category_entity_varchar` (attribute_id,store_id,entity_id,value) VALUES (48,0,1314,'img2/imgd80c.jpg');</v>
      </c>
      <c r="B49" t="str">
        <f>IF(LEN(categories!G49) &gt; 0, "INSERT INTO `catalog_category_entity_varchar` (attribute_id,store_id,entity_id,value) VALUES (48,0,"&amp;categories!B49&amp;",'"&amp;RIGHT(categories!G49,LEN(categories!G49)-1)&amp;"');","")</f>
        <v>INSERT INTO `catalog_category_entity_varchar` (attribute_id,store_id,entity_id,value) VALUES (48,0,1314,'img2/imgd80c.jpg');</v>
      </c>
      <c r="C49" t="str">
        <f>VLOOKUP(categories!B49,'categories-old'!B:G,6,FALSE)</f>
        <v>/img2/imgd80c.jpg</v>
      </c>
      <c r="D49" t="str">
        <f>VLOOKUP(categories!B49,'categories-old'!B:H,7,FALSE)</f>
        <v>www.americanretailsupply.com/64742/Tulle.html</v>
      </c>
    </row>
    <row r="50" spans="1:5" hidden="1" x14ac:dyDescent="0.25">
      <c r="A50" t="str">
        <f>IF(LEN('categories-old'!G50) &gt; 0, "INSERT INTO `catalog_category_entity_varchar` (attribute_id,store_id,entity_id,value) VALUES (48,0,"&amp;'categories-old'!B50&amp;",'"&amp;RIGHT('categories-old'!G50,LEN('categories-old'!G50)-1)&amp;"');","")</f>
        <v>INSERT INTO `catalog_category_entity_varchar` (attribute_id,store_id,entity_id,value) VALUES (48,0,1386,'img1/img0a52.jpg');</v>
      </c>
      <c r="B50" t="str">
        <f>IF(LEN(categories!G50) &gt; 0, "INSERT INTO `catalog_category_entity_varchar` (attribute_id,store_id,entity_id,value) VALUES (48,0,"&amp;categories!B50&amp;",'"&amp;RIGHT(categories!G50,LEN(categories!G50)-1)&amp;"');","")</f>
        <v>INSERT INTO `catalog_category_entity_varchar` (attribute_id,store_id,entity_id,value) VALUES (48,0,1386,'img1/img0a52.jpg');</v>
      </c>
      <c r="C50" t="str">
        <f>VLOOKUP(categories!B50,'categories-old'!B:G,6,FALSE)</f>
        <v>/img1/img0a52.jpg</v>
      </c>
      <c r="D50" t="str">
        <f>VLOOKUP(categories!B50,'categories-old'!B:H,7,FALSE)</f>
        <v>www.americanretailsupply.com/64740/Wraphia-Raffia-Excelsior.html</v>
      </c>
    </row>
    <row r="51" spans="1:5" hidden="1" x14ac:dyDescent="0.25">
      <c r="A51" t="str">
        <f>IF(LEN('categories-old'!G51) &gt; 0, "INSERT INTO `catalog_category_entity_varchar` (attribute_id,store_id,entity_id,value) VALUES (48,0,"&amp;'categories-old'!B51&amp;",'"&amp;RIGHT('categories-old'!G51,LEN('categories-old'!G51)-1)&amp;"');","")</f>
        <v>INSERT INTO `catalog_category_entity_varchar` (attribute_id,store_id,entity_id,value) VALUES (48,0,452,'img1/img6f1a.jpg');</v>
      </c>
      <c r="B51" t="str">
        <f>IF(LEN(categories!G51) &gt; 0, "INSERT INTO `catalog_category_entity_varchar` (attribute_id,store_id,entity_id,value) VALUES (48,0,"&amp;categories!B51&amp;",'"&amp;RIGHT(categories!G51,LEN(categories!G51)-1)&amp;"');","")</f>
        <v>INSERT INTO `catalog_category_entity_varchar` (attribute_id,store_id,entity_id,value) VALUES (48,0,452,'img1/img6f1a.jpg');</v>
      </c>
      <c r="C51" t="str">
        <f>VLOOKUP(categories!B51,'categories-old'!B:G,6,FALSE)</f>
        <v>/img1/img6f1a.jpg</v>
      </c>
      <c r="D51" t="str">
        <f>VLOOKUP(categories!B51,'categories-old'!B:H,7,FALSE)</f>
        <v>www.americanretailsupply.com/64492/Bows--Ribbon.html</v>
      </c>
    </row>
    <row r="52" spans="1:5" hidden="1" x14ac:dyDescent="0.25">
      <c r="A52" t="str">
        <f>IF(LEN('categories-old'!G52) &gt; 0, "INSERT INTO `catalog_category_entity_varchar` (attribute_id,store_id,entity_id,value) VALUES (48,0,"&amp;'categories-old'!B52&amp;",'"&amp;RIGHT('categories-old'!G52,LEN('categories-old'!G52)-1)&amp;"');","")</f>
        <v>INSERT INTO `catalog_category_entity_varchar` (attribute_id,store_id,entity_id,value) VALUES (48,0,219,'img1/img85dd.jpg');</v>
      </c>
      <c r="B52" t="str">
        <f>IF(LEN(categories!G52) &gt; 0, "INSERT INTO `catalog_category_entity_varchar` (attribute_id,store_id,entity_id,value) VALUES (48,0,"&amp;categories!B52&amp;",'"&amp;RIGHT(categories!G52,LEN(categories!G52)-1)&amp;"');","")</f>
        <v>INSERT INTO `catalog_category_entity_varchar` (attribute_id,store_id,entity_id,value) VALUES (48,0,219,'img1/img85dd.jpg');</v>
      </c>
      <c r="C52" t="str">
        <f>VLOOKUP(categories!B52,'categories-old'!B:G,6,FALSE)</f>
        <v>/img1/img85dd.jpg</v>
      </c>
      <c r="D52" t="str">
        <f>VLOOKUP(categories!B52,'categories-old'!B:H,7,FALSE)</f>
        <v>www.americanretailsupply.com/64707/Apparel-Boxes.html</v>
      </c>
    </row>
    <row r="53" spans="1:5" hidden="1" x14ac:dyDescent="0.25">
      <c r="A53" t="str">
        <f>IF(LEN('categories-old'!G53) &gt; 0, "INSERT INTO `catalog_category_entity_varchar` (attribute_id,store_id,entity_id,value) VALUES (48,0,"&amp;'categories-old'!B53&amp;",'"&amp;RIGHT('categories-old'!G53,LEN('categories-old'!G53)-1)&amp;"');","")</f>
        <v/>
      </c>
      <c r="B53" t="e">
        <f>IF(LEN(categories!G53) &gt; 0, "INSERT INTO `catalog_category_entity_varchar` (attribute_id,store_id,entity_id,value) VALUES (48,0,"&amp;categories!B53&amp;",'"&amp;RIGHT(categories!G53,LEN(categories!G53)-1)&amp;"');","")</f>
        <v>#N/A</v>
      </c>
      <c r="C53">
        <f>VLOOKUP(categories!B53,'categories-old'!B:G,6,FALSE)</f>
        <v>0</v>
      </c>
      <c r="D53" t="str">
        <f>VLOOKUP(categories!B53,'categories-old'!B:H,7,FALSE)</f>
        <v>www.americanretailsupply.com/64709/Decorative-Corrugated-Boxes.html</v>
      </c>
      <c r="E53" t="str">
        <f>SUBSTITUTE(SUBSTITUTE(D53,"\","/"),"www.americanretailsupply.com/","")</f>
        <v>64709/Decorative-Corrugated-Boxes.html</v>
      </c>
    </row>
    <row r="54" spans="1:5" hidden="1" x14ac:dyDescent="0.25">
      <c r="A54" t="str">
        <f>IF(LEN('categories-old'!G54) &gt; 0, "INSERT INTO `catalog_category_entity_varchar` (attribute_id,store_id,entity_id,value) VALUES (48,0,"&amp;'categories-old'!B54&amp;",'"&amp;RIGHT('categories-old'!G54,LEN('categories-old'!G54)-1)&amp;"');","")</f>
        <v>INSERT INTO `catalog_category_entity_varchar` (attribute_id,store_id,entity_id,value) VALUES (48,0,491,'img1/imgbcbf.jpg');</v>
      </c>
      <c r="B54" t="str">
        <f>IF(LEN(categories!G54) &gt; 0, "INSERT INTO `catalog_category_entity_varchar` (attribute_id,store_id,entity_id,value) VALUES (48,0,"&amp;categories!B54&amp;",'"&amp;RIGHT(categories!G54,LEN(categories!G54)-1)&amp;"');","")</f>
        <v>INSERT INTO `catalog_category_entity_varchar` (attribute_id,store_id,entity_id,value) VALUES (48,0,491,'img1/imgbcbf.jpg');</v>
      </c>
      <c r="C54" t="str">
        <f>VLOOKUP(categories!B54,'categories-old'!B:G,6,FALSE)</f>
        <v>/img1/imgbcbf.jpg</v>
      </c>
      <c r="D54" t="str">
        <f>VLOOKUP(categories!B54,'categories-old'!B:H,7,FALSE)</f>
        <v>www.americanretailsupply.com/64715/E--Flute-Decorative-Boxes.html</v>
      </c>
    </row>
    <row r="55" spans="1:5" hidden="1" x14ac:dyDescent="0.25">
      <c r="A55" t="str">
        <f>IF(LEN('categories-old'!G55) &gt; 0, "INSERT INTO `catalog_category_entity_varchar` (attribute_id,store_id,entity_id,value) VALUES (48,0,"&amp;'categories-old'!B55&amp;",'"&amp;RIGHT('categories-old'!G55,LEN('categories-old'!G55)-1)&amp;"');","")</f>
        <v>INSERT INTO `catalog_category_entity_varchar` (attribute_id,store_id,entity_id,value) VALUES (48,0,561,'img2/img68b3.jpg');</v>
      </c>
      <c r="B55" t="str">
        <f>IF(LEN(categories!G55) &gt; 0, "INSERT INTO `catalog_category_entity_varchar` (attribute_id,store_id,entity_id,value) VALUES (48,0,"&amp;categories!B55&amp;",'"&amp;RIGHT(categories!G55,LEN(categories!G55)-1)&amp;"');","")</f>
        <v>INSERT INTO `catalog_category_entity_varchar` (attribute_id,store_id,entity_id,value) VALUES (48,0,561,'img2/img68b3.jpg');</v>
      </c>
      <c r="C55" t="str">
        <f>VLOOKUP(categories!B55,'categories-old'!B:G,6,FALSE)</f>
        <v>/img2/img68b3.jpg</v>
      </c>
      <c r="D55" t="str">
        <f>VLOOKUP(categories!B55,'categories-old'!B:H,7,FALSE)</f>
        <v>www.americanretailsupply.com/64711/Gable-Boxes.html</v>
      </c>
    </row>
    <row r="56" spans="1:5" x14ac:dyDescent="0.25">
      <c r="A56" t="str">
        <f>IF(LEN('categories-old'!G56) &gt; 0, "INSERT INTO `catalog_category_entity_varchar` (attribute_id,store_id,entity_id,value) VALUES (48,0,"&amp;'categories-old'!B56&amp;",'"&amp;RIGHT('categories-old'!G56,LEN('categories-old'!G56)-1)&amp;"');","")</f>
        <v/>
      </c>
      <c r="B56" t="str">
        <f>IF(LEN(categories!G56) &gt; 0, "INSERT INTO `catalog_category_entity_varchar` (attribute_id,store_id,entity_id,value) VALUES (48,0,"&amp;categories!B56&amp;",'"&amp;RIGHT(categories!G56,LEN(categories!G56)-1)&amp;"');","")</f>
        <v>INSERT INTO `catalog_category_entity_varchar` (attribute_id,store_id,entity_id,value) VALUES (48,0,593,'img2/imgba3d.jpg');</v>
      </c>
      <c r="C56">
        <f>VLOOKUP(categories!B56,'categories-old'!B:G,6,FALSE)</f>
        <v>0</v>
      </c>
      <c r="D56" t="str">
        <f>VLOOKUP(categories!B56,'categories-old'!B:H,7,FALSE)</f>
        <v>www.americanretailsupply.com/64706/Gift-Boxes.html</v>
      </c>
      <c r="E56" t="str">
        <f>SUBSTITUTE(SUBSTITUTE(D56,"\","/"),"www.americanretailsupply.com/","")</f>
        <v>64706/Gift-Boxes.html</v>
      </c>
    </row>
    <row r="57" spans="1:5" hidden="1" x14ac:dyDescent="0.25">
      <c r="A57" t="str">
        <f>IF(LEN('categories-old'!G57) &gt; 0, "INSERT INTO `catalog_category_entity_varchar` (attribute_id,store_id,entity_id,value) VALUES (48,0,"&amp;'categories-old'!B57&amp;",'"&amp;RIGHT('categories-old'!G57,LEN('categories-old'!G57)-1)&amp;"');","")</f>
        <v>INSERT INTO `catalog_category_entity_varchar` (attribute_id,store_id,entity_id,value) VALUES (48,0,601,'img2/img031e.jpg');</v>
      </c>
      <c r="B57" t="str">
        <f>IF(LEN(categories!G57) &gt; 0, "INSERT INTO `catalog_category_entity_varchar` (attribute_id,store_id,entity_id,value) VALUES (48,0,"&amp;categories!B57&amp;",'"&amp;RIGHT(categories!G57,LEN(categories!G57)-1)&amp;"');","")</f>
        <v>INSERT INTO `catalog_category_entity_varchar` (attribute_id,store_id,entity_id,value) VALUES (48,0,601,'img2/img031e.jpg');</v>
      </c>
      <c r="C57" t="str">
        <f>VLOOKUP(categories!B57,'categories-old'!B:G,6,FALSE)</f>
        <v>/img2/img031e.jpg</v>
      </c>
      <c r="D57" t="str">
        <f>VLOOKUP(categories!B57,'categories-old'!B:H,7,FALSE)</f>
        <v>www.americanretailsupply.com/65764/Gift-Card-Boxes-and-Purse-Totes.html</v>
      </c>
    </row>
    <row r="58" spans="1:5" hidden="1" x14ac:dyDescent="0.25">
      <c r="A58" t="str">
        <f>IF(LEN('categories-old'!G58) &gt; 0, "INSERT INTO `catalog_category_entity_varchar` (attribute_id,store_id,entity_id,value) VALUES (48,0,"&amp;'categories-old'!B58&amp;",'"&amp;RIGHT('categories-old'!G58,LEN('categories-old'!G58)-1)&amp;"');","")</f>
        <v>INSERT INTO `catalog_category_entity_varchar` (attribute_id,store_id,entity_id,value) VALUES (48,0,705,'img3/imgd0e1.jpg');</v>
      </c>
      <c r="B58" t="str">
        <f>IF(LEN(categories!G58) &gt; 0, "INSERT INTO `catalog_category_entity_varchar` (attribute_id,store_id,entity_id,value) VALUES (48,0,"&amp;categories!B58&amp;",'"&amp;RIGHT(categories!G58,LEN(categories!G58)-1)&amp;"');","")</f>
        <v>INSERT INTO `catalog_category_entity_varchar` (attribute_id,store_id,entity_id,value) VALUES (48,0,705,'img3/imgd0e1.jpg');</v>
      </c>
      <c r="C58" t="str">
        <f>VLOOKUP(categories!B58,'categories-old'!B:G,6,FALSE)</f>
        <v>/img3/imgd0e1.jpg</v>
      </c>
      <c r="D58" t="str">
        <f>VLOOKUP(categories!B58,'categories-old'!B:H,7,FALSE)</f>
        <v>www.americanretailsupply.com/64710/Hi-Wall-2-Piece-Boxes--Lids.html</v>
      </c>
    </row>
    <row r="59" spans="1:5" hidden="1" x14ac:dyDescent="0.25">
      <c r="A59" t="str">
        <f>IF(LEN('categories-old'!G59) &gt; 0, "INSERT INTO `catalog_category_entity_varchar` (attribute_id,store_id,entity_id,value) VALUES (48,0,"&amp;'categories-old'!B59&amp;",'"&amp;RIGHT('categories-old'!G59,LEN('categories-old'!G59)-1)&amp;"');","")</f>
        <v>INSERT INTO `catalog_category_entity_varchar` (attribute_id,store_id,entity_id,value) VALUES (48,0,759,'img2/imgfe72.jpg');</v>
      </c>
      <c r="B59" t="str">
        <f>IF(LEN(categories!G59) &gt; 0, "INSERT INTO `catalog_category_entity_varchar` (attribute_id,store_id,entity_id,value) VALUES (48,0,"&amp;categories!B59&amp;",'"&amp;RIGHT(categories!G59,LEN(categories!G59)-1)&amp;"');","")</f>
        <v>INSERT INTO `catalog_category_entity_varchar` (attribute_id,store_id,entity_id,value) VALUES (48,0,759,'img2/imgfe72.jpg');</v>
      </c>
      <c r="C59" t="str">
        <f>VLOOKUP(categories!B59,'categories-old'!B:G,6,FALSE)</f>
        <v>/img2/imgfe72.jpg</v>
      </c>
      <c r="D59" t="str">
        <f>VLOOKUP(categories!B59,'categories-old'!B:H,7,FALSE)</f>
        <v>www.americanretailsupply.com/64712/Italian-Boxes.html</v>
      </c>
    </row>
    <row r="60" spans="1:5" x14ac:dyDescent="0.25">
      <c r="A60" t="str">
        <f>IF(LEN('categories-old'!G60) &gt; 0, "INSERT INTO `catalog_category_entity_varchar` (attribute_id,store_id,entity_id,value) VALUES (48,0,"&amp;'categories-old'!B60&amp;",'"&amp;RIGHT('categories-old'!G60,LEN('categories-old'!G60)-1)&amp;"');","")</f>
        <v/>
      </c>
      <c r="B60" t="str">
        <f>IF(LEN(categories!G60) &gt; 0, "INSERT INTO `catalog_category_entity_varchar` (attribute_id,store_id,entity_id,value) VALUES (48,0,"&amp;categories!B60&amp;",'"&amp;RIGHT(categories!G60,LEN(categories!G60)-1)&amp;"');","")</f>
        <v>INSERT INTO `catalog_category_entity_varchar` (attribute_id,store_id,entity_id,value) VALUES (48,0,781,'img1/imgc891.jpg');</v>
      </c>
      <c r="C60">
        <f>VLOOKUP(categories!B60,'categories-old'!B:G,6,FALSE)</f>
        <v>0</v>
      </c>
      <c r="D60" t="str">
        <f>VLOOKUP(categories!B60,'categories-old'!B:H,7,FALSE)</f>
        <v>www.americanretailsupply.com/64708/Jewelry-Boxes.html</v>
      </c>
      <c r="E60" t="str">
        <f>SUBSTITUTE(SUBSTITUTE(D60,"\","/"),"www.americanretailsupply.com/","")</f>
        <v>64708/Jewelry-Boxes.html</v>
      </c>
    </row>
    <row r="61" spans="1:5" hidden="1" x14ac:dyDescent="0.25">
      <c r="A61" t="str">
        <f>IF(LEN('categories-old'!G61) &gt; 0, "INSERT INTO `catalog_category_entity_varchar` (attribute_id,store_id,entity_id,value) VALUES (48,0,"&amp;'categories-old'!B61&amp;",'"&amp;RIGHT('categories-old'!G61,LEN('categories-old'!G61)-1)&amp;"');","")</f>
        <v>INSERT INTO `catalog_category_entity_varchar` (attribute_id,store_id,entity_id,value) VALUES (48,0,793,'img2/img991c.jpg');</v>
      </c>
      <c r="B61" t="str">
        <f>IF(LEN(categories!G61) &gt; 0, "INSERT INTO `catalog_category_entity_varchar` (attribute_id,store_id,entity_id,value) VALUES (48,0,"&amp;categories!B61&amp;",'"&amp;RIGHT(categories!G61,LEN(categories!G61)-1)&amp;"');","")</f>
        <v>INSERT INTO `catalog_category_entity_varchar` (attribute_id,store_id,entity_id,value) VALUES (48,0,793,'img2/img991c.jpg');</v>
      </c>
      <c r="C61" t="str">
        <f>VLOOKUP(categories!B61,'categories-old'!B:G,6,FALSE)</f>
        <v>/img2/img991c.jpg</v>
      </c>
      <c r="D61" t="str">
        <f>VLOOKUP(categories!B61,'categories-old'!B:H,7,FALSE)</f>
        <v>www.americanretailsupply.com/64716/Jewelry-Boxes-with-Hinged-Lids.html</v>
      </c>
    </row>
    <row r="62" spans="1:5" hidden="1" x14ac:dyDescent="0.25">
      <c r="A62" t="str">
        <f>IF(LEN('categories-old'!G62) &gt; 0, "INSERT INTO `catalog_category_entity_varchar` (attribute_id,store_id,entity_id,value) VALUES (48,0,"&amp;'categories-old'!B62&amp;",'"&amp;RIGHT('categories-old'!G62,LEN('categories-old'!G62)-1)&amp;"');","")</f>
        <v>INSERT INTO `catalog_category_entity_varchar` (attribute_id,store_id,entity_id,value) VALUES (48,0,1296,'img3/imgf330.jpg');</v>
      </c>
      <c r="B62" t="str">
        <f>IF(LEN(categories!G62) &gt; 0, "INSERT INTO `catalog_category_entity_varchar` (attribute_id,store_id,entity_id,value) VALUES (48,0,"&amp;categories!B62&amp;",'"&amp;RIGHT(categories!G62,LEN(categories!G62)-1)&amp;"');","")</f>
        <v>INSERT INTO `catalog_category_entity_varchar` (attribute_id,store_id,entity_id,value) VALUES (48,0,1296,'img3/imgf330.jpg');</v>
      </c>
      <c r="C62" t="str">
        <f>VLOOKUP(categories!B62,'categories-old'!B:G,6,FALSE)</f>
        <v>/img3/imgf330.jpg</v>
      </c>
      <c r="D62" t="str">
        <f>VLOOKUP(categories!B62,'categories-old'!B:H,7,FALSE)</f>
        <v>www.americanretailsupply.com/64717/Tin-Boxes.html</v>
      </c>
    </row>
    <row r="63" spans="1:5" hidden="1" x14ac:dyDescent="0.25">
      <c r="A63" t="str">
        <f>IF(LEN('categories-old'!G63) &gt; 0, "INSERT INTO `catalog_category_entity_varchar` (attribute_id,store_id,entity_id,value) VALUES (48,0,"&amp;'categories-old'!B63&amp;",'"&amp;RIGHT('categories-old'!G63,LEN('categories-old'!G63)-1)&amp;"');","")</f>
        <v>INSERT INTO `catalog_category_entity_varchar` (attribute_id,store_id,entity_id,value) VALUES (48,0,218,'img3/imgd0e1.jpg');</v>
      </c>
      <c r="B63" t="str">
        <f>IF(LEN(categories!G63) &gt; 0, "INSERT INTO `catalog_category_entity_varchar` (attribute_id,store_id,entity_id,value) VALUES (48,0,"&amp;categories!B63&amp;",'"&amp;RIGHT(categories!G63,LEN(categories!G63)-1)&amp;"');","")</f>
        <v>INSERT INTO `catalog_category_entity_varchar` (attribute_id,store_id,entity_id,value) VALUES (48,0,218,'img3/imgd0e1.jpg');</v>
      </c>
      <c r="C63" t="str">
        <f>VLOOKUP(categories!B63,'categories-old'!B:G,6,FALSE)</f>
        <v>/img3/imgd0e1.jpg</v>
      </c>
      <c r="D63" t="str">
        <f>VLOOKUP(categories!B63,'categories-old'!B:H,7,FALSE)</f>
        <v>www.americanretailsupply.com/64484/Boxes.html</v>
      </c>
    </row>
    <row r="64" spans="1:5" hidden="1" x14ac:dyDescent="0.25">
      <c r="A64" t="str">
        <f>IF(LEN('categories-old'!G64) &gt; 0, "INSERT INTO `catalog_category_entity_varchar` (attribute_id,store_id,entity_id,value) VALUES (48,0,"&amp;'categories-old'!B64&amp;",'"&amp;RIGHT('categories-old'!G64,LEN('categories-old'!G64)-1)&amp;"');","")</f>
        <v>INSERT INTO `catalog_category_entity_varchar` (attribute_id,store_id,entity_id,value) VALUES (48,0,64,'img1/img415b.jpg');</v>
      </c>
      <c r="B64" t="str">
        <f>IF(LEN(categories!G64) &gt; 0, "INSERT INTO `catalog_category_entity_varchar` (attribute_id,store_id,entity_id,value) VALUES (48,0,"&amp;categories!B64&amp;",'"&amp;RIGHT(categories!G64,LEN(categories!G64)-1)&amp;"');","")</f>
        <v>INSERT INTO `catalog_category_entity_varchar` (attribute_id,store_id,entity_id,value) VALUES (48,0,64,'img1/img415b.jpg');</v>
      </c>
      <c r="C64" t="str">
        <f>VLOOKUP(categories!B64,'categories-old'!B:G,6,FALSE)</f>
        <v>/img1/img415b.jpg</v>
      </c>
      <c r="D64" t="str">
        <f>VLOOKUP(categories!B64,'categories-old'!B:H,7,FALSE)</f>
        <v>www.americanretailsupply.com/65088/A-La-Carte-Bags--Boxes.html</v>
      </c>
    </row>
    <row r="65" spans="1:5" hidden="1" x14ac:dyDescent="0.25">
      <c r="A65" t="str">
        <f>IF(LEN('categories-old'!G65) &gt; 0, "INSERT INTO `catalog_category_entity_varchar` (attribute_id,store_id,entity_id,value) VALUES (48,0,"&amp;'categories-old'!B65&amp;",'"&amp;RIGHT('categories-old'!G65,LEN('categories-old'!G65)-1)&amp;"');","")</f>
        <v>INSERT INTO `catalog_category_entity_varchar` (attribute_id,store_id,entity_id,value) VALUES (48,0,460,'img1/imgf95e.jpg');</v>
      </c>
      <c r="B65" t="str">
        <f>IF(LEN(categories!G65) &gt; 0, "INSERT INTO `catalog_category_entity_varchar` (attribute_id,store_id,entity_id,value) VALUES (48,0,"&amp;categories!B65&amp;",'"&amp;RIGHT(categories!G65,LEN(categories!G65)-1)&amp;"');","")</f>
        <v>INSERT INTO `catalog_category_entity_varchar` (attribute_id,store_id,entity_id,value) VALUES (48,0,460,'img1/imgf95e.jpg');</v>
      </c>
      <c r="C65" t="str">
        <f>VLOOKUP(categories!B65,'categories-old'!B:G,6,FALSE)</f>
        <v>/img1/imgf95e.jpg</v>
      </c>
      <c r="D65" t="str">
        <f>VLOOKUP(categories!B65,'categories-old'!B:H,7,FALSE)</f>
        <v>www.americanretailsupply.com/65084/Decorative-Corrugated-Boxes.html</v>
      </c>
    </row>
    <row r="66" spans="1:5" hidden="1" x14ac:dyDescent="0.25">
      <c r="A66" t="str">
        <f>IF(LEN('categories-old'!G66) &gt; 0, "INSERT INTO `catalog_category_entity_varchar` (attribute_id,store_id,entity_id,value) VALUES (48,0,"&amp;'categories-old'!B66&amp;",'"&amp;RIGHT('categories-old'!G66,LEN('categories-old'!G66)-1)&amp;"');","")</f>
        <v>INSERT INTO `catalog_category_entity_varchar` (attribute_id,store_id,entity_id,value) VALUES (48,0,533,'img3/img86e4.jpg');</v>
      </c>
      <c r="B66" t="str">
        <f>IF(LEN(categories!G66) &gt; 0, "INSERT INTO `catalog_category_entity_varchar` (attribute_id,store_id,entity_id,value) VALUES (48,0,"&amp;categories!B66&amp;",'"&amp;RIGHT(categories!G66,LEN(categories!G66)-1)&amp;"');","")</f>
        <v>INSERT INTO `catalog_category_entity_varchar` (attribute_id,store_id,entity_id,value) VALUES (48,0,533,'img3/img86e4.jpg');</v>
      </c>
      <c r="C66" t="str">
        <f>VLOOKUP(categories!B66,'categories-old'!B:G,6,FALSE)</f>
        <v>/img3/img86e4.jpg</v>
      </c>
      <c r="D66" t="str">
        <f>VLOOKUP(categories!B66,'categories-old'!B:H,7,FALSE)</f>
        <v>www.americanretailsupply.com/65085/Food-Grade-Tissue.html</v>
      </c>
    </row>
    <row r="67" spans="1:5" hidden="1" x14ac:dyDescent="0.25">
      <c r="A67" t="str">
        <f>IF(LEN('categories-old'!G67) &gt; 0, "INSERT INTO `catalog_category_entity_varchar` (attribute_id,store_id,entity_id,value) VALUES (48,0,"&amp;'categories-old'!B67&amp;",'"&amp;RIGHT('categories-old'!G67,LEN('categories-old'!G67)-1)&amp;"');","")</f>
        <v>INSERT INTO `catalog_category_entity_varchar` (attribute_id,store_id,entity_id,value) VALUES (48,0,537,'img1/img0b53.jpg');</v>
      </c>
      <c r="B67" t="str">
        <f>IF(LEN(categories!G67) &gt; 0, "INSERT INTO `catalog_category_entity_varchar` (attribute_id,store_id,entity_id,value) VALUES (48,0,"&amp;categories!B67&amp;",'"&amp;RIGHT(categories!G67,LEN(categories!G67)-1)&amp;"');","")</f>
        <v>INSERT INTO `catalog_category_entity_varchar` (attribute_id,store_id,entity_id,value) VALUES (48,0,537,'img1/img0b53.jpg');</v>
      </c>
      <c r="C67" t="str">
        <f>VLOOKUP(categories!B67,'categories-old'!B:G,6,FALSE)</f>
        <v>/img1/img0b53.jpg</v>
      </c>
      <c r="D67" t="str">
        <f>VLOOKUP(categories!B67,'categories-old'!B:H,7,FALSE)</f>
        <v>www.americanretailsupply.com/65123/Food-Service-Boxes.html</v>
      </c>
    </row>
    <row r="68" spans="1:5" hidden="1" x14ac:dyDescent="0.25">
      <c r="A68" t="str">
        <f>IF(LEN('categories-old'!G68) &gt; 0, "INSERT INTO `catalog_category_entity_varchar` (attribute_id,store_id,entity_id,value) VALUES (48,0,"&amp;'categories-old'!B68&amp;",'"&amp;RIGHT('categories-old'!G68,LEN('categories-old'!G68)-1)&amp;"');","")</f>
        <v>INSERT INTO `catalog_category_entity_varchar` (attribute_id,store_id,entity_id,value) VALUES (48,0,1049,'img3/imgf6b0.jpg');</v>
      </c>
      <c r="B68" t="str">
        <f>IF(LEN(categories!G68) &gt; 0, "INSERT INTO `catalog_category_entity_varchar` (attribute_id,store_id,entity_id,value) VALUES (48,0,"&amp;categories!B68&amp;",'"&amp;RIGHT(categories!G68,LEN(categories!G68)-1)&amp;"');","")</f>
        <v>INSERT INTO `catalog_category_entity_varchar` (attribute_id,store_id,entity_id,value) VALUES (48,0,1049,'img3/imgf6b0.jpg');</v>
      </c>
      <c r="C68" t="str">
        <f>VLOOKUP(categories!B68,'categories-old'!B:G,6,FALSE)</f>
        <v>/img3/imgf6b0.jpg</v>
      </c>
      <c r="D68" t="str">
        <f>VLOOKUP(categories!B68,'categories-old'!B:H,7,FALSE)</f>
        <v>www.americanretailsupply.com/65086/Polyproylene-Bags--Rolls.html</v>
      </c>
    </row>
    <row r="69" spans="1:5" hidden="1" x14ac:dyDescent="0.25">
      <c r="A69" t="e">
        <f>IF(LEN('categories-old'!G69) &gt; 0, "INSERT INTO `catalog_category_entity_varchar` (attribute_id,store_id,entity_id,value) VALUES (48,0,"&amp;'categories-old'!B69&amp;",'"&amp;RIGHT('categories-old'!G69,LEN('categories-old'!G69)-1)&amp;"');","")</f>
        <v>#N/A</v>
      </c>
      <c r="B69" t="e">
        <f>IF(LEN(categories!G69) &gt; 0, "INSERT INTO `catalog_category_entity_varchar` (attribute_id,store_id,entity_id,value) VALUES (48,0,"&amp;categories!B69&amp;",'"&amp;RIGHT(categories!G69,LEN(categories!G69)-1)&amp;"');","")</f>
        <v>#N/A</v>
      </c>
      <c r="C69" t="e">
        <f>VLOOKUP(categories!B69,'categories-old'!B:G,6,FALSE)</f>
        <v>#N/A</v>
      </c>
      <c r="D69" t="e">
        <f>VLOOKUP(categories!B69,'categories-old'!B:H,7,FALSE)</f>
        <v>#N/A</v>
      </c>
    </row>
    <row r="70" spans="1:5" hidden="1" x14ac:dyDescent="0.25">
      <c r="A70" t="str">
        <f>IF(LEN('categories-old'!G70) &gt; 0, "INSERT INTO `catalog_category_entity_varchar` (attribute_id,store_id,entity_id,value) VALUES (48,0,"&amp;'categories-old'!B70&amp;",'"&amp;RIGHT('categories-old'!G70,LEN('categories-old'!G70)-1)&amp;"');","")</f>
        <v>INSERT INTO `catalog_category_entity_varchar` (attribute_id,store_id,entity_id,value) VALUES (48,0,63,'img1/imgda6e.jpg');</v>
      </c>
      <c r="B70" t="str">
        <f>IF(LEN(categories!G70) &gt; 0, "INSERT INTO `catalog_category_entity_varchar` (attribute_id,store_id,entity_id,value) VALUES (48,0,"&amp;categories!B70&amp;",'"&amp;RIGHT(categories!G70,LEN(categories!G70)-1)&amp;"');","")</f>
        <v>INSERT INTO `catalog_category_entity_varchar` (attribute_id,store_id,entity_id,value) VALUES (48,0,63,'img1/imgda6e.jpg');</v>
      </c>
      <c r="C70" t="str">
        <f>VLOOKUP(categories!B70,'categories-old'!B:G,6,FALSE)</f>
        <v>/img1/imgda6e.jpg</v>
      </c>
      <c r="D70" t="str">
        <f>VLOOKUP(categories!B70,'categories-old'!B:H,7,FALSE)</f>
        <v>www.americanretailsupply.com/65082/Food-Packaging.html</v>
      </c>
    </row>
    <row r="71" spans="1:5" x14ac:dyDescent="0.25">
      <c r="A71" t="str">
        <f>IF(LEN('categories-old'!G71) &gt; 0, "INSERT INTO `catalog_category_entity_varchar` (attribute_id,store_id,entity_id,value) VALUES (48,0,"&amp;'categories-old'!B71&amp;",'"&amp;RIGHT('categories-old'!G71,LEN('categories-old'!G71)-1)&amp;"');","")</f>
        <v/>
      </c>
      <c r="B71" t="str">
        <f>IF(LEN(categories!G71) &gt; 0, "INSERT INTO `catalog_category_entity_varchar` (attribute_id,store_id,entity_id,value) VALUES (48,0,"&amp;categories!B71&amp;",'"&amp;RIGHT(categories!G71,LEN(categories!G71)-1)&amp;"');","")</f>
        <v>INSERT INTO `catalog_category_entity_varchar` (attribute_id,store_id,entity_id,value) VALUES (48,0,607,'img1/imgf8ce.jpg');</v>
      </c>
      <c r="C71">
        <f>VLOOKUP(categories!B71,'categories-old'!B:G,6,FALSE)</f>
        <v>0</v>
      </c>
      <c r="D71" t="str">
        <f>VLOOKUP(categories!B71,'categories-old'!B:H,7,FALSE)</f>
        <v>www.americanretailsupply.com/64751/Gift-Enclosure-Cards.html</v>
      </c>
      <c r="E71" t="str">
        <f>SUBSTITUTE(SUBSTITUTE(D71,"\","/"),"www.americanretailsupply.com/","")</f>
        <v>64751/Gift-Enclosure-Cards.html</v>
      </c>
    </row>
    <row r="72" spans="1:5" hidden="1" x14ac:dyDescent="0.25">
      <c r="A72" t="str">
        <f>IF(LEN('categories-old'!G72) &gt; 0, "INSERT INTO `catalog_category_entity_varchar` (attribute_id,store_id,entity_id,value) VALUES (48,0,"&amp;'categories-old'!B72&amp;",'"&amp;RIGHT('categories-old'!G72,LEN('categories-old'!G72)-1)&amp;"');","")</f>
        <v>INSERT INTO `catalog_category_entity_varchar` (attribute_id,store_id,entity_id,value) VALUES (48,0,263,'img1/img1606.jpg');</v>
      </c>
      <c r="B72" t="str">
        <f>IF(LEN(categories!G72) &gt; 0, "INSERT INTO `catalog_category_entity_varchar` (attribute_id,store_id,entity_id,value) VALUES (48,0,"&amp;categories!B72&amp;",'"&amp;RIGHT(categories!G72,LEN(categories!G72)-1)&amp;"');","")</f>
        <v>INSERT INTO `catalog_category_entity_varchar` (attribute_id,store_id,entity_id,value) VALUES (48,0,263,'img1/img1606.jpg');</v>
      </c>
      <c r="C72" t="str">
        <f>VLOOKUP(categories!B72,'categories-old'!B:G,6,FALSE)</f>
        <v>/img1/img1606.jpg</v>
      </c>
      <c r="D72" t="str">
        <f>VLOOKUP(categories!B72,'categories-old'!B:H,7,FALSE)</f>
        <v>www.americanretailsupply.com/64725/BARGAIN-In-Stock-Giftwrap.html</v>
      </c>
    </row>
    <row r="73" spans="1:5" hidden="1" x14ac:dyDescent="0.25">
      <c r="A73" t="str">
        <f>IF(LEN('categories-old'!G73) &gt; 0, "INSERT INTO `catalog_category_entity_varchar` (attribute_id,store_id,entity_id,value) VALUES (48,0,"&amp;'categories-old'!B73&amp;",'"&amp;RIGHT('categories-old'!G73,LEN('categories-old'!G73)-1)&amp;"');","")</f>
        <v>INSERT INTO `catalog_category_entity_varchar` (attribute_id,store_id,entity_id,value) VALUES (48,0,738,'img2/img2be7.jpg');</v>
      </c>
      <c r="B73" t="str">
        <f>IF(LEN(categories!G73) &gt; 0, "INSERT INTO `catalog_category_entity_varchar` (attribute_id,store_id,entity_id,value) VALUES (48,0,"&amp;categories!B73&amp;",'"&amp;RIGHT(categories!G73,LEN(categories!G73)-1)&amp;"');","")</f>
        <v>INSERT INTO `catalog_category_entity_varchar` (attribute_id,store_id,entity_id,value) VALUES (48,0,738,'img2/img2be7.jpg');</v>
      </c>
      <c r="C73" t="str">
        <f>VLOOKUP(categories!B73,'categories-old'!B:G,6,FALSE)</f>
        <v>/img2/img2be7.jpg</v>
      </c>
      <c r="D73" t="str">
        <f>VLOOKUP(categories!B73,'categories-old'!B:H,7,FALSE)</f>
        <v>www.americanretailsupply.com/64723/Holiday-Giftwrap.html</v>
      </c>
    </row>
    <row r="74" spans="1:5" hidden="1" x14ac:dyDescent="0.25">
      <c r="A74" t="str">
        <f>IF(LEN('categories-old'!G74) &gt; 0, "INSERT INTO `catalog_category_entity_varchar` (attribute_id,store_id,entity_id,value) VALUES (48,0,"&amp;'categories-old'!B74&amp;",'"&amp;RIGHT('categories-old'!G74,LEN('categories-old'!G74)-1)&amp;"');","")</f>
        <v>INSERT INTO `catalog_category_entity_varchar` (attribute_id,store_id,entity_id,value) VALUES (48,0,819,'img2/imgbecb.jpg');</v>
      </c>
      <c r="B74" t="str">
        <f>IF(LEN(categories!G74) &gt; 0, "INSERT INTO `catalog_category_entity_varchar` (attribute_id,store_id,entity_id,value) VALUES (48,0,"&amp;categories!B74&amp;",'"&amp;RIGHT(categories!G74,LEN(categories!G74)-1)&amp;"');","")</f>
        <v>INSERT INTO `catalog_category_entity_varchar` (attribute_id,store_id,entity_id,value) VALUES (48,0,819,'img2/imgbecb.jpg');</v>
      </c>
      <c r="C74" t="str">
        <f>VLOOKUP(categories!B74,'categories-old'!B:G,6,FALSE)</f>
        <v>/img2/imgbecb.jpg</v>
      </c>
      <c r="D74" t="str">
        <f>VLOOKUP(categories!B74,'categories-old'!B:H,7,FALSE)</f>
        <v>www.americanretailsupply.com/64720/JR-GiftWrap.html</v>
      </c>
    </row>
    <row r="75" spans="1:5" hidden="1" x14ac:dyDescent="0.25">
      <c r="A75" t="str">
        <f>IF(LEN('categories-old'!G75) &gt; 0, "INSERT INTO `catalog_category_entity_varchar` (attribute_id,store_id,entity_id,value) VALUES (48,0,"&amp;'categories-old'!B75&amp;",'"&amp;RIGHT('categories-old'!G75,LEN('categories-old'!G75)-1)&amp;"');","")</f>
        <v>INSERT INTO `catalog_category_entity_varchar` (attribute_id,store_id,entity_id,value) VALUES (48,0,837,'img2/img1191.jpg');</v>
      </c>
      <c r="B75" t="str">
        <f>IF(LEN(categories!G75) &gt; 0, "INSERT INTO `catalog_category_entity_varchar` (attribute_id,store_id,entity_id,value) VALUES (48,0,"&amp;categories!B75&amp;",'"&amp;RIGHT(categories!G75,LEN(categories!G75)-1)&amp;"');","")</f>
        <v>INSERT INTO `catalog_category_entity_varchar` (attribute_id,store_id,entity_id,value) VALUES (48,0,837,'img2/img1191.jpg');</v>
      </c>
      <c r="C75" t="str">
        <f>VLOOKUP(categories!B75,'categories-old'!B:G,6,FALSE)</f>
        <v>/img2/img1191.jpg</v>
      </c>
      <c r="D75" t="str">
        <f>VLOOKUP(categories!B75,'categories-old'!B:H,7,FALSE)</f>
        <v>www.americanretailsupply.com/65351/Kraft-Paper-GiftWrap.html</v>
      </c>
    </row>
    <row r="76" spans="1:5" x14ac:dyDescent="0.25">
      <c r="A76" t="str">
        <f>IF(LEN('categories-old'!G76) &gt; 0, "INSERT INTO `catalog_category_entity_varchar` (attribute_id,store_id,entity_id,value) VALUES (48,0,"&amp;'categories-old'!B76&amp;",'"&amp;RIGHT('categories-old'!G76,LEN('categories-old'!G76)-1)&amp;"');","")</f>
        <v/>
      </c>
      <c r="B76" t="str">
        <f>IF(LEN(categories!G76) &gt; 0, "INSERT INTO `catalog_category_entity_varchar` (attribute_id,store_id,entity_id,value) VALUES (48,0,"&amp;categories!B76&amp;",'"&amp;RIGHT(categories!G76,LEN(categories!G76)-1)&amp;"');","")</f>
        <v>INSERT INTO `catalog_category_entity_varchar` (attribute_id,store_id,entity_id,value) VALUES (48,0,1149,'img1/imge5ed.jpg');</v>
      </c>
      <c r="C76">
        <f>VLOOKUP(categories!B76,'categories-old'!B:G,6,FALSE)</f>
        <v>0</v>
      </c>
      <c r="D76" t="str">
        <f>VLOOKUP(categories!B76,'categories-old'!B:H,7,FALSE)</f>
        <v>www.americanretailsupply.com/65799/Shamrock.html</v>
      </c>
      <c r="E76" t="str">
        <f>SUBSTITUTE(SUBSTITUTE(D76,"\","/"),"www.americanretailsupply.com/","")</f>
        <v>65799/Shamrock.html</v>
      </c>
    </row>
    <row r="77" spans="1:5" hidden="1" x14ac:dyDescent="0.25">
      <c r="A77" t="str">
        <f>IF(LEN('categories-old'!G77) &gt; 0, "INSERT INTO `catalog_category_entity_varchar` (attribute_id,store_id,entity_id,value) VALUES (48,0,"&amp;'categories-old'!B77&amp;",'"&amp;RIGHT('categories-old'!G77,LEN('categories-old'!G77)-1)&amp;"');","")</f>
        <v>INSERT INTO `catalog_category_entity_varchar` (attribute_id,store_id,entity_id,value) VALUES (48,0,1246,'img2/img9dfb.jpg');</v>
      </c>
      <c r="B77" t="str">
        <f>IF(LEN(categories!G77) &gt; 0, "INSERT INTO `catalog_category_entity_varchar` (attribute_id,store_id,entity_id,value) VALUES (48,0,"&amp;categories!B77&amp;",'"&amp;RIGHT(categories!G77,LEN(categories!G77)-1)&amp;"');","")</f>
        <v>INSERT INTO `catalog_category_entity_varchar` (attribute_id,store_id,entity_id,value) VALUES (48,0,1246,'img2/img9dfb.jpg');</v>
      </c>
      <c r="C77" t="str">
        <f>VLOOKUP(categories!B77,'categories-old'!B:G,6,FALSE)</f>
        <v>/img2/img9dfb.jpg</v>
      </c>
      <c r="D77" t="str">
        <f>VLOOKUP(categories!B77,'categories-old'!B:H,7,FALSE)</f>
        <v>www.americanretailsupply.com/64719/Sullivan-GiftWrap.html</v>
      </c>
    </row>
    <row r="78" spans="1:5" hidden="1" x14ac:dyDescent="0.25">
      <c r="A78" t="str">
        <f>IF(LEN('categories-old'!G78) &gt; 0, "INSERT INTO `catalog_category_entity_varchar` (attribute_id,store_id,entity_id,value) VALUES (48,0,"&amp;'categories-old'!B78&amp;",'"&amp;RIGHT('categories-old'!G78,LEN('categories-old'!G78)-1)&amp;"');","")</f>
        <v>INSERT INTO `catalog_category_entity_varchar` (attribute_id,store_id,entity_id,value) VALUES (48,0,1354,'img2/img1f3b.jpg');</v>
      </c>
      <c r="B78" t="str">
        <f>IF(LEN(categories!G78) &gt; 0, "INSERT INTO `catalog_category_entity_varchar` (attribute_id,store_id,entity_id,value) VALUES (48,0,"&amp;categories!B78&amp;",'"&amp;RIGHT(categories!G78,LEN(categories!G78)-1)&amp;"');","")</f>
        <v>INSERT INTO `catalog_category_entity_varchar` (attribute_id,store_id,entity_id,value) VALUES (48,0,1354,'img2/img1f3b.jpg');</v>
      </c>
      <c r="C78" t="str">
        <f>VLOOKUP(categories!B78,'categories-old'!B:G,6,FALSE)</f>
        <v>/img2/img1f3b.jpg</v>
      </c>
      <c r="D78" t="str">
        <f>VLOOKUP(categories!B78,'categories-old'!B:H,7,FALSE)</f>
        <v>www.americanretailsupply.com/64721/VantagePOINT-GiftWrap.html</v>
      </c>
    </row>
    <row r="79" spans="1:5" hidden="1" x14ac:dyDescent="0.25">
      <c r="A79" t="str">
        <f>IF(LEN('categories-old'!G79) &gt; 0, "INSERT INTO `catalog_category_entity_varchar` (attribute_id,store_id,entity_id,value) VALUES (48,0,"&amp;'categories-old'!B79&amp;",'"&amp;RIGHT('categories-old'!G79,LEN('categories-old'!G79)-1)&amp;"');","")</f>
        <v>INSERT INTO `catalog_category_entity_varchar` (attribute_id,store_id,entity_id,value) VALUES (48,0,1363,'img2/imgb80a.jpg');</v>
      </c>
      <c r="B79" t="str">
        <f>IF(LEN(categories!G79) &gt; 0, "INSERT INTO `catalog_category_entity_varchar` (attribute_id,store_id,entity_id,value) VALUES (48,0,"&amp;categories!B79&amp;",'"&amp;RIGHT(categories!G79,LEN(categories!G79)-1)&amp;"');","")</f>
        <v>INSERT INTO `catalog_category_entity_varchar` (attribute_id,store_id,entity_id,value) VALUES (48,0,1363,'img2/imgb80a.jpg');</v>
      </c>
      <c r="C79" t="str">
        <f>VLOOKUP(categories!B79,'categories-old'!B:G,6,FALSE)</f>
        <v>/img2/imgb80a.jpg</v>
      </c>
      <c r="D79" t="str">
        <f>VLOOKUP(categories!B79,'categories-old'!B:H,7,FALSE)</f>
        <v>www.americanretailsupply.com/64722/Western-Themed-GiftWrap.html</v>
      </c>
    </row>
    <row r="80" spans="1:5" hidden="1" x14ac:dyDescent="0.25">
      <c r="A80" t="str">
        <f>IF(LEN('categories-old'!G80) &gt; 0, "INSERT INTO `catalog_category_entity_varchar` (attribute_id,store_id,entity_id,value) VALUES (48,0,"&amp;'categories-old'!B80&amp;",'"&amp;RIGHT('categories-old'!G80,LEN('categories-old'!G80)-1)&amp;"');","")</f>
        <v>INSERT INTO `catalog_category_entity_varchar` (attribute_id,store_id,entity_id,value) VALUES (48,0,262,'img2/imgc708.jpg');</v>
      </c>
      <c r="B80" t="str">
        <f>IF(LEN(categories!G80) &gt; 0, "INSERT INTO `catalog_category_entity_varchar` (attribute_id,store_id,entity_id,value) VALUES (48,0,"&amp;categories!B80&amp;",'"&amp;RIGHT(categories!G80,LEN(categories!G80)-1)&amp;"');","")</f>
        <v>INSERT INTO `catalog_category_entity_varchar` (attribute_id,store_id,entity_id,value) VALUES (48,0,262,'img2/imgc708.jpg');</v>
      </c>
      <c r="C80" t="str">
        <f>VLOOKUP(categories!B80,'categories-old'!B:G,6,FALSE)</f>
        <v>/img2/imgc708.jpg</v>
      </c>
      <c r="D80" t="str">
        <f>VLOOKUP(categories!B80,'categories-old'!B:H,7,FALSE)</f>
        <v>www.americanretailsupply.com/64491/Gift-Wrap.html</v>
      </c>
    </row>
    <row r="81" spans="1:5" hidden="1" x14ac:dyDescent="0.25">
      <c r="A81" t="str">
        <f>IF(LEN('categories-old'!G81) &gt; 0, "INSERT INTO `catalog_category_entity_varchar` (attribute_id,store_id,entity_id,value) VALUES (48,0,"&amp;'categories-old'!B81&amp;",'"&amp;RIGHT('categories-old'!G81,LEN('categories-old'!G81)-1)&amp;"');","")</f>
        <v>INSERT INTO `catalog_category_entity_varchar` (attribute_id,store_id,entity_id,value) VALUES (48,0,839,'img3/img91b9.jpg');</v>
      </c>
      <c r="B81" t="str">
        <f>IF(LEN(categories!G81) &gt; 0, "INSERT INTO `catalog_category_entity_varchar` (attribute_id,store_id,entity_id,value) VALUES (48,0,"&amp;categories!B81&amp;",'"&amp;RIGHT(categories!G81,LEN(categories!G81)-1)&amp;"');","")</f>
        <v>INSERT INTO `catalog_category_entity_varchar` (attribute_id,store_id,entity_id,value) VALUES (48,0,839,'img3/img91b9.jpg');</v>
      </c>
      <c r="C81" t="str">
        <f>VLOOKUP(categories!B81,'categories-old'!B:G,6,FALSE)</f>
        <v>/img3/img91b9.jpg</v>
      </c>
      <c r="D81" t="str">
        <f>VLOOKUP(categories!B81,'categories-old'!B:H,7,FALSE)</f>
        <v>www.americanretailsupply.com/64493/Labels--Stickers.html</v>
      </c>
    </row>
    <row r="82" spans="1:5" hidden="1" x14ac:dyDescent="0.25">
      <c r="A82" t="str">
        <f>IF(LEN('categories-old'!G82) &gt; 0, "INSERT INTO `catalog_category_entity_varchar` (attribute_id,store_id,entity_id,value) VALUES (48,0,"&amp;'categories-old'!B82&amp;",'"&amp;RIGHT('categories-old'!G82,LEN('categories-old'!G82)-1)&amp;"');","")</f>
        <v>INSERT INTO `catalog_category_entity_varchar` (attribute_id,store_id,entity_id,value) VALUES (48,0,1008,'img2/imgc09e.jpg');</v>
      </c>
      <c r="B82" t="str">
        <f>IF(LEN(categories!G82) &gt; 0, "INSERT INTO `catalog_category_entity_varchar` (attribute_id,store_id,entity_id,value) VALUES (48,0,"&amp;categories!B82&amp;",'"&amp;RIGHT(categories!G82,LEN(categories!G82)-1)&amp;"');","")</f>
        <v>INSERT INTO `catalog_category_entity_varchar` (attribute_id,store_id,entity_id,value) VALUES (48,0,1008,'img2/imgc09e.jpg');</v>
      </c>
      <c r="C82" t="str">
        <f>VLOOKUP(categories!B82,'categories-old'!B:G,6,FALSE)</f>
        <v>/img2/imgc09e.jpg</v>
      </c>
      <c r="D82" t="str">
        <f>VLOOKUP(categories!B82,'categories-old'!B:H,7,FALSE)</f>
        <v>www.americanretailsupply.com/64749/Organza--Velvet-Bags.html</v>
      </c>
    </row>
    <row r="83" spans="1:5" hidden="1" x14ac:dyDescent="0.25">
      <c r="A83" t="str">
        <f>IF(LEN('categories-old'!G83) &gt; 0, "INSERT INTO `catalog_category_entity_varchar` (attribute_id,store_id,entity_id,value) VALUES (48,0,"&amp;'categories-old'!B83&amp;",'"&amp;RIGHT('categories-old'!G83,LEN('categories-old'!G83)-1)&amp;"');","")</f>
        <v>INSERT INTO `catalog_category_entity_varchar` (attribute_id,store_id,entity_id,value) VALUES (48,0,1046,'img3/img6494.jpg');</v>
      </c>
      <c r="B83" t="str">
        <f>IF(LEN(categories!G83) &gt; 0, "INSERT INTO `catalog_category_entity_varchar` (attribute_id,store_id,entity_id,value) VALUES (48,0,"&amp;categories!B83&amp;",'"&amp;RIGHT(categories!G83,LEN(categories!G83)-1)&amp;"');","")</f>
        <v>INSERT INTO `catalog_category_entity_varchar` (attribute_id,store_id,entity_id,value) VALUES (48,0,1046,'img3/img6494.jpg');</v>
      </c>
      <c r="C83" t="str">
        <f>VLOOKUP(categories!B83,'categories-old'!B:G,6,FALSE)</f>
        <v>/img3/img6494.jpg</v>
      </c>
      <c r="D83" t="str">
        <f>VLOOKUP(categories!B83,'categories-old'!B:H,7,FALSE)</f>
        <v>www.americanretailsupply.com/64705/Polypropylene-Rolls--Bags.html</v>
      </c>
    </row>
    <row r="84" spans="1:5" hidden="1" x14ac:dyDescent="0.25">
      <c r="A84" t="str">
        <f>IF(LEN('categories-old'!G84) &gt; 0, "INSERT INTO `catalog_category_entity_varchar` (attribute_id,store_id,entity_id,value) VALUES (48,0,"&amp;'categories-old'!B84&amp;",'"&amp;RIGHT('categories-old'!G84,LEN('categories-old'!G84)-1)&amp;"');","")</f>
        <v>INSERT INTO `catalog_category_entity_varchar` (attribute_id,store_id,entity_id,value) VALUES (48,0,1176,'img1/imgbea3.jpg');</v>
      </c>
      <c r="B84" t="str">
        <f>IF(LEN(categories!G84) &gt; 0, "INSERT INTO `catalog_category_entity_varchar` (attribute_id,store_id,entity_id,value) VALUES (48,0,"&amp;categories!B84&amp;",'"&amp;RIGHT(categories!G84,LEN(categories!G84)-1)&amp;"');","")</f>
        <v>INSERT INTO `catalog_category_entity_varchar` (attribute_id,store_id,entity_id,value) VALUES (48,0,1176,'img1/imgbea3.jpg');</v>
      </c>
      <c r="C84" t="str">
        <f>VLOOKUP(categories!B84,'categories-old'!B:G,6,FALSE)</f>
        <v>/img1/imgbea3.jpg</v>
      </c>
      <c r="D84" t="str">
        <f>VLOOKUP(categories!B84,'categories-old'!B:H,7,FALSE)</f>
        <v>www.americanretailsupply.com/64704/Shreds.html</v>
      </c>
    </row>
    <row r="85" spans="1:5" hidden="1" x14ac:dyDescent="0.25">
      <c r="A85" t="str">
        <f>IF(LEN('categories-old'!G85) &gt; 0, "INSERT INTO `catalog_category_entity_varchar` (attribute_id,store_id,entity_id,value) VALUES (48,0,"&amp;'categories-old'!B85&amp;",'"&amp;RIGHT('categories-old'!G85,LEN('categories-old'!G85)-1)&amp;"');","")</f>
        <v>INSERT INTO `catalog_category_entity_varchar` (attribute_id,store_id,entity_id,value) VALUES (48,0,62,'img1/img97f2.jpg');</v>
      </c>
      <c r="B85" t="str">
        <f>IF(LEN(categories!G85) &gt; 0, "INSERT INTO `catalog_category_entity_varchar` (attribute_id,store_id,entity_id,value) VALUES (48,0,"&amp;categories!B85&amp;",'"&amp;RIGHT(categories!G85,LEN(categories!G85)-1)&amp;"');","")</f>
        <v>INSERT INTO `catalog_category_entity_varchar` (attribute_id,store_id,entity_id,value) VALUES (48,0,62,'img1/img97f2.jpg');</v>
      </c>
      <c r="C85" t="str">
        <f>VLOOKUP(categories!B85,'categories-old'!B:G,6,FALSE)</f>
        <v>/img1/img97f2.jpg</v>
      </c>
      <c r="D85" t="str">
        <f>VLOOKUP(categories!B85,'categories-old'!B:H,7,FALSE)</f>
        <v>www.americanretailsupply.com/64477/Gift-Wrapping--Packaging.html</v>
      </c>
    </row>
    <row r="86" spans="1:5" hidden="1" x14ac:dyDescent="0.25">
      <c r="A86" t="str">
        <f>IF(LEN('categories-old'!G86) &gt; 0, "INSERT INTO `catalog_category_entity_varchar` (attribute_id,store_id,entity_id,value) VALUES (48,0,"&amp;'categories-old'!B86&amp;",'"&amp;RIGHT('categories-old'!G86,LEN('categories-old'!G86)-1)&amp;"');","")</f>
        <v>INSERT INTO `catalog_category_entity_varchar` (attribute_id,store_id,entity_id,value) VALUES (48,0,457,'img1/imgaf80.jpg');</v>
      </c>
      <c r="B86" t="str">
        <f>IF(LEN(categories!G86) &gt; 0, "INSERT INTO `catalog_category_entity_varchar` (attribute_id,store_id,entity_id,value) VALUES (48,0,"&amp;categories!B86&amp;",'"&amp;RIGHT(categories!G86,LEN(categories!G86)-1)&amp;"');","")</f>
        <v>INSERT INTO `catalog_category_entity_varchar` (attribute_id,store_id,entity_id,value) VALUES (48,0,457,'img1/imgaf80.jpg');</v>
      </c>
      <c r="C86" t="str">
        <f>VLOOKUP(categories!B86,'categories-old'!B:G,6,FALSE)</f>
        <v>/img1/imgaf80.jpg</v>
      </c>
      <c r="D86" t="str">
        <f>VLOOKUP(categories!B86,'categories-old'!B:H,7,FALSE)</f>
        <v>www.americanretailsupply.com/64486/Tissue-Paper-Shreds--Polypropylene-Rolls.html</v>
      </c>
    </row>
    <row r="87" spans="1:5" x14ac:dyDescent="0.25">
      <c r="A87" t="str">
        <f>IF(LEN('categories-old'!G87) &gt; 0, "INSERT INTO `catalog_category_entity_varchar` (attribute_id,store_id,entity_id,value) VALUES (48,0,"&amp;'categories-old'!B87&amp;",'"&amp;RIGHT('categories-old'!G87,LEN('categories-old'!G87)-1)&amp;"');","")</f>
        <v/>
      </c>
      <c r="B87" t="str">
        <f>IF(LEN(categories!G87) &gt; 0, "INSERT INTO `catalog_category_entity_varchar` (attribute_id,store_id,entity_id,value) VALUES (48,0,"&amp;categories!B87&amp;",'"&amp;RIGHT(categories!G87,LEN(categories!G87)-1)&amp;"');","")</f>
        <v>INSERT INTO `catalog_category_entity_varchar` (attribute_id,store_id,entity_id,value) VALUES (48,0,458,'img2/imgeb32.jpg');</v>
      </c>
      <c r="C87">
        <f>VLOOKUP(categories!B87,'categories-old'!B:G,6,FALSE)</f>
        <v>0</v>
      </c>
      <c r="D87" t="str">
        <f>VLOOKUP(categories!B87,'categories-old'!B:H,7,FALSE)</f>
        <v>www.americanretailsupply.com/64703/Tissue-Paper.html</v>
      </c>
      <c r="E87" t="str">
        <f t="shared" ref="E87:E89" si="5">SUBSTITUTE(SUBSTITUTE(D87,"\","/"),"www.americanretailsupply.com/","")</f>
        <v>64703/Tissue-Paper.html</v>
      </c>
    </row>
    <row r="88" spans="1:5" x14ac:dyDescent="0.25">
      <c r="A88" t="str">
        <f>IF(LEN('categories-old'!G88) &gt; 0, "INSERT INTO `catalog_category_entity_varchar` (attribute_id,store_id,entity_id,value) VALUES (48,0,"&amp;'categories-old'!B88&amp;",'"&amp;RIGHT('categories-old'!G88,LEN('categories-old'!G88)-1)&amp;"');","")</f>
        <v/>
      </c>
      <c r="B88" t="str">
        <f>IF(LEN(categories!G88) &gt; 0, "INSERT INTO `catalog_category_entity_varchar` (attribute_id,store_id,entity_id,value) VALUES (48,0,"&amp;categories!B88&amp;",'"&amp;RIGHT(categories!G88,LEN(categories!G88)-1)&amp;"');","")</f>
        <v>INSERT INTO `catalog_category_entity_varchar` (attribute_id,store_id,entity_id,value) VALUES (48,0,499,'img2/imgb5cd.jpg');</v>
      </c>
      <c r="C88">
        <f>VLOOKUP(categories!B88,'categories-old'!B:G,6,FALSE)</f>
        <v>0</v>
      </c>
      <c r="D88" t="str">
        <f>VLOOKUP(categories!B88,'categories-old'!B:H,7,FALSE)</f>
        <v>www.americanretailsupply.com/64895/EAS-Electronic-Article-Surveillance.html</v>
      </c>
      <c r="E88" t="str">
        <f t="shared" si="5"/>
        <v>64895/EAS-Electronic-Article-Surveillance.html</v>
      </c>
    </row>
    <row r="89" spans="1:5" x14ac:dyDescent="0.25">
      <c r="A89" t="str">
        <f>IF(LEN('categories-old'!G89) &gt; 0, "INSERT INTO `catalog_category_entity_varchar` (attribute_id,store_id,entity_id,value) VALUES (48,0,"&amp;'categories-old'!B89&amp;",'"&amp;RIGHT('categories-old'!G89,LEN('categories-old'!G89)-1)&amp;"');","")</f>
        <v/>
      </c>
      <c r="B89" t="str">
        <f>IF(LEN(categories!G89) &gt; 0, "INSERT INTO `catalog_category_entity_varchar` (attribute_id,store_id,entity_id,value) VALUES (48,0,"&amp;categories!B89&amp;",'"&amp;RIGHT(categories!G89,LEN(categories!G89)-1)&amp;"');","")</f>
        <v>INSERT INTO `catalog_category_entity_varchar` (attribute_id,store_id,entity_id,value) VALUES (48,0,1137,'img1/img28a8.jpg');</v>
      </c>
      <c r="C89">
        <f>VLOOKUP(categories!B89,'categories-old'!B:G,6,FALSE)</f>
        <v>0</v>
      </c>
      <c r="D89" t="str">
        <f>VLOOKUP(categories!B89,'categories-old'!B:H,7,FALSE)</f>
        <v>www.americanretailsupply.com/64894/Security-Locks-Announcers-Detectors-Mirrors.html</v>
      </c>
      <c r="E89" t="str">
        <f t="shared" si="5"/>
        <v>64894/Security-Locks-Announcers-Detectors-Mirrors.html</v>
      </c>
    </row>
    <row r="90" spans="1:5" hidden="1" x14ac:dyDescent="0.25">
      <c r="A90" t="str">
        <f>IF(LEN('categories-old'!G90) &gt; 0, "INSERT INTO `catalog_category_entity_varchar` (attribute_id,store_id,entity_id,value) VALUES (48,0,"&amp;'categories-old'!B90&amp;",'"&amp;RIGHT('categories-old'!G90,LEN('categories-old'!G90)-1)&amp;"');","")</f>
        <v>INSERT INTO `catalog_category_entity_varchar` (attribute_id,store_id,entity_id,value) VALUES (48,0,498,'img1/img28a8.jpg');</v>
      </c>
      <c r="B90" t="str">
        <f>IF(LEN(categories!G90) &gt; 0, "INSERT INTO `catalog_category_entity_varchar` (attribute_id,store_id,entity_id,value) VALUES (48,0,"&amp;categories!B90&amp;",'"&amp;RIGHT(categories!G90,LEN(categories!G90)-1)&amp;"');","")</f>
        <v>INSERT INTO `catalog_category_entity_varchar` (attribute_id,store_id,entity_id,value) VALUES (48,0,498,'img1/img28a8.jpg');</v>
      </c>
      <c r="C90" t="str">
        <f>VLOOKUP(categories!B90,'categories-old'!B:G,6,FALSE)</f>
        <v>/img1/img28a8.jpg</v>
      </c>
      <c r="D90" t="str">
        <f>VLOOKUP(categories!B90,'categories-old'!B:H,7,FALSE)</f>
        <v>www.americanretailsupply.com/64597/Loss-Prevention.html</v>
      </c>
    </row>
    <row r="91" spans="1:5" hidden="1" x14ac:dyDescent="0.25">
      <c r="A91" t="str">
        <f>IF(LEN('categories-old'!G91) &gt; 0, "INSERT INTO `catalog_category_entity_varchar` (attribute_id,store_id,entity_id,value) VALUES (48,0,"&amp;'categories-old'!B91&amp;",'"&amp;RIGHT('categories-old'!G91,LEN('categories-old'!G91)-1)&amp;"');","")</f>
        <v>INSERT INTO `catalog_category_entity_varchar` (attribute_id,store_id,entity_id,value) VALUES (48,0,1000,'img2/img69b2.jpg');</v>
      </c>
      <c r="B91" t="str">
        <f>IF(LEN(categories!G91) &gt; 0, "INSERT INTO `catalog_category_entity_varchar` (attribute_id,store_id,entity_id,value) VALUES (48,0,"&amp;categories!B91&amp;",'"&amp;RIGHT(categories!G91,LEN(categories!G91)-1)&amp;"');","")</f>
        <v>INSERT INTO `catalog_category_entity_varchar` (attribute_id,store_id,entity_id,value) VALUES (48,0,1000,'img2/img69b2.jpg');</v>
      </c>
      <c r="C91" t="str">
        <f>VLOOKUP(categories!B91,'categories-old'!B:G,6,FALSE)</f>
        <v>/img2/img69b2.jpg</v>
      </c>
      <c r="D91" t="str">
        <f>VLOOKUP(categories!B91,'categories-old'!B:H,7,FALSE)</f>
        <v>www.americanretailsupply.com/64595/New-Arrivals.html</v>
      </c>
    </row>
    <row r="92" spans="1:5" hidden="1" x14ac:dyDescent="0.25">
      <c r="A92" t="e">
        <f>IF(LEN('categories-old'!G92) &gt; 0, "INSERT INTO `catalog_category_entity_varchar` (attribute_id,store_id,entity_id,value) VALUES (48,0,"&amp;'categories-old'!B92&amp;",'"&amp;RIGHT('categories-old'!G92,LEN('categories-old'!G92)-1)&amp;"');","")</f>
        <v>#N/A</v>
      </c>
      <c r="B92" t="e">
        <f>IF(LEN(categories!G92) &gt; 0, "INSERT INTO `catalog_category_entity_varchar` (attribute_id,store_id,entity_id,value) VALUES (48,0,"&amp;categories!B92&amp;",'"&amp;RIGHT(categories!G92,LEN(categories!G92)-1)&amp;"');","")</f>
        <v>#N/A</v>
      </c>
      <c r="C92" t="e">
        <f>VLOOKUP(categories!B92,'categories-old'!B:G,6,FALSE)</f>
        <v>#N/A</v>
      </c>
      <c r="D92" t="e">
        <f>VLOOKUP(categories!B92,'categories-old'!B:H,7,FALSE)</f>
        <v>#N/A</v>
      </c>
    </row>
    <row r="93" spans="1:5" hidden="1" x14ac:dyDescent="0.25">
      <c r="A93" t="str">
        <f>IF(LEN('categories-old'!G93) &gt; 0, "INSERT INTO `catalog_category_entity_varchar` (attribute_id,store_id,entity_id,value) VALUES (48,0,"&amp;'categories-old'!B93&amp;",'"&amp;RIGHT('categories-old'!G93,LEN('categories-old'!G93)-1)&amp;"');","")</f>
        <v/>
      </c>
      <c r="B93" t="e">
        <f>IF(LEN(categories!G93) &gt; 0, "INSERT INTO `catalog_category_entity_varchar` (attribute_id,store_id,entity_id,value) VALUES (48,0,"&amp;categories!B93&amp;",'"&amp;RIGHT(categories!G93,LEN(categories!G93)-1)&amp;"');","")</f>
        <v>#N/A</v>
      </c>
      <c r="C93" t="e">
        <f>VLOOKUP(categories!B93,'categories-old'!B:G,6,FALSE)</f>
        <v>#N/A</v>
      </c>
      <c r="D93" t="e">
        <f>VLOOKUP(categories!B93,'categories-old'!B:H,7,FALSE)</f>
        <v>#N/A</v>
      </c>
    </row>
    <row r="94" spans="1:5" hidden="1" x14ac:dyDescent="0.25">
      <c r="A94" t="e">
        <f>IF(LEN('categories-old'!G94) &gt; 0, "INSERT INTO `catalog_category_entity_varchar` (attribute_id,store_id,entity_id,value) VALUES (48,0,"&amp;'categories-old'!B94&amp;",'"&amp;RIGHT('categories-old'!G94,LEN('categories-old'!G94)-1)&amp;"');","")</f>
        <v>#N/A</v>
      </c>
      <c r="B94" t="e">
        <f>IF(LEN(categories!G94) &gt; 0, "INSERT INTO `catalog_category_entity_varchar` (attribute_id,store_id,entity_id,value) VALUES (48,0,"&amp;categories!B94&amp;",'"&amp;RIGHT(categories!G94,LEN(categories!G94)-1)&amp;"');","")</f>
        <v>#N/A</v>
      </c>
      <c r="C94" t="e">
        <f>VLOOKUP(categories!B94,'categories-old'!B:G,6,FALSE)</f>
        <v>#N/A</v>
      </c>
      <c r="D94" t="e">
        <f>VLOOKUP(categories!B94,'categories-old'!B:H,7,FALSE)</f>
        <v>#N/A</v>
      </c>
    </row>
    <row r="95" spans="1:5" x14ac:dyDescent="0.25">
      <c r="A95" t="str">
        <f>IF(LEN('categories-old'!G95) &gt; 0, "INSERT INTO `catalog_category_entity_varchar` (attribute_id,store_id,entity_id,value) VALUES (48,0,"&amp;'categories-old'!B95&amp;",'"&amp;RIGHT('categories-old'!G95,LEN('categories-old'!G95)-1)&amp;"');","")</f>
        <v/>
      </c>
      <c r="B95" t="str">
        <f>IF(LEN(categories!G95) &gt; 0, "INSERT INTO `catalog_category_entity_varchar` (attribute_id,store_id,entity_id,value) VALUES (48,0,"&amp;categories!B95&amp;",'"&amp;RIGHT(categories!G95,LEN(categories!G95)-1)&amp;"');","")</f>
        <v>INSERT INTO `catalog_category_entity_varchar` (attribute_id,store_id,entity_id,value) VALUES (48,0,239,'img3/imgddb8.jpg');</v>
      </c>
      <c r="C95">
        <f>VLOOKUP(categories!B95,'categories-old'!B:G,6,FALSE)</f>
        <v>0</v>
      </c>
      <c r="D95" t="str">
        <f>VLOOKUP(categories!B95,'categories-old'!B:H,7,FALSE)</f>
        <v>www.americanretailsupply.com/64679/Avery-Dennison-Labelers--Labels.html</v>
      </c>
      <c r="E95" t="str">
        <f>SUBSTITUTE(SUBSTITUTE(D95,"\","/"),"www.americanretailsupply.com/","")</f>
        <v>64679/Avery-Dennison-Labelers--Labels.html</v>
      </c>
    </row>
    <row r="96" spans="1:5" hidden="1" x14ac:dyDescent="0.25">
      <c r="A96" t="str">
        <f>IF(LEN('categories-old'!G96) &gt; 0, "INSERT INTO `catalog_category_entity_varchar` (attribute_id,store_id,entity_id,value) VALUES (48,0,"&amp;'categories-old'!B96&amp;",'"&amp;RIGHT('categories-old'!G96,LEN('categories-old'!G96)-1)&amp;"');","")</f>
        <v>INSERT INTO `catalog_category_entity_varchar` (attribute_id,store_id,entity_id,value) VALUES (48,0,249,'img2/img287e.jpg');</v>
      </c>
      <c r="B96" t="str">
        <f>IF(LEN(categories!G96) &gt; 0, "INSERT INTO `catalog_category_entity_varchar` (attribute_id,store_id,entity_id,value) VALUES (48,0,"&amp;categories!B96&amp;",'"&amp;RIGHT(categories!G96,LEN(categories!G96)-1)&amp;"');","")</f>
        <v>INSERT INTO `catalog_category_entity_varchar` (attribute_id,store_id,entity_id,value) VALUES (48,0,249,'img2/img287e.jpg');</v>
      </c>
      <c r="C96" t="str">
        <f>VLOOKUP(categories!B96,'categories-old'!B:G,6,FALSE)</f>
        <v>/img2/img287e.jpg</v>
      </c>
      <c r="D96" t="str">
        <f>VLOOKUP(categories!B96,'categories-old'!B:H,7,FALSE)</f>
        <v>www.americanretailsupply.com/64683/Avery-Dennison-Taggers.html</v>
      </c>
    </row>
    <row r="97" spans="1:5" hidden="1" x14ac:dyDescent="0.25">
      <c r="A97" t="str">
        <f>IF(LEN('categories-old'!G97) &gt; 0, "INSERT INTO `catalog_category_entity_varchar` (attribute_id,store_id,entity_id,value) VALUES (48,0,"&amp;'categories-old'!B97&amp;",'"&amp;RIGHT('categories-old'!G97,LEN('categories-old'!G97)-1)&amp;"');","")</f>
        <v>INSERT INTO `catalog_category_entity_varchar` (attribute_id,store_id,entity_id,value) VALUES (48,0,580,'img3/imgd266.jpg');</v>
      </c>
      <c r="B97" t="str">
        <f>IF(LEN(categories!G97) &gt; 0, "INSERT INTO `catalog_category_entity_varchar` (attribute_id,store_id,entity_id,value) VALUES (48,0,"&amp;categories!B97&amp;",'"&amp;RIGHT(categories!G97,LEN(categories!G97)-1)&amp;"');","")</f>
        <v>INSERT INTO `catalog_category_entity_varchar` (attribute_id,store_id,entity_id,value) VALUES (48,0,580,'img3/imgd266.jpg');</v>
      </c>
      <c r="C97" t="str">
        <f>VLOOKUP(categories!B97,'categories-old'!B:G,6,FALSE)</f>
        <v>/img3/imgd266.jpg</v>
      </c>
      <c r="D97" t="str">
        <f>VLOOKUP(categories!B97,'categories-old'!B:H,7,FALSE)</f>
        <v>www.americanretailsupply.com/64931/Garvey-1-Line-Price-Guns.html</v>
      </c>
    </row>
    <row r="98" spans="1:5" hidden="1" x14ac:dyDescent="0.25">
      <c r="A98" t="str">
        <f>IF(LEN('categories-old'!G98) &gt; 0, "INSERT INTO `catalog_category_entity_varchar` (attribute_id,store_id,entity_id,value) VALUES (48,0,"&amp;'categories-old'!B98&amp;",'"&amp;RIGHT('categories-old'!G98,LEN('categories-old'!G98)-1)&amp;"');","")</f>
        <v>INSERT INTO `catalog_category_entity_varchar` (attribute_id,store_id,entity_id,value) VALUES (48,0,589,'img3/imgd3fa.jpg');</v>
      </c>
      <c r="B98" t="str">
        <f>IF(LEN(categories!G98) &gt; 0, "INSERT INTO `catalog_category_entity_varchar` (attribute_id,store_id,entity_id,value) VALUES (48,0,"&amp;categories!B98&amp;",'"&amp;RIGHT(categories!G98,LEN(categories!G98)-1)&amp;"');","")</f>
        <v>INSERT INTO `catalog_category_entity_varchar` (attribute_id,store_id,entity_id,value) VALUES (48,0,589,'img3/imgd3fa.jpg');</v>
      </c>
      <c r="C98" t="str">
        <f>VLOOKUP(categories!B98,'categories-old'!B:G,6,FALSE)</f>
        <v>/img3/imgd3fa.jpg</v>
      </c>
      <c r="D98" t="str">
        <f>VLOOKUP(categories!B98,'categories-old'!B:H,7,FALSE)</f>
        <v>www.americanretailsupply.com/64932/Garvey-2-Line-Price-Guns.html</v>
      </c>
    </row>
    <row r="99" spans="1:5" hidden="1" x14ac:dyDescent="0.25">
      <c r="A99" t="str">
        <f>IF(LEN('categories-old'!G99) &gt; 0, "INSERT INTO `catalog_category_entity_varchar` (attribute_id,store_id,entity_id,value) VALUES (48,0,"&amp;'categories-old'!B99&amp;",'"&amp;RIGHT('categories-old'!G99,LEN('categories-old'!G99)-1)&amp;"');","")</f>
        <v>INSERT INTO `catalog_category_entity_varchar` (attribute_id,store_id,entity_id,value) VALUES (48,0,579,'img2/img55bd.jpg');</v>
      </c>
      <c r="B99" t="str">
        <f>IF(LEN(categories!G99) &gt; 0, "INSERT INTO `catalog_category_entity_varchar` (attribute_id,store_id,entity_id,value) VALUES (48,0,"&amp;categories!B99&amp;",'"&amp;RIGHT(categories!G99,LEN(categories!G99)-1)&amp;"');","")</f>
        <v>INSERT INTO `catalog_category_entity_varchar` (attribute_id,store_id,entity_id,value) VALUES (48,0,579,'img2/img55bd.jpg');</v>
      </c>
      <c r="C99" t="str">
        <f>VLOOKUP(categories!B99,'categories-old'!B:G,6,FALSE)</f>
        <v>/img2/img55bd.jpg</v>
      </c>
      <c r="D99" t="str">
        <f>VLOOKUP(categories!B99,'categories-old'!B:H,7,FALSE)</f>
        <v>www.americanretailsupply.com/64681/Garvey-Labelers--Labels.html</v>
      </c>
    </row>
    <row r="100" spans="1:5" hidden="1" x14ac:dyDescent="0.25">
      <c r="A100" t="str">
        <f>IF(LEN('categories-old'!G100) &gt; 0, "INSERT INTO `catalog_category_entity_varchar` (attribute_id,store_id,entity_id,value) VALUES (48,0,"&amp;'categories-old'!B100&amp;",'"&amp;RIGHT('categories-old'!G100,LEN('categories-old'!G100)-1)&amp;"');","")</f>
        <v>INSERT INTO `catalog_category_entity_varchar` (attribute_id,store_id,entity_id,value) VALUES (48,0,906,'img2/img7c80.jpg');</v>
      </c>
      <c r="B100" t="str">
        <f>IF(LEN(categories!G100) &gt; 0, "INSERT INTO `catalog_category_entity_varchar` (attribute_id,store_id,entity_id,value) VALUES (48,0,"&amp;categories!B100&amp;",'"&amp;RIGHT(categories!G100,LEN(categories!G100)-1)&amp;"');","")</f>
        <v>INSERT INTO `catalog_category_entity_varchar` (attribute_id,store_id,entity_id,value) VALUES (48,0,906,'img2/img7c80.jpg');</v>
      </c>
      <c r="C100" t="str">
        <f>VLOOKUP(categories!B100,'categories-old'!B:G,6,FALSE)</f>
        <v>/img2/img7c80.jpg</v>
      </c>
      <c r="D100" t="str">
        <f>VLOOKUP(categories!B100,'categories-old'!B:H,7,FALSE)</f>
        <v>www.americanretailsupply.com/64930/Meto-1--2-Line-Price-Guns.html</v>
      </c>
    </row>
    <row r="101" spans="1:5" hidden="1" x14ac:dyDescent="0.25">
      <c r="A101" t="str">
        <f>IF(LEN('categories-old'!G101) &gt; 0, "INSERT INTO `catalog_category_entity_varchar` (attribute_id,store_id,entity_id,value) VALUES (48,0,"&amp;'categories-old'!B101&amp;",'"&amp;RIGHT('categories-old'!G101,LEN('categories-old'!G101)-1)&amp;"');","")</f>
        <v>INSERT INTO `catalog_category_entity_varchar` (attribute_id,store_id,entity_id,value) VALUES (48,0,1051,'img1/imgd7bf.jpg');</v>
      </c>
      <c r="B101" t="str">
        <f>IF(LEN(categories!G101) &gt; 0, "INSERT INTO `catalog_category_entity_varchar` (attribute_id,store_id,entity_id,value) VALUES (48,0,"&amp;categories!B101&amp;",'"&amp;RIGHT(categories!G101,LEN(categories!G101)-1)&amp;"');","")</f>
        <v>INSERT INTO `catalog_category_entity_varchar` (attribute_id,store_id,entity_id,value) VALUES (48,0,1051,'img1/imgd7bf.jpg');</v>
      </c>
      <c r="C101" t="str">
        <f>VLOOKUP(categories!B101,'categories-old'!B:G,6,FALSE)</f>
        <v>/img1/imgd7bf.jpg</v>
      </c>
      <c r="D101" t="str">
        <f>VLOOKUP(categories!B101,'categories-old'!B:H,7,FALSE)</f>
        <v>www.americanretailsupply.com/64929/Primark-1--2-Line-Price-Guns.html</v>
      </c>
    </row>
    <row r="102" spans="1:5" hidden="1" x14ac:dyDescent="0.25">
      <c r="A102" t="str">
        <f>IF(LEN('categories-old'!G102) &gt; 0, "INSERT INTO `catalog_category_entity_varchar` (attribute_id,store_id,entity_id,value) VALUES (48,0,"&amp;'categories-old'!B102&amp;",'"&amp;RIGHT('categories-old'!G102,LEN('categories-old'!G102)-1)&amp;"');","")</f>
        <v>INSERT INTO `catalog_category_entity_varchar` (attribute_id,store_id,entity_id,value) VALUES (48,0,905,'img2/img7c80.jpg');</v>
      </c>
      <c r="B102" t="str">
        <f>IF(LEN(categories!G102) &gt; 0, "INSERT INTO `catalog_category_entity_varchar` (attribute_id,store_id,entity_id,value) VALUES (48,0,"&amp;categories!B102&amp;",'"&amp;RIGHT(categories!G102,LEN(categories!G102)-1)&amp;"');","")</f>
        <v>INSERT INTO `catalog_category_entity_varchar` (attribute_id,store_id,entity_id,value) VALUES (48,0,905,'img2/img7c80.jpg');</v>
      </c>
      <c r="C102" t="str">
        <f>VLOOKUP(categories!B102,'categories-old'!B:G,6,FALSE)</f>
        <v>/img2/img7c80.jpg</v>
      </c>
      <c r="D102" t="str">
        <f>VLOOKUP(categories!B102,'categories-old'!B:H,7,FALSE)</f>
        <v>www.americanretailsupply.com/64680/Meto-Labelers--Labels.html</v>
      </c>
    </row>
    <row r="103" spans="1:5" hidden="1" x14ac:dyDescent="0.25">
      <c r="A103" t="str">
        <f>IF(LEN('categories-old'!G103) &gt; 0, "INSERT INTO `catalog_category_entity_varchar` (attribute_id,store_id,entity_id,value) VALUES (48,0,"&amp;'categories-old'!B103&amp;",'"&amp;RIGHT('categories-old'!G103,LEN('categories-old'!G103)-1)&amp;"');","")</f>
        <v>INSERT INTO `catalog_category_entity_varchar` (attribute_id,store_id,entity_id,value) VALUES (48,0,5,'img3/imgc5b3.jpg');</v>
      </c>
      <c r="B103" t="str">
        <f>IF(LEN(categories!G103) &gt; 0, "INSERT INTO `catalog_category_entity_varchar` (attribute_id,store_id,entity_id,value) VALUES (48,0,"&amp;categories!B103&amp;",'"&amp;RIGHT(categories!G103,LEN(categories!G103)-1)&amp;"');","")</f>
        <v>INSERT INTO `catalog_category_entity_varchar` (attribute_id,store_id,entity_id,value) VALUES (48,0,5,'img3/imgc5b3.jpg');</v>
      </c>
      <c r="C103" t="str">
        <f>VLOOKUP(categories!B103,'categories-old'!B:G,6,FALSE)</f>
        <v>/img3/imgc5b3.jpg</v>
      </c>
      <c r="D103" t="str">
        <f>VLOOKUP(categories!B103,'categories-old'!B:H,7,FALSE)</f>
        <v>www.americanretailsupply.com/64923/1-Line-Monarch-Labelers.html</v>
      </c>
    </row>
    <row r="104" spans="1:5" hidden="1" x14ac:dyDescent="0.25">
      <c r="A104" t="str">
        <f>IF(LEN('categories-old'!G104) &gt; 0, "INSERT INTO `catalog_category_entity_varchar` (attribute_id,store_id,entity_id,value) VALUES (48,0,"&amp;'categories-old'!B104&amp;",'"&amp;RIGHT('categories-old'!G104,LEN('categories-old'!G104)-1)&amp;"');","")</f>
        <v>INSERT INTO `catalog_category_entity_varchar` (attribute_id,store_id,entity_id,value) VALUES (48,0,14,'img2/img424e.jpg');</v>
      </c>
      <c r="B104" t="str">
        <f>IF(LEN(categories!G104) &gt; 0, "INSERT INTO `catalog_category_entity_varchar` (attribute_id,store_id,entity_id,value) VALUES (48,0,"&amp;categories!B104&amp;",'"&amp;RIGHT(categories!G104,LEN(categories!G104)-1)&amp;"');","")</f>
        <v>INSERT INTO `catalog_category_entity_varchar` (attribute_id,store_id,entity_id,value) VALUES (48,0,14,'img2/img424e.jpg');</v>
      </c>
      <c r="C104" t="str">
        <f>VLOOKUP(categories!B104,'categories-old'!B:G,6,FALSE)</f>
        <v>/img2/img424e.jpg</v>
      </c>
      <c r="D104" t="str">
        <f>VLOOKUP(categories!B104,'categories-old'!B:H,7,FALSE)</f>
        <v>www.americanretailsupply.com/64922/2-Line-Monarch-Labelers.html</v>
      </c>
    </row>
    <row r="105" spans="1:5" hidden="1" x14ac:dyDescent="0.25">
      <c r="A105" t="str">
        <f>IF(LEN('categories-old'!G105) &gt; 0, "INSERT INTO `catalog_category_entity_varchar` (attribute_id,store_id,entity_id,value) VALUES (48,0,"&amp;'categories-old'!B105&amp;",'"&amp;RIGHT('categories-old'!G105,LEN('categories-old'!G105)-1)&amp;"');","")</f>
        <v>INSERT INTO `catalog_category_entity_varchar` (attribute_id,store_id,entity_id,value) VALUES (48,0,22,'img1/img9c37.jpg');</v>
      </c>
      <c r="B105" t="str">
        <f>IF(LEN(categories!G105) &gt; 0, "INSERT INTO `catalog_category_entity_varchar` (attribute_id,store_id,entity_id,value) VALUES (48,0,"&amp;categories!B105&amp;",'"&amp;RIGHT(categories!G105,LEN(categories!G105)-1)&amp;"');","")</f>
        <v>INSERT INTO `catalog_category_entity_varchar` (attribute_id,store_id,entity_id,value) VALUES (48,0,22,'img1/img9c37.jpg');</v>
      </c>
      <c r="C105" t="str">
        <f>VLOOKUP(categories!B105,'categories-old'!B:G,6,FALSE)</f>
        <v>/img1/img9c37.jpg</v>
      </c>
      <c r="D105" t="str">
        <f>VLOOKUP(categories!B105,'categories-old'!B:H,7,FALSE)</f>
        <v>www.americanretailsupply.com/64924/3-Line--Promo-Monarch-Labelers.html</v>
      </c>
    </row>
    <row r="106" spans="1:5" x14ac:dyDescent="0.25">
      <c r="A106" t="str">
        <f>IF(LEN('categories-old'!G106) &gt; 0, "INSERT INTO `catalog_category_entity_varchar` (attribute_id,store_id,entity_id,value) VALUES (48,0,"&amp;'categories-old'!B106&amp;",'"&amp;RIGHT('categories-old'!G106,LEN('categories-old'!G106)-1)&amp;"');","")</f>
        <v/>
      </c>
      <c r="B106" t="str">
        <f>IF(LEN(categories!G106) &gt; 0, "INSERT INTO `catalog_category_entity_varchar` (attribute_id,store_id,entity_id,value) VALUES (48,0,"&amp;categories!B106&amp;",'"&amp;RIGHT(categories!G106,LEN(categories!G106)-1)&amp;"');","")</f>
        <v>INSERT INTO `catalog_category_entity_varchar` (attribute_id,store_id,entity_id,value) VALUES (48,0,4,'img2/imgd85c.jpg');</v>
      </c>
      <c r="C106">
        <f>VLOOKUP(categories!B106,'categories-old'!B:G,6,FALSE)</f>
        <v>0</v>
      </c>
      <c r="D106" t="str">
        <f>VLOOKUP(categories!B106,'categories-old'!B:H,7,FALSE)</f>
        <v>www.americanretailsupply.com/64678/Monarch-Labelers--Labels.html</v>
      </c>
      <c r="E106" t="str">
        <f>SUBSTITUTE(SUBSTITUTE(D106,"\","/"),"www.americanretailsupply.com/","")</f>
        <v>64678/Monarch-Labelers--Labels.html</v>
      </c>
    </row>
    <row r="107" spans="1:5" hidden="1" x14ac:dyDescent="0.25">
      <c r="A107" t="str">
        <f>IF(LEN('categories-old'!G107) &gt; 0, "INSERT INTO `catalog_category_entity_varchar` (attribute_id,store_id,entity_id,value) VALUES (48,0,"&amp;'categories-old'!B107&amp;",'"&amp;RIGHT('categories-old'!G107,LEN('categories-old'!G107)-1)&amp;"');","")</f>
        <v/>
      </c>
      <c r="B107" t="e">
        <f>IF(LEN(categories!G107) &gt; 0, "INSERT INTO `catalog_category_entity_varchar` (attribute_id,store_id,entity_id,value) VALUES (48,0,"&amp;categories!B107&amp;",'"&amp;RIGHT(categories!G107,LEN(categories!G107)-1)&amp;"');","")</f>
        <v>#N/A</v>
      </c>
      <c r="C107" t="e">
        <f>VLOOKUP(categories!B107,'categories-old'!B:G,6,FALSE)</f>
        <v>#N/A</v>
      </c>
      <c r="D107" t="e">
        <f>VLOOKUP(categories!B107,'categories-old'!B:H,7,FALSE)</f>
        <v>#N/A</v>
      </c>
    </row>
    <row r="108" spans="1:5" x14ac:dyDescent="0.25">
      <c r="A108" t="str">
        <f>IF(LEN('categories-old'!G108) &gt; 0, "INSERT INTO `catalog_category_entity_varchar` (attribute_id,store_id,entity_id,value) VALUES (48,0,"&amp;'categories-old'!B108&amp;",'"&amp;RIGHT('categories-old'!G108,LEN('categories-old'!G108)-1)&amp;"');","")</f>
        <v/>
      </c>
      <c r="B108" t="str">
        <f>IF(LEN(categories!G108) &gt; 0, "INSERT INTO `catalog_category_entity_varchar` (attribute_id,store_id,entity_id,value) VALUES (48,0,"&amp;categories!B108&amp;",'"&amp;RIGHT(categories!G108,LEN(categories!G108)-1)&amp;"');","")</f>
        <v>INSERT INTO `catalog_category_entity_varchar` (attribute_id,store_id,entity_id,value) VALUES (48,0,1144,'img1/imgecf0.jpg');</v>
      </c>
      <c r="C108">
        <f>VLOOKUP(categories!B108,'categories-old'!B:G,6,FALSE)</f>
        <v>0</v>
      </c>
      <c r="D108" t="str">
        <f>VLOOKUP(categories!B108,'categories-old'!B:H,7,FALSE)</f>
        <v>www.americanretailsupply.com/64685/Security-Loops.html</v>
      </c>
      <c r="E108" t="str">
        <f>SUBSTITUTE(SUBSTITUTE(D108,"\","/"),"www.americanretailsupply.com/","")</f>
        <v>64685/Security-Loops.html</v>
      </c>
    </row>
    <row r="109" spans="1:5" hidden="1" x14ac:dyDescent="0.25">
      <c r="A109" t="str">
        <f>IF(LEN('categories-old'!G109) &gt; 0, "INSERT INTO `catalog_category_entity_varchar` (attribute_id,store_id,entity_id,value) VALUES (48,0,"&amp;'categories-old'!B109&amp;",'"&amp;RIGHT('categories-old'!G109,LEN('categories-old'!G109)-1)&amp;"');","")</f>
        <v>INSERT INTO `catalog_category_entity_varchar` (attribute_id,store_id,entity_id,value) VALUES (48,0,1260,'img2/imgcf5f.jpg');</v>
      </c>
      <c r="B109" t="str">
        <f>IF(LEN(categories!G109) &gt; 0, "INSERT INTO `catalog_category_entity_varchar` (attribute_id,store_id,entity_id,value) VALUES (48,0,"&amp;categories!B109&amp;",'"&amp;RIGHT(categories!G109,LEN(categories!G109)-1)&amp;"');","")</f>
        <v>INSERT INTO `catalog_category_entity_varchar` (attribute_id,store_id,entity_id,value) VALUES (48,0,1260,'img2/imgcf5f.jpg');</v>
      </c>
      <c r="C109" t="str">
        <f>VLOOKUP(categories!B109,'categories-old'!B:G,6,FALSE)</f>
        <v>/img2/imgcf5f.jpg</v>
      </c>
      <c r="D109" t="str">
        <f>VLOOKUP(categories!B109,'categories-old'!B:H,7,FALSE)</f>
        <v>www.americanretailsupply.com/64684/Tach-It-Taggers.html</v>
      </c>
    </row>
    <row r="110" spans="1:5" x14ac:dyDescent="0.25">
      <c r="A110" t="str">
        <f>IF(LEN('categories-old'!G110) &gt; 0, "INSERT INTO `catalog_category_entity_varchar` (attribute_id,store_id,entity_id,value) VALUES (48,0,"&amp;'categories-old'!B110&amp;",'"&amp;RIGHT('categories-old'!G110,LEN('categories-old'!G110)-1)&amp;"');","")</f>
        <v/>
      </c>
      <c r="B110" t="str">
        <f>IF(LEN(categories!G110) &gt; 0, "INSERT INTO `catalog_category_entity_varchar` (attribute_id,store_id,entity_id,value) VALUES (48,0,"&amp;categories!B110&amp;",'"&amp;RIGHT(categories!G110,LEN(categories!G110)-1)&amp;"');","")</f>
        <v>INSERT INTO `catalog_category_entity_varchar` (attribute_id,store_id,entity_id,value) VALUES (48,0,1264,'img2/img71b1.jpg');</v>
      </c>
      <c r="C110">
        <f>VLOOKUP(categories!B110,'categories-old'!B:G,6,FALSE)</f>
        <v>0</v>
      </c>
      <c r="D110" t="str">
        <f>VLOOKUP(categories!B110,'categories-old'!B:H,7,FALSE)</f>
        <v>www.americanretailsupply.com/64980/Tags.html</v>
      </c>
      <c r="E110" t="str">
        <f>SUBSTITUTE(SUBSTITUTE(D110,"\","/"),"www.americanretailsupply.com/","")</f>
        <v>64980/Tags.html</v>
      </c>
    </row>
    <row r="111" spans="1:5" hidden="1" x14ac:dyDescent="0.25">
      <c r="A111" t="str">
        <f>IF(LEN('categories-old'!G111) &gt; 0, "INSERT INTO `catalog_category_entity_varchar` (attribute_id,store_id,entity_id,value) VALUES (48,0,"&amp;'categories-old'!B111&amp;",'"&amp;RIGHT('categories-old'!G111,LEN('categories-old'!G111)-1)&amp;"');","")</f>
        <v>INSERT INTO `catalog_category_entity_varchar` (attribute_id,store_id,entity_id,value) VALUES (48,0,1292,'img1/img561c.jpg');</v>
      </c>
      <c r="B111" t="str">
        <f>IF(LEN(categories!G111) &gt; 0, "INSERT INTO `catalog_category_entity_varchar` (attribute_id,store_id,entity_id,value) VALUES (48,0,"&amp;categories!B111&amp;",'"&amp;RIGHT(categories!G111,LEN(categories!G111)-1)&amp;"');","")</f>
        <v>INSERT INTO `catalog_category_entity_varchar` (attribute_id,store_id,entity_id,value) VALUES (48,0,1292,'img1/img561c.jpg');</v>
      </c>
      <c r="C111" t="str">
        <f>VLOOKUP(categories!B111,'categories-old'!B:G,6,FALSE)</f>
        <v>/img1/img561c.jpg</v>
      </c>
      <c r="D111" t="str">
        <f>VLOOKUP(categories!B111,'categories-old'!B:H,7,FALSE)</f>
        <v>www.americanretailsupply.com/64682/TG-Tacher-Taggers.html</v>
      </c>
    </row>
    <row r="112" spans="1:5" hidden="1" x14ac:dyDescent="0.25">
      <c r="A112" t="str">
        <f>IF(LEN('categories-old'!G112) &gt; 0, "INSERT INTO `catalog_category_entity_varchar` (attribute_id,store_id,entity_id,value) VALUES (48,0,"&amp;'categories-old'!B112&amp;",'"&amp;RIGHT('categories-old'!G112,LEN('categories-old'!G112)-1)&amp;"');","")</f>
        <v>INSERT INTO `catalog_category_entity_varchar` (attribute_id,store_id,entity_id,value) VALUES (48,0,3,'img2/imgd85c.jpg');</v>
      </c>
      <c r="B112" t="str">
        <f>IF(LEN(categories!G112) &gt; 0, "INSERT INTO `catalog_category_entity_varchar` (attribute_id,store_id,entity_id,value) VALUES (48,0,"&amp;categories!B112&amp;",'"&amp;RIGHT(categories!G112,LEN(categories!G112)-1)&amp;"');","")</f>
        <v>INSERT INTO `catalog_category_entity_varchar` (attribute_id,store_id,entity_id,value) VALUES (48,0,3,'img2/imgd85c.jpg');</v>
      </c>
      <c r="C112" t="str">
        <f>VLOOKUP(categories!B112,'categories-old'!B:G,6,FALSE)</f>
        <v>/img2/imgd85c.jpg</v>
      </c>
      <c r="D112" t="str">
        <f>VLOOKUP(categories!B112,'categories-old'!B:H,7,FALSE)</f>
        <v>www.americanretailsupply.com/64601/Pricing--Tagging.html</v>
      </c>
    </row>
    <row r="113" spans="1:5" hidden="1" x14ac:dyDescent="0.25">
      <c r="A113" t="str">
        <f>IF(LEN('categories-old'!G113) &gt; 0, "INSERT INTO `catalog_category_entity_varchar` (attribute_id,store_id,entity_id,value) VALUES (48,0,"&amp;'categories-old'!B113&amp;",'"&amp;RIGHT('categories-old'!G113,LEN('categories-old'!G113)-1)&amp;"');","")</f>
        <v>INSERT INTO `catalog_category_entity_varchar` (attribute_id,store_id,entity_id,value) VALUES (48,0,48,'img2/imgb298.jpg');</v>
      </c>
      <c r="B113" t="str">
        <f>IF(LEN(categories!G113) &gt; 0, "INSERT INTO `catalog_category_entity_varchar` (attribute_id,store_id,entity_id,value) VALUES (48,0,"&amp;categories!B113&amp;",'"&amp;RIGHT(categories!G113,LEN(categories!G113)-1)&amp;"');","")</f>
        <v>INSERT INTO `catalog_category_entity_varchar` (attribute_id,store_id,entity_id,value) VALUES (48,0,48,'img2/imgb298.jpg');</v>
      </c>
      <c r="C113" t="str">
        <f>VLOOKUP(categories!B113,'categories-old'!B:G,6,FALSE)</f>
        <v>/img2/imgb298.jpg</v>
      </c>
      <c r="D113" t="str">
        <f>VLOOKUP(categories!B113,'categories-old'!B:H,7,FALSE)</f>
        <v>www.americanretailsupply.com/64599/Shopping-Bags.html</v>
      </c>
    </row>
    <row r="114" spans="1:5" hidden="1" x14ac:dyDescent="0.25">
      <c r="A114" t="str">
        <f>IF(LEN('categories-old'!G114) &gt; 0, "INSERT INTO `catalog_category_entity_varchar` (attribute_id,store_id,entity_id,value) VALUES (48,0,"&amp;'categories-old'!B114&amp;",'"&amp;RIGHT('categories-old'!G114,LEN('categories-old'!G114)-1)&amp;"');","")</f>
        <v>INSERT INTO `catalog_category_entity_varchar` (attribute_id,store_id,entity_id,value) VALUES (48,0,253,'img2/img5590.jpg');</v>
      </c>
      <c r="B114" t="str">
        <f>IF(LEN(categories!G114) &gt; 0, "INSERT INTO `catalog_category_entity_varchar` (attribute_id,store_id,entity_id,value) VALUES (48,0,"&amp;categories!B114&amp;",'"&amp;RIGHT(categories!G114,LEN(categories!G114)-1)&amp;"');","")</f>
        <v>INSERT INTO `catalog_category_entity_varchar` (attribute_id,store_id,entity_id,value) VALUES (48,0,253,'img2/img5590.jpg');</v>
      </c>
      <c r="C114" t="str">
        <f>VLOOKUP(categories!B114,'categories-old'!B:G,6,FALSE)</f>
        <v>/img2/img5590.jpg</v>
      </c>
      <c r="D114" t="str">
        <f>VLOOKUP(categories!B114,'categories-old'!B:H,7,FALSE)</f>
        <v>www.americanretailsupply.com/64991/Animal-Print-Packaging.html</v>
      </c>
    </row>
    <row r="115" spans="1:5" hidden="1" x14ac:dyDescent="0.25">
      <c r="A115" t="str">
        <f>IF(LEN('categories-old'!G115) &gt; 0, "INSERT INTO `catalog_category_entity_varchar` (attribute_id,store_id,entity_id,value) VALUES (48,0,"&amp;'categories-old'!B115&amp;",'"&amp;RIGHT('categories-old'!G115,LEN('categories-old'!G115)-1)&amp;"');","")</f>
        <v>INSERT INTO `catalog_category_entity_varchar` (attribute_id,store_id,entity_id,value) VALUES (48,0,254,'img2/imgb414.jpg');</v>
      </c>
      <c r="B115" t="str">
        <f>IF(LEN(categories!G115) &gt; 0, "INSERT INTO `catalog_category_entity_varchar` (attribute_id,store_id,entity_id,value) VALUES (48,0,"&amp;categories!B115&amp;",'"&amp;RIGHT(categories!G115,LEN(categories!G115)-1)&amp;"');","")</f>
        <v>INSERT INTO `catalog_category_entity_varchar` (attribute_id,store_id,entity_id,value) VALUES (48,0,254,'img2/imgb414.jpg');</v>
      </c>
      <c r="C115" t="str">
        <f>VLOOKUP(categories!B115,'categories-old'!B:G,6,FALSE)</f>
        <v>/img2/imgb414.jpg</v>
      </c>
      <c r="D115" t="str">
        <f>VLOOKUP(categories!B115,'categories-old'!B:H,7,FALSE)</f>
        <v>www.americanretailsupply.com/65008/Bags-in-Animal-Prints.html</v>
      </c>
    </row>
    <row r="116" spans="1:5" hidden="1" x14ac:dyDescent="0.25">
      <c r="A116" t="str">
        <f>IF(LEN('categories-old'!G116) &gt; 0, "INSERT INTO `catalog_category_entity_varchar` (attribute_id,store_id,entity_id,value) VALUES (48,0,"&amp;'categories-old'!B116&amp;",'"&amp;RIGHT('categories-old'!G116,LEN('categories-old'!G116)-1)&amp;"');","")</f>
        <v>INSERT INTO `catalog_category_entity_varchar` (attribute_id,store_id,entity_id,value) VALUES (48,0,287,'img3/img22de.jpg');</v>
      </c>
      <c r="B116" t="str">
        <f>IF(LEN(categories!G116) &gt; 0, "INSERT INTO `catalog_category_entity_varchar` (attribute_id,store_id,entity_id,value) VALUES (48,0,"&amp;categories!B116&amp;",'"&amp;RIGHT(categories!G116,LEN(categories!G116)-1)&amp;"');","")</f>
        <v>INSERT INTO `catalog_category_entity_varchar` (attribute_id,store_id,entity_id,value) VALUES (48,0,287,'img3/img22de.jpg');</v>
      </c>
      <c r="C116" t="str">
        <f>VLOOKUP(categories!B116,'categories-old'!B:G,6,FALSE)</f>
        <v>/img3/img22de.jpg</v>
      </c>
      <c r="D116" t="str">
        <f>VLOOKUP(categories!B116,'categories-old'!B:H,7,FALSE)</f>
        <v>www.americanretailsupply.com/65009/Boxes-in-Animal-Prints.html</v>
      </c>
    </row>
    <row r="117" spans="1:5" hidden="1" x14ac:dyDescent="0.25">
      <c r="A117" t="str">
        <f>IF(LEN('categories-old'!G117) &gt; 0, "INSERT INTO `catalog_category_entity_varchar` (attribute_id,store_id,entity_id,value) VALUES (48,0,"&amp;'categories-old'!B117&amp;",'"&amp;RIGHT('categories-old'!G117,LEN('categories-old'!G117)-1)&amp;"');","")</f>
        <v>INSERT INTO `catalog_category_entity_varchar` (attribute_id,store_id,entity_id,value) VALUES (48,0,611,'img3/imga6e1.jpg');</v>
      </c>
      <c r="B117" t="str">
        <f>IF(LEN(categories!G117) &gt; 0, "INSERT INTO `catalog_category_entity_varchar` (attribute_id,store_id,entity_id,value) VALUES (48,0,"&amp;categories!B117&amp;",'"&amp;RIGHT(categories!G117,LEN(categories!G117)-1)&amp;"');","")</f>
        <v>INSERT INTO `catalog_category_entity_varchar` (attribute_id,store_id,entity_id,value) VALUES (48,0,611,'img3/imga6e1.jpg');</v>
      </c>
      <c r="C117" t="str">
        <f>VLOOKUP(categories!B117,'categories-old'!B:G,6,FALSE)</f>
        <v>/img3/imga6e1.jpg</v>
      </c>
      <c r="D117" t="str">
        <f>VLOOKUP(categories!B117,'categories-old'!B:H,7,FALSE)</f>
        <v>www.americanretailsupply.com/65007/Giftwrap-in-Animal-Prints.html</v>
      </c>
    </row>
    <row r="118" spans="1:5" hidden="1" x14ac:dyDescent="0.25">
      <c r="A118" t="str">
        <f>IF(LEN('categories-old'!G118) &gt; 0, "INSERT INTO `catalog_category_entity_varchar` (attribute_id,store_id,entity_id,value) VALUES (48,0,"&amp;'categories-old'!B118&amp;",'"&amp;RIGHT('categories-old'!G118,LEN('categories-old'!G118)-1)&amp;"');","")</f>
        <v>INSERT INTO `catalog_category_entity_varchar` (attribute_id,store_id,entity_id,value) VALUES (48,0,1115,'img3/imgc7a2.jpg');</v>
      </c>
      <c r="B118" t="str">
        <f>IF(LEN(categories!G118) &gt; 0, "INSERT INTO `catalog_category_entity_varchar` (attribute_id,store_id,entity_id,value) VALUES (48,0,"&amp;categories!B118&amp;",'"&amp;RIGHT(categories!G118,LEN(categories!G118)-1)&amp;"');","")</f>
        <v>INSERT INTO `catalog_category_entity_varchar` (attribute_id,store_id,entity_id,value) VALUES (48,0,1115,'img3/imgc7a2.jpg');</v>
      </c>
      <c r="C118" t="str">
        <f>VLOOKUP(categories!B118,'categories-old'!B:G,6,FALSE)</f>
        <v>/img3/imgc7a2.jpg</v>
      </c>
      <c r="D118" t="str">
        <f>VLOOKUP(categories!B118,'categories-old'!B:H,7,FALSE)</f>
        <v>www.americanretailsupply.com/65006/Ribbon-in-Animal-Prints.html</v>
      </c>
    </row>
    <row r="119" spans="1:5" hidden="1" x14ac:dyDescent="0.25">
      <c r="A119" t="str">
        <f>IF(LEN('categories-old'!G119) &gt; 0, "INSERT INTO `catalog_category_entity_varchar` (attribute_id,store_id,entity_id,value) VALUES (48,0,"&amp;'categories-old'!B119&amp;",'"&amp;RIGHT('categories-old'!G119,LEN('categories-old'!G119)-1)&amp;"');","")</f>
        <v>INSERT INTO `catalog_category_entity_varchar` (attribute_id,store_id,entity_id,value) VALUES (48,0,1299,'img3/img8654.jpg');</v>
      </c>
      <c r="B119" t="str">
        <f>IF(LEN(categories!G119) &gt; 0, "INSERT INTO `catalog_category_entity_varchar` (attribute_id,store_id,entity_id,value) VALUES (48,0,"&amp;categories!B119&amp;",'"&amp;RIGHT(categories!G119,LEN(categories!G119)-1)&amp;"');","")</f>
        <v>INSERT INTO `catalog_category_entity_varchar` (attribute_id,store_id,entity_id,value) VALUES (48,0,1299,'img3/img8654.jpg');</v>
      </c>
      <c r="C119" t="str">
        <f>VLOOKUP(categories!B119,'categories-old'!B:G,6,FALSE)</f>
        <v>/img3/img8654.jpg</v>
      </c>
      <c r="D119" t="str">
        <f>VLOOKUP(categories!B119,'categories-old'!B:H,7,FALSE)</f>
        <v>www.americanretailsupply.com/65005/Tissue-in-Animal-Prints.html</v>
      </c>
    </row>
    <row r="120" spans="1:5" hidden="1" x14ac:dyDescent="0.25">
      <c r="A120" t="str">
        <f>IF(LEN('categories-old'!G120) &gt; 0, "INSERT INTO `catalog_category_entity_varchar` (attribute_id,store_id,entity_id,value) VALUES (48,0,"&amp;'categories-old'!B120&amp;",'"&amp;RIGHT('categories-old'!G120,LEN('categories-old'!G120)-1)&amp;"');","")</f>
        <v>INSERT INTO `catalog_category_entity_varchar` (attribute_id,store_id,entity_id,value) VALUES (48,0,316,'img3/img366d.jpg');</v>
      </c>
      <c r="B120" t="str">
        <f>IF(LEN(categories!G120) &gt; 0, "INSERT INTO `catalog_category_entity_varchar` (attribute_id,store_id,entity_id,value) VALUES (48,0,"&amp;categories!B120&amp;",'"&amp;RIGHT(categories!G120,LEN(categories!G120)-1)&amp;"');","")</f>
        <v>INSERT INTO `catalog_category_entity_varchar` (attribute_id,store_id,entity_id,value) VALUES (48,0,316,'img3/img366d.jpg');</v>
      </c>
      <c r="C120" t="str">
        <f>VLOOKUP(categories!B120,'categories-old'!B:G,6,FALSE)</f>
        <v>/img3/img366d.jpg</v>
      </c>
      <c r="D120" t="str">
        <f>VLOOKUP(categories!B120,'categories-old'!B:H,7,FALSE)</f>
        <v>www.americanretailsupply.com/64989/Christmas--Holiday-Packaging.html</v>
      </c>
    </row>
    <row r="121" spans="1:5" hidden="1" x14ac:dyDescent="0.25">
      <c r="A121" t="str">
        <f>IF(LEN('categories-old'!G121) &gt; 0, "INSERT INTO `catalog_category_entity_varchar` (attribute_id,store_id,entity_id,value) VALUES (48,0,"&amp;'categories-old'!B121&amp;",'"&amp;RIGHT('categories-old'!G121,LEN('categories-old'!G121)-1)&amp;"');","")</f>
        <v>INSERT INTO `catalog_category_entity_varchar` (attribute_id,store_id,entity_id,value) VALUES (48,0,317,'img2/img2be7.jpg');</v>
      </c>
      <c r="B121" t="str">
        <f>IF(LEN(categories!G121) &gt; 0, "INSERT INTO `catalog_category_entity_varchar` (attribute_id,store_id,entity_id,value) VALUES (48,0,"&amp;categories!B121&amp;",'"&amp;RIGHT(categories!G121,LEN(categories!G121)-1)&amp;"');","")</f>
        <v>INSERT INTO `catalog_category_entity_varchar` (attribute_id,store_id,entity_id,value) VALUES (48,0,317,'img2/img2be7.jpg');</v>
      </c>
      <c r="C121" t="str">
        <f>VLOOKUP(categories!B121,'categories-old'!B:G,6,FALSE)</f>
        <v>/img2/img2be7.jpg</v>
      </c>
      <c r="D121" t="str">
        <f>VLOOKUP(categories!B121,'categories-old'!B:H,7,FALSE)</f>
        <v>www.americanretailsupply.com/65000/Christmas-Giftwrap.html</v>
      </c>
    </row>
    <row r="122" spans="1:5" hidden="1" x14ac:dyDescent="0.25">
      <c r="A122" t="e">
        <f>IF(LEN('categories-old'!G122) &gt; 0, "INSERT INTO `catalog_category_entity_varchar` (attribute_id,store_id,entity_id,value) VALUES (48,0,"&amp;'categories-old'!B122&amp;",'"&amp;RIGHT('categories-old'!G122,LEN('categories-old'!G122)-1)&amp;"');","")</f>
        <v>#N/A</v>
      </c>
      <c r="B122" t="e">
        <f>IF(LEN(categories!G122) &gt; 0, "INSERT INTO `catalog_category_entity_varchar` (attribute_id,store_id,entity_id,value) VALUES (48,0,"&amp;categories!B122&amp;",'"&amp;RIGHT(categories!G122,LEN(categories!G122)-1)&amp;"');","")</f>
        <v>#N/A</v>
      </c>
      <c r="C122" t="e">
        <f>VLOOKUP(categories!B122,'categories-old'!B:G,6,FALSE)</f>
        <v>#N/A</v>
      </c>
      <c r="D122" t="e">
        <f>VLOOKUP(categories!B122,'categories-old'!B:H,7,FALSE)</f>
        <v>#N/A</v>
      </c>
    </row>
    <row r="123" spans="1:5" x14ac:dyDescent="0.25">
      <c r="A123" t="str">
        <f>IF(LEN('categories-old'!G123) &gt; 0, "INSERT INTO `catalog_category_entity_varchar` (attribute_id,store_id,entity_id,value) VALUES (48,0,"&amp;'categories-old'!B123&amp;",'"&amp;RIGHT('categories-old'!G123,LEN('categories-old'!G123)-1)&amp;"');","")</f>
        <v/>
      </c>
      <c r="B123" t="str">
        <f>IF(LEN(categories!G123) &gt; 0, "INSERT INTO `catalog_category_entity_varchar` (attribute_id,store_id,entity_id,value) VALUES (48,0,"&amp;categories!B123&amp;",'"&amp;RIGHT(categories!G123,LEN(categories!G123)-1)&amp;"');","")</f>
        <v>INSERT INTO `catalog_category_entity_varchar` (attribute_id,store_id,entity_id,value) VALUES (48,0,483,'img1/img1b18.jpg');</v>
      </c>
      <c r="C123">
        <f>VLOOKUP(categories!B123,'categories-old'!B:G,6,FALSE)</f>
        <v>0</v>
      </c>
      <c r="D123" t="str">
        <f>VLOOKUP(categories!B123,'categories-old'!B:H,7,FALSE)</f>
        <v>www.americanretailsupply.com/65753/Decorative-Holiday-Packaging.html</v>
      </c>
      <c r="E123" t="str">
        <f t="shared" ref="E123:E124" si="6">SUBSTITUTE(SUBSTITUTE(D123,"\","/"),"www.americanretailsupply.com/","")</f>
        <v>65753/Decorative-Holiday-Packaging.html</v>
      </c>
    </row>
    <row r="124" spans="1:5" x14ac:dyDescent="0.25">
      <c r="A124" t="str">
        <f>IF(LEN('categories-old'!G124) &gt; 0, "INSERT INTO `catalog_category_entity_varchar` (attribute_id,store_id,entity_id,value) VALUES (48,0,"&amp;'categories-old'!B124&amp;",'"&amp;RIGHT('categories-old'!G124,LEN('categories-old'!G124)-1)&amp;"');","")</f>
        <v/>
      </c>
      <c r="B124" t="str">
        <f>IF(LEN(categories!G124) &gt; 0, "INSERT INTO `catalog_category_entity_varchar` (attribute_id,store_id,entity_id,value) VALUES (48,0,"&amp;categories!B124&amp;",'"&amp;RIGHT(categories!G124,LEN(categories!G124)-1)&amp;"');","")</f>
        <v>INSERT INTO `catalog_category_entity_varchar` (attribute_id,store_id,entity_id,value) VALUES (48,0,735,'img1/img0d76.jpg');</v>
      </c>
      <c r="C124">
        <f>VLOOKUP(categories!B124,'categories-old'!B:G,6,FALSE)</f>
        <v>0</v>
      </c>
      <c r="D124" t="str">
        <f>VLOOKUP(categories!B124,'categories-old'!B:H,7,FALSE)</f>
        <v>www.americanretailsupply.com/65011/Holiday-Boxes.html</v>
      </c>
      <c r="E124" t="str">
        <f t="shared" si="6"/>
        <v>65011/Holiday-Boxes.html</v>
      </c>
    </row>
    <row r="125" spans="1:5" hidden="1" x14ac:dyDescent="0.25">
      <c r="A125" t="str">
        <f>IF(LEN('categories-old'!G125) &gt; 0, "INSERT INTO `catalog_category_entity_varchar` (attribute_id,store_id,entity_id,value) VALUES (48,0,"&amp;'categories-old'!B125&amp;",'"&amp;RIGHT('categories-old'!G125,LEN('categories-old'!G125)-1)&amp;"');","")</f>
        <v>INSERT INTO `catalog_category_entity_varchar` (attribute_id,store_id,entity_id,value) VALUES (48,0,741,'img1/img5168.jpg');</v>
      </c>
      <c r="B125" t="str">
        <f>IF(LEN(categories!G125) &gt; 0, "INSERT INTO `catalog_category_entity_varchar` (attribute_id,store_id,entity_id,value) VALUES (48,0,"&amp;categories!B125&amp;",'"&amp;RIGHT(categories!G125,LEN(categories!G125)-1)&amp;"');","")</f>
        <v>INSERT INTO `catalog_category_entity_varchar` (attribute_id,store_id,entity_id,value) VALUES (48,0,741,'img1/img5168.jpg');</v>
      </c>
      <c r="C125" t="str">
        <f>VLOOKUP(categories!B125,'categories-old'!B:G,6,FALSE)</f>
        <v>/img1/img5168.jpg</v>
      </c>
      <c r="D125" t="str">
        <f>VLOOKUP(categories!B125,'categories-old'!B:H,7,FALSE)</f>
        <v>www.americanretailsupply.com/65001/Holiday-Patterned-Tissue-Paper.html</v>
      </c>
    </row>
    <row r="126" spans="1:5" hidden="1" x14ac:dyDescent="0.25">
      <c r="A126" t="str">
        <f>IF(LEN('categories-old'!G126) &gt; 0, "INSERT INTO `catalog_category_entity_varchar` (attribute_id,store_id,entity_id,value) VALUES (48,0,"&amp;'categories-old'!B126&amp;",'"&amp;RIGHT('categories-old'!G126,LEN('categories-old'!G126)-1)&amp;"');","")</f>
        <v>INSERT INTO `catalog_category_entity_varchar` (attribute_id,store_id,entity_id,value) VALUES (48,0,744,'img2/img7f19.jpg');</v>
      </c>
      <c r="B126" t="str">
        <f>IF(LEN(categories!G126) &gt; 0, "INSERT INTO `catalog_category_entity_varchar` (attribute_id,store_id,entity_id,value) VALUES (48,0,"&amp;categories!B126&amp;",'"&amp;RIGHT(categories!G126,LEN(categories!G126)-1)&amp;"');","")</f>
        <v>INSERT INTO `catalog_category_entity_varchar` (attribute_id,store_id,entity_id,value) VALUES (48,0,744,'img2/img7f19.jpg');</v>
      </c>
      <c r="C126" t="str">
        <f>VLOOKUP(categories!B126,'categories-old'!B:G,6,FALSE)</f>
        <v>/img2/img7f19.jpg</v>
      </c>
      <c r="D126" t="str">
        <f>VLOOKUP(categories!B126,'categories-old'!B:H,7,FALSE)</f>
        <v>www.americanretailsupply.com/64999/Holiday-Patterns-Plastic-Bags.html</v>
      </c>
    </row>
    <row r="127" spans="1:5" hidden="1" x14ac:dyDescent="0.25">
      <c r="A127" t="str">
        <f>IF(LEN('categories-old'!G127) &gt; 0, "INSERT INTO `catalog_category_entity_varchar` (attribute_id,store_id,entity_id,value) VALUES (48,0,"&amp;'categories-old'!B127&amp;",'"&amp;RIGHT('categories-old'!G127,LEN('categories-old'!G127)-1)&amp;"');","")</f>
        <v>INSERT INTO `catalog_category_entity_varchar` (attribute_id,store_id,entity_id,value) VALUES (48,0,1361,'img2/img712a.jpg');</v>
      </c>
      <c r="B127" t="str">
        <f>IF(LEN(categories!G127) &gt; 0, "INSERT INTO `catalog_category_entity_varchar` (attribute_id,store_id,entity_id,value) VALUES (48,0,"&amp;categories!B127&amp;",'"&amp;RIGHT(categories!G127,LEN(categories!G127)-1)&amp;"');","")</f>
        <v>INSERT INTO `catalog_category_entity_varchar` (attribute_id,store_id,entity_id,value) VALUES (48,0,1361,'img2/img712a.jpg');</v>
      </c>
      <c r="C127" t="str">
        <f>VLOOKUP(categories!B127,'categories-old'!B:G,6,FALSE)</f>
        <v>/img2/img712a.jpg</v>
      </c>
      <c r="D127" t="str">
        <f>VLOOKUP(categories!B127,'categories-old'!B:H,7,FALSE)</f>
        <v>www.americanretailsupply.com/65003/Western-Themed-Christmas-Bags.html</v>
      </c>
    </row>
    <row r="128" spans="1:5" hidden="1" x14ac:dyDescent="0.25">
      <c r="A128" t="str">
        <f>IF(LEN('categories-old'!G128) &gt; 0, "INSERT INTO `catalog_category_entity_varchar` (attribute_id,store_id,entity_id,value) VALUES (48,0,"&amp;'categories-old'!B128&amp;",'"&amp;RIGHT('categories-old'!G128,LEN('categories-old'!G128)-1)&amp;"');","")</f>
        <v>INSERT INTO `catalog_category_entity_varchar` (attribute_id,store_id,entity_id,value) VALUES (48,0,502,'img2/img380b.jpg');</v>
      </c>
      <c r="B128" t="str">
        <f>IF(LEN(categories!G128) &gt; 0, "INSERT INTO `catalog_category_entity_varchar` (attribute_id,store_id,entity_id,value) VALUES (48,0,"&amp;categories!B128&amp;",'"&amp;RIGHT(categories!G128,LEN(categories!G128)-1)&amp;"');","")</f>
        <v>INSERT INTO `catalog_category_entity_varchar` (attribute_id,store_id,entity_id,value) VALUES (48,0,502,'img2/img380b.jpg');</v>
      </c>
      <c r="C128" t="str">
        <f>VLOOKUP(categories!B128,'categories-old'!B:G,6,FALSE)</f>
        <v>/img2/img380b.jpg</v>
      </c>
      <c r="D128" t="str">
        <f>VLOOKUP(categories!B128,'categories-old'!B:H,7,FALSE)</f>
        <v>www.americanretailsupply.com/66198/Eco-Friendly-Plastic-Bags.html</v>
      </c>
    </row>
    <row r="129" spans="1:5" hidden="1" x14ac:dyDescent="0.25">
      <c r="A129" t="str">
        <f>IF(LEN('categories-old'!G129) &gt; 0, "INSERT INTO `catalog_category_entity_varchar` (attribute_id,store_id,entity_id,value) VALUES (48,0,"&amp;'categories-old'!B129&amp;",'"&amp;RIGHT('categories-old'!G129,LEN('categories-old'!G129)-1)&amp;"');","")</f>
        <v>INSERT INTO `catalog_category_entity_varchar` (attribute_id,store_id,entity_id,value) VALUES (48,0,506,'img2/imgf8e6.jpg');</v>
      </c>
      <c r="B129" t="str">
        <f>IF(LEN(categories!G129) &gt; 0, "INSERT INTO `catalog_category_entity_varchar` (attribute_id,store_id,entity_id,value) VALUES (48,0,"&amp;categories!B129&amp;",'"&amp;RIGHT(categories!G129,LEN(categories!G129)-1)&amp;"');","")</f>
        <v>INSERT INTO `catalog_category_entity_varchar` (attribute_id,store_id,entity_id,value) VALUES (48,0,506,'img2/imgf8e6.jpg');</v>
      </c>
      <c r="C129" t="str">
        <f>VLOOKUP(categories!B129,'categories-old'!B:G,6,FALSE)</f>
        <v>/img2/imgf8e6.jpg</v>
      </c>
      <c r="D129" t="str">
        <f>VLOOKUP(categories!B129,'categories-old'!B:H,7,FALSE)</f>
        <v>www.americanretailsupply.com/66199/Eco-Friendly-Recycled-Paper-Bags.html</v>
      </c>
    </row>
    <row r="130" spans="1:5" hidden="1" x14ac:dyDescent="0.25">
      <c r="A130" t="str">
        <f>IF(LEN('categories-old'!G130) &gt; 0, "INSERT INTO `catalog_category_entity_varchar` (attribute_id,store_id,entity_id,value) VALUES (48,0,"&amp;'categories-old'!B130&amp;",'"&amp;RIGHT('categories-old'!G130,LEN('categories-old'!G130)-1)&amp;"');","")</f>
        <v>INSERT INTO `catalog_category_entity_varchar` (attribute_id,store_id,entity_id,value) VALUES (48,0,509,'img3/img2c63.jpg');</v>
      </c>
      <c r="B130" t="str">
        <f>IF(LEN(categories!G130) &gt; 0, "INSERT INTO `catalog_category_entity_varchar` (attribute_id,store_id,entity_id,value) VALUES (48,0,"&amp;categories!B130&amp;",'"&amp;RIGHT(categories!G130,LEN(categories!G130)-1)&amp;"');","")</f>
        <v>INSERT INTO `catalog_category_entity_varchar` (attribute_id,store_id,entity_id,value) VALUES (48,0,509,'img3/img2c63.jpg');</v>
      </c>
      <c r="C130" t="str">
        <f>VLOOKUP(categories!B130,'categories-old'!B:G,6,FALSE)</f>
        <v>/img3/img2c63.jpg</v>
      </c>
      <c r="D130" t="str">
        <f>VLOOKUP(categories!B130,'categories-old'!B:H,7,FALSE)</f>
        <v>www.americanretailsupply.com/66200/Eco-Friendly-Reusable-Bags.html</v>
      </c>
    </row>
    <row r="131" spans="1:5" x14ac:dyDescent="0.25">
      <c r="A131" t="str">
        <f>IF(LEN('categories-old'!G131) &gt; 0, "INSERT INTO `catalog_category_entity_varchar` (attribute_id,store_id,entity_id,value) VALUES (48,0,"&amp;'categories-old'!B131&amp;",'"&amp;RIGHT('categories-old'!G131,LEN('categories-old'!G131)-1)&amp;"');","")</f>
        <v/>
      </c>
      <c r="B131" t="str">
        <f>IF(LEN(categories!G131) &gt; 0, "INSERT INTO `catalog_category_entity_varchar` (attribute_id,store_id,entity_id,value) VALUES (48,0,"&amp;categories!B131&amp;",'"&amp;RIGHT(categories!G131,LEN(categories!G131)-1)&amp;"');","")</f>
        <v>INSERT INTO `catalog_category_entity_varchar` (attribute_id,store_id,entity_id,value) VALUES (48,0,49,'img1/img5fb6.jpg');</v>
      </c>
      <c r="C131">
        <f>VLOOKUP(categories!B131,'categories-old'!B:G,6,FALSE)</f>
        <v>0</v>
      </c>
      <c r="D131" t="str">
        <f>VLOOKUP(categories!B131,'categories-old'!B:H,7,FALSE)</f>
        <v>www.americanretailsupply.com/64990/Food--Wine-Bags.html</v>
      </c>
      <c r="E131" t="str">
        <f>SUBSTITUTE(SUBSTITUTE(D131,"\","/"),"www.americanretailsupply.com/","")</f>
        <v>64990/Food--Wine-Bags.html</v>
      </c>
    </row>
    <row r="132" spans="1:5" hidden="1" x14ac:dyDescent="0.25">
      <c r="A132" t="str">
        <f>IF(LEN('categories-old'!G132) &gt; 0, "INSERT INTO `catalog_category_entity_varchar` (attribute_id,store_id,entity_id,value) VALUES (48,0,"&amp;'categories-old'!B132&amp;",'"&amp;RIGHT('categories-old'!G132,LEN('categories-old'!G132)-1)&amp;"');","")</f>
        <v>INSERT INTO `catalog_category_entity_varchar` (attribute_id,store_id,entity_id,value) VALUES (48,0,50,'img1/img816a.jpg');</v>
      </c>
      <c r="B132" t="str">
        <f>IF(LEN(categories!G132) &gt; 0, "INSERT INTO `catalog_category_entity_varchar` (attribute_id,store_id,entity_id,value) VALUES (48,0,"&amp;categories!B132&amp;",'"&amp;RIGHT(categories!G132,LEN(categories!G132)-1)&amp;"');","")</f>
        <v>INSERT INTO `catalog_category_entity_varchar` (attribute_id,store_id,entity_id,value) VALUES (48,0,50,'img1/img816a.jpg');</v>
      </c>
      <c r="C132" t="str">
        <f>VLOOKUP(categories!B132,'categories-old'!B:G,6,FALSE)</f>
        <v>/img1/img816a.jpg</v>
      </c>
      <c r="D132" t="str">
        <f>VLOOKUP(categories!B132,'categories-old'!B:H,7,FALSE)</f>
        <v>www.americanretailsupply.com/64993/A-La-Carte-Bags--Boxes.html</v>
      </c>
    </row>
    <row r="133" spans="1:5" hidden="1" x14ac:dyDescent="0.25">
      <c r="A133" t="e">
        <f>IF(LEN('categories-old'!G133) &gt; 0, "INSERT INTO `catalog_category_entity_varchar` (attribute_id,store_id,entity_id,value) VALUES (48,0,"&amp;'categories-old'!B133&amp;",'"&amp;RIGHT('categories-old'!G133,LEN('categories-old'!G133)-1)&amp;"');","")</f>
        <v>#N/A</v>
      </c>
      <c r="B133" t="e">
        <f>IF(LEN(categories!G133) &gt; 0, "INSERT INTO `catalog_category_entity_varchar` (attribute_id,store_id,entity_id,value) VALUES (48,0,"&amp;categories!B133&amp;",'"&amp;RIGHT(categories!G133,LEN(categories!G133)-1)&amp;"');","")</f>
        <v>#N/A</v>
      </c>
      <c r="C133" t="e">
        <f>VLOOKUP(categories!B133,'categories-old'!B:G,6,FALSE)</f>
        <v>#N/A</v>
      </c>
      <c r="D133" t="e">
        <f>VLOOKUP(categories!B133,'categories-old'!B:H,7,FALSE)</f>
        <v>#N/A</v>
      </c>
    </row>
    <row r="134" spans="1:5" hidden="1" x14ac:dyDescent="0.25">
      <c r="A134" t="e">
        <f>IF(LEN('categories-old'!G134) &gt; 0, "INSERT INTO `catalog_category_entity_varchar` (attribute_id,store_id,entity_id,value) VALUES (48,0,"&amp;'categories-old'!B134&amp;",'"&amp;RIGHT('categories-old'!G134,LEN('categories-old'!G134)-1)&amp;"');","")</f>
        <v>#N/A</v>
      </c>
      <c r="B134" t="e">
        <f>IF(LEN(categories!G134) &gt; 0, "INSERT INTO `catalog_category_entity_varchar` (attribute_id,store_id,entity_id,value) VALUES (48,0,"&amp;categories!B134&amp;",'"&amp;RIGHT(categories!G134,LEN(categories!G134)-1)&amp;"');","")</f>
        <v>#N/A</v>
      </c>
      <c r="C134" t="e">
        <f>VLOOKUP(categories!B134,'categories-old'!B:G,6,FALSE)</f>
        <v>#N/A</v>
      </c>
      <c r="D134" t="e">
        <f>VLOOKUP(categories!B134,'categories-old'!B:H,7,FALSE)</f>
        <v>#N/A</v>
      </c>
    </row>
    <row r="135" spans="1:5" x14ac:dyDescent="0.25">
      <c r="A135" t="str">
        <f>IF(LEN('categories-old'!G135) &gt; 0, "INSERT INTO `catalog_category_entity_varchar` (attribute_id,store_id,entity_id,value) VALUES (48,0,"&amp;'categories-old'!B135&amp;",'"&amp;RIGHT('categories-old'!G135,LEN('categories-old'!G135)-1)&amp;"');","")</f>
        <v/>
      </c>
      <c r="B135" t="str">
        <f>IF(LEN(categories!G135) &gt; 0, "INSERT INTO `catalog_category_entity_varchar` (attribute_id,store_id,entity_id,value) VALUES (48,0,"&amp;categories!B135&amp;",'"&amp;RIGHT(categories!G135,LEN(categories!G135)-1)&amp;"');","")</f>
        <v>INSERT INTO `catalog_category_entity_varchar` (attribute_id,store_id,entity_id,value) VALUES (48,0,576,'img3/img0acb.jpg');</v>
      </c>
      <c r="C135">
        <f>VLOOKUP(categories!B135,'categories-old'!B:G,6,FALSE)</f>
        <v>0</v>
      </c>
      <c r="D135" t="str">
        <f>VLOOKUP(categories!B135,'categories-old'!B:H,7,FALSE)</f>
        <v>www.americanretailsupply.com/65198/Garment-Rolls--Bags.html</v>
      </c>
      <c r="E135" t="str">
        <f>SUBSTITUTE(SUBSTITUTE(D135,"\","/"),"www.americanretailsupply.com/","")</f>
        <v>65198/Garment-Rolls--Bags.html</v>
      </c>
    </row>
    <row r="136" spans="1:5" hidden="1" x14ac:dyDescent="0.25">
      <c r="A136" t="str">
        <f>IF(LEN('categories-old'!G136) &gt; 0, "INSERT INTO `catalog_category_entity_varchar` (attribute_id,store_id,entity_id,value) VALUES (48,0,"&amp;'categories-old'!B136&amp;",'"&amp;RIGHT('categories-old'!G136,LEN('categories-old'!G136)-1)&amp;"');","")</f>
        <v>INSERT INTO `catalog_category_entity_varchar` (attribute_id,store_id,entity_id,value) VALUES (48,0,513,'img3/img73af.jpg');</v>
      </c>
      <c r="B136" t="str">
        <f>IF(LEN(categories!G136) &gt; 0, "INSERT INTO `catalog_category_entity_varchar` (attribute_id,store_id,entity_id,value) VALUES (48,0,"&amp;categories!B136&amp;",'"&amp;RIGHT(categories!G136,LEN(categories!G136)-1)&amp;"');","")</f>
        <v>INSERT INTO `catalog_category_entity_varchar` (attribute_id,store_id,entity_id,value) VALUES (48,0,513,'img3/img73af.jpg');</v>
      </c>
      <c r="C136" t="str">
        <f>VLOOKUP(categories!B136,'categories-old'!B:G,6,FALSE)</f>
        <v>/img3/img73af.jpg</v>
      </c>
      <c r="D136" t="str">
        <f>VLOOKUP(categories!B136,'categories-old'!B:H,7,FALSE)</f>
        <v>www.americanretailsupply.com/65066/Paper-Bags.html</v>
      </c>
    </row>
    <row r="137" spans="1:5" hidden="1" x14ac:dyDescent="0.25">
      <c r="A137" t="str">
        <f>IF(LEN('categories-old'!G137) &gt; 0, "INSERT INTO `catalog_category_entity_varchar` (attribute_id,store_id,entity_id,value) VALUES (48,0,"&amp;'categories-old'!B137&amp;",'"&amp;RIGHT('categories-old'!G137,LEN('categories-old'!G137)-1)&amp;"');","")</f>
        <v>INSERT INTO `catalog_category_entity_varchar` (attribute_id,store_id,entity_id,value) VALUES (48,0,514,'img1/imgb953.jpg');</v>
      </c>
      <c r="B137" t="str">
        <f>IF(LEN(categories!G137) &gt; 0, "INSERT INTO `catalog_category_entity_varchar` (attribute_id,store_id,entity_id,value) VALUES (48,0,"&amp;categories!B137&amp;",'"&amp;RIGHT(categories!G137,LEN(categories!G137)-1)&amp;"');","")</f>
        <v>INSERT INTO `catalog_category_entity_varchar` (attribute_id,store_id,entity_id,value) VALUES (48,0,514,'img1/imgb953.jpg');</v>
      </c>
      <c r="C137" t="str">
        <f>VLOOKUP(categories!B137,'categories-old'!B:G,6,FALSE)</f>
        <v>/img1/imgb953.jpg</v>
      </c>
      <c r="D137" t="str">
        <f>VLOOKUP(categories!B137,'categories-old'!B:H,7,FALSE)</f>
        <v>www.americanretailsupply.com/65072/European-Tote-Style-Bags.html</v>
      </c>
    </row>
    <row r="138" spans="1:5" x14ac:dyDescent="0.25">
      <c r="A138" t="str">
        <f>IF(LEN('categories-old'!G138) &gt; 0, "INSERT INTO `catalog_category_entity_varchar` (attribute_id,store_id,entity_id,value) VALUES (48,0,"&amp;'categories-old'!B138&amp;",'"&amp;RIGHT('categories-old'!G138,LEN('categories-old'!G138)-1)&amp;"');","")</f>
        <v/>
      </c>
      <c r="B138" t="str">
        <f>IF(LEN(categories!G138) &gt; 0, "INSERT INTO `catalog_category_entity_varchar` (attribute_id,store_id,entity_id,value) VALUES (48,0,"&amp;categories!B138&amp;",'"&amp;RIGHT(categories!G138,LEN(categories!G138)-1)&amp;"');","")</f>
        <v>INSERT INTO `catalog_category_entity_varchar` (attribute_id,store_id,entity_id,value) VALUES (48,0,1012,'img3/img87fa.jpg');</v>
      </c>
      <c r="C138">
        <f>VLOOKUP(categories!B138,'categories-old'!B:G,6,FALSE)</f>
        <v>0</v>
      </c>
      <c r="D138" t="str">
        <f>VLOOKUP(categories!B138,'categories-old'!B:H,7,FALSE)</f>
        <v>www.americanretailsupply.com/65071/Paper-Merchandise-Bags.html</v>
      </c>
      <c r="E138" t="str">
        <f>SUBSTITUTE(SUBSTITUTE(D138,"\","/"),"www.americanretailsupply.com/","")</f>
        <v>65071/Paper-Merchandise-Bags.html</v>
      </c>
    </row>
    <row r="139" spans="1:5" hidden="1" x14ac:dyDescent="0.25">
      <c r="A139" t="str">
        <f>IF(LEN('categories-old'!G139) &gt; 0, "INSERT INTO `catalog_category_entity_varchar` (attribute_id,store_id,entity_id,value) VALUES (48,0,"&amp;'categories-old'!B139&amp;",'"&amp;RIGHT('categories-old'!G139,LEN('categories-old'!G139)-1)&amp;"');","")</f>
        <v>INSERT INTO `catalog_category_entity_varchar` (attribute_id,store_id,entity_id,value) VALUES (48,0,1018,'img3/img73af.jpg');</v>
      </c>
      <c r="B139" t="str">
        <f>IF(LEN(categories!G139) &gt; 0, "INSERT INTO `catalog_category_entity_varchar` (attribute_id,store_id,entity_id,value) VALUES (48,0,"&amp;categories!B139&amp;",'"&amp;RIGHT(categories!G139,LEN(categories!G139)-1)&amp;"');","")</f>
        <v>INSERT INTO `catalog_category_entity_varchar` (attribute_id,store_id,entity_id,value) VALUES (48,0,1018,'img3/img73af.jpg');</v>
      </c>
      <c r="C139" t="str">
        <f>VLOOKUP(categories!B139,'categories-old'!B:G,6,FALSE)</f>
        <v>/img3/img73af.jpg</v>
      </c>
      <c r="D139" t="str">
        <f>VLOOKUP(categories!B139,'categories-old'!B:H,7,FALSE)</f>
        <v>www.americanretailsupply.com/65070/Paper-Shopping-Bags.html</v>
      </c>
    </row>
    <row r="140" spans="1:5" hidden="1" x14ac:dyDescent="0.25">
      <c r="A140" t="e">
        <f>IF(LEN('categories-old'!G140) &gt; 0, "INSERT INTO `catalog_category_entity_varchar` (attribute_id,store_id,entity_id,value) VALUES (48,0,"&amp;'categories-old'!B140&amp;",'"&amp;RIGHT('categories-old'!G140,LEN('categories-old'!G140)-1)&amp;"');","")</f>
        <v>#N/A</v>
      </c>
      <c r="B140" t="e">
        <f>IF(LEN(categories!G140) &gt; 0, "INSERT INTO `catalog_category_entity_varchar` (attribute_id,store_id,entity_id,value) VALUES (48,0,"&amp;categories!B140&amp;",'"&amp;RIGHT(categories!G140,LEN(categories!G140)-1)&amp;"');","")</f>
        <v>#N/A</v>
      </c>
      <c r="C140" t="e">
        <f>VLOOKUP(categories!B140,'categories-old'!B:G,6,FALSE)</f>
        <v>#N/A</v>
      </c>
      <c r="D140" t="e">
        <f>VLOOKUP(categories!B140,'categories-old'!B:H,7,FALSE)</f>
        <v>#N/A</v>
      </c>
    </row>
    <row r="141" spans="1:5" hidden="1" x14ac:dyDescent="0.25">
      <c r="A141" t="e">
        <f>IF(LEN('categories-old'!G141) &gt; 0, "INSERT INTO `catalog_category_entity_varchar` (attribute_id,store_id,entity_id,value) VALUES (48,0,"&amp;'categories-old'!B141&amp;",'"&amp;RIGHT('categories-old'!G141,LEN('categories-old'!G141)-1)&amp;"');","")</f>
        <v>#N/A</v>
      </c>
      <c r="B141" t="e">
        <f>IF(LEN(categories!G141) &gt; 0, "INSERT INTO `catalog_category_entity_varchar` (attribute_id,store_id,entity_id,value) VALUES (48,0,"&amp;categories!B141&amp;",'"&amp;RIGHT(categories!G141,LEN(categories!G141)-1)&amp;"');","")</f>
        <v>#N/A</v>
      </c>
      <c r="C141" t="e">
        <f>VLOOKUP(categories!B141,'categories-old'!B:G,6,FALSE)</f>
        <v>#N/A</v>
      </c>
      <c r="D141" t="e">
        <f>VLOOKUP(categories!B141,'categories-old'!B:H,7,FALSE)</f>
        <v>#N/A</v>
      </c>
    </row>
    <row r="142" spans="1:5" hidden="1" x14ac:dyDescent="0.25">
      <c r="A142" t="str">
        <f>IF(LEN('categories-old'!G142) &gt; 0, "INSERT INTO `catalog_category_entity_varchar` (attribute_id,store_id,entity_id,value) VALUES (48,0,"&amp;'categories-old'!B142&amp;",'"&amp;RIGHT('categories-old'!G142,LEN('categories-old'!G142)-1)&amp;"');","")</f>
        <v>INSERT INTO `catalog_category_entity_varchar` (attribute_id,store_id,entity_id,value) VALUES (48,0,324,'img3/imgdfd0.jpg');</v>
      </c>
      <c r="B142" t="str">
        <f>IF(LEN(categories!G142) &gt; 0, "INSERT INTO `catalog_category_entity_varchar` (attribute_id,store_id,entity_id,value) VALUES (48,0,"&amp;categories!B142&amp;",'"&amp;RIGHT(categories!G142,LEN(categories!G142)-1)&amp;"');","")</f>
        <v>INSERT INTO `catalog_category_entity_varchar` (attribute_id,store_id,entity_id,value) VALUES (48,0,324,'img3/imgdfd0.jpg');</v>
      </c>
      <c r="C142" t="str">
        <f>VLOOKUP(categories!B142,'categories-old'!B:G,6,FALSE)</f>
        <v>/img3/imgdfd0.jpg</v>
      </c>
      <c r="D142" t="str">
        <f>VLOOKUP(categories!B142,'categories-old'!B:H,7,FALSE)</f>
        <v>www.americanretailsupply.com/65067/Plastic-Bags.html</v>
      </c>
    </row>
    <row r="143" spans="1:5" x14ac:dyDescent="0.25">
      <c r="A143" t="str">
        <f>IF(LEN('categories-old'!G143) &gt; 0, "INSERT INTO `catalog_category_entity_varchar` (attribute_id,store_id,entity_id,value) VALUES (48,0,"&amp;'categories-old'!B143&amp;",'"&amp;RIGHT('categories-old'!G143,LEN('categories-old'!G143)-1)&amp;"');","")</f>
        <v/>
      </c>
      <c r="B143" t="str">
        <f>IF(LEN(categories!G143) &gt; 0, "INSERT INTO `catalog_category_entity_varchar` (attribute_id,store_id,entity_id,value) VALUES (48,0,"&amp;categories!B143&amp;",'"&amp;RIGHT(categories!G143,LEN(categories!G143)-1)&amp;"');","")</f>
        <v>INSERT INTO `catalog_category_entity_varchar` (attribute_id,store_id,entity_id,value) VALUES (48,0,325,'img3/imgb1e0.jpg');</v>
      </c>
      <c r="C143">
        <f>VLOOKUP(categories!B143,'categories-old'!B:G,6,FALSE)</f>
        <v>0</v>
      </c>
      <c r="D143" t="str">
        <f>VLOOKUP(categories!B143,'categories-old'!B:H,7,FALSE)</f>
        <v>www.americanretailsupply.com/65080/Clear-Poly-Bags.html</v>
      </c>
      <c r="E143" t="str">
        <f>SUBSTITUTE(SUBSTITUTE(D143,"\","/"),"www.americanretailsupply.com/","")</f>
        <v>65080/Clear-Poly-Bags.html</v>
      </c>
    </row>
    <row r="144" spans="1:5" hidden="1" x14ac:dyDescent="0.25">
      <c r="A144" t="str">
        <f>IF(LEN('categories-old'!G144) &gt; 0, "INSERT INTO `catalog_category_entity_varchar` (attribute_id,store_id,entity_id,value) VALUES (48,0,"&amp;'categories-old'!B144&amp;",'"&amp;RIGHT('categories-old'!G144,LEN('categories-old'!G144)-1)&amp;"');","")</f>
        <v>INSERT INTO `catalog_category_entity_varchar` (attribute_id,store_id,entity_id,value) VALUES (48,0,554,'img3/imgb8f2.jpg');</v>
      </c>
      <c r="B144" t="str">
        <f>IF(LEN(categories!G144) &gt; 0, "INSERT INTO `catalog_category_entity_varchar` (attribute_id,store_id,entity_id,value) VALUES (48,0,"&amp;categories!B144&amp;",'"&amp;RIGHT(categories!G144,LEN(categories!G144)-1)&amp;"');","")</f>
        <v>INSERT INTO `catalog_category_entity_varchar` (attribute_id,store_id,entity_id,value) VALUES (48,0,554,'img3/imgb8f2.jpg');</v>
      </c>
      <c r="C144" t="str">
        <f>VLOOKUP(categories!B144,'categories-old'!B:G,6,FALSE)</f>
        <v>/img3/imgb8f2.jpg</v>
      </c>
      <c r="D144" t="str">
        <f>VLOOKUP(categories!B144,'categories-old'!B:H,7,FALSE)</f>
        <v>www.americanretailsupply.com/65075/Frosted-Plastic-Bags.html</v>
      </c>
    </row>
    <row r="145" spans="1:5" x14ac:dyDescent="0.25">
      <c r="A145" t="str">
        <f>IF(LEN('categories-old'!G145) &gt; 0, "INSERT INTO `catalog_category_entity_varchar` (attribute_id,store_id,entity_id,value) VALUES (48,0,"&amp;'categories-old'!B145&amp;",'"&amp;RIGHT('categories-old'!G145,LEN('categories-old'!G145)-1)&amp;"');","")</f>
        <v/>
      </c>
      <c r="B145" t="str">
        <f>IF(LEN(categories!G145) &gt; 0, "INSERT INTO `catalog_category_entity_varchar` (attribute_id,store_id,entity_id,value) VALUES (48,0,"&amp;categories!B145&amp;",'"&amp;RIGHT(categories!G145,LEN(categories!G145)-1)&amp;"');","")</f>
        <v>INSERT INTO `catalog_category_entity_varchar` (attribute_id,store_id,entity_id,value) VALUES (48,0,710,'img3/imgcdd3.jpg');</v>
      </c>
      <c r="C145">
        <f>VLOOKUP(categories!B145,'categories-old'!B:G,6,FALSE)</f>
        <v>0</v>
      </c>
      <c r="D145" t="str">
        <f>VLOOKUP(categories!B145,'categories-old'!B:H,7,FALSE)</f>
        <v>www.americanretailsupply.com/65074/High-Density-Plastic-Bags.html</v>
      </c>
      <c r="E145" t="str">
        <f t="shared" ref="E145:E146" si="7">SUBSTITUTE(SUBSTITUTE(D145,"\","/"),"www.americanretailsupply.com/","")</f>
        <v>65074/High-Density-Plastic-Bags.html</v>
      </c>
    </row>
    <row r="146" spans="1:5" x14ac:dyDescent="0.25">
      <c r="A146" t="str">
        <f>IF(LEN('categories-old'!G146) &gt; 0, "INSERT INTO `catalog_category_entity_varchar` (attribute_id,store_id,entity_id,value) VALUES (48,0,"&amp;'categories-old'!B146&amp;",'"&amp;RIGHT('categories-old'!G146,LEN('categories-old'!G146)-1)&amp;"');","")</f>
        <v/>
      </c>
      <c r="B146" t="str">
        <f>IF(LEN(categories!G146) &gt; 0, "INSERT INTO `catalog_category_entity_varchar` (attribute_id,store_id,entity_id,value) VALUES (48,0,"&amp;categories!B146&amp;",'"&amp;RIGHT(categories!G146,LEN(categories!G146)-1)&amp;"');","")</f>
        <v>INSERT INTO `catalog_category_entity_varchar` (attribute_id,store_id,entity_id,value) VALUES (48,0,874,'img1/img9ef8.jpg');</v>
      </c>
      <c r="C146">
        <f>VLOOKUP(categories!B146,'categories-old'!B:G,6,FALSE)</f>
        <v>0</v>
      </c>
      <c r="D146" t="str">
        <f>VLOOKUP(categories!B146,'categories-old'!B:H,7,FALSE)</f>
        <v>www.americanretailsupply.com/65073/Low-Density-Plastic-Bags.html</v>
      </c>
      <c r="E146" t="str">
        <f t="shared" si="7"/>
        <v>65073/Low-Density-Plastic-Bags.html</v>
      </c>
    </row>
    <row r="147" spans="1:5" hidden="1" x14ac:dyDescent="0.25">
      <c r="A147" t="e">
        <f>IF(LEN('categories-old'!G147) &gt; 0, "INSERT INTO `catalog_category_entity_varchar` (attribute_id,store_id,entity_id,value) VALUES (48,0,"&amp;'categories-old'!B147&amp;",'"&amp;RIGHT('categories-old'!G147,LEN('categories-old'!G147)-1)&amp;"');","")</f>
        <v>#N/A</v>
      </c>
      <c r="B147" t="e">
        <f>IF(LEN(categories!G147) &gt; 0, "INSERT INTO `catalog_category_entity_varchar` (attribute_id,store_id,entity_id,value) VALUES (48,0,"&amp;categories!B147&amp;",'"&amp;RIGHT(categories!G147,LEN(categories!G147)-1)&amp;"');","")</f>
        <v>#N/A</v>
      </c>
      <c r="C147" t="e">
        <f>VLOOKUP(categories!B147,'categories-old'!B:G,6,FALSE)</f>
        <v>#N/A</v>
      </c>
      <c r="D147" t="e">
        <f>VLOOKUP(categories!B147,'categories-old'!B:H,7,FALSE)</f>
        <v>#N/A</v>
      </c>
    </row>
    <row r="148" spans="1:5" hidden="1" x14ac:dyDescent="0.25">
      <c r="A148" t="str">
        <f>IF(LEN('categories-old'!G148) &gt; 0, "INSERT INTO `catalog_category_entity_varchar` (attribute_id,store_id,entity_id,value) VALUES (48,0,"&amp;'categories-old'!B148&amp;",'"&amp;RIGHT('categories-old'!G148,LEN('categories-old'!G148)-1)&amp;"');","")</f>
        <v>INSERT INTO `catalog_category_entity_varchar` (attribute_id,store_id,entity_id,value) VALUES (48,0,1039,'img1/imgc84e.jpg');</v>
      </c>
      <c r="B148" t="str">
        <f>IF(LEN(categories!G148) &gt; 0, "INSERT INTO `catalog_category_entity_varchar` (attribute_id,store_id,entity_id,value) VALUES (48,0,"&amp;categories!B148&amp;",'"&amp;RIGHT(categories!G148,LEN(categories!G148)-1)&amp;"');","")</f>
        <v>INSERT INTO `catalog_category_entity_varchar` (attribute_id,store_id,entity_id,value) VALUES (48,0,1039,'img1/imgc84e.jpg');</v>
      </c>
      <c r="C148" t="str">
        <f>VLOOKUP(categories!B148,'categories-old'!B:G,6,FALSE)</f>
        <v>/img1/imgc84e.jpg</v>
      </c>
      <c r="D148" t="str">
        <f>VLOOKUP(categories!B148,'categories-old'!B:H,7,FALSE)</f>
        <v>www.americanretailsupply.com/65079/Polypropylene-Bags.html</v>
      </c>
    </row>
    <row r="149" spans="1:5" hidden="1" x14ac:dyDescent="0.25">
      <c r="A149" t="str">
        <f>IF(LEN('categories-old'!G149) &gt; 0, "INSERT INTO `catalog_category_entity_varchar` (attribute_id,store_id,entity_id,value) VALUES (48,0,"&amp;'categories-old'!B149&amp;",'"&amp;RIGHT('categories-old'!G149,LEN('categories-old'!G149)-1)&amp;"');","")</f>
        <v/>
      </c>
      <c r="B149" t="e">
        <f>IF(LEN(categories!G149) &gt; 0, "INSERT INTO `catalog_category_entity_varchar` (attribute_id,store_id,entity_id,value) VALUES (48,0,"&amp;categories!B149&amp;",'"&amp;RIGHT(categories!G149,LEN(categories!G149)-1)&amp;"');","")</f>
        <v>#N/A</v>
      </c>
      <c r="C149" t="e">
        <f>VLOOKUP(categories!B149,'categories-old'!B:G,6,FALSE)</f>
        <v>#N/A</v>
      </c>
      <c r="D149" t="e">
        <f>VLOOKUP(categories!B149,'categories-old'!B:H,7,FALSE)</f>
        <v>#N/A</v>
      </c>
    </row>
    <row r="150" spans="1:5" x14ac:dyDescent="0.25">
      <c r="A150" t="str">
        <f>IF(LEN('categories-old'!G150) &gt; 0, "INSERT INTO `catalog_category_entity_varchar` (attribute_id,store_id,entity_id,value) VALUES (48,0,"&amp;'categories-old'!B150&amp;",'"&amp;RIGHT('categories-old'!G150,LEN('categories-old'!G150)-1)&amp;"');","")</f>
        <v/>
      </c>
      <c r="B150" t="str">
        <f>IF(LEN(categories!G150) &gt; 0, "INSERT INTO `catalog_category_entity_varchar` (attribute_id,store_id,entity_id,value) VALUES (48,0,"&amp;categories!B150&amp;",'"&amp;RIGHT(categories!G150,LEN(categories!G150)-1)&amp;"');","")</f>
        <v>INSERT INTO `catalog_category_entity_varchar` (attribute_id,store_id,entity_id,value) VALUES (48,0,281,'img3/img218e.jpg');</v>
      </c>
      <c r="C150">
        <f>VLOOKUP(categories!B150,'categories-old'!B:G,6,FALSE)</f>
        <v>0</v>
      </c>
      <c r="D150" t="str">
        <f>VLOOKUP(categories!B150,'categories-old'!B:H,7,FALSE)</f>
        <v>www.americanretailsupply.com/65124/BookHANGERS--Sample-Rings.html</v>
      </c>
      <c r="E150" t="str">
        <f>SUBSTITUTE(SUBSTITUTE(D150,"\","/"),"www.americanretailsupply.com/","")</f>
        <v>65124/BookHANGERS--Sample-Rings.html</v>
      </c>
    </row>
    <row r="151" spans="1:5" hidden="1" x14ac:dyDescent="0.25">
      <c r="A151" t="str">
        <f>IF(LEN('categories-old'!G151) &gt; 0, "INSERT INTO `catalog_category_entity_varchar` (attribute_id,store_id,entity_id,value) VALUES (48,0,"&amp;'categories-old'!B151&amp;",'"&amp;RIGHT('categories-old'!G151,LEN('categories-old'!G151)-1)&amp;"');","")</f>
        <v>INSERT INTO `catalog_category_entity_varchar` (attribute_id,store_id,entity_id,value) VALUES (48,0,290,'img1/img7e21.jpg');</v>
      </c>
      <c r="B151" t="str">
        <f>IF(LEN(categories!G151) &gt; 0, "INSERT INTO `catalog_category_entity_varchar` (attribute_id,store_id,entity_id,value) VALUES (48,0,"&amp;categories!B151&amp;",'"&amp;RIGHT(categories!G151,LEN(categories!G151)-1)&amp;"');","")</f>
        <v>INSERT INTO `catalog_category_entity_varchar` (attribute_id,store_id,entity_id,value) VALUES (48,0,290,'img1/img7e21.jpg');</v>
      </c>
      <c r="C151" t="str">
        <f>VLOOKUP(categories!B151,'categories-old'!B:G,6,FALSE)</f>
        <v>/img1/img7e21.jpg</v>
      </c>
      <c r="D151" t="str">
        <f>VLOOKUP(categories!B151,'categories-old'!B:H,7,FALSE)</f>
        <v>www.americanretailsupply.com/64964/CalHANGERS.html</v>
      </c>
    </row>
    <row r="152" spans="1:5" x14ac:dyDescent="0.25">
      <c r="A152" t="str">
        <f>IF(LEN('categories-old'!G152) &gt; 0, "INSERT INTO `catalog_category_entity_varchar` (attribute_id,store_id,entity_id,value) VALUES (48,0,"&amp;'categories-old'!B152&amp;",'"&amp;RIGHT('categories-old'!G152,LEN('categories-old'!G152)-1)&amp;"');","")</f>
        <v/>
      </c>
      <c r="B152" t="str">
        <f>IF(LEN(categories!G152) &gt; 0, "INSERT INTO `catalog_category_entity_varchar` (attribute_id,store_id,entity_id,value) VALUES (48,0,"&amp;categories!B152&amp;",'"&amp;RIGHT(categories!G152,LEN(categories!G152)-1)&amp;"');","")</f>
        <v>INSERT INTO `catalog_category_entity_varchar` (attribute_id,store_id,entity_id,value) VALUES (48,0,293,'img2/img5c3a.jpg');</v>
      </c>
      <c r="C152">
        <f>VLOOKUP(categories!B152,'categories-old'!B:G,6,FALSE)</f>
        <v>0</v>
      </c>
      <c r="D152" t="str">
        <f>VLOOKUP(categories!B152,'categories-old'!B:H,7,FALSE)</f>
        <v>www.americanretailsupply.com/64962/CalHOOK-Brackets.html</v>
      </c>
      <c r="E152" t="str">
        <f>SUBSTITUTE(SUBSTITUTE(D152,"\","/"),"www.americanretailsupply.com/","")</f>
        <v>64962/CalHOOK-Brackets.html</v>
      </c>
    </row>
    <row r="153" spans="1:5" hidden="1" x14ac:dyDescent="0.25">
      <c r="A153" t="str">
        <f>IF(LEN('categories-old'!G153) &gt; 0, "INSERT INTO `catalog_category_entity_varchar` (attribute_id,store_id,entity_id,value) VALUES (48,0,"&amp;'categories-old'!B153&amp;",'"&amp;RIGHT('categories-old'!G153,LEN('categories-old'!G153)-1)&amp;"');","")</f>
        <v>INSERT INTO `catalog_category_entity_varchar` (attribute_id,store_id,entity_id,value) VALUES (48,0,295,'img1/img717c.jpg');</v>
      </c>
      <c r="B153" t="str">
        <f>IF(LEN(categories!G153) &gt; 0, "INSERT INTO `catalog_category_entity_varchar` (attribute_id,store_id,entity_id,value) VALUES (48,0,"&amp;categories!B153&amp;",'"&amp;RIGHT(categories!G153,LEN(categories!G153)-1)&amp;"');","")</f>
        <v>INSERT INTO `catalog_category_entity_varchar` (attribute_id,store_id,entity_id,value) VALUES (48,0,295,'img1/img717c.jpg');</v>
      </c>
      <c r="C153" t="str">
        <f>VLOOKUP(categories!B153,'categories-old'!B:G,6,FALSE)</f>
        <v>/img1/img717c.jpg</v>
      </c>
      <c r="D153" t="str">
        <f>VLOOKUP(categories!B153,'categories-old'!B:H,7,FALSE)</f>
        <v>www.americanretailsupply.com/64963/CalTRACK--SlatTRACK.html</v>
      </c>
    </row>
    <row r="154" spans="1:5" hidden="1" x14ac:dyDescent="0.25">
      <c r="A154" t="str">
        <f>IF(LEN('categories-old'!G154) &gt; 0, "INSERT INTO `catalog_category_entity_varchar` (attribute_id,store_id,entity_id,value) VALUES (48,0,"&amp;'categories-old'!B154&amp;",'"&amp;RIGHT('categories-old'!G154,LEN('categories-old'!G154)-1)&amp;"');","")</f>
        <v>INSERT INTO `catalog_category_entity_varchar` (attribute_id,store_id,entity_id,value) VALUES (48,0,280,'img1/img2996.jpg');</v>
      </c>
      <c r="B154" t="str">
        <f>IF(LEN(categories!G154) &gt; 0, "INSERT INTO `catalog_category_entity_varchar` (attribute_id,store_id,entity_id,value) VALUES (48,0,"&amp;categories!B154&amp;",'"&amp;RIGHT(categories!G154,LEN(categories!G154)-1)&amp;"');","")</f>
        <v>INSERT INTO `catalog_category_entity_varchar` (attribute_id,store_id,entity_id,value) VALUES (48,0,280,'img1/img2996.jpg');</v>
      </c>
      <c r="C154" t="str">
        <f>VLOOKUP(categories!B154,'categories-old'!B:G,6,FALSE)</f>
        <v>/img1/img2996.jpg</v>
      </c>
      <c r="D154" t="str">
        <f>VLOOKUP(categories!B154,'categories-old'!B:H,7,FALSE)</f>
        <v>www.americanretailsupply.com/64941/CalHOOK.html</v>
      </c>
    </row>
    <row r="155" spans="1:5" x14ac:dyDescent="0.25">
      <c r="A155" t="str">
        <f>IF(LEN('categories-old'!G155) &gt; 0, "INSERT INTO `catalog_category_entity_varchar` (attribute_id,store_id,entity_id,value) VALUES (48,0,"&amp;'categories-old'!B155&amp;",'"&amp;RIGHT('categories-old'!G155,LEN('categories-old'!G155)-1)&amp;"');","")</f>
        <v/>
      </c>
      <c r="B155" t="str">
        <f>IF(LEN(categories!G155) &gt; 0, "INSERT INTO `catalog_category_entity_varchar` (attribute_id,store_id,entity_id,value) VALUES (48,0,"&amp;categories!B155&amp;",'"&amp;RIGHT(categories!G155,LEN(categories!G155)-1)&amp;"');","")</f>
        <v>INSERT INTO `catalog_category_entity_varchar` (attribute_id,store_id,entity_id,value) VALUES (48,0,107,'img2/imgc771.jpg');</v>
      </c>
      <c r="C155">
        <f>VLOOKUP(categories!B155,'categories-old'!B:G,6,FALSE)</f>
        <v>0</v>
      </c>
      <c r="D155" t="str">
        <f>VLOOKUP(categories!B155,'categories-old'!B:H,7,FALSE)</f>
        <v>www.americanretailsupply.com/64949/Acrylic-for-Gridwall.html</v>
      </c>
      <c r="E155" t="str">
        <f>SUBSTITUTE(SUBSTITUTE(D155,"\","/"),"www.americanretailsupply.com/","")</f>
        <v>64949/Acrylic-for-Gridwall.html</v>
      </c>
    </row>
    <row r="156" spans="1:5" hidden="1" x14ac:dyDescent="0.25">
      <c r="A156" t="str">
        <f>IF(LEN('categories-old'!G156) &gt; 0, "INSERT INTO `catalog_category_entity_varchar` (attribute_id,store_id,entity_id,value) VALUES (48,0,"&amp;'categories-old'!B156&amp;",'"&amp;RIGHT('categories-old'!G156,LEN('categories-old'!G156)-1)&amp;"');","")</f>
        <v>INSERT INTO `catalog_category_entity_varchar` (attribute_id,store_id,entity_id,value) VALUES (48,0,630,'img2/imgdc6b.jpg');</v>
      </c>
      <c r="B156" t="str">
        <f>IF(LEN(categories!G156) &gt; 0, "INSERT INTO `catalog_category_entity_varchar` (attribute_id,store_id,entity_id,value) VALUES (48,0,"&amp;categories!B156&amp;",'"&amp;RIGHT(categories!G156,LEN(categories!G156)-1)&amp;"');","")</f>
        <v>INSERT INTO `catalog_category_entity_varchar` (attribute_id,store_id,entity_id,value) VALUES (48,0,630,'img2/imgdc6b.jpg');</v>
      </c>
      <c r="C156" t="str">
        <f>VLOOKUP(categories!B156,'categories-old'!B:G,6,FALSE)</f>
        <v>/img2/imgdc6b.jpg</v>
      </c>
      <c r="D156" t="str">
        <f>VLOOKUP(categories!B156,'categories-old'!B:H,7,FALSE)</f>
        <v>www.americanretailsupply.com/64947/Gridwall--Slatgrid-Panels.html</v>
      </c>
    </row>
    <row r="157" spans="1:5" hidden="1" x14ac:dyDescent="0.25">
      <c r="A157" t="str">
        <f>IF(LEN('categories-old'!G157) &gt; 0, "INSERT INTO `catalog_category_entity_varchar` (attribute_id,store_id,entity_id,value) VALUES (48,0,"&amp;'categories-old'!B157&amp;",'"&amp;RIGHT('categories-old'!G157,LEN('categories-old'!G157)-1)&amp;"');","")</f>
        <v>INSERT INTO `catalog_category_entity_varchar` (attribute_id,store_id,entity_id,value) VALUES (48,0,633,'img1/img84b3.jpg');</v>
      </c>
      <c r="B157" t="str">
        <f>IF(LEN(categories!G157) &gt; 0, "INSERT INTO `catalog_category_entity_varchar` (attribute_id,store_id,entity_id,value) VALUES (48,0,"&amp;categories!B157&amp;",'"&amp;RIGHT(categories!G157,LEN(categories!G157)-1)&amp;"');","")</f>
        <v>INSERT INTO `catalog_category_entity_varchar` (attribute_id,store_id,entity_id,value) VALUES (48,0,633,'img1/img84b3.jpg');</v>
      </c>
      <c r="C157" t="str">
        <f>VLOOKUP(categories!B157,'categories-old'!B:G,6,FALSE)</f>
        <v>/img1/img84b3.jpg</v>
      </c>
      <c r="D157" t="str">
        <f>VLOOKUP(categories!B157,'categories-old'!B:H,7,FALSE)</f>
        <v>www.americanretailsupply.com/64951/Gridwall-Connectors.html</v>
      </c>
    </row>
    <row r="158" spans="1:5" hidden="1" x14ac:dyDescent="0.25">
      <c r="A158" t="str">
        <f>IF(LEN('categories-old'!G158) &gt; 0, "INSERT INTO `catalog_category_entity_varchar` (attribute_id,store_id,entity_id,value) VALUES (48,0,"&amp;'categories-old'!B158&amp;",'"&amp;RIGHT('categories-old'!G158,LEN('categories-old'!G158)-1)&amp;"');","")</f>
        <v>INSERT INTO `catalog_category_entity_varchar` (attribute_id,store_id,entity_id,value) VALUES (48,0,639,'img1/imge448.jpg');</v>
      </c>
      <c r="B158" t="str">
        <f>IF(LEN(categories!G158) &gt; 0, "INSERT INTO `catalog_category_entity_varchar` (attribute_id,store_id,entity_id,value) VALUES (48,0,"&amp;categories!B158&amp;",'"&amp;RIGHT(categories!G158,LEN(categories!G158)-1)&amp;"');","")</f>
        <v>INSERT INTO `catalog_category_entity_varchar` (attribute_id,store_id,entity_id,value) VALUES (48,0,639,'img1/imge448.jpg');</v>
      </c>
      <c r="C158" t="str">
        <f>VLOOKUP(categories!B158,'categories-old'!B:G,6,FALSE)</f>
        <v>/img1/imge448.jpg</v>
      </c>
      <c r="D158" t="str">
        <f>VLOOKUP(categories!B158,'categories-old'!B:H,7,FALSE)</f>
        <v>www.americanretailsupply.com/64950/Gridwall-Display-Bases.html</v>
      </c>
    </row>
    <row r="159" spans="1:5" hidden="1" x14ac:dyDescent="0.25">
      <c r="A159" t="str">
        <f>IF(LEN('categories-old'!G159) &gt; 0, "INSERT INTO `catalog_category_entity_varchar` (attribute_id,store_id,entity_id,value) VALUES (48,0,"&amp;'categories-old'!B159&amp;",'"&amp;RIGHT('categories-old'!G159,LEN('categories-old'!G159)-1)&amp;"');","")</f>
        <v>INSERT INTO `catalog_category_entity_varchar` (attribute_id,store_id,entity_id,value) VALUES (48,0,644,'img3/img1dc7.jpg');</v>
      </c>
      <c r="B159" t="str">
        <f>IF(LEN(categories!G159) &gt; 0, "INSERT INTO `catalog_category_entity_varchar` (attribute_id,store_id,entity_id,value) VALUES (48,0,"&amp;categories!B159&amp;",'"&amp;RIGHT(categories!G159,LEN(categories!G159)-1)&amp;"');","")</f>
        <v>INSERT INTO `catalog_category_entity_varchar` (attribute_id,store_id,entity_id,value) VALUES (48,0,644,'img3/img1dc7.jpg');</v>
      </c>
      <c r="C159" t="str">
        <f>VLOOKUP(categories!B159,'categories-old'!B:G,6,FALSE)</f>
        <v>/img3/img1dc7.jpg</v>
      </c>
      <c r="D159" t="str">
        <f>VLOOKUP(categories!B159,'categories-old'!B:H,7,FALSE)</f>
        <v>www.americanretailsupply.com/64948/Gridwall-Metal-Attachments.html</v>
      </c>
    </row>
    <row r="160" spans="1:5" hidden="1" x14ac:dyDescent="0.25">
      <c r="A160" t="str">
        <f>IF(LEN('categories-old'!G160) &gt; 0, "INSERT INTO `catalog_category_entity_varchar` (attribute_id,store_id,entity_id,value) VALUES (48,0,"&amp;'categories-old'!B160&amp;",'"&amp;RIGHT('categories-old'!G160,LEN('categories-old'!G160)-1)&amp;"');","")</f>
        <v>INSERT INTO `catalog_category_entity_varchar` (attribute_id,store_id,entity_id,value) VALUES (48,0,106,'img2/img8f41.jpg');</v>
      </c>
      <c r="B160" t="str">
        <f>IF(LEN(categories!G160) &gt; 0, "INSERT INTO `catalog_category_entity_varchar` (attribute_id,store_id,entity_id,value) VALUES (48,0,"&amp;categories!B160&amp;",'"&amp;RIGHT(categories!G160,LEN(categories!G160)-1)&amp;"');","")</f>
        <v>INSERT INTO `catalog_category_entity_varchar` (attribute_id,store_id,entity_id,value) VALUES (48,0,106,'img2/img8f41.jpg');</v>
      </c>
      <c r="C160" t="str">
        <f>VLOOKUP(categories!B160,'categories-old'!B:G,6,FALSE)</f>
        <v>/img2/img8f41.jpg</v>
      </c>
      <c r="D160" t="str">
        <f>VLOOKUP(categories!B160,'categories-old'!B:H,7,FALSE)</f>
        <v>www.americanretailsupply.com/64936/Gridwall-Slatgrid.html</v>
      </c>
    </row>
    <row r="161" spans="1:5" hidden="1" x14ac:dyDescent="0.25">
      <c r="A161" t="str">
        <f>IF(LEN('categories-old'!G161) &gt; 0, "INSERT INTO `catalog_category_entity_varchar` (attribute_id,store_id,entity_id,value) VALUES (48,0,"&amp;'categories-old'!B161&amp;",'"&amp;RIGHT('categories-old'!G161,LEN('categories-old'!G161)-1)&amp;"');","")</f>
        <v>INSERT INTO `catalog_category_entity_varchar` (attribute_id,store_id,entity_id,value) VALUES (48,0,447,'img2/imge028.jpg');</v>
      </c>
      <c r="B161" t="str">
        <f>IF(LEN(categories!G161) &gt; 0, "INSERT INTO `catalog_category_entity_varchar` (attribute_id,store_id,entity_id,value) VALUES (48,0,"&amp;categories!B161&amp;",'"&amp;RIGHT(categories!G161,LEN(categories!G161)-1)&amp;"');","")</f>
        <v>INSERT INTO `catalog_category_entity_varchar` (attribute_id,store_id,entity_id,value) VALUES (48,0,447,'img2/imge028.jpg');</v>
      </c>
      <c r="C161" t="str">
        <f>VLOOKUP(categories!B161,'categories-old'!B:G,6,FALSE)</f>
        <v>/img2/imge028.jpg</v>
      </c>
      <c r="D161" t="str">
        <f>VLOOKUP(categories!B161,'categories-old'!B:H,7,FALSE)</f>
        <v>www.americanretailsupply.com/64960/Cross-Bars.html</v>
      </c>
    </row>
    <row r="162" spans="1:5" hidden="1" x14ac:dyDescent="0.25">
      <c r="A162" t="str">
        <f>IF(LEN('categories-old'!G162) &gt; 0, "INSERT INTO `catalog_category_entity_varchar` (attribute_id,store_id,entity_id,value) VALUES (48,0,"&amp;'categories-old'!B162&amp;",'"&amp;RIGHT('categories-old'!G162,LEN('categories-old'!G162)-1)&amp;"');","")</f>
        <v>INSERT INTO `catalog_category_entity_varchar` (attribute_id,store_id,entity_id,value) VALUES (48,0,677,'img3/imgcacc.jpg');</v>
      </c>
      <c r="B162" t="str">
        <f>IF(LEN(categories!G162) &gt; 0, "INSERT INTO `catalog_category_entity_varchar` (attribute_id,store_id,entity_id,value) VALUES (48,0,"&amp;categories!B162&amp;",'"&amp;RIGHT(categories!G162,LEN(categories!G162)-1)&amp;"');","")</f>
        <v>INSERT INTO `catalog_category_entity_varchar` (attribute_id,store_id,entity_id,value) VALUES (48,0,677,'img3/imgcacc.jpg');</v>
      </c>
      <c r="C162" t="str">
        <f>VLOOKUP(categories!B162,'categories-old'!B:G,6,FALSE)</f>
        <v>/img3/imgcacc.jpg</v>
      </c>
      <c r="D162" t="str">
        <f>VLOOKUP(categories!B162,'categories-old'!B:H,7,FALSE)</f>
        <v>www.americanretailsupply.com/64961/Hangrod.html</v>
      </c>
    </row>
    <row r="163" spans="1:5" hidden="1" x14ac:dyDescent="0.25">
      <c r="A163" t="str">
        <f>IF(LEN('categories-old'!G163) &gt; 0, "INSERT INTO `catalog_category_entity_varchar` (attribute_id,store_id,entity_id,value) VALUES (48,0,"&amp;'categories-old'!B163&amp;",'"&amp;RIGHT('categories-old'!G163,LEN('categories-old'!G163)-1)&amp;"');","")</f>
        <v>INSERT INTO `catalog_category_entity_varchar` (attribute_id,store_id,entity_id,value) VALUES (48,0,897,'img2/img8ce6.jpg');</v>
      </c>
      <c r="B163" t="str">
        <f>IF(LEN(categories!G163) &gt; 0, "INSERT INTO `catalog_category_entity_varchar` (attribute_id,store_id,entity_id,value) VALUES (48,0,"&amp;categories!B163&amp;",'"&amp;RIGHT(categories!G163,LEN(categories!G163)-1)&amp;"');","")</f>
        <v>INSERT INTO `catalog_category_entity_varchar` (attribute_id,store_id,entity_id,value) VALUES (48,0,897,'img2/img8ce6.jpg');</v>
      </c>
      <c r="C163" t="str">
        <f>VLOOKUP(categories!B163,'categories-old'!B:G,6,FALSE)</f>
        <v>/img2/img8ce6.jpg</v>
      </c>
      <c r="D163" t="str">
        <f>VLOOKUP(categories!B163,'categories-old'!B:H,7,FALSE)</f>
        <v>www.americanretailsupply.com/64959/Merchandising-Bars.html</v>
      </c>
    </row>
    <row r="164" spans="1:5" hidden="1" x14ac:dyDescent="0.25">
      <c r="A164" t="str">
        <f>IF(LEN('categories-old'!G164) &gt; 0, "INSERT INTO `catalog_category_entity_varchar` (attribute_id,store_id,entity_id,value) VALUES (48,0,"&amp;'categories-old'!B164&amp;",'"&amp;RIGHT('categories-old'!G164,LEN('categories-old'!G164)-1)&amp;"');","")</f>
        <v>INSERT INTO `catalog_category_entity_varchar` (attribute_id,store_id,entity_id,value) VALUES (48,0,446,'img1/img460f.jpg');</v>
      </c>
      <c r="B164" t="str">
        <f>IF(LEN(categories!G164) &gt; 0, "INSERT INTO `catalog_category_entity_varchar` (attribute_id,store_id,entity_id,value) VALUES (48,0,"&amp;categories!B164&amp;",'"&amp;RIGHT(categories!G164,LEN(categories!G164)-1)&amp;"');","")</f>
        <v>INSERT INTO `catalog_category_entity_varchar` (attribute_id,store_id,entity_id,value) VALUES (48,0,446,'img1/img460f.jpg');</v>
      </c>
      <c r="C164" t="str">
        <f>VLOOKUP(categories!B164,'categories-old'!B:G,6,FALSE)</f>
        <v>/img1/img460f.jpg</v>
      </c>
      <c r="D164" t="str">
        <f>VLOOKUP(categories!B164,'categories-old'!B:H,7,FALSE)</f>
        <v>www.americanretailsupply.com/64939/Merchandising-Bars-Hangrod-Crossbars.html</v>
      </c>
    </row>
    <row r="165" spans="1:5" hidden="1" x14ac:dyDescent="0.25">
      <c r="A165" t="str">
        <f>IF(LEN('categories-old'!G165) &gt; 0, "INSERT INTO `catalog_category_entity_varchar` (attribute_id,store_id,entity_id,value) VALUES (48,0,"&amp;'categories-old'!B165&amp;",'"&amp;RIGHT('categories-old'!G165,LEN('categories-old'!G165)-1)&amp;"');","")</f>
        <v>INSERT INTO `catalog_category_entity_varchar` (attribute_id,store_id,entity_id,value) VALUES (48,0,270,'img3/imgead6.jpg');</v>
      </c>
      <c r="B165" t="str">
        <f>IF(LEN(categories!G165) &gt; 0, "INSERT INTO `catalog_category_entity_varchar` (attribute_id,store_id,entity_id,value) VALUES (48,0,"&amp;categories!B165&amp;",'"&amp;RIGHT(categories!G165,LEN(categories!G165)-1)&amp;"');","")</f>
        <v>INSERT INTO `catalog_category_entity_varchar` (attribute_id,store_id,entity_id,value) VALUES (48,0,270,'img3/imgead6.jpg');</v>
      </c>
      <c r="C165" t="str">
        <f>VLOOKUP(categories!B165,'categories-old'!B:G,6,FALSE)</f>
        <v>/img3/imgead6.jpg</v>
      </c>
      <c r="D165" t="str">
        <f>VLOOKUP(categories!B165,'categories-old'!B:H,7,FALSE)</f>
        <v>www.americanretailsupply.com/65039/Baskets-BracketsDouble-Hooks.html</v>
      </c>
    </row>
    <row r="166" spans="1:5" hidden="1" x14ac:dyDescent="0.25">
      <c r="A166" t="str">
        <f>IF(LEN('categories-old'!G166) &gt; 0, "INSERT INTO `catalog_category_entity_varchar` (attribute_id,store_id,entity_id,value) VALUES (48,0,"&amp;'categories-old'!B166&amp;",'"&amp;RIGHT('categories-old'!G166,LEN('categories-old'!G166)-1)&amp;"');","")</f>
        <v>INSERT INTO `catalog_category_entity_varchar` (attribute_id,store_id,entity_id,value) VALUES (48,0,563,'img1/imga660.jpg');</v>
      </c>
      <c r="B166" t="str">
        <f>IF(LEN(categories!G166) &gt; 0, "INSERT INTO `catalog_category_entity_varchar` (attribute_id,store_id,entity_id,value) VALUES (48,0,"&amp;categories!B166&amp;",'"&amp;RIGHT(categories!G166,LEN(categories!G166)-1)&amp;"');","")</f>
        <v>INSERT INTO `catalog_category_entity_varchar` (attribute_id,store_id,entity_id,value) VALUES (48,0,563,'img1/imga660.jpg');</v>
      </c>
      <c r="C166" t="str">
        <f>VLOOKUP(categories!B166,'categories-old'!B:G,6,FALSE)</f>
        <v>/img1/imga660.jpg</v>
      </c>
      <c r="D166" t="str">
        <f>VLOOKUP(categories!B166,'categories-old'!B:H,7,FALSE)</f>
        <v>www.americanretailsupply.com/65038/Galvanized-Ball-Tip-PegHooks.html</v>
      </c>
    </row>
    <row r="167" spans="1:5" hidden="1" x14ac:dyDescent="0.25">
      <c r="A167" t="str">
        <f>IF(LEN('categories-old'!G167) &gt; 0, "INSERT INTO `catalog_category_entity_varchar` (attribute_id,store_id,entity_id,value) VALUES (48,0,"&amp;'categories-old'!B167&amp;",'"&amp;RIGHT('categories-old'!G167,LEN('categories-old'!G167)-1)&amp;"');","")</f>
        <v>INSERT INTO `catalog_category_entity_varchar` (attribute_id,store_id,entity_id,value) VALUES (48,0,1130,'img3/imgc5dd.jpg');</v>
      </c>
      <c r="B167" t="str">
        <f>IF(LEN(categories!G167) &gt; 0, "INSERT INTO `catalog_category_entity_varchar` (attribute_id,store_id,entity_id,value) VALUES (48,0,"&amp;categories!B167&amp;",'"&amp;RIGHT(categories!G167,LEN(categories!G167)-1)&amp;"');","")</f>
        <v>INSERT INTO `catalog_category_entity_varchar` (attribute_id,store_id,entity_id,value) VALUES (48,0,1130,'img3/imgc5dd.jpg');</v>
      </c>
      <c r="C167" t="str">
        <f>VLOOKUP(categories!B167,'categories-old'!B:G,6,FALSE)</f>
        <v>/img3/imgc5dd.jpg</v>
      </c>
      <c r="D167" t="str">
        <f>VLOOKUP(categories!B167,'categories-old'!B:H,7,FALSE)</f>
        <v>www.americanretailsupply.com/65037/Scanner-Hooks.html</v>
      </c>
    </row>
    <row r="168" spans="1:5" hidden="1" x14ac:dyDescent="0.25">
      <c r="A168" t="str">
        <f>IF(LEN('categories-old'!G168) &gt; 0, "INSERT INTO `catalog_category_entity_varchar` (attribute_id,store_id,entity_id,value) VALUES (48,0,"&amp;'categories-old'!B168&amp;",'"&amp;RIGHT('categories-old'!G168,LEN('categories-old'!G168)-1)&amp;"');","")</f>
        <v>INSERT INTO `catalog_category_entity_varchar` (attribute_id,store_id,entity_id,value) VALUES (48,0,269,'img3/imga87a.jpg');</v>
      </c>
      <c r="B168" t="str">
        <f>IF(LEN(categories!G168) &gt; 0, "INSERT INTO `catalog_category_entity_varchar` (attribute_id,store_id,entity_id,value) VALUES (48,0,"&amp;categories!B168&amp;",'"&amp;RIGHT(categories!G168,LEN(categories!G168)-1)&amp;"');","")</f>
        <v>INSERT INTO `catalog_category_entity_varchar` (attribute_id,store_id,entity_id,value) VALUES (48,0,269,'img3/imga87a.jpg');</v>
      </c>
      <c r="C168" t="str">
        <f>VLOOKUP(categories!B168,'categories-old'!B:G,6,FALSE)</f>
        <v>/img3/imga87a.jpg</v>
      </c>
      <c r="D168" t="str">
        <f>VLOOKUP(categories!B168,'categories-old'!B:H,7,FALSE)</f>
        <v>www.americanretailsupply.com/64938/PegBoard-Hooks--Baskets.html</v>
      </c>
    </row>
    <row r="169" spans="1:5" hidden="1" x14ac:dyDescent="0.25">
      <c r="A169" t="str">
        <f>IF(LEN('categories-old'!G169) &gt; 0, "INSERT INTO `catalog_category_entity_varchar` (attribute_id,store_id,entity_id,value) VALUES (48,0,"&amp;'categories-old'!B169&amp;",'"&amp;RIGHT('categories-old'!G169,LEN('categories-old'!G169)-1)&amp;"');","")</f>
        <v>INSERT INTO `catalog_category_entity_varchar` (attribute_id,store_id,entity_id,value) VALUES (48,0,31,'img1/imgd945.jpg');</v>
      </c>
      <c r="B169" t="str">
        <f>IF(LEN(categories!G169) &gt; 0, "INSERT INTO `catalog_category_entity_varchar` (attribute_id,store_id,entity_id,value) VALUES (48,0,"&amp;categories!B169&amp;",'"&amp;RIGHT(categories!G169,LEN(categories!G169)-1)&amp;"');","")</f>
        <v>INSERT INTO `catalog_category_entity_varchar` (attribute_id,store_id,entity_id,value) VALUES (48,0,31,'img1/imgd945.jpg');</v>
      </c>
      <c r="C169" t="str">
        <f>VLOOKUP(categories!B169,'categories-old'!B:G,6,FALSE)</f>
        <v>/img1/imgd945.jpg</v>
      </c>
      <c r="D169" t="str">
        <f>VLOOKUP(categories!B169,'categories-old'!B:H,7,FALSE)</f>
        <v>www.americanretailsupply.com/65349/3D-Textured-Slatwall.html</v>
      </c>
    </row>
    <row r="170" spans="1:5" x14ac:dyDescent="0.25">
      <c r="A170" t="str">
        <f>IF(LEN('categories-old'!G170) &gt; 0, "INSERT INTO `catalog_category_entity_varchar` (attribute_id,store_id,entity_id,value) VALUES (48,0,"&amp;'categories-old'!B170&amp;",'"&amp;RIGHT('categories-old'!G170,LEN('categories-old'!G170)-1)&amp;"');","")</f>
        <v/>
      </c>
      <c r="B170" t="str">
        <f>IF(LEN(categories!G170) &gt; 0, "INSERT INTO `catalog_category_entity_varchar` (attribute_id,store_id,entity_id,value) VALUES (48,0,"&amp;categories!B170&amp;",'"&amp;RIGHT(categories!G170,LEN(categories!G170)-1)&amp;"');","")</f>
        <v>INSERT INTO `catalog_category_entity_varchar` (attribute_id,store_id,entity_id,value) VALUES (48,0,116,'img3/imgf048.jpg');</v>
      </c>
      <c r="C170">
        <f>VLOOKUP(categories!B170,'categories-old'!B:G,6,FALSE)</f>
        <v>0</v>
      </c>
      <c r="D170" t="str">
        <f>VLOOKUP(categories!B170,'categories-old'!B:H,7,FALSE)</f>
        <v>www.americanretailsupply.com/64944/Acrylic-for-Slatwall.html</v>
      </c>
      <c r="E170" t="str">
        <f>SUBSTITUTE(SUBSTITUTE(D170,"\","/"),"www.americanretailsupply.com/","")</f>
        <v>64944/Acrylic-for-Slatwall.html</v>
      </c>
    </row>
    <row r="171" spans="1:5" hidden="1" x14ac:dyDescent="0.25">
      <c r="A171" t="str">
        <f>IF(LEN('categories-old'!G171) &gt; 0, "INSERT INTO `catalog_category_entity_varchar` (attribute_id,store_id,entity_id,value) VALUES (48,0,"&amp;'categories-old'!B171&amp;",'"&amp;RIGHT('categories-old'!G171,LEN('categories-old'!G171)-1)&amp;"');","")</f>
        <v>INSERT INTO `catalog_category_entity_varchar` (attribute_id,store_id,entity_id,value) VALUES (48,0,1201,'img2/img8f7e.jpg');</v>
      </c>
      <c r="B171" t="str">
        <f>IF(LEN(categories!G171) &gt; 0, "INSERT INTO `catalog_category_entity_varchar` (attribute_id,store_id,entity_id,value) VALUES (48,0,"&amp;categories!B171&amp;",'"&amp;RIGHT(categories!G171,LEN(categories!G171)-1)&amp;"');","")</f>
        <v>INSERT INTO `catalog_category_entity_varchar` (attribute_id,store_id,entity_id,value) VALUES (48,0,1201,'img2/img8f7e.jpg');</v>
      </c>
      <c r="C171" t="str">
        <f>VLOOKUP(categories!B171,'categories-old'!B:G,6,FALSE)</f>
        <v>/img2/img8f7e.jpg</v>
      </c>
      <c r="D171" t="str">
        <f>VLOOKUP(categories!B171,'categories-old'!B:H,7,FALSE)</f>
        <v>www.americanretailsupply.com/64945/Slatbox-Displays.html</v>
      </c>
    </row>
    <row r="172" spans="1:5" hidden="1" x14ac:dyDescent="0.25">
      <c r="A172" t="str">
        <f>IF(LEN('categories-old'!G172) &gt; 0, "INSERT INTO `catalog_category_entity_varchar` (attribute_id,store_id,entity_id,value) VALUES (48,0,"&amp;'categories-old'!B172&amp;",'"&amp;RIGHT('categories-old'!G172,LEN('categories-old'!G172)-1)&amp;"');","")</f>
        <v>INSERT INTO `catalog_category_entity_varchar` (attribute_id,store_id,entity_id,value) VALUES (48,0,1213,'img3/img9531.jpg');</v>
      </c>
      <c r="B172" t="str">
        <f>IF(LEN(categories!G172) &gt; 0, "INSERT INTO `catalog_category_entity_varchar` (attribute_id,store_id,entity_id,value) VALUES (48,0,"&amp;categories!B172&amp;",'"&amp;RIGHT(categories!G172,LEN(categories!G172)-1)&amp;"');","")</f>
        <v>INSERT INTO `catalog_category_entity_varchar` (attribute_id,store_id,entity_id,value) VALUES (48,0,1213,'img3/img9531.jpg');</v>
      </c>
      <c r="C172" t="str">
        <f>VLOOKUP(categories!B172,'categories-old'!B:G,6,FALSE)</f>
        <v>/img3/img9531.jpg</v>
      </c>
      <c r="D172" t="str">
        <f>VLOOKUP(categories!B172,'categories-old'!B:H,7,FALSE)</f>
        <v>www.americanretailsupply.com/64946/Slatwall-Free-Standing-Displays.html</v>
      </c>
    </row>
    <row r="173" spans="1:5" hidden="1" x14ac:dyDescent="0.25">
      <c r="A173" t="str">
        <f>IF(LEN('categories-old'!G173) &gt; 0, "INSERT INTO `catalog_category_entity_varchar` (attribute_id,store_id,entity_id,value) VALUES (48,0,"&amp;'categories-old'!B173&amp;",'"&amp;RIGHT('categories-old'!G173,LEN('categories-old'!G173)-1)&amp;"');","")</f>
        <v>INSERT INTO `catalog_category_entity_varchar` (attribute_id,store_id,entity_id,value) VALUES (48,0,1221,'img1/imgd01a.jpg');</v>
      </c>
      <c r="B173" t="str">
        <f>IF(LEN(categories!G173) &gt; 0, "INSERT INTO `catalog_category_entity_varchar` (attribute_id,store_id,entity_id,value) VALUES (48,0,"&amp;categories!B173&amp;",'"&amp;RIGHT(categories!G173,LEN(categories!G173)-1)&amp;"');","")</f>
        <v>INSERT INTO `catalog_category_entity_varchar` (attribute_id,store_id,entity_id,value) VALUES (48,0,1221,'img1/imgd01a.jpg');</v>
      </c>
      <c r="C173" t="str">
        <f>VLOOKUP(categories!B173,'categories-old'!B:G,6,FALSE)</f>
        <v>/img1/imgd01a.jpg</v>
      </c>
      <c r="D173" t="str">
        <f>VLOOKUP(categories!B173,'categories-old'!B:H,7,FALSE)</f>
        <v>www.americanretailsupply.com/64942/Traditional-Slatwall-Panels--Inserts.html</v>
      </c>
    </row>
    <row r="174" spans="1:5" hidden="1" x14ac:dyDescent="0.25">
      <c r="A174" t="str">
        <f>IF(LEN('categories-old'!G174) &gt; 0, "INSERT INTO `catalog_category_entity_varchar` (attribute_id,store_id,entity_id,value) VALUES (48,0,"&amp;'categories-old'!B174&amp;",'"&amp;RIGHT('categories-old'!G174,LEN('categories-old'!G174)-1)&amp;"');","")</f>
        <v>INSERT INTO `catalog_category_entity_varchar` (attribute_id,store_id,entity_id,value) VALUES (48,0,30,'img2/img22f5.jpg');</v>
      </c>
      <c r="B174" t="str">
        <f>IF(LEN(categories!G174) &gt; 0, "INSERT INTO `catalog_category_entity_varchar` (attribute_id,store_id,entity_id,value) VALUES (48,0,"&amp;categories!B174&amp;",'"&amp;RIGHT(categories!G174,LEN(categories!G174)-1)&amp;"');","")</f>
        <v>INSERT INTO `catalog_category_entity_varchar` (attribute_id,store_id,entity_id,value) VALUES (48,0,30,'img2/img22f5.jpg');</v>
      </c>
      <c r="C174" t="str">
        <f>VLOOKUP(categories!B174,'categories-old'!B:G,6,FALSE)</f>
        <v>/img2/img22f5.jpg</v>
      </c>
      <c r="D174" t="str">
        <f>VLOOKUP(categories!B174,'categories-old'!B:H,7,FALSE)</f>
        <v>www.americanretailsupply.com/64935/Slatwall.html</v>
      </c>
    </row>
    <row r="175" spans="1:5" hidden="1" x14ac:dyDescent="0.25">
      <c r="A175" t="str">
        <f>IF(LEN('categories-old'!G175) &gt; 0, "INSERT INTO `catalog_category_entity_varchar` (attribute_id,store_id,entity_id,value) VALUES (48,0,"&amp;'categories-old'!B175&amp;",'"&amp;RIGHT('categories-old'!G175,LEN('categories-old'!G175)-1)&amp;"');","")</f>
        <v>INSERT INTO `catalog_category_entity_varchar` (attribute_id,store_id,entity_id,value) VALUES (48,0,223,'img3/img2773.jpg');</v>
      </c>
      <c r="B175" t="str">
        <f>IF(LEN(categories!G175) &gt; 0, "INSERT INTO `catalog_category_entity_varchar` (attribute_id,store_id,entity_id,value) VALUES (48,0,"&amp;categories!B175&amp;",'"&amp;RIGHT(categories!G175,LEN(categories!G175)-1)&amp;"');","")</f>
        <v>INSERT INTO `catalog_category_entity_varchar` (attribute_id,store_id,entity_id,value) VALUES (48,0,223,'img3/img2773.jpg');</v>
      </c>
      <c r="C175" t="str">
        <f>VLOOKUP(categories!B175,'categories-old'!B:G,6,FALSE)</f>
        <v>/img3/img2773.jpg</v>
      </c>
      <c r="D175" t="str">
        <f>VLOOKUP(categories!B175,'categories-old'!B:H,7,FALSE)</f>
        <v>www.americanretailsupply.com/64967/Aristocrat-Extra-HD-Brackets.html</v>
      </c>
    </row>
    <row r="176" spans="1:5" hidden="1" x14ac:dyDescent="0.25">
      <c r="A176" t="str">
        <f>IF(LEN('categories-old'!G176) &gt; 0, "INSERT INTO `catalog_category_entity_varchar` (attribute_id,store_id,entity_id,value) VALUES (48,0,"&amp;'categories-old'!B176&amp;",'"&amp;RIGHT('categories-old'!G176,LEN('categories-old'!G176)-1)&amp;"');","")</f>
        <v>INSERT INTO `catalog_category_entity_varchar` (attribute_id,store_id,entity_id,value) VALUES (48,0,234,'img1/imgcd31.jpg');</v>
      </c>
      <c r="B176" t="str">
        <f>IF(LEN(categories!G176) &gt; 0, "INSERT INTO `catalog_category_entity_varchar` (attribute_id,store_id,entity_id,value) VALUES (48,0,"&amp;categories!B176&amp;",'"&amp;RIGHT(categories!G176,LEN(categories!G176)-1)&amp;"');","")</f>
        <v>INSERT INTO `catalog_category_entity_varchar` (attribute_id,store_id,entity_id,value) VALUES (48,0,234,'img1/imgcd31.jpg');</v>
      </c>
      <c r="C176" t="str">
        <f>VLOOKUP(categories!B176,'categories-old'!B:G,6,FALSE)</f>
        <v>/img1/imgcd31.jpg</v>
      </c>
      <c r="D176" t="str">
        <f>VLOOKUP(categories!B176,'categories-old'!B:H,7,FALSE)</f>
        <v>www.americanretailsupply.com/64968/Aristocrat-Extra-HD-Standards.html</v>
      </c>
    </row>
    <row r="177" spans="1:5" hidden="1" x14ac:dyDescent="0.25">
      <c r="A177" t="str">
        <f>IF(LEN('categories-old'!G177) &gt; 0, "INSERT INTO `catalog_category_entity_varchar` (attribute_id,store_id,entity_id,value) VALUES (48,0,"&amp;'categories-old'!B177&amp;",'"&amp;RIGHT('categories-old'!G177,LEN('categories-old'!G177)-1)&amp;"');","")</f>
        <v>INSERT INTO `catalog_category_entity_varchar` (attribute_id,store_id,entity_id,value) VALUES (48,0,1062,'img2/img3c0b.jpg');</v>
      </c>
      <c r="B177" t="str">
        <f>IF(LEN(categories!G177) &gt; 0, "INSERT INTO `catalog_category_entity_varchar` (attribute_id,store_id,entity_id,value) VALUES (48,0,"&amp;categories!B177&amp;",'"&amp;RIGHT(categories!G177,LEN(categories!G177)-1)&amp;"');","")</f>
        <v>INSERT INTO `catalog_category_entity_varchar` (attribute_id,store_id,entity_id,value) VALUES (48,0,1062,'img2/img3c0b.jpg');</v>
      </c>
      <c r="C177" t="str">
        <f>VLOOKUP(categories!B177,'categories-old'!B:G,6,FALSE)</f>
        <v>/img2/img3c0b.jpg</v>
      </c>
      <c r="D177" t="str">
        <f>VLOOKUP(categories!B177,'categories-old'!B:H,7,FALSE)</f>
        <v>www.americanretailsupply.com/64969/Quantum-Extra-HD-Brackets.html</v>
      </c>
    </row>
    <row r="178" spans="1:5" hidden="1" x14ac:dyDescent="0.25">
      <c r="A178" t="str">
        <f>IF(LEN('categories-old'!G178) &gt; 0, "INSERT INTO `catalog_category_entity_varchar` (attribute_id,store_id,entity_id,value) VALUES (48,0,"&amp;'categories-old'!B178&amp;",'"&amp;RIGHT('categories-old'!G178,LEN('categories-old'!G178)-1)&amp;"');","")</f>
        <v>INSERT INTO `catalog_category_entity_varchar` (attribute_id,store_id,entity_id,value) VALUES (48,0,1075,'img2/img30e0.jpg');</v>
      </c>
      <c r="B178" t="str">
        <f>IF(LEN(categories!G178) &gt; 0, "INSERT INTO `catalog_category_entity_varchar` (attribute_id,store_id,entity_id,value) VALUES (48,0,"&amp;categories!B178&amp;",'"&amp;RIGHT(categories!G178,LEN(categories!G178)-1)&amp;"');","")</f>
        <v>INSERT INTO `catalog_category_entity_varchar` (attribute_id,store_id,entity_id,value) VALUES (48,0,1075,'img2/img30e0.jpg');</v>
      </c>
      <c r="C178" t="str">
        <f>VLOOKUP(categories!B178,'categories-old'!B:G,6,FALSE)</f>
        <v>/img2/img30e0.jpg</v>
      </c>
      <c r="D178" t="str">
        <f>VLOOKUP(categories!B178,'categories-old'!B:H,7,FALSE)</f>
        <v>www.americanretailsupply.com/64970/Quantum-Extra-HD-Wall-Standards.html</v>
      </c>
    </row>
    <row r="179" spans="1:5" hidden="1" x14ac:dyDescent="0.25">
      <c r="A179" t="str">
        <f>IF(LEN('categories-old'!G179) &gt; 0, "INSERT INTO `catalog_category_entity_varchar` (attribute_id,store_id,entity_id,value) VALUES (48,0,"&amp;'categories-old'!B179&amp;",'"&amp;RIGHT('categories-old'!G179,LEN('categories-old'!G179)-1)&amp;"');","")</f>
        <v>INSERT INTO `catalog_category_entity_varchar` (attribute_id,store_id,entity_id,value) VALUES (48,0,1333,'img1/img7803.jpg');</v>
      </c>
      <c r="B179" t="str">
        <f>IF(LEN(categories!G179) &gt; 0, "INSERT INTO `catalog_category_entity_varchar` (attribute_id,store_id,entity_id,value) VALUES (48,0,"&amp;categories!B179&amp;",'"&amp;RIGHT(categories!G179,LEN(categories!G179)-1)&amp;"');","")</f>
        <v>INSERT INTO `catalog_category_entity_varchar` (attribute_id,store_id,entity_id,value) VALUES (48,0,1333,'img1/img7803.jpg');</v>
      </c>
      <c r="C179" t="str">
        <f>VLOOKUP(categories!B179,'categories-old'!B:G,6,FALSE)</f>
        <v>/img1/img7803.jpg</v>
      </c>
      <c r="D179" t="str">
        <f>VLOOKUP(categories!B179,'categories-old'!B:H,7,FALSE)</f>
        <v>www.americanretailsupply.com/64966/Universal-HD-Brackets.html</v>
      </c>
    </row>
    <row r="180" spans="1:5" hidden="1" x14ac:dyDescent="0.25">
      <c r="A180" t="str">
        <f>IF(LEN('categories-old'!G180) &gt; 0, "INSERT INTO `catalog_category_entity_varchar` (attribute_id,store_id,entity_id,value) VALUES (48,0,"&amp;'categories-old'!B180&amp;",'"&amp;RIGHT('categories-old'!G180,LEN('categories-old'!G180)-1)&amp;"');","")</f>
        <v>INSERT INTO `catalog_category_entity_varchar` (attribute_id,store_id,entity_id,value) VALUES (48,0,1348,'img3/img12c2.jpg');</v>
      </c>
      <c r="B180" t="str">
        <f>IF(LEN(categories!G180) &gt; 0, "INSERT INTO `catalog_category_entity_varchar` (attribute_id,store_id,entity_id,value) VALUES (48,0,"&amp;categories!B180&amp;",'"&amp;RIGHT(categories!G180,LEN(categories!G180)-1)&amp;"');","")</f>
        <v>INSERT INTO `catalog_category_entity_varchar` (attribute_id,store_id,entity_id,value) VALUES (48,0,1348,'img3/img12c2.jpg');</v>
      </c>
      <c r="C180" t="str">
        <f>VLOOKUP(categories!B180,'categories-old'!B:G,6,FALSE)</f>
        <v>/img3/img12c2.jpg</v>
      </c>
      <c r="D180" t="str">
        <f>VLOOKUP(categories!B180,'categories-old'!B:H,7,FALSE)</f>
        <v>www.americanretailsupply.com/64965/Universal-HD-Wall-Standards.html</v>
      </c>
    </row>
    <row r="181" spans="1:5" hidden="1" x14ac:dyDescent="0.25">
      <c r="A181" t="str">
        <f>IF(LEN('categories-old'!G181) &gt; 0, "INSERT INTO `catalog_category_entity_varchar` (attribute_id,store_id,entity_id,value) VALUES (48,0,"&amp;'categories-old'!B181&amp;",'"&amp;RIGHT('categories-old'!G181,LEN('categories-old'!G181)-1)&amp;"');","")</f>
        <v>INSERT INTO `catalog_category_entity_varchar` (attribute_id,store_id,entity_id,value) VALUES (48,0,222,'img2/img470d.jpg');</v>
      </c>
      <c r="B181" t="str">
        <f>IF(LEN(categories!G181) &gt; 0, "INSERT INTO `catalog_category_entity_varchar` (attribute_id,store_id,entity_id,value) VALUES (48,0,"&amp;categories!B181&amp;",'"&amp;RIGHT(categories!G181,LEN(categories!G181)-1)&amp;"');","")</f>
        <v>INSERT INTO `catalog_category_entity_varchar` (attribute_id,store_id,entity_id,value) VALUES (48,0,222,'img2/img470d.jpg');</v>
      </c>
      <c r="C181" t="str">
        <f>VLOOKUP(categories!B181,'categories-old'!B:G,6,FALSE)</f>
        <v>/img2/img470d.jpg</v>
      </c>
      <c r="D181" t="str">
        <f>VLOOKUP(categories!B181,'categories-old'!B:H,7,FALSE)</f>
        <v>www.americanretailsupply.com/64952/Slotted-Wall-Standards--Accessories.html</v>
      </c>
    </row>
    <row r="182" spans="1:5" x14ac:dyDescent="0.25">
      <c r="A182" t="str">
        <f>IF(LEN('categories-old'!G182) &gt; 0, "INSERT INTO `catalog_category_entity_varchar` (attribute_id,store_id,entity_id,value) VALUES (48,0,"&amp;'categories-old'!B182&amp;",'"&amp;RIGHT('categories-old'!G182,LEN('categories-old'!G182)-1)&amp;"');","")</f>
        <v/>
      </c>
      <c r="B182" t="str">
        <f>IF(LEN(categories!G182) &gt; 0, "INSERT INTO `catalog_category_entity_varchar` (attribute_id,store_id,entity_id,value) VALUES (48,0,"&amp;categories!B182&amp;",'"&amp;RIGHT(categories!G182,LEN(categories!G182)-1)&amp;"');","")</f>
        <v>INSERT INTO `catalog_category_entity_varchar` (attribute_id,store_id,entity_id,value) VALUES (48,0,1358,'img2/imgb35e.jpg');</v>
      </c>
      <c r="C182">
        <f>VLOOKUP(categories!B182,'categories-old'!B:G,6,FALSE)</f>
        <v>0</v>
      </c>
      <c r="D182" t="str">
        <f>VLOOKUP(categories!B182,'categories-old'!B:H,7,FALSE)</f>
        <v>www.americanretailsupply.com/64940/Wallmount-Brackets.html</v>
      </c>
      <c r="E182" t="str">
        <f>SUBSTITUTE(SUBSTITUTE(D182,"\","/"),"www.americanretailsupply.com/","")</f>
        <v>64940/Wallmount-Brackets.html</v>
      </c>
    </row>
    <row r="183" spans="1:5" hidden="1" x14ac:dyDescent="0.25">
      <c r="A183" t="str">
        <f>IF(LEN('categories-old'!G183) &gt; 0, "INSERT INTO `catalog_category_entity_varchar` (attribute_id,store_id,entity_id,value) VALUES (48,0,"&amp;'categories-old'!B183&amp;",'"&amp;RIGHT('categories-old'!G183,LEN('categories-old'!G183)-1)&amp;"');","")</f>
        <v>INSERT INTO `catalog_category_entity_varchar` (attribute_id,store_id,entity_id,value) VALUES (48,0,29,'img2/img65a0.jpg');</v>
      </c>
      <c r="B183" t="str">
        <f>IF(LEN(categories!G183) &gt; 0, "INSERT INTO `catalog_category_entity_varchar` (attribute_id,store_id,entity_id,value) VALUES (48,0,"&amp;categories!B183&amp;",'"&amp;RIGHT(categories!G183,LEN(categories!G183)-1)&amp;"');","")</f>
        <v>INSERT INTO `catalog_category_entity_varchar` (attribute_id,store_id,entity_id,value) VALUES (48,0,29,'img2/img65a0.jpg');</v>
      </c>
      <c r="C183" t="str">
        <f>VLOOKUP(categories!B183,'categories-old'!B:G,6,FALSE)</f>
        <v>/img2/img65a0.jpg</v>
      </c>
      <c r="D183" t="str">
        <f>VLOOKUP(categories!B183,'categories-old'!B:H,7,FALSE)</f>
        <v>www.americanretailsupply.com/64921/Slatwall-Gridwall-Wall-Display.html</v>
      </c>
    </row>
    <row r="184" spans="1:5" x14ac:dyDescent="0.25">
      <c r="A184" t="str">
        <f>IF(LEN('categories-old'!G184) &gt; 0, "INSERT INTO `catalog_category_entity_varchar` (attribute_id,store_id,entity_id,value) VALUES (48,0,"&amp;'categories-old'!B184&amp;",'"&amp;RIGHT('categories-old'!G184,LEN('categories-old'!G184)-1)&amp;"');","")</f>
        <v/>
      </c>
      <c r="B184" t="str">
        <f>IF(LEN(categories!G184) &gt; 0, "INSERT INTO `catalog_category_entity_varchar` (attribute_id,store_id,entity_id,value) VALUES (48,0,"&amp;categories!B184&amp;",'"&amp;RIGHT(categories!G184,LEN(categories!G184)-1)&amp;"');","")</f>
        <v>INSERT INTO `catalog_category_entity_varchar` (attribute_id,store_id,entity_id,value) VALUES (48,0,70,'img1/imgde32.jpg');</v>
      </c>
      <c r="C184">
        <f>VLOOKUP(categories!B184,'categories-old'!B:G,6,FALSE)</f>
        <v>0</v>
      </c>
      <c r="D184" t="str">
        <f>VLOOKUP(categories!B184,'categories-old'!B:H,7,FALSE)</f>
        <v>www.americanretailsupply.com/64770/Acrylic-Bins-Trays-Easels.html</v>
      </c>
      <c r="E184" t="str">
        <f t="shared" ref="E184:E185" si="8">SUBSTITUTE(SUBSTITUTE(D184,"\","/"),"www.americanretailsupply.com/","")</f>
        <v>64770/Acrylic-Bins-Trays-Easels.html</v>
      </c>
    </row>
    <row r="185" spans="1:5" x14ac:dyDescent="0.25">
      <c r="A185" t="str">
        <f>IF(LEN('categories-old'!G185) &gt; 0, "INSERT INTO `catalog_category_entity_varchar` (attribute_id,store_id,entity_id,value) VALUES (48,0,"&amp;'categories-old'!B185&amp;",'"&amp;RIGHT('categories-old'!G185,LEN('categories-old'!G185)-1)&amp;"');","")</f>
        <v/>
      </c>
      <c r="B185" t="str">
        <f>IF(LEN(categories!G185) &gt; 0, "INSERT INTO `catalog_category_entity_varchar` (attribute_id,store_id,entity_id,value) VALUES (48,0,"&amp;categories!B185&amp;",'"&amp;RIGHT(categories!G185,LEN(categories!G185)-1)&amp;"');","")</f>
        <v>INSERT INTO `catalog_category_entity_varchar` (attribute_id,store_id,entity_id,value) VALUES (48,0,85,'img2/img3461.jpg');</v>
      </c>
      <c r="C185">
        <f>VLOOKUP(categories!B185,'categories-old'!B:G,6,FALSE)</f>
        <v>0</v>
      </c>
      <c r="D185" t="str">
        <f>VLOOKUP(categories!B185,'categories-old'!B:H,7,FALSE)</f>
        <v>www.americanretailsupply.com/64779/Acrylic-Countertop-Displays.html</v>
      </c>
      <c r="E185" t="str">
        <f t="shared" si="8"/>
        <v>64779/Acrylic-Countertop-Displays.html</v>
      </c>
    </row>
    <row r="186" spans="1:5" hidden="1" x14ac:dyDescent="0.25">
      <c r="A186" t="str">
        <f>IF(LEN('categories-old'!G186) &gt; 0, "INSERT INTO `catalog_category_entity_varchar` (attribute_id,store_id,entity_id,value) VALUES (48,0,"&amp;'categories-old'!B186&amp;",'"&amp;RIGHT('categories-old'!G186,LEN('categories-old'!G186)-1)&amp;"');","")</f>
        <v>INSERT INTO `catalog_category_entity_varchar` (attribute_id,store_id,entity_id,value) VALUES (48,0,104,'img3/img06be.jpg');</v>
      </c>
      <c r="B186" t="str">
        <f>IF(LEN(categories!G186) &gt; 0, "INSERT INTO `catalog_category_entity_varchar` (attribute_id,store_id,entity_id,value) VALUES (48,0,"&amp;categories!B186&amp;",'"&amp;RIGHT(categories!G186,LEN(categories!G186)-1)&amp;"');","")</f>
        <v>INSERT INTO `catalog_category_entity_varchar` (attribute_id,store_id,entity_id,value) VALUES (48,0,104,'img3/img06be.jpg');</v>
      </c>
      <c r="C186" t="str">
        <f>VLOOKUP(categories!B186,'categories-old'!B:G,6,FALSE)</f>
        <v>/img3/img06be.jpg</v>
      </c>
      <c r="D186" t="str">
        <f>VLOOKUP(categories!B186,'categories-old'!B:H,7,FALSE)</f>
        <v>www.americanretailsupply.com/64768/Acrylic-E--Cig-Displays.html</v>
      </c>
    </row>
    <row r="187" spans="1:5" x14ac:dyDescent="0.25">
      <c r="A187" t="str">
        <f>IF(LEN('categories-old'!G187) &gt; 0, "INSERT INTO `catalog_category_entity_varchar` (attribute_id,store_id,entity_id,value) VALUES (48,0,"&amp;'categories-old'!B187&amp;",'"&amp;RIGHT('categories-old'!G187,LEN('categories-old'!G187)-1)&amp;"');","")</f>
        <v/>
      </c>
      <c r="B187" t="str">
        <f>IF(LEN(categories!G187) &gt; 0, "INSERT INTO `catalog_category_entity_varchar` (attribute_id,store_id,entity_id,value) VALUES (48,0,"&amp;categories!B187&amp;",'"&amp;RIGHT(categories!G187,LEN(categories!G187)-1)&amp;"');","")</f>
        <v>INSERT INTO `catalog_category_entity_varchar` (attribute_id,store_id,entity_id,value) VALUES (48,0,165,'img1/imga339.jpg');</v>
      </c>
      <c r="C187">
        <f>VLOOKUP(categories!B187,'categories-old'!B:G,6,FALSE)</f>
        <v>0</v>
      </c>
      <c r="D187" t="str">
        <f>VLOOKUP(categories!B187,'categories-old'!B:H,7,FALSE)</f>
        <v>www.americanretailsupply.com/64769/Acrylic-Risers--Cubes.html</v>
      </c>
      <c r="E187" t="str">
        <f t="shared" ref="E187:E188" si="9">SUBSTITUTE(SUBSTITUTE(D187,"\","/"),"www.americanretailsupply.com/","")</f>
        <v>64769/Acrylic-Risers--Cubes.html</v>
      </c>
    </row>
    <row r="188" spans="1:5" x14ac:dyDescent="0.25">
      <c r="A188" t="str">
        <f>IF(LEN('categories-old'!G188) &gt; 0, "INSERT INTO `catalog_category_entity_varchar` (attribute_id,store_id,entity_id,value) VALUES (48,0,"&amp;'categories-old'!B188&amp;",'"&amp;RIGHT('categories-old'!G188,LEN('categories-old'!G188)-1)&amp;"');","")</f>
        <v/>
      </c>
      <c r="B188" t="str">
        <f>IF(LEN(categories!G188) &gt; 0, "INSERT INTO `catalog_category_entity_varchar` (attribute_id,store_id,entity_id,value) VALUES (48,0,"&amp;categories!B188&amp;",'"&amp;RIGHT(categories!G188,LEN(categories!G188)-1)&amp;"');","")</f>
        <v>INSERT INTO `catalog_category_entity_varchar` (attribute_id,store_id,entity_id,value) VALUES (48,0,763,'img1/imgcd04.jpg');</v>
      </c>
      <c r="C188">
        <f>VLOOKUP(categories!B188,'categories-old'!B:G,6,FALSE)</f>
        <v>0</v>
      </c>
      <c r="D188" t="str">
        <f>VLOOKUP(categories!B188,'categories-old'!B:H,7,FALSE)</f>
        <v>www.americanretailsupply.com/64915/Jewelry-Apparel-Eyewear-Displays.html</v>
      </c>
      <c r="E188" t="str">
        <f t="shared" si="9"/>
        <v>64915/Jewelry-Apparel-Eyewear-Displays.html</v>
      </c>
    </row>
    <row r="189" spans="1:5" hidden="1" x14ac:dyDescent="0.25">
      <c r="A189" t="str">
        <f>IF(LEN('categories-old'!G189) &gt; 0, "INSERT INTO `catalog_category_entity_varchar` (attribute_id,store_id,entity_id,value) VALUES (48,0,"&amp;'categories-old'!B189&amp;",'"&amp;RIGHT('categories-old'!G189,LEN('categories-old'!G189)-1)&amp;"');","")</f>
        <v>INSERT INTO `catalog_category_entity_varchar` (attribute_id,store_id,entity_id,value) VALUES (48,0,69,'img3/img57df.jpg');</v>
      </c>
      <c r="B189" t="str">
        <f>IF(LEN(categories!G189) &gt; 0, "INSERT INTO `catalog_category_entity_varchar` (attribute_id,store_id,entity_id,value) VALUES (48,0,"&amp;categories!B189&amp;",'"&amp;RIGHT(categories!G189,LEN(categories!G189)-1)&amp;"');","")</f>
        <v>INSERT INTO `catalog_category_entity_varchar` (attribute_id,store_id,entity_id,value) VALUES (48,0,69,'img3/img57df.jpg');</v>
      </c>
      <c r="C189" t="str">
        <f>VLOOKUP(categories!B189,'categories-old'!B:G,6,FALSE)</f>
        <v>/img3/img57df.jpg</v>
      </c>
      <c r="D189" t="str">
        <f>VLOOKUP(categories!B189,'categories-old'!B:H,7,FALSE)</f>
        <v>www.americanretailsupply.com/64663/Acrylic-Displays.html</v>
      </c>
    </row>
    <row r="190" spans="1:5" x14ac:dyDescent="0.25">
      <c r="A190" t="str">
        <f>IF(LEN('categories-old'!G190) &gt; 0, "INSERT INTO `catalog_category_entity_varchar` (attribute_id,store_id,entity_id,value) VALUES (48,0,"&amp;'categories-old'!B190&amp;",'"&amp;RIGHT('categories-old'!G190,LEN('categories-old'!G190)-1)&amp;"');","")</f>
        <v/>
      </c>
      <c r="B190" t="str">
        <f>IF(LEN(categories!G190) &gt; 0, "INSERT INTO `catalog_category_entity_varchar` (attribute_id,store_id,entity_id,value) VALUES (48,0,"&amp;categories!B190&amp;",'"&amp;RIGHT(categories!G190,LEN(categories!G190)-1)&amp;"');","")</f>
        <v>INSERT INTO `catalog_category_entity_varchar` (attribute_id,store_id,entity_id,value) VALUES (48,0,310,'img3/img4575.jpg');</v>
      </c>
      <c r="C190">
        <f>VLOOKUP(categories!B190,'categories-old'!B:G,6,FALSE)</f>
        <v>0</v>
      </c>
      <c r="D190" t="str">
        <f>VLOOKUP(categories!B190,'categories-old'!B:H,7,FALSE)</f>
        <v>www.americanretailsupply.com/65182/CD-Video--Eyeware-Displays.html</v>
      </c>
      <c r="E190" t="str">
        <f t="shared" ref="E190:E194" si="10">SUBSTITUTE(SUBSTITUTE(D190,"\","/"),"www.americanretailsupply.com/","")</f>
        <v>65182/CD-Video--Eyeware-Displays.html</v>
      </c>
    </row>
    <row r="191" spans="1:5" x14ac:dyDescent="0.25">
      <c r="A191" t="str">
        <f>IF(LEN('categories-old'!G191) &gt; 0, "INSERT INTO `catalog_category_entity_varchar` (attribute_id,store_id,entity_id,value) VALUES (48,0,"&amp;'categories-old'!B191&amp;",'"&amp;RIGHT('categories-old'!G191,LEN('categories-old'!G191)-1)&amp;"');","")</f>
        <v/>
      </c>
      <c r="B191" t="str">
        <f>IF(LEN(categories!G191) &gt; 0, "INSERT INTO `catalog_category_entity_varchar` (attribute_id,store_id,entity_id,value) VALUES (48,0,"&amp;categories!B191&amp;",'"&amp;RIGHT(categories!G191,LEN(categories!G191)-1)&amp;"');","")</f>
        <v>INSERT INTO `catalog_category_entity_varchar` (attribute_id,store_id,entity_id,value) VALUES (48,0,409,'img2/imgb152.jpg');</v>
      </c>
      <c r="C191">
        <f>VLOOKUP(categories!B191,'categories-old'!B:G,6,FALSE)</f>
        <v>0</v>
      </c>
      <c r="D191" t="str">
        <f>VLOOKUP(categories!B191,'categories-old'!B:H,7,FALSE)</f>
        <v>www.americanretailsupply.com/65211/Contemporary-Raw-Steel-Displays.html</v>
      </c>
      <c r="E191" t="str">
        <f t="shared" si="10"/>
        <v>65211/Contemporary-Raw-Steel-Displays.html</v>
      </c>
    </row>
    <row r="192" spans="1:5" x14ac:dyDescent="0.25">
      <c r="A192" t="str">
        <f>IF(LEN('categories-old'!G192) &gt; 0, "INSERT INTO `catalog_category_entity_varchar` (attribute_id,store_id,entity_id,value) VALUES (48,0,"&amp;'categories-old'!B192&amp;",'"&amp;RIGHT('categories-old'!G192,LEN('categories-old'!G192)-1)&amp;"');","")</f>
        <v/>
      </c>
      <c r="B192" t="str">
        <f>IF(LEN(categories!G192) &gt; 0, "INSERT INTO `catalog_category_entity_varchar` (attribute_id,store_id,entity_id,value) VALUES (48,0,"&amp;categories!B192&amp;",'"&amp;RIGHT(categories!G192,LEN(categories!G192)-1)&amp;"');","")</f>
        <v>INSERT INTO `catalog_category_entity_varchar` (attribute_id,store_id,entity_id,value) VALUES (48,0,441,'img1/img4dd0.jpg');</v>
      </c>
      <c r="C192">
        <f>VLOOKUP(categories!B192,'categories-old'!B:G,6,FALSE)</f>
        <v>0</v>
      </c>
      <c r="D192" t="str">
        <f>VLOOKUP(categories!B192,'categories-old'!B:H,7,FALSE)</f>
        <v>www.americanretailsupply.com/64797/Counter-Top-Racks.html</v>
      </c>
      <c r="E192" t="str">
        <f t="shared" si="10"/>
        <v>64797/Counter-Top-Racks.html</v>
      </c>
    </row>
    <row r="193" spans="1:5" x14ac:dyDescent="0.25">
      <c r="A193" t="str">
        <f>IF(LEN('categories-old'!G193) &gt; 0, "INSERT INTO `catalog_category_entity_varchar` (attribute_id,store_id,entity_id,value) VALUES (48,0,"&amp;'categories-old'!B193&amp;",'"&amp;RIGHT('categories-old'!G193,LEN('categories-old'!G193)-1)&amp;"');","")</f>
        <v/>
      </c>
      <c r="B193" t="str">
        <f>IF(LEN(categories!G193) &gt; 0, "INSERT INTO `catalog_category_entity_varchar` (attribute_id,store_id,entity_id,value) VALUES (48,0,"&amp;categories!B193&amp;",'"&amp;RIGHT(categories!G193,LEN(categories!G193)-1)&amp;"');","")</f>
        <v>INSERT INTO `catalog_category_entity_varchar` (attribute_id,store_id,entity_id,value) VALUES (48,0,864,'img3/img049b.jpg');</v>
      </c>
      <c r="C193">
        <f>VLOOKUP(categories!B193,'categories-old'!B:G,6,FALSE)</f>
        <v>0</v>
      </c>
      <c r="D193" t="str">
        <f>VLOOKUP(categories!B193,'categories-old'!B:H,7,FALSE)</f>
        <v>www.americanretailsupply.com/65181/Literature-Racks.html</v>
      </c>
      <c r="E193" t="str">
        <f t="shared" si="10"/>
        <v>65181/Literature-Racks.html</v>
      </c>
    </row>
    <row r="194" spans="1:5" x14ac:dyDescent="0.25">
      <c r="A194" t="str">
        <f>IF(LEN('categories-old'!G194) &gt; 0, "INSERT INTO `catalog_category_entity_varchar` (attribute_id,store_id,entity_id,value) VALUES (48,0,"&amp;'categories-old'!B194&amp;",'"&amp;RIGHT('categories-old'!G194,LEN('categories-old'!G194)-1)&amp;"');","")</f>
        <v/>
      </c>
      <c r="B194" t="str">
        <f>IF(LEN(categories!G194) &gt; 0, "INSERT INTO `catalog_category_entity_varchar` (attribute_id,store_id,entity_id,value) VALUES (48,0,"&amp;categories!B194&amp;",'"&amp;RIGHT(categories!G194,LEN(categories!G194)-1)&amp;"');","")</f>
        <v>INSERT INTO `catalog_category_entity_varchar` (attribute_id,store_id,entity_id,value) VALUES (48,0,949,'img1/imgadc0.jpg');</v>
      </c>
      <c r="C194">
        <f>VLOOKUP(categories!B194,'categories-old'!B:G,6,FALSE)</f>
        <v>0</v>
      </c>
      <c r="D194" t="str">
        <f>VLOOKUP(categories!B194,'categories-old'!B:H,7,FALSE)</f>
        <v>www.americanretailsupply.com/65209/Modular-Birch-Displays.html</v>
      </c>
      <c r="E194" t="str">
        <f t="shared" si="10"/>
        <v>65209/Modular-Birch-Displays.html</v>
      </c>
    </row>
    <row r="195" spans="1:5" hidden="1" x14ac:dyDescent="0.25">
      <c r="A195" t="str">
        <f>IF(LEN('categories-old'!G195) &gt; 0, "INSERT INTO `catalog_category_entity_varchar` (attribute_id,store_id,entity_id,value) VALUES (48,0,"&amp;'categories-old'!B195&amp;",'"&amp;RIGHT('categories-old'!G195,LEN('categories-old'!G195)-1)&amp;"');","")</f>
        <v>INSERT INTO `catalog_category_entity_varchar` (attribute_id,store_id,entity_id,value) VALUES (48,0,1027,'img3/imgf5cd.jpg');</v>
      </c>
      <c r="B195" t="str">
        <f>IF(LEN(categories!G195) &gt; 0, "INSERT INTO `catalog_category_entity_varchar` (attribute_id,store_id,entity_id,value) VALUES (48,0,"&amp;categories!B195&amp;",'"&amp;RIGHT(categories!G195,LEN(categories!G195)-1)&amp;"');","")</f>
        <v>INSERT INTO `catalog_category_entity_varchar` (attribute_id,store_id,entity_id,value) VALUES (48,0,1027,'img3/imgf5cd.jpg');</v>
      </c>
      <c r="C195" t="str">
        <f>VLOOKUP(categories!B195,'categories-old'!B:G,6,FALSE)</f>
        <v>/img3/imgf5cd.jpg</v>
      </c>
      <c r="D195" t="str">
        <f>VLOOKUP(categories!B195,'categories-old'!B:H,7,FALSE)</f>
        <v>www.americanretailsupply.com/65210/Pearl-District-Displays.html</v>
      </c>
    </row>
    <row r="196" spans="1:5" hidden="1" x14ac:dyDescent="0.25">
      <c r="A196" t="str">
        <f>IF(LEN('categories-old'!G196) &gt; 0, "INSERT INTO `catalog_category_entity_varchar` (attribute_id,store_id,entity_id,value) VALUES (48,0,"&amp;'categories-old'!B196&amp;",'"&amp;RIGHT('categories-old'!G196,LEN('categories-old'!G196)-1)&amp;"');","")</f>
        <v>INSERT INTO `catalog_category_entity_varchar` (attribute_id,store_id,entity_id,value) VALUES (48,0,1405,'img2/img1070.jpg');</v>
      </c>
      <c r="B196" t="str">
        <f>IF(LEN(categories!G196) &gt; 0, "INSERT INTO `catalog_category_entity_varchar` (attribute_id,store_id,entity_id,value) VALUES (48,0,"&amp;categories!B196&amp;",'"&amp;RIGHT(categories!G196,LEN(categories!G196)-1)&amp;"');","")</f>
        <v>INSERT INTO `catalog_category_entity_varchar` (attribute_id,store_id,entity_id,value) VALUES (48,0,1405,'img2/img1070.jpg');</v>
      </c>
      <c r="C196" t="str">
        <f>VLOOKUP(categories!B196,'categories-old'!B:G,6,FALSE)</f>
        <v>/img2/img1070.jpg</v>
      </c>
      <c r="D196" t="str">
        <f>VLOOKUP(categories!B196,'categories-old'!B:H,7,FALSE)</f>
        <v>www.americanretailsupply.com/66192/Pipe--Panel-Displays.html</v>
      </c>
    </row>
    <row r="197" spans="1:5" hidden="1" x14ac:dyDescent="0.25">
      <c r="A197" t="e">
        <f>IF(LEN('categories-old'!G197) &gt; 0, "INSERT INTO `catalog_category_entity_varchar` (attribute_id,store_id,entity_id,value) VALUES (48,0,"&amp;'categories-old'!B197&amp;",'"&amp;RIGHT('categories-old'!G197,LEN('categories-old'!G197)-1)&amp;"');","")</f>
        <v>#N/A</v>
      </c>
      <c r="B197" t="e">
        <f>IF(LEN(categories!G197) &gt; 0, "INSERT INTO `catalog_category_entity_varchar` (attribute_id,store_id,entity_id,value) VALUES (48,0,"&amp;categories!B197&amp;",'"&amp;RIGHT(categories!G197,LEN(categories!G197)-1)&amp;"');","")</f>
        <v>#N/A</v>
      </c>
      <c r="C197" t="e">
        <f>VLOOKUP(categories!B197,'categories-old'!B:G,6,FALSE)</f>
        <v>#N/A</v>
      </c>
      <c r="D197" t="e">
        <f>VLOOKUP(categories!B197,'categories-old'!B:H,7,FALSE)</f>
        <v>#N/A</v>
      </c>
    </row>
    <row r="198" spans="1:5" x14ac:dyDescent="0.25">
      <c r="A198" t="str">
        <f>IF(LEN('categories-old'!G198) &gt; 0, "INSERT INTO `catalog_category_entity_varchar` (attribute_id,store_id,entity_id,value) VALUES (48,0,"&amp;'categories-old'!B198&amp;",'"&amp;RIGHT('categories-old'!G198,LEN('categories-old'!G198)-1)&amp;"');","")</f>
        <v/>
      </c>
      <c r="B198" t="str">
        <f>IF(LEN(categories!G198) &gt; 0, "INSERT INTO `catalog_category_entity_varchar` (attribute_id,store_id,entity_id,value) VALUES (48,0,"&amp;categories!B198&amp;",'"&amp;RIGHT(categories!G198,LEN(categories!G198)-1)&amp;"');","")</f>
        <v>INSERT INTO `catalog_category_entity_varchar` (attribute_id,store_id,entity_id,value) VALUES (48,0,1078,'img2/imga126.jpg');</v>
      </c>
      <c r="C198">
        <f>VLOOKUP(categories!B198,'categories-old'!B:G,6,FALSE)</f>
        <v>0</v>
      </c>
      <c r="D198" t="str">
        <f>VLOOKUP(categories!B198,'categories-old'!B:H,7,FALSE)</f>
        <v>www.americanretailsupply.com/64806/Racks-Spinners-Dump-Bins.html</v>
      </c>
      <c r="E198" t="str">
        <f t="shared" ref="E198:E203" si="11">SUBSTITUTE(SUBSTITUTE(D198,"\","/"),"www.americanretailsupply.com/","")</f>
        <v>64806/Racks-Spinners-Dump-Bins.html</v>
      </c>
    </row>
    <row r="199" spans="1:5" x14ac:dyDescent="0.25">
      <c r="A199" t="str">
        <f>IF(LEN('categories-old'!G199) &gt; 0, "INSERT INTO `catalog_category_entity_varchar` (attribute_id,store_id,entity_id,value) VALUES (48,0,"&amp;'categories-old'!B199&amp;",'"&amp;RIGHT('categories-old'!G199,LEN('categories-old'!G199)-1)&amp;"');","")</f>
        <v/>
      </c>
      <c r="B199" t="str">
        <f>IF(LEN(categories!G199) &gt; 0, "INSERT INTO `catalog_category_entity_varchar` (attribute_id,store_id,entity_id,value) VALUES (48,0,"&amp;categories!B199&amp;",'"&amp;RIGHT(categories!G199,LEN(categories!G199)-1)&amp;"');","")</f>
        <v>INSERT INTO `catalog_category_entity_varchar` (attribute_id,store_id,entity_id,value) VALUES (48,0,1133,'img2/imgedc5.jpg');</v>
      </c>
      <c r="C199">
        <f>VLOOKUP(categories!B199,'categories-old'!B:G,6,FALSE)</f>
        <v>0</v>
      </c>
      <c r="D199" t="str">
        <f>VLOOKUP(categories!B199,'categories-old'!B:H,7,FALSE)</f>
        <v>www.americanretailsupply.com/64800/Scrapbooking-Racks.html</v>
      </c>
      <c r="E199" t="str">
        <f t="shared" si="11"/>
        <v>64800/Scrapbooking-Racks.html</v>
      </c>
    </row>
    <row r="200" spans="1:5" hidden="1" x14ac:dyDescent="0.25">
      <c r="A200" t="str">
        <f>IF(LEN('categories-old'!G200) &gt; 0, "INSERT INTO `catalog_category_entity_varchar` (attribute_id,store_id,entity_id,value) VALUES (48,0,"&amp;'categories-old'!B200&amp;",'"&amp;RIGHT('categories-old'!G200,LEN('categories-old'!G200)-1)&amp;"');","")</f>
        <v/>
      </c>
      <c r="B200" t="e">
        <f>IF(LEN(categories!G200) &gt; 0, "INSERT INTO `catalog_category_entity_varchar` (attribute_id,store_id,entity_id,value) VALUES (48,0,"&amp;categories!B200&amp;",'"&amp;RIGHT(categories!G200,LEN(categories!G200)-1)&amp;"');","")</f>
        <v>#N/A</v>
      </c>
      <c r="C200">
        <f>VLOOKUP(categories!B200,'categories-old'!B:G,6,FALSE)</f>
        <v>0</v>
      </c>
      <c r="D200" t="str">
        <f>VLOOKUP(categories!B200,'categories-old'!B:H,7,FALSE)</f>
        <v>www.americanretailsupply.com/64914/Slatwall-FreeStanding-Displays.html</v>
      </c>
      <c r="E200" t="str">
        <f t="shared" si="11"/>
        <v>64914/Slatwall-FreeStanding-Displays.html</v>
      </c>
    </row>
    <row r="201" spans="1:5" hidden="1" x14ac:dyDescent="0.25">
      <c r="A201" t="str">
        <f>IF(LEN('categories-old'!G201) &gt; 0, "INSERT INTO `catalog_category_entity_varchar` (attribute_id,store_id,entity_id,value) VALUES (48,0,"&amp;'categories-old'!B201&amp;",'"&amp;RIGHT('categories-old'!G201,LEN('categories-old'!G201)-1)&amp;"');","")</f>
        <v/>
      </c>
      <c r="B201" t="e">
        <f>IF(LEN(categories!G201) &gt; 0, "INSERT INTO `catalog_category_entity_varchar` (attribute_id,store_id,entity_id,value) VALUES (48,0,"&amp;categories!B201&amp;",'"&amp;RIGHT(categories!G201,LEN(categories!G201)-1)&amp;"');","")</f>
        <v>#N/A</v>
      </c>
      <c r="C201">
        <f>VLOOKUP(categories!B201,'categories-old'!B:G,6,FALSE)</f>
        <v>0</v>
      </c>
      <c r="D201" t="str">
        <f>VLOOKUP(categories!B201,'categories-old'!B:H,7,FALSE)</f>
        <v>www.americanretailsupply.com/64799/Wire-Rack-Components.html</v>
      </c>
      <c r="E201" t="str">
        <f t="shared" si="11"/>
        <v>64799/Wire-Rack-Components.html</v>
      </c>
    </row>
    <row r="202" spans="1:5" x14ac:dyDescent="0.25">
      <c r="A202" t="str">
        <f>IF(LEN('categories-old'!G202) &gt; 0, "INSERT INTO `catalog_category_entity_varchar` (attribute_id,store_id,entity_id,value) VALUES (48,0,"&amp;'categories-old'!B202&amp;",'"&amp;RIGHT('categories-old'!G202,LEN('categories-old'!G202)-1)&amp;"');","")</f>
        <v/>
      </c>
      <c r="B202" t="str">
        <f>IF(LEN(categories!G202) &gt; 0, "INSERT INTO `catalog_category_entity_varchar` (attribute_id,store_id,entity_id,value) VALUES (48,0,"&amp;categories!B202&amp;",'"&amp;RIGHT(categories!G202,LEN(categories!G202)-1)&amp;"');","")</f>
        <v>INSERT INTO `catalog_category_entity_varchar` (attribute_id,store_id,entity_id,value) VALUES (48,0,309,'img2/img9907.jpg');</v>
      </c>
      <c r="C202">
        <f>VLOOKUP(categories!B202,'categories-old'!B:G,6,FALSE)</f>
        <v>0</v>
      </c>
      <c r="D202" t="str">
        <f>VLOOKUP(categories!B202,'categories-old'!B:H,7,FALSE)</f>
        <v>www.americanretailsupply.com/64667/Display-Racks.html</v>
      </c>
      <c r="E202" t="str">
        <f t="shared" si="11"/>
        <v>64667/Display-Racks.html</v>
      </c>
    </row>
    <row r="203" spans="1:5" x14ac:dyDescent="0.25">
      <c r="A203" t="str">
        <f>IF(LEN('categories-old'!G203) &gt; 0, "INSERT INTO `catalog_category_entity_varchar` (attribute_id,store_id,entity_id,value) VALUES (48,0,"&amp;'categories-old'!B203&amp;",'"&amp;RIGHT('categories-old'!G203,LEN('categories-old'!G203)-1)&amp;"');","")</f>
        <v/>
      </c>
      <c r="B203" t="str">
        <f>IF(LEN(categories!G203) &gt; 0, "INSERT INTO `catalog_category_entity_varchar` (attribute_id,store_id,entity_id,value) VALUES (48,0,"&amp;categories!B203&amp;",'"&amp;RIGHT(categories!G203,LEN(categories!G203)-1)&amp;"');","")</f>
        <v>INSERT INTO `catalog_category_entity_varchar` (attribute_id,store_id,entity_id,value) VALUES (48,0,567,'img1/img26c7.jpg');</v>
      </c>
      <c r="C203">
        <f>VLOOKUP(categories!B203,'categories-old'!B:G,6,FALSE)</f>
        <v>0</v>
      </c>
      <c r="D203" t="str">
        <f>VLOOKUP(categories!B203,'categories-old'!B:H,7,FALSE)</f>
        <v>www.americanretailsupply.com/65194/Garment--Hat-Racks.html</v>
      </c>
      <c r="E203" t="str">
        <f t="shared" si="11"/>
        <v>65194/Garment--Hat-Racks.html</v>
      </c>
    </row>
    <row r="204" spans="1:5" hidden="1" x14ac:dyDescent="0.25">
      <c r="A204" t="str">
        <f>IF(LEN('categories-old'!G204) &gt; 0, "INSERT INTO `catalog_category_entity_varchar` (attribute_id,store_id,entity_id,value) VALUES (48,0,"&amp;'categories-old'!B204&amp;",'"&amp;RIGHT('categories-old'!G204,LEN('categories-old'!G204)-1)&amp;"');","")</f>
        <v>INSERT INTO `catalog_category_entity_varchar` (attribute_id,store_id,entity_id,value) VALUES (48,0,666,'img2/img4809.jpg');</v>
      </c>
      <c r="B204" t="str">
        <f>IF(LEN(categories!G204) &gt; 0, "INSERT INTO `catalog_category_entity_varchar` (attribute_id,store_id,entity_id,value) VALUES (48,0,"&amp;categories!B204&amp;",'"&amp;RIGHT(categories!G204,LEN(categories!G204)-1)&amp;"');","")</f>
        <v>INSERT INTO `catalog_category_entity_varchar` (attribute_id,store_id,entity_id,value) VALUES (48,0,666,'img2/img4809.jpg');</v>
      </c>
      <c r="C204" t="str">
        <f>VLOOKUP(categories!B204,'categories-old'!B:G,6,FALSE)</f>
        <v>/img2/img4809.jpg</v>
      </c>
      <c r="D204" t="str">
        <f>VLOOKUP(categories!B204,'categories-old'!B:H,7,FALSE)</f>
        <v>www.americanretailsupply.com/65195/Hangers.html</v>
      </c>
    </row>
    <row r="205" spans="1:5" hidden="1" x14ac:dyDescent="0.25">
      <c r="A205" t="str">
        <f>IF(LEN('categories-old'!G205) &gt; 0, "INSERT INTO `catalog_category_entity_varchar` (attribute_id,store_id,entity_id,value) VALUES (48,0,"&amp;'categories-old'!B205&amp;",'"&amp;RIGHT('categories-old'!G205,LEN('categories-old'!G205)-1)&amp;"');","")</f>
        <v>INSERT INTO `catalog_category_entity_varchar` (attribute_id,store_id,entity_id,value) VALUES (48,0,278,'img2/img7a65.jpg');</v>
      </c>
      <c r="B205" t="str">
        <f>IF(LEN(categories!G205) &gt; 0, "INSERT INTO `catalog_category_entity_varchar` (attribute_id,store_id,entity_id,value) VALUES (48,0,"&amp;categories!B205&amp;",'"&amp;RIGHT(categories!G205,LEN(categories!G205)-1)&amp;"');","")</f>
        <v>INSERT INTO `catalog_category_entity_varchar` (attribute_id,store_id,entity_id,value) VALUES (48,0,278,'img2/img7a65.jpg');</v>
      </c>
      <c r="C205" t="str">
        <f>VLOOKUP(categories!B205,'categories-old'!B:G,6,FALSE)</f>
        <v>/img2/img7a65.jpg</v>
      </c>
      <c r="D205" t="str">
        <f>VLOOKUP(categories!B205,'categories-old'!B:H,7,FALSE)</f>
        <v>www.americanretailsupply.com/64788/Birch-Jewelry-Displays.html</v>
      </c>
    </row>
    <row r="206" spans="1:5" hidden="1" x14ac:dyDescent="0.25">
      <c r="A206" t="str">
        <f>IF(LEN('categories-old'!G206) &gt; 0, "INSERT INTO `catalog_category_entity_varchar` (attribute_id,store_id,entity_id,value) VALUES (48,0,"&amp;'categories-old'!B206&amp;",'"&amp;RIGHT('categories-old'!G206,LEN('categories-old'!G206)-1)&amp;"');","")</f>
        <v>INSERT INTO `catalog_category_entity_varchar` (attribute_id,store_id,entity_id,value) VALUES (48,0,797,'img2/img194f.jpg');</v>
      </c>
      <c r="B206" t="str">
        <f>IF(LEN(categories!G206) &gt; 0, "INSERT INTO `catalog_category_entity_varchar` (attribute_id,store_id,entity_id,value) VALUES (48,0,"&amp;categories!B206&amp;",'"&amp;RIGHT(categories!G206,LEN(categories!G206)-1)&amp;"');","")</f>
        <v>INSERT INTO `catalog_category_entity_varchar` (attribute_id,store_id,entity_id,value) VALUES (48,0,797,'img2/img194f.jpg');</v>
      </c>
      <c r="C206" t="str">
        <f>VLOOKUP(categories!B206,'categories-old'!B:G,6,FALSE)</f>
        <v>/img2/img194f.jpg</v>
      </c>
      <c r="D206" t="str">
        <f>VLOOKUP(categories!B206,'categories-old'!B:H,7,FALSE)</f>
        <v>www.americanretailsupply.com/64791/Jewelry-Pouches.html</v>
      </c>
    </row>
    <row r="207" spans="1:5" hidden="1" x14ac:dyDescent="0.25">
      <c r="A207" t="str">
        <f>IF(LEN('categories-old'!G207) &gt; 0, "INSERT INTO `catalog_category_entity_varchar` (attribute_id,store_id,entity_id,value) VALUES (48,0,"&amp;'categories-old'!B207&amp;",'"&amp;RIGHT('categories-old'!G207,LEN('categories-old'!G207)-1)&amp;"');","")</f>
        <v>INSERT INTO `catalog_category_entity_varchar` (attribute_id,store_id,entity_id,value) VALUES (48,0,800,'img3/img985d.jpg');</v>
      </c>
      <c r="B207" t="str">
        <f>IF(LEN(categories!G207) &gt; 0, "INSERT INTO `catalog_category_entity_varchar` (attribute_id,store_id,entity_id,value) VALUES (48,0,"&amp;categories!B207&amp;",'"&amp;RIGHT(categories!G207,LEN(categories!G207)-1)&amp;"');","")</f>
        <v>INSERT INTO `catalog_category_entity_varchar` (attribute_id,store_id,entity_id,value) VALUES (48,0,800,'img3/img985d.jpg');</v>
      </c>
      <c r="C207" t="str">
        <f>VLOOKUP(categories!B207,'categories-old'!B:G,6,FALSE)</f>
        <v>/img3/img985d.jpg</v>
      </c>
      <c r="D207" t="str">
        <f>VLOOKUP(categories!B207,'categories-old'!B:H,7,FALSE)</f>
        <v>www.americanretailsupply.com/64794/Jewelry-Riser-Sets.html</v>
      </c>
    </row>
    <row r="208" spans="1:5" hidden="1" x14ac:dyDescent="0.25">
      <c r="A208" t="str">
        <f>IF(LEN('categories-old'!G208) &gt; 0, "INSERT INTO `catalog_category_entity_varchar` (attribute_id,store_id,entity_id,value) VALUES (48,0,"&amp;'categories-old'!B208&amp;",'"&amp;RIGHT('categories-old'!G208,LEN('categories-old'!G208)-1)&amp;"');","")</f>
        <v>INSERT INTO `catalog_category_entity_varchar` (attribute_id,store_id,entity_id,value) VALUES (48,0,802,'img1/imgea71.jpg');</v>
      </c>
      <c r="B208" t="str">
        <f>IF(LEN(categories!G208) &gt; 0, "INSERT INTO `catalog_category_entity_varchar` (attribute_id,store_id,entity_id,value) VALUES (48,0,"&amp;categories!B208&amp;",'"&amp;RIGHT(categories!G208,LEN(categories!G208)-1)&amp;"');","")</f>
        <v>INSERT INTO `catalog_category_entity_varchar` (attribute_id,store_id,entity_id,value) VALUES (48,0,802,'img1/imgea71.jpg');</v>
      </c>
      <c r="C208" t="str">
        <f>VLOOKUP(categories!B208,'categories-old'!B:G,6,FALSE)</f>
        <v>/img1/imgea71.jpg</v>
      </c>
      <c r="D208" t="str">
        <f>VLOOKUP(categories!B208,'categories-old'!B:H,7,FALSE)</f>
        <v>www.americanretailsupply.com/64790/Jewelry-Supplies.html</v>
      </c>
    </row>
    <row r="209" spans="1:5" hidden="1" x14ac:dyDescent="0.25">
      <c r="A209" t="str">
        <f>IF(LEN('categories-old'!G209) &gt; 0, "INSERT INTO `catalog_category_entity_varchar` (attribute_id,store_id,entity_id,value) VALUES (48,0,"&amp;'categories-old'!B209&amp;",'"&amp;RIGHT('categories-old'!G209,LEN('categories-old'!G209)-1)&amp;"');","")</f>
        <v>INSERT INTO `catalog_category_entity_varchar` (attribute_id,store_id,entity_id,value) VALUES (48,0,813,'img3/imgaf45.jpg');</v>
      </c>
      <c r="B209" t="str">
        <f>IF(LEN(categories!G209) &gt; 0, "INSERT INTO `catalog_category_entity_varchar` (attribute_id,store_id,entity_id,value) VALUES (48,0,"&amp;categories!B209&amp;",'"&amp;RIGHT(categories!G209,LEN(categories!G209)-1)&amp;"');","")</f>
        <v>INSERT INTO `catalog_category_entity_varchar` (attribute_id,store_id,entity_id,value) VALUES (48,0,813,'img3/imgaf45.jpg');</v>
      </c>
      <c r="C209" t="str">
        <f>VLOOKUP(categories!B209,'categories-old'!B:G,6,FALSE)</f>
        <v>/img3/imgaf45.jpg</v>
      </c>
      <c r="D209" t="str">
        <f>VLOOKUP(categories!B209,'categories-old'!B:H,7,FALSE)</f>
        <v>www.americanretailsupply.com/64793/Jewelry-Trays--Inserts.html</v>
      </c>
    </row>
    <row r="210" spans="1:5" hidden="1" x14ac:dyDescent="0.25">
      <c r="A210" t="str">
        <f>IF(LEN('categories-old'!G210) &gt; 0, "INSERT INTO `catalog_category_entity_varchar` (attribute_id,store_id,entity_id,value) VALUES (48,0,"&amp;'categories-old'!B210&amp;",'"&amp;RIGHT('categories-old'!G210,LEN('categories-old'!G210)-1)&amp;"');","")</f>
        <v>INSERT INTO `catalog_category_entity_varchar` (attribute_id,store_id,entity_id,value) VALUES (48,0,860,'img1/imgfec7.jpg');</v>
      </c>
      <c r="B210" t="str">
        <f>IF(LEN(categories!G210) &gt; 0, "INSERT INTO `catalog_category_entity_varchar` (attribute_id,store_id,entity_id,value) VALUES (48,0,"&amp;categories!B210&amp;",'"&amp;RIGHT(categories!G210,LEN(categories!G210)-1)&amp;"');","")</f>
        <v>INSERT INTO `catalog_category_entity_varchar` (attribute_id,store_id,entity_id,value) VALUES (48,0,860,'img1/imgfec7.jpg');</v>
      </c>
      <c r="C210" t="str">
        <f>VLOOKUP(categories!B210,'categories-old'!B:G,6,FALSE)</f>
        <v>/img1/imgfec7.jpg</v>
      </c>
      <c r="D210" t="str">
        <f>VLOOKUP(categories!B210,'categories-old'!B:H,7,FALSE)</f>
        <v>www.americanretailsupply.com/64786/Linen-Jewelry-Displays.html</v>
      </c>
    </row>
    <row r="211" spans="1:5" x14ac:dyDescent="0.25">
      <c r="A211" t="str">
        <f>IF(LEN('categories-old'!G211) &gt; 0, "INSERT INTO `catalog_category_entity_varchar` (attribute_id,store_id,entity_id,value) VALUES (48,0,"&amp;'categories-old'!B211&amp;",'"&amp;RIGHT('categories-old'!G211,LEN('categories-old'!G211)-1)&amp;"');","")</f>
        <v/>
      </c>
      <c r="B211" t="str">
        <f>IF(LEN(categories!G211) &gt; 0, "INSERT INTO `catalog_category_entity_varchar` (attribute_id,store_id,entity_id,value) VALUES (48,0,"&amp;categories!B211&amp;",'"&amp;RIGHT(categories!G211,LEN(categories!G211)-1)&amp;"');","")</f>
        <v>INSERT INTO `catalog_category_entity_varchar` (attribute_id,store_id,entity_id,value) VALUES (48,0,981,'img2/img86ef.jpg');</v>
      </c>
      <c r="C211">
        <f>VLOOKUP(categories!B211,'categories-old'!B:G,6,FALSE)</f>
        <v>0</v>
      </c>
      <c r="D211" t="str">
        <f>VLOOKUP(categories!B211,'categories-old'!B:H,7,FALSE)</f>
        <v>www.americanretailsupply.com/64787/Necklace--Bracelet-Displays.html</v>
      </c>
      <c r="E211" t="str">
        <f>SUBSTITUTE(SUBSTITUTE(D211,"\","/"),"www.americanretailsupply.com/","")</f>
        <v>64787/Necklace--Bracelet-Displays.html</v>
      </c>
    </row>
    <row r="212" spans="1:5" hidden="1" x14ac:dyDescent="0.25">
      <c r="A212" t="str">
        <f>IF(LEN('categories-old'!G212) &gt; 0, "INSERT INTO `catalog_category_entity_varchar` (attribute_id,store_id,entity_id,value) VALUES (48,0,"&amp;'categories-old'!B212&amp;",'"&amp;RIGHT('categories-old'!G212,LEN('categories-old'!G212)-1)&amp;"');","")</f>
        <v>INSERT INTO `catalog_category_entity_varchar` (attribute_id,store_id,entity_id,value) VALUES (48,0,1117,'img2/img1e6d.jpg');</v>
      </c>
      <c r="B212" t="str">
        <f>IF(LEN(categories!G212) &gt; 0, "INSERT INTO `catalog_category_entity_varchar` (attribute_id,store_id,entity_id,value) VALUES (48,0,"&amp;categories!B212&amp;",'"&amp;RIGHT(categories!G212,LEN(categories!G212)-1)&amp;"');","")</f>
        <v>INSERT INTO `catalog_category_entity_varchar` (attribute_id,store_id,entity_id,value) VALUES (48,0,1117,'img2/img1e6d.jpg');</v>
      </c>
      <c r="C212" t="str">
        <f>VLOOKUP(categories!B212,'categories-old'!B:G,6,FALSE)</f>
        <v>/img2/img1e6d.jpg</v>
      </c>
      <c r="D212" t="str">
        <f>VLOOKUP(categories!B212,'categories-old'!B:H,7,FALSE)</f>
        <v>www.americanretailsupply.com/64795/Ring--Earring-Displays.html</v>
      </c>
    </row>
    <row r="213" spans="1:5" x14ac:dyDescent="0.25">
      <c r="A213" t="str">
        <f>IF(LEN('categories-old'!G213) &gt; 0, "INSERT INTO `catalog_category_entity_varchar` (attribute_id,store_id,entity_id,value) VALUES (48,0,"&amp;'categories-old'!B213&amp;",'"&amp;RIGHT('categories-old'!G213,LEN('categories-old'!G213)-1)&amp;"');","")</f>
        <v/>
      </c>
      <c r="B213" t="str">
        <f>IF(LEN(categories!G213) &gt; 0, "INSERT INTO `catalog_category_entity_varchar` (attribute_id,store_id,entity_id,value) VALUES (48,0,"&amp;categories!B213&amp;",'"&amp;RIGHT(categories!G213,LEN(categories!G213)-1)&amp;"');","")</f>
        <v>INSERT INTO `catalog_category_entity_varchar` (attribute_id,store_id,entity_id,value) VALUES (48,0,195,'img2/imgbc36.jpg');</v>
      </c>
      <c r="C213">
        <f>VLOOKUP(categories!B213,'categories-old'!B:G,6,FALSE)</f>
        <v>0</v>
      </c>
      <c r="D213" t="str">
        <f>VLOOKUP(categories!B213,'categories-old'!B:H,7,FALSE)</f>
        <v>www.americanretailsupply.com/65161/Apollo--Athena-Forms.html</v>
      </c>
      <c r="E213" t="str">
        <f>SUBSTITUTE(SUBSTITUTE(D213,"\","/"),"www.americanretailsupply.com/","")</f>
        <v>65161/Apollo--Athena-Forms.html</v>
      </c>
    </row>
    <row r="214" spans="1:5" hidden="1" x14ac:dyDescent="0.25">
      <c r="A214" t="str">
        <f>IF(LEN('categories-old'!G214) &gt; 0, "INSERT INTO `catalog_category_entity_varchar` (attribute_id,store_id,entity_id,value) VALUES (48,0,"&amp;'categories-old'!B214&amp;",'"&amp;RIGHT('categories-old'!G214,LEN('categories-old'!G214)-1)&amp;"');","")</f>
        <v>INSERT INTO `catalog_category_entity_varchar` (attribute_id,store_id,entity_id,value) VALUES (48,0,431,'img3/img9f1f.jpg');</v>
      </c>
      <c r="B214" t="str">
        <f>IF(LEN(categories!G214) &gt; 0, "INSERT INTO `catalog_category_entity_varchar` (attribute_id,store_id,entity_id,value) VALUES (48,0,"&amp;categories!B214&amp;",'"&amp;RIGHT(categories!G214,LEN(categories!G214)-1)&amp;"');","")</f>
        <v>INSERT INTO `catalog_category_entity_varchar` (attribute_id,store_id,entity_id,value) VALUES (48,0,431,'img3/img9f1f.jpg');</v>
      </c>
      <c r="C214" t="str">
        <f>VLOOKUP(categories!B214,'categories-old'!B:G,6,FALSE)</f>
        <v>/img3/img9f1f.jpg</v>
      </c>
      <c r="D214" t="str">
        <f>VLOOKUP(categories!B214,'categories-old'!B:H,7,FALSE)</f>
        <v>www.americanretailsupply.com/65154/Costumers.html</v>
      </c>
    </row>
    <row r="215" spans="1:5" x14ac:dyDescent="0.25">
      <c r="A215" t="str">
        <f>IF(LEN('categories-old'!G215) &gt; 0, "INSERT INTO `catalog_category_entity_varchar` (attribute_id,store_id,entity_id,value) VALUES (48,0,"&amp;'categories-old'!B215&amp;",'"&amp;RIGHT('categories-old'!G215,LEN('categories-old'!G215)-1)&amp;"');","")</f>
        <v/>
      </c>
      <c r="B215" t="str">
        <f>IF(LEN(categories!G215) &gt; 0, "INSERT INTO `catalog_category_entity_varchar` (attribute_id,store_id,entity_id,value) VALUES (48,0,"&amp;categories!B215&amp;",'"&amp;RIGHT(categories!G215,LEN(categories!G215)-1)&amp;"');","")</f>
        <v>INSERT INTO `catalog_category_entity_varchar` (attribute_id,store_id,entity_id,value) VALUES (48,0,449,'img1/img6ee1.jpg');</v>
      </c>
      <c r="C215">
        <f>VLOOKUP(categories!B215,'categories-old'!B:G,6,FALSE)</f>
        <v>0</v>
      </c>
      <c r="D215" t="str">
        <f>VLOOKUP(categories!B215,'categories-old'!B:H,7,FALSE)</f>
        <v>www.americanretailsupply.com/65156/Crystalline-Series-Mannequins.html</v>
      </c>
      <c r="E215" t="str">
        <f t="shared" ref="E215:E222" si="12">SUBSTITUTE(SUBSTITUTE(D215,"\","/"),"www.americanretailsupply.com/","")</f>
        <v>65156/Crystalline-Series-Mannequins.html</v>
      </c>
    </row>
    <row r="216" spans="1:5" x14ac:dyDescent="0.25">
      <c r="A216" t="str">
        <f>IF(LEN('categories-old'!G216) &gt; 0, "INSERT INTO `catalog_category_entity_varchar` (attribute_id,store_id,entity_id,value) VALUES (48,0,"&amp;'categories-old'!B216&amp;",'"&amp;RIGHT('categories-old'!G216,LEN('categories-old'!G216)-1)&amp;"');","")</f>
        <v/>
      </c>
      <c r="B216" t="str">
        <f>IF(LEN(categories!G216) &gt; 0, "INSERT INTO `catalog_category_entity_varchar` (attribute_id,store_id,entity_id,value) VALUES (48,0,"&amp;categories!B216&amp;",'"&amp;RIGHT(categories!G216,LEN(categories!G216)-1)&amp;"');","")</f>
        <v>INSERT INTO `catalog_category_entity_varchar` (attribute_id,store_id,entity_id,value) VALUES (48,0,702,'img2/img3a91.jpg');</v>
      </c>
      <c r="C216">
        <f>VLOOKUP(categories!B216,'categories-old'!B:G,6,FALSE)</f>
        <v>0</v>
      </c>
      <c r="D216" t="str">
        <f>VLOOKUP(categories!B216,'categories-old'!B:H,7,FALSE)</f>
        <v>www.americanretailsupply.com/65166/Head-Forms.html</v>
      </c>
      <c r="E216" t="str">
        <f t="shared" si="12"/>
        <v>65166/Head-Forms.html</v>
      </c>
    </row>
    <row r="217" spans="1:5" x14ac:dyDescent="0.25">
      <c r="A217" t="str">
        <f>IF(LEN('categories-old'!G217) &gt; 0, "INSERT INTO `catalog_category_entity_varchar` (attribute_id,store_id,entity_id,value) VALUES (48,0,"&amp;'categories-old'!B217&amp;",'"&amp;RIGHT('categories-old'!G217,LEN('categories-old'!G217)-1)&amp;"');","")</f>
        <v/>
      </c>
      <c r="B217" t="str">
        <f>IF(LEN(categories!G217) &gt; 0, "INSERT INTO `catalog_category_entity_varchar` (attribute_id,store_id,entity_id,value) VALUES (48,0,"&amp;categories!B217&amp;",'"&amp;RIGHT(categories!G217,LEN(categories!G217)-1)&amp;"');","")</f>
        <v>INSERT INTO `catalog_category_entity_varchar` (attribute_id,store_id,entity_id,value) VALUES (48,0,748,'img3/imgbe6d-2.jpg');</v>
      </c>
      <c r="C217">
        <f>VLOOKUP(categories!B217,'categories-old'!B:G,6,FALSE)</f>
        <v>0</v>
      </c>
      <c r="D217" t="str">
        <f>VLOOKUP(categories!B217,'categories-old'!B:H,7,FALSE)</f>
        <v>www.americanretailsupply.com/65167/Hosiery--Sock-Displays.html</v>
      </c>
      <c r="E217" t="str">
        <f t="shared" si="12"/>
        <v>65167/Hosiery--Sock-Displays.html</v>
      </c>
    </row>
    <row r="218" spans="1:5" x14ac:dyDescent="0.25">
      <c r="A218" t="str">
        <f>IF(LEN('categories-old'!G218) &gt; 0, "INSERT INTO `catalog_category_entity_varchar` (attribute_id,store_id,entity_id,value) VALUES (48,0,"&amp;'categories-old'!B218&amp;",'"&amp;RIGHT('categories-old'!G218,LEN('categories-old'!G218)-1)&amp;"');","")</f>
        <v/>
      </c>
      <c r="B218" t="str">
        <f>IF(LEN(categories!G218) &gt; 0, "INSERT INTO `catalog_category_entity_varchar` (attribute_id,store_id,entity_id,value) VALUES (48,0,"&amp;categories!B218&amp;",'"&amp;RIGHT(categories!G218,LEN(categories!G218)-1)&amp;"');","")</f>
        <v>INSERT INTO `catalog_category_entity_varchar` (attribute_id,store_id,entity_id,value) VALUES (48,0,830,'img1/imgb1e8.jpg');</v>
      </c>
      <c r="C218">
        <f>VLOOKUP(categories!B218,'categories-old'!B:G,6,FALSE)</f>
        <v>0</v>
      </c>
      <c r="D218" t="str">
        <f>VLOOKUP(categories!B218,'categories-old'!B:H,7,FALSE)</f>
        <v>www.americanretailsupply.com/65164/Kidz-Klub-Mannequins.html</v>
      </c>
      <c r="E218" t="str">
        <f t="shared" si="12"/>
        <v>65164/Kidz-Klub-Mannequins.html</v>
      </c>
    </row>
    <row r="219" spans="1:5" x14ac:dyDescent="0.25">
      <c r="A219" t="str">
        <f>IF(LEN('categories-old'!G219) &gt; 0, "INSERT INTO `catalog_category_entity_varchar` (attribute_id,store_id,entity_id,value) VALUES (48,0,"&amp;'categories-old'!B219&amp;",'"&amp;RIGHT('categories-old'!G219,LEN('categories-old'!G219)-1)&amp;"');","")</f>
        <v/>
      </c>
      <c r="B219" t="str">
        <f>IF(LEN(categories!G219) &gt; 0, "INSERT INTO `catalog_category_entity_varchar` (attribute_id,store_id,entity_id,value) VALUES (48,0,"&amp;categories!B219&amp;",'"&amp;RIGHT(categories!G219,LEN(categories!G219)-1)&amp;"');","")</f>
        <v>INSERT INTO `catalog_category_entity_varchar` (attribute_id,store_id,entity_id,value) VALUES (48,0,959,'img2/img8592.jpg');</v>
      </c>
      <c r="C219">
        <f>VLOOKUP(categories!B219,'categories-old'!B:G,6,FALSE)</f>
        <v>0</v>
      </c>
      <c r="D219" t="str">
        <f>VLOOKUP(categories!B219,'categories-old'!B:H,7,FALSE)</f>
        <v>www.americanretailsupply.com/65153/Molded-Forms.html</v>
      </c>
      <c r="E219" t="str">
        <f t="shared" si="12"/>
        <v>65153/Molded-Forms.html</v>
      </c>
    </row>
    <row r="220" spans="1:5" x14ac:dyDescent="0.25">
      <c r="A220" t="str">
        <f>IF(LEN('categories-old'!G220) &gt; 0, "INSERT INTO `catalog_category_entity_varchar` (attribute_id,store_id,entity_id,value) VALUES (48,0,"&amp;'categories-old'!B220&amp;",'"&amp;RIGHT('categories-old'!G220,LEN('categories-old'!G220)-1)&amp;"');","")</f>
        <v/>
      </c>
      <c r="B220" t="str">
        <f>IF(LEN(categories!G220) &gt; 0, "INSERT INTO `catalog_category_entity_varchar` (attribute_id,store_id,entity_id,value) VALUES (48,0,"&amp;categories!B220&amp;",'"&amp;RIGHT(categories!G220,LEN(categories!G220)-1)&amp;"');","")</f>
        <v>INSERT INTO `catalog_category_entity_varchar` (attribute_id,store_id,entity_id,value) VALUES (48,0,1127,'img3/imga596.jpg');</v>
      </c>
      <c r="C220">
        <f>VLOOKUP(categories!B220,'categories-old'!B:G,6,FALSE)</f>
        <v>0</v>
      </c>
      <c r="D220" t="str">
        <f>VLOOKUP(categories!B220,'categories-old'!B:H,7,FALSE)</f>
        <v>www.americanretailsupply.com/65158/Rudy--Judy-Mannequins.html</v>
      </c>
      <c r="E220" t="str">
        <f t="shared" si="12"/>
        <v>65158/Rudy--Judy-Mannequins.html</v>
      </c>
    </row>
    <row r="221" spans="1:5" x14ac:dyDescent="0.25">
      <c r="A221" t="str">
        <f>IF(LEN('categories-old'!G221) &gt; 0, "INSERT INTO `catalog_category_entity_varchar` (attribute_id,store_id,entity_id,value) VALUES (48,0,"&amp;'categories-old'!B221&amp;",'"&amp;RIGHT('categories-old'!G221,LEN('categories-old'!G221)-1)&amp;"');","")</f>
        <v/>
      </c>
      <c r="B221" t="str">
        <f>IF(LEN(categories!G221) &gt; 0, "INSERT INTO `catalog_category_entity_varchar` (attribute_id,store_id,entity_id,value) VALUES (48,0,"&amp;categories!B221&amp;",'"&amp;RIGHT(categories!G221,LEN(categories!G221)-1)&amp;"');","")</f>
        <v>INSERT INTO `catalog_category_entity_varchar` (attribute_id,store_id,entity_id,value) VALUES (48,0,1243,'img1/img5c7c.jpg');</v>
      </c>
      <c r="C221">
        <f>VLOOKUP(categories!B221,'categories-old'!B:G,6,FALSE)</f>
        <v>0</v>
      </c>
      <c r="D221" t="str">
        <f>VLOOKUP(categories!B221,'categories-old'!B:H,7,FALSE)</f>
        <v>www.americanretailsupply.com/65152/Suit-Dress-Forms.html</v>
      </c>
      <c r="E221" t="str">
        <f t="shared" si="12"/>
        <v>65152/Suit-Dress-Forms.html</v>
      </c>
    </row>
    <row r="222" spans="1:5" x14ac:dyDescent="0.25">
      <c r="A222" t="str">
        <f>IF(LEN('categories-old'!G222) &gt; 0, "INSERT INTO `catalog_category_entity_varchar` (attribute_id,store_id,entity_id,value) VALUES (48,0,"&amp;'categories-old'!B222&amp;",'"&amp;RIGHT('categories-old'!G222,LEN('categories-old'!G222)-1)&amp;"');","")</f>
        <v/>
      </c>
      <c r="B222" t="str">
        <f>IF(LEN(categories!G222) &gt; 0, "INSERT INTO `catalog_category_entity_varchar` (attribute_id,store_id,entity_id,value) VALUES (48,0,"&amp;categories!B222&amp;",'"&amp;RIGHT(categories!G222,LEN(categories!G222)-1)&amp;"');","")</f>
        <v>INSERT INTO `catalog_category_entity_varchar` (attribute_id,store_id,entity_id,value) VALUES (48,0,1319,'img2/img3ceb.jpg');</v>
      </c>
      <c r="C222">
        <f>VLOOKUP(categories!B222,'categories-old'!B:G,6,FALSE)</f>
        <v>0</v>
      </c>
      <c r="D222" t="str">
        <f>VLOOKUP(categories!B222,'categories-old'!B:H,7,FALSE)</f>
        <v>www.americanretailsupply.com/65155/Unbreakable-Forms.html</v>
      </c>
      <c r="E222" t="str">
        <f t="shared" si="12"/>
        <v>65155/Unbreakable-Forms.html</v>
      </c>
    </row>
    <row r="223" spans="1:5" hidden="1" x14ac:dyDescent="0.25">
      <c r="A223" t="str">
        <f>IF(LEN('categories-old'!G223) &gt; 0, "INSERT INTO `catalog_category_entity_varchar` (attribute_id,store_id,entity_id,value) VALUES (48,0,"&amp;'categories-old'!B223&amp;",'"&amp;RIGHT('categories-old'!G223,LEN('categories-old'!G223)-1)&amp;"');","")</f>
        <v>INSERT INTO `catalog_category_entity_varchar` (attribute_id,store_id,entity_id,value) VALUES (48,0,194,'img3/imgeeb9.jpg');</v>
      </c>
      <c r="B223" t="str">
        <f>IF(LEN(categories!G223) &gt; 0, "INSERT INTO `catalog_category_entity_varchar` (attribute_id,store_id,entity_id,value) VALUES (48,0,"&amp;categories!B223&amp;",'"&amp;RIGHT(categories!G223,LEN(categories!G223)-1)&amp;"');","")</f>
        <v>INSERT INTO `catalog_category_entity_varchar` (attribute_id,store_id,entity_id,value) VALUES (48,0,194,'img3/imgeeb9.jpg');</v>
      </c>
      <c r="C223" t="str">
        <f>VLOOKUP(categories!B223,'categories-old'!B:G,6,FALSE)</f>
        <v>/img3/imgeeb9.jpg</v>
      </c>
      <c r="D223" t="str">
        <f>VLOOKUP(categories!B223,'categories-old'!B:H,7,FALSE)</f>
        <v>www.americanretailsupply.com/65151/Mannequins.html</v>
      </c>
    </row>
    <row r="224" spans="1:5" hidden="1" x14ac:dyDescent="0.25">
      <c r="A224" t="str">
        <f>IF(LEN('categories-old'!G224) &gt; 0, "INSERT INTO `catalog_category_entity_varchar` (attribute_id,store_id,entity_id,value) VALUES (48,0,"&amp;'categories-old'!B224&amp;",'"&amp;RIGHT('categories-old'!G224,LEN('categories-old'!G224)-1)&amp;"');","")</f>
        <v>INSERT INTO `catalog_category_entity_varchar` (attribute_id,store_id,entity_id,value) VALUES (48,0,917,'img3/img4eba.jpg');</v>
      </c>
      <c r="B224" t="str">
        <f>IF(LEN(categories!G224) &gt; 0, "INSERT INTO `catalog_category_entity_varchar` (attribute_id,store_id,entity_id,value) VALUES (48,0,"&amp;categories!B224&amp;",'"&amp;RIGHT(categories!G224,LEN(categories!G224)-1)&amp;"');","")</f>
        <v>INSERT INTO `catalog_category_entity_varchar` (attribute_id,store_id,entity_id,value) VALUES (48,0,917,'img3/img4eba.jpg');</v>
      </c>
      <c r="C224" t="str">
        <f>VLOOKUP(categories!B224,'categories-old'!B:G,6,FALSE)</f>
        <v>/img3/img4eba.jpg</v>
      </c>
      <c r="D224" t="str">
        <f>VLOOKUP(categories!B224,'categories-old'!B:H,7,FALSE)</f>
        <v>www.americanretailsupply.com/64826/Mini-Grid.html</v>
      </c>
    </row>
    <row r="225" spans="1:5" hidden="1" x14ac:dyDescent="0.25">
      <c r="A225" t="str">
        <f>IF(LEN('categories-old'!G225) &gt; 0, "INSERT INTO `catalog_category_entity_varchar` (attribute_id,store_id,entity_id,value) VALUES (48,0,"&amp;'categories-old'!B225&amp;",'"&amp;RIGHT('categories-old'!G225,LEN('categories-old'!G225)-1)&amp;"');","")</f>
        <v>INSERT INTO `catalog_category_entity_varchar` (attribute_id,store_id,entity_id,value) VALUES (48,0,953,'img3/imgce6b.jpg');</v>
      </c>
      <c r="B225" t="str">
        <f>IF(LEN(categories!G225) &gt; 0, "INSERT INTO `catalog_category_entity_varchar` (attribute_id,store_id,entity_id,value) VALUES (48,0,"&amp;categories!B225&amp;",'"&amp;RIGHT(categories!G225,LEN(categories!G225)-1)&amp;"');","")</f>
        <v>INSERT INTO `catalog_category_entity_varchar` (attribute_id,store_id,entity_id,value) VALUES (48,0,953,'img3/imgce6b.jpg');</v>
      </c>
      <c r="C225" t="str">
        <f>VLOOKUP(categories!B225,'categories-old'!B:G,6,FALSE)</f>
        <v>/img3/imgce6b.jpg</v>
      </c>
      <c r="D225" t="str">
        <f>VLOOKUP(categories!B225,'categories-old'!B:H,7,FALSE)</f>
        <v>www.americanretailsupply.com/65357/Modular-Display-Shelving.html</v>
      </c>
    </row>
    <row r="226" spans="1:5" hidden="1" x14ac:dyDescent="0.25">
      <c r="A226" t="str">
        <f>IF(LEN('categories-old'!G226) &gt; 0, "INSERT INTO `catalog_category_entity_varchar` (attribute_id,store_id,entity_id,value) VALUES (48,0,"&amp;'categories-old'!B226&amp;",'"&amp;RIGHT('categories-old'!G226,LEN('categories-old'!G226)-1)&amp;"');","")</f>
        <v>INSERT INTO `catalog_category_entity_varchar` (attribute_id,store_id,entity_id,value) VALUES (48,0,878,'img3/img5b2f.jpg');</v>
      </c>
      <c r="B226" t="str">
        <f>IF(LEN(categories!G226) &gt; 0, "INSERT INTO `catalog_category_entity_varchar` (attribute_id,store_id,entity_id,value) VALUES (48,0,"&amp;categories!B226&amp;",'"&amp;RIGHT(categories!G226,LEN(categories!G226)-1)&amp;"');","")</f>
        <v>INSERT INTO `catalog_category_entity_varchar` (attribute_id,store_id,entity_id,value) VALUES (48,0,878,'img3/img5b2f.jpg');</v>
      </c>
      <c r="C226" t="str">
        <f>VLOOKUP(categories!B226,'categories-old'!B:G,6,FALSE)</f>
        <v>/img3/img5b2f.jpg</v>
      </c>
      <c r="D226" t="str">
        <f>VLOOKUP(categories!B226,'categories-old'!B:H,7,FALSE)</f>
        <v>www.americanretailsupply.com/64816/Melamine--Bullnose-Shelves.html</v>
      </c>
    </row>
    <row r="227" spans="1:5" hidden="1" x14ac:dyDescent="0.25">
      <c r="A227" t="e">
        <f>IF(LEN('categories-old'!G227) &gt; 0, "INSERT INTO `catalog_category_entity_varchar` (attribute_id,store_id,entity_id,value) VALUES (48,0,"&amp;'categories-old'!B227&amp;",'"&amp;RIGHT('categories-old'!G227,LEN('categories-old'!G227)-1)&amp;"');","")</f>
        <v>#N/A</v>
      </c>
      <c r="B227" t="e">
        <f>IF(LEN(categories!G227) &gt; 0, "INSERT INTO `catalog_category_entity_varchar` (attribute_id,store_id,entity_id,value) VALUES (48,0,"&amp;categories!B227&amp;",'"&amp;RIGHT(categories!G227,LEN(categories!G227)-1)&amp;"');","")</f>
        <v>#N/A</v>
      </c>
      <c r="C227" t="e">
        <f>VLOOKUP(categories!B227,'categories-old'!B:G,6,FALSE)</f>
        <v>#N/A</v>
      </c>
      <c r="D227" t="e">
        <f>VLOOKUP(categories!B227,'categories-old'!B:H,7,FALSE)</f>
        <v>#N/A</v>
      </c>
    </row>
    <row r="228" spans="1:5" hidden="1" x14ac:dyDescent="0.25">
      <c r="A228" t="str">
        <f>IF(LEN('categories-old'!G228) &gt; 0, "INSERT INTO `catalog_category_entity_varchar` (attribute_id,store_id,entity_id,value) VALUES (48,0,"&amp;'categories-old'!B228&amp;",'"&amp;RIGHT('categories-old'!G228,LEN('categories-old'!G228)-1)&amp;"');","")</f>
        <v>INSERT INTO `catalog_category_entity_varchar` (attribute_id,store_id,entity_id,value) VALUES (48,0,1383,'img1/img3c40.jpg');</v>
      </c>
      <c r="B228" t="str">
        <f>IF(LEN(categories!G228) &gt; 0, "INSERT INTO `catalog_category_entity_varchar` (attribute_id,store_id,entity_id,value) VALUES (48,0,"&amp;categories!B228&amp;",'"&amp;RIGHT(categories!G228,LEN(categories!G228)-1)&amp;"');","")</f>
        <v>INSERT INTO `catalog_category_entity_varchar` (attribute_id,store_id,entity_id,value) VALUES (48,0,1383,'img1/img3c40.jpg');</v>
      </c>
      <c r="C228" t="str">
        <f>VLOOKUP(categories!B228,'categories-old'!B:G,6,FALSE)</f>
        <v>/img1/img3c40.jpg</v>
      </c>
      <c r="D228" t="str">
        <f>VLOOKUP(categories!B228,'categories-old'!B:H,7,FALSE)</f>
        <v>www.americanretailsupply.com/64814/Wire-Shelves.html</v>
      </c>
    </row>
    <row r="229" spans="1:5" x14ac:dyDescent="0.25">
      <c r="A229" t="str">
        <f>IF(LEN('categories-old'!G229) &gt; 0, "INSERT INTO `catalog_category_entity_varchar` (attribute_id,store_id,entity_id,value) VALUES (48,0,"&amp;'categories-old'!B229&amp;",'"&amp;RIGHT('categories-old'!G229,LEN('categories-old'!G229)-1)&amp;"');","")</f>
        <v/>
      </c>
      <c r="B229" t="str">
        <f>IF(LEN(categories!G229) &gt; 0, "INSERT INTO `catalog_category_entity_varchar` (attribute_id,store_id,entity_id,value) VALUES (48,0,"&amp;categories!B229&amp;",'"&amp;RIGHT(categories!G229,LEN(categories!G229)-1)&amp;"');","")</f>
        <v>INSERT INTO `catalog_category_entity_varchar` (attribute_id,store_id,entity_id,value) VALUES (48,0,877,'img2/imge011.jpg');</v>
      </c>
      <c r="C229">
        <f>VLOOKUP(categories!B229,'categories-old'!B:G,6,FALSE)</f>
        <v>0</v>
      </c>
      <c r="D229" t="str">
        <f>VLOOKUP(categories!B229,'categories-old'!B:H,7,FALSE)</f>
        <v>www.americanretailsupply.com/64669/Shelves.html</v>
      </c>
      <c r="E229" t="str">
        <f>SUBSTITUTE(SUBSTITUTE(D229,"\","/"),"www.americanretailsupply.com/","")</f>
        <v>64669/Shelves.html</v>
      </c>
    </row>
    <row r="230" spans="1:5" hidden="1" x14ac:dyDescent="0.25">
      <c r="A230" t="str">
        <f>IF(LEN('categories-old'!G230) &gt; 0, "INSERT INTO `catalog_category_entity_varchar` (attribute_id,store_id,entity_id,value) VALUES (48,0,"&amp;'categories-old'!B230&amp;",'"&amp;RIGHT('categories-old'!G230,LEN('categories-old'!G230)-1)&amp;"');","")</f>
        <v>INSERT INTO `catalog_category_entity_varchar` (attribute_id,store_id,entity_id,value) VALUES (48,0,681,'img1/img0c59.jpg');</v>
      </c>
      <c r="B230" t="str">
        <f>IF(LEN(categories!G230) &gt; 0, "INSERT INTO `catalog_category_entity_varchar` (attribute_id,store_id,entity_id,value) VALUES (48,0,"&amp;categories!B230&amp;",'"&amp;RIGHT(categories!G230,LEN(categories!G230)-1)&amp;"');","")</f>
        <v>INSERT INTO `catalog_category_entity_varchar` (attribute_id,store_id,entity_id,value) VALUES (48,0,681,'img1/img0c59.jpg');</v>
      </c>
      <c r="C230" t="str">
        <f>VLOOKUP(categories!B230,'categories-old'!B:G,6,FALSE)</f>
        <v>/img1/img0c59.jpg</v>
      </c>
      <c r="D230" t="str">
        <f>VLOOKUP(categories!B230,'categories-old'!B:H,7,FALSE)</f>
        <v>www.americanretailsupply.com/64831/Hardwood-Showcases.html</v>
      </c>
    </row>
    <row r="231" spans="1:5" x14ac:dyDescent="0.25">
      <c r="A231" t="str">
        <f>IF(LEN('categories-old'!G231) &gt; 0, "INSERT INTO `catalog_category_entity_varchar` (attribute_id,store_id,entity_id,value) VALUES (48,0,"&amp;'categories-old'!B231&amp;",'"&amp;RIGHT('categories-old'!G231,LEN('categories-old'!G231)-1)&amp;"');","")</f>
        <v/>
      </c>
      <c r="B231" t="str">
        <f>IF(LEN(categories!G231) &gt; 0, "INSERT INTO `catalog_category_entity_varchar` (attribute_id,store_id,entity_id,value) VALUES (48,0,"&amp;categories!B231&amp;",'"&amp;RIGHT(categories!G231,LEN(categories!G231)-1)&amp;"');","")</f>
        <v>INSERT INTO `catalog_category_entity_varchar` (attribute_id,store_id,entity_id,value) VALUES (48,0,715,'img3/imgd090.jpg');</v>
      </c>
      <c r="C231">
        <f>VLOOKUP(categories!B231,'categories-old'!B:G,6,FALSE)</f>
        <v>0</v>
      </c>
      <c r="D231" t="str">
        <f>VLOOKUP(categories!B231,'categories-old'!B:H,7,FALSE)</f>
        <v>www.americanretailsupply.com/64832/High-Tech-Showcases.html</v>
      </c>
      <c r="E231" t="str">
        <f>SUBSTITUTE(SUBSTITUTE(D231,"\","/"),"www.americanretailsupply.com/","")</f>
        <v>64832/High-Tech-Showcases.html</v>
      </c>
    </row>
    <row r="232" spans="1:5" hidden="1" x14ac:dyDescent="0.25">
      <c r="A232" t="str">
        <f>IF(LEN('categories-old'!G232) &gt; 0, "INSERT INTO `catalog_category_entity_varchar` (attribute_id,store_id,entity_id,value) VALUES (48,0,"&amp;'categories-old'!B232&amp;",'"&amp;RIGHT('categories-old'!G232,LEN('categories-old'!G232)-1)&amp;"');","")</f>
        <v>INSERT INTO `catalog_category_entity_varchar` (attribute_id,store_id,entity_id,value) VALUES (48,0,841,'img2/img9411.jpg');</v>
      </c>
      <c r="B232" t="str">
        <f>IF(LEN(categories!G232) &gt; 0, "INSERT INTO `catalog_category_entity_varchar` (attribute_id,store_id,entity_id,value) VALUES (48,0,"&amp;categories!B232&amp;",'"&amp;RIGHT(categories!G232,LEN(categories!G232)-1)&amp;"');","")</f>
        <v>INSERT INTO `catalog_category_entity_varchar` (attribute_id,store_id,entity_id,value) VALUES (48,0,841,'img2/img9411.jpg');</v>
      </c>
      <c r="C232" t="str">
        <f>VLOOKUP(categories!B232,'categories-old'!B:G,6,FALSE)</f>
        <v>/img2/img9411.jpg</v>
      </c>
      <c r="D232" t="str">
        <f>VLOOKUP(categories!B232,'categories-old'!B:H,7,FALSE)</f>
        <v>www.americanretailsupply.com/64830/LaminateMetal-Showcases.html</v>
      </c>
    </row>
    <row r="233" spans="1:5" hidden="1" x14ac:dyDescent="0.25">
      <c r="A233" t="str">
        <f>IF(LEN('categories-old'!G233) &gt; 0, "INSERT INTO `catalog_category_entity_varchar` (attribute_id,store_id,entity_id,value) VALUES (48,0,"&amp;'categories-old'!B233&amp;",'"&amp;RIGHT('categories-old'!G233,LEN('categories-old'!G233)-1)&amp;"');","")</f>
        <v>INSERT INTO `catalog_category_entity_varchar` (attribute_id,store_id,entity_id,value) VALUES (48,0,1102,'img1/imgee12.jpg');</v>
      </c>
      <c r="B233" t="str">
        <f>IF(LEN(categories!G233) &gt; 0, "INSERT INTO `catalog_category_entity_varchar` (attribute_id,store_id,entity_id,value) VALUES (48,0,"&amp;categories!B233&amp;",'"&amp;RIGHT(categories!G233,LEN(categories!G233)-1)&amp;"');","")</f>
        <v>INSERT INTO `catalog_category_entity_varchar` (attribute_id,store_id,entity_id,value) VALUES (48,0,1102,'img1/imgee12.jpg');</v>
      </c>
      <c r="C233" t="str">
        <f>VLOOKUP(categories!B233,'categories-old'!B:G,6,FALSE)</f>
        <v>/img1/imgee12.jpg</v>
      </c>
      <c r="D233" t="str">
        <f>VLOOKUP(categories!B233,'categories-old'!B:H,7,FALSE)</f>
        <v>www.americanretailsupply.com/64829/Ready-To-Assemble-Showcases.html</v>
      </c>
    </row>
    <row r="234" spans="1:5" hidden="1" x14ac:dyDescent="0.25">
      <c r="A234" t="str">
        <f>IF(LEN('categories-old'!G234) &gt; 0, "INSERT INTO `catalog_category_entity_varchar` (attribute_id,store_id,entity_id,value) VALUES (48,0,"&amp;'categories-old'!B234&amp;",'"&amp;RIGHT('categories-old'!G234,LEN('categories-old'!G234)-1)&amp;"');","")</f>
        <v>INSERT INTO `catalog_category_entity_varchar` (attribute_id,store_id,entity_id,value) VALUES (48,0,680,'img3/img1b06.jpg');</v>
      </c>
      <c r="B234" t="str">
        <f>IF(LEN(categories!G234) &gt; 0, "INSERT INTO `catalog_category_entity_varchar` (attribute_id,store_id,entity_id,value) VALUES (48,0,"&amp;categories!B234&amp;",'"&amp;RIGHT(categories!G234,LEN(categories!G234)-1)&amp;"');","")</f>
        <v>INSERT INTO `catalog_category_entity_varchar` (attribute_id,store_id,entity_id,value) VALUES (48,0,680,'img3/img1b06.jpg');</v>
      </c>
      <c r="C234" t="str">
        <f>VLOOKUP(categories!B234,'categories-old'!B:G,6,FALSE)</f>
        <v>/img3/img1b06.jpg</v>
      </c>
      <c r="D234" t="str">
        <f>VLOOKUP(categories!B234,'categories-old'!B:H,7,FALSE)</f>
        <v>www.americanretailsupply.com/64674/Showcases.html</v>
      </c>
    </row>
    <row r="235" spans="1:5" hidden="1" x14ac:dyDescent="0.25">
      <c r="A235" t="str">
        <f>IF(LEN('categories-old'!G235) &gt; 0, "INSERT INTO `catalog_category_entity_varchar` (attribute_id,store_id,entity_id,value) VALUES (48,0,"&amp;'categories-old'!B235&amp;",'"&amp;RIGHT('categories-old'!G235,LEN('categories-old'!G235)-1)&amp;"');","")</f>
        <v>INSERT INTO `catalog_category_entity_varchar` (attribute_id,store_id,entity_id,value) VALUES (48,0,621,'img1/imgf1e4.jpg');</v>
      </c>
      <c r="B235" t="str">
        <f>IF(LEN(categories!G235) &gt; 0, "INSERT INTO `catalog_category_entity_varchar` (attribute_id,store_id,entity_id,value) VALUES (48,0,"&amp;categories!B235&amp;",'"&amp;RIGHT(categories!G235,LEN(categories!G235)-1)&amp;"');","")</f>
        <v>INSERT INTO `catalog_category_entity_varchar` (attribute_id,store_id,entity_id,value) VALUES (48,0,621,'img1/imgf1e4.jpg');</v>
      </c>
      <c r="C235" t="str">
        <f>VLOOKUP(categories!B235,'categories-old'!B:G,6,FALSE)</f>
        <v>/img1/imgf1e4.jpg</v>
      </c>
      <c r="D235" t="str">
        <f>VLOOKUP(categories!B235,'categories-old'!B:H,7,FALSE)</f>
        <v>www.americanretailsupply.com/64971/Glass-Connectors.html</v>
      </c>
    </row>
    <row r="236" spans="1:5" x14ac:dyDescent="0.25">
      <c r="A236" t="str">
        <f>IF(LEN('categories-old'!G236) &gt; 0, "INSERT INTO `catalog_category_entity_varchar` (attribute_id,store_id,entity_id,value) VALUES (48,0,"&amp;'categories-old'!B236&amp;",'"&amp;RIGHT('categories-old'!G236,LEN('categories-old'!G236)-1)&amp;"');","")</f>
        <v/>
      </c>
      <c r="B236" t="str">
        <f>IF(LEN(categories!G236) &gt; 0, "INSERT INTO `catalog_category_entity_varchar` (attribute_id,store_id,entity_id,value) VALUES (48,0,"&amp;categories!B236&amp;",'"&amp;RIGHT(categories!G236,LEN(categories!G236)-1)&amp;"');","")</f>
        <v>INSERT INTO `catalog_category_entity_varchar` (attribute_id,store_id,entity_id,value) VALUES (48,0,882,'img3/img4438.jpg');</v>
      </c>
      <c r="C236">
        <f>VLOOKUP(categories!B236,'categories-old'!B:G,6,FALSE)</f>
        <v>0</v>
      </c>
      <c r="D236" t="str">
        <f>VLOOKUP(categories!B236,'categories-old'!B:H,7,FALSE)</f>
        <v>www.americanretailsupply.com/65208/Melamine-Bases-for-Glass-Displays.html</v>
      </c>
      <c r="E236" t="str">
        <f>SUBSTITUTE(SUBSTITUTE(D236,"\","/"),"www.americanretailsupply.com/","")</f>
        <v>65208/Melamine-Bases-for-Glass-Displays.html</v>
      </c>
    </row>
    <row r="237" spans="1:5" hidden="1" x14ac:dyDescent="0.25">
      <c r="A237" t="str">
        <f>IF(LEN('categories-old'!G237) &gt; 0, "INSERT INTO `catalog_category_entity_varchar` (attribute_id,store_id,entity_id,value) VALUES (48,0,"&amp;'categories-old'!B237&amp;",'"&amp;RIGHT('categories-old'!G237,LEN('categories-old'!G237)-1)&amp;"');","")</f>
        <v>INSERT INTO `catalog_category_entity_varchar` (attribute_id,store_id,entity_id,value) VALUES (48,0,1286,'img3/imgf63f.jpg');</v>
      </c>
      <c r="B237" t="str">
        <f>IF(LEN(categories!G237) &gt; 0, "INSERT INTO `catalog_category_entity_varchar` (attribute_id,store_id,entity_id,value) VALUES (48,0,"&amp;categories!B237&amp;",'"&amp;RIGHT(categories!G237,LEN(categories!G237)-1)&amp;"');","")</f>
        <v>INSERT INTO `catalog_category_entity_varchar` (attribute_id,store_id,entity_id,value) VALUES (48,0,1286,'img3/imgf63f.jpg');</v>
      </c>
      <c r="C237" t="str">
        <f>VLOOKUP(categories!B237,'categories-old'!B:G,6,FALSE)</f>
        <v>/img3/imgf63f.jpg</v>
      </c>
      <c r="D237" t="str">
        <f>VLOOKUP(categories!B237,'categories-old'!B:H,7,FALSE)</f>
        <v>www.americanretailsupply.com/64766/Tempered-Glass-Tower-Displays.html</v>
      </c>
    </row>
    <row r="238" spans="1:5" hidden="1" x14ac:dyDescent="0.25">
      <c r="A238" t="str">
        <f>IF(LEN('categories-old'!G238) &gt; 0, "INSERT INTO `catalog_category_entity_varchar` (attribute_id,store_id,entity_id,value) VALUES (48,0,"&amp;'categories-old'!B238&amp;",'"&amp;RIGHT('categories-old'!G238,LEN('categories-old'!G238)-1)&amp;"');","")</f>
        <v>INSERT INTO `catalog_category_entity_varchar` (attribute_id,store_id,entity_id,value) VALUES (48,0,620,'img2/img7e59.jpg');</v>
      </c>
      <c r="B238" t="str">
        <f>IF(LEN(categories!G238) &gt; 0, "INSERT INTO `catalog_category_entity_varchar` (attribute_id,store_id,entity_id,value) VALUES (48,0,"&amp;categories!B238&amp;",'"&amp;RIGHT(categories!G238,LEN(categories!G238)-1)&amp;"');","")</f>
        <v>INSERT INTO `catalog_category_entity_varchar` (attribute_id,store_id,entity_id,value) VALUES (48,0,620,'img2/img7e59.jpg');</v>
      </c>
      <c r="C238" t="str">
        <f>VLOOKUP(categories!B238,'categories-old'!B:G,6,FALSE)</f>
        <v>/img2/img7e59.jpg</v>
      </c>
      <c r="D238" t="str">
        <f>VLOOKUP(categories!B238,'categories-old'!B:H,7,FALSE)</f>
        <v>www.americanretailsupply.com/64666/Tempered-Glass-Shelves--Displays.html</v>
      </c>
    </row>
    <row r="239" spans="1:5" x14ac:dyDescent="0.25">
      <c r="A239" t="str">
        <f>IF(LEN('categories-old'!G239) &gt; 0, "INSERT INTO `catalog_category_entity_varchar` (attribute_id,store_id,entity_id,value) VALUES (48,0,"&amp;'categories-old'!B239&amp;",'"&amp;RIGHT('categories-old'!G239,LEN('categories-old'!G239)-1)&amp;"');","")</f>
        <v/>
      </c>
      <c r="B239" t="str">
        <f>IF(LEN(categories!G239) &gt; 0, "INSERT INTO `catalog_category_entity_varchar` (attribute_id,store_id,entity_id,value) VALUES (48,0,"&amp;categories!B239&amp;",'"&amp;RIGHT(categories!G239,LEN(categories!G239)-1)&amp;"');","")</f>
        <v>INSERT INTO `catalog_category_entity_varchar` (attribute_id,store_id,entity_id,value) VALUES (48,0,1366,'img3/img8e6a.jpg');</v>
      </c>
      <c r="C239">
        <f>VLOOKUP(categories!B239,'categories-old'!B:G,6,FALSE)</f>
        <v>0</v>
      </c>
      <c r="D239" t="str">
        <f>VLOOKUP(categories!B239,'categories-old'!B:H,7,FALSE)</f>
        <v>www.americanretailsupply.com/64665/Wire--Acylic-Easels.html</v>
      </c>
      <c r="E239" t="str">
        <f>SUBSTITUTE(SUBSTITUTE(D239,"\","/"),"www.americanretailsupply.com/","")</f>
        <v>64665/Wire--Acylic-Easels.html</v>
      </c>
    </row>
    <row r="240" spans="1:5" hidden="1" x14ac:dyDescent="0.25">
      <c r="A240" t="str">
        <f>IF(LEN('categories-old'!G240) &gt; 0, "INSERT INTO `catalog_category_entity_varchar` (attribute_id,store_id,entity_id,value) VALUES (48,0,"&amp;'categories-old'!B240&amp;",'"&amp;RIGHT('categories-old'!G240,LEN('categories-old'!G240)-1)&amp;"');","")</f>
        <v>INSERT INTO `catalog_category_entity_varchar` (attribute_id,store_id,entity_id,value) VALUES (48,0,68,'img1/img803e.jpg');</v>
      </c>
      <c r="B240" t="str">
        <f>IF(LEN(categories!G240) &gt; 0, "INSERT INTO `catalog_category_entity_varchar` (attribute_id,store_id,entity_id,value) VALUES (48,0,"&amp;categories!B240&amp;",'"&amp;RIGHT(categories!G240,LEN(categories!G240)-1)&amp;"');","")</f>
        <v>INSERT INTO `catalog_category_entity_varchar` (attribute_id,store_id,entity_id,value) VALUES (48,0,68,'img1/img803e.jpg');</v>
      </c>
      <c r="C240" t="str">
        <f>VLOOKUP(categories!B240,'categories-old'!B:G,6,FALSE)</f>
        <v>/img1/img803e.jpg</v>
      </c>
      <c r="D240" t="str">
        <f>VLOOKUP(categories!B240,'categories-old'!B:H,7,FALSE)</f>
        <v>www.americanretailsupply.com/64593/Store-Display-Cases-Racks--Showcases.html</v>
      </c>
    </row>
    <row r="241" spans="1:4" hidden="1" x14ac:dyDescent="0.25">
      <c r="A241" t="str">
        <f>IF(LEN('categories-old'!G241) &gt; 0, "INSERT INTO `catalog_category_entity_varchar` (attribute_id,store_id,entity_id,value) VALUES (48,0,"&amp;'categories-old'!B241&amp;",'"&amp;RIGHT('categories-old'!G241,LEN('categories-old'!G241)-1)&amp;"');","")</f>
        <v>INSERT INTO `catalog_category_entity_varchar` (attribute_id,store_id,entity_id,value) VALUES (48,0,6,'img3/img9123.jpg');</v>
      </c>
      <c r="B241" t="str">
        <f>IF(LEN(categories!G241) &gt; 0, "INSERT INTO `catalog_category_entity_varchar` (attribute_id,store_id,entity_id,value) VALUES (48,0,"&amp;categories!B241&amp;",'"&amp;RIGHT(categories!G241,LEN(categories!G241)-1)&amp;"');","")</f>
        <v>INSERT INTO `catalog_category_entity_varchar` (attribute_id,store_id,entity_id,value) VALUES (48,0,6,'img3/img9123.jpg');</v>
      </c>
      <c r="C241" t="str">
        <f>VLOOKUP(categories!B241,'categories-old'!B:G,6,FALSE)</f>
        <v>/img3/img9123.jpg</v>
      </c>
      <c r="D241" t="str">
        <f>VLOOKUP(categories!B241,'categories-old'!B:H,7,FALSE)</f>
        <v>www.americanretailsupply.com\64923\1430\1-Line-Monarch-Labelers\Monarch-1110-Pricing-Gun.html</v>
      </c>
    </row>
    <row r="242" spans="1:4" hidden="1" x14ac:dyDescent="0.25">
      <c r="A242" t="str">
        <f>IF(LEN('categories-old'!G242) &gt; 0, "INSERT INTO `catalog_category_entity_varchar` (attribute_id,store_id,entity_id,value) VALUES (48,0,"&amp;'categories-old'!B242&amp;",'"&amp;RIGHT('categories-old'!G242,LEN('categories-old'!G242)-1)&amp;"');","")</f>
        <v>INSERT INTO `catalog_category_entity_varchar` (attribute_id,store_id,entity_id,value) VALUES (48,0,7,'img2/imgf49b.jpg');</v>
      </c>
      <c r="B242" t="str">
        <f>IF(LEN(categories!G242) &gt; 0, "INSERT INTO `catalog_category_entity_varchar` (attribute_id,store_id,entity_id,value) VALUES (48,0,"&amp;categories!B242&amp;",'"&amp;RIGHT(categories!G242,LEN(categories!G242)-1)&amp;"');","")</f>
        <v>INSERT INTO `catalog_category_entity_varchar` (attribute_id,store_id,entity_id,value) VALUES (48,0,7,'img2/imgf49b.jpg');</v>
      </c>
      <c r="C242" t="str">
        <f>VLOOKUP(categories!B242,'categories-old'!B:G,6,FALSE)</f>
        <v>/img2/imgf49b.jpg</v>
      </c>
      <c r="D242" t="str">
        <f>VLOOKUP(categories!B242,'categories-old'!B:H,7,FALSE)</f>
        <v>www.americanretailsupply.com\64923\1561\1-Line-Monarch-Labelers\Monarch-1110-Labels.html</v>
      </c>
    </row>
    <row r="243" spans="1:4" hidden="1" x14ac:dyDescent="0.25">
      <c r="A243" t="str">
        <f>IF(LEN('categories-old'!G243) &gt; 0, "INSERT INTO `catalog_category_entity_varchar` (attribute_id,store_id,entity_id,value) VALUES (48,0,"&amp;'categories-old'!B243&amp;",'"&amp;RIGHT('categories-old'!G243,LEN('categories-old'!G243)-1)&amp;"');","")</f>
        <v>INSERT INTO `catalog_category_entity_varchar` (attribute_id,store_id,entity_id,value) VALUES (48,0,8,'img2/img46c7.jpg');</v>
      </c>
      <c r="B243" t="str">
        <f>IF(LEN(categories!G243) &gt; 0, "INSERT INTO `catalog_category_entity_varchar` (attribute_id,store_id,entity_id,value) VALUES (48,0,"&amp;categories!B243&amp;",'"&amp;RIGHT(categories!G243,LEN(categories!G243)-1)&amp;"');","")</f>
        <v>INSERT INTO `catalog_category_entity_varchar` (attribute_id,store_id,entity_id,value) VALUES (48,0,8,'img2/img46c7.jpg');</v>
      </c>
      <c r="C243" t="str">
        <f>VLOOKUP(categories!B243,'categories-old'!B:G,6,FALSE)</f>
        <v>/img2/img46c7.jpg</v>
      </c>
      <c r="D243" t="str">
        <f>VLOOKUP(categories!B243,'categories-old'!B:H,7,FALSE)</f>
        <v>www.americanretailsupply.com\64923\1564\1-Line-Monarch-Labelers\Monarch-1130-Labels.html</v>
      </c>
    </row>
    <row r="244" spans="1:4" hidden="1" x14ac:dyDescent="0.25">
      <c r="A244" t="str">
        <f>IF(LEN('categories-old'!G244) &gt; 0, "INSERT INTO `catalog_category_entity_varchar` (attribute_id,store_id,entity_id,value) VALUES (48,0,"&amp;'categories-old'!B244&amp;",'"&amp;RIGHT('categories-old'!G244,LEN('categories-old'!G244)-1)&amp;"');","")</f>
        <v>INSERT INTO `catalog_category_entity_varchar` (attribute_id,store_id,entity_id,value) VALUES (48,0,9,'img1/img31ea.jpg');</v>
      </c>
      <c r="B244" t="str">
        <f>IF(LEN(categories!G244) &gt; 0, "INSERT INTO `catalog_category_entity_varchar` (attribute_id,store_id,entity_id,value) VALUES (48,0,"&amp;categories!B244&amp;",'"&amp;RIGHT(categories!G244,LEN(categories!G244)-1)&amp;"');","")</f>
        <v>INSERT INTO `catalog_category_entity_varchar` (attribute_id,store_id,entity_id,value) VALUES (48,0,9,'img1/img31ea.jpg');</v>
      </c>
      <c r="C244" t="str">
        <f>VLOOKUP(categories!B244,'categories-old'!B:G,6,FALSE)</f>
        <v>/img1/img31ea.jpg</v>
      </c>
      <c r="D244" t="str">
        <f>VLOOKUP(categories!B244,'categories-old'!B:H,7,FALSE)</f>
        <v>www.americanretailsupply.com\64923\1565\1-Line-Monarch-Labelers\Monarch-1131-Labels.html</v>
      </c>
    </row>
    <row r="245" spans="1:4" hidden="1" x14ac:dyDescent="0.25">
      <c r="A245" t="str">
        <f>IF(LEN('categories-old'!G245) &gt; 0, "INSERT INTO `catalog_category_entity_varchar` (attribute_id,store_id,entity_id,value) VALUES (48,0,"&amp;'categories-old'!B245&amp;",'"&amp;RIGHT('categories-old'!G245,LEN('categories-old'!G245)-1)&amp;"');","")</f>
        <v>INSERT INTO `catalog_category_entity_varchar` (attribute_id,store_id,entity_id,value) VALUES (48,0,10,'img3/img878b.jpg');</v>
      </c>
      <c r="B245" t="str">
        <f>IF(LEN(categories!G245) &gt; 0, "INSERT INTO `catalog_category_entity_varchar` (attribute_id,store_id,entity_id,value) VALUES (48,0,"&amp;categories!B245&amp;",'"&amp;RIGHT(categories!G245,LEN(categories!G245)-1)&amp;"');","")</f>
        <v>INSERT INTO `catalog_category_entity_varchar` (attribute_id,store_id,entity_id,value) VALUES (48,0,10,'img3/img878b.jpg');</v>
      </c>
      <c r="C245" t="str">
        <f>VLOOKUP(categories!B245,'categories-old'!B:G,6,FALSE)</f>
        <v>/img3/img878b.jpg</v>
      </c>
      <c r="D245" t="str">
        <f>VLOOKUP(categories!B245,'categories-old'!B:H,7,FALSE)</f>
        <v>www.americanretailsupply.com\64923\1569\1-Line-Monarch-Labelers\Monarch-1110-Inkers.html</v>
      </c>
    </row>
    <row r="246" spans="1:4" hidden="1" x14ac:dyDescent="0.25">
      <c r="A246" t="str">
        <f>IF(LEN('categories-old'!G246) &gt; 0, "INSERT INTO `catalog_category_entity_varchar` (attribute_id,store_id,entity_id,value) VALUES (48,0,"&amp;'categories-old'!B246&amp;",'"&amp;RIGHT('categories-old'!G246,LEN('categories-old'!G246)-1)&amp;"');","")</f>
        <v>INSERT INTO `catalog_category_entity_varchar` (attribute_id,store_id,entity_id,value) VALUES (48,0,11,'img1/img4f85.jpg');</v>
      </c>
      <c r="B246" t="str">
        <f>IF(LEN(categories!G246) &gt; 0, "INSERT INTO `catalog_category_entity_varchar` (attribute_id,store_id,entity_id,value) VALUES (48,0,"&amp;categories!B246&amp;",'"&amp;RIGHT(categories!G246,LEN(categories!G246)-1)&amp;"');","")</f>
        <v>INSERT INTO `catalog_category_entity_varchar` (attribute_id,store_id,entity_id,value) VALUES (48,0,11,'img1/img4f85.jpg');</v>
      </c>
      <c r="C246" t="str">
        <f>VLOOKUP(categories!B246,'categories-old'!B:G,6,FALSE)</f>
        <v>/img1/img4f85.jpg</v>
      </c>
      <c r="D246" t="str">
        <f>VLOOKUP(categories!B246,'categories-old'!B:H,7,FALSE)</f>
        <v>www.americanretailsupply.com\64923\48186\1-Line-Monarch-Labelers\Monarch-1130-Price-Gun.html</v>
      </c>
    </row>
    <row r="247" spans="1:4" hidden="1" x14ac:dyDescent="0.25">
      <c r="A247" t="str">
        <f>IF(LEN('categories-old'!G247) &gt; 0, "INSERT INTO `catalog_category_entity_varchar` (attribute_id,store_id,entity_id,value) VALUES (48,0,"&amp;'categories-old'!B247&amp;",'"&amp;RIGHT('categories-old'!G247,LEN('categories-old'!G247)-1)&amp;"');","")</f>
        <v>INSERT INTO `catalog_category_entity_varchar` (attribute_id,store_id,entity_id,value) VALUES (48,0,12,'img2/img5ecf.jpg');</v>
      </c>
      <c r="B247" t="str">
        <f>IF(LEN(categories!G247) &gt; 0, "INSERT INTO `catalog_category_entity_varchar` (attribute_id,store_id,entity_id,value) VALUES (48,0,"&amp;categories!B247&amp;",'"&amp;RIGHT(categories!G247,LEN(categories!G247)-1)&amp;"');","")</f>
        <v>INSERT INTO `catalog_category_entity_varchar` (attribute_id,store_id,entity_id,value) VALUES (48,0,12,'img2/img5ecf.jpg');</v>
      </c>
      <c r="C247" t="str">
        <f>VLOOKUP(categories!B247,'categories-old'!B:G,6,FALSE)</f>
        <v>/img2/img5ecf.jpg</v>
      </c>
      <c r="D247" t="str">
        <f>VLOOKUP(categories!B247,'categories-old'!B:H,7,FALSE)</f>
        <v>www.americanretailsupply.com\64923\48290\1-Line-Monarch-Labelers\Monarch-1130-Series-Inker.html</v>
      </c>
    </row>
    <row r="248" spans="1:4" hidden="1" x14ac:dyDescent="0.25">
      <c r="A248" t="str">
        <f>IF(LEN('categories-old'!G248) &gt; 0, "INSERT INTO `catalog_category_entity_varchar` (attribute_id,store_id,entity_id,value) VALUES (48,0,"&amp;'categories-old'!B248&amp;",'"&amp;RIGHT('categories-old'!G248,LEN('categories-old'!G248)-1)&amp;"');","")</f>
        <v>INSERT INTO `catalog_category_entity_varchar` (attribute_id,store_id,entity_id,value) VALUES (48,0,13,'img2/imge27b.jpg');</v>
      </c>
      <c r="B248" t="str">
        <f>IF(LEN(categories!G248) &gt; 0, "INSERT INTO `catalog_category_entity_varchar` (attribute_id,store_id,entity_id,value) VALUES (48,0,"&amp;categories!B248&amp;",'"&amp;RIGHT(categories!G248,LEN(categories!G248)-1)&amp;"');","")</f>
        <v>INSERT INTO `catalog_category_entity_varchar` (attribute_id,store_id,entity_id,value) VALUES (48,0,13,'img2/imge27b.jpg');</v>
      </c>
      <c r="C248" t="str">
        <f>VLOOKUP(categories!B248,'categories-old'!B:G,6,FALSE)</f>
        <v>/img2/imge27b.jpg</v>
      </c>
      <c r="D248" t="str">
        <f>VLOOKUP(categories!B248,'categories-old'!B:H,7,FALSE)</f>
        <v>www.americanretailsupply.com\64923\48328\1-Line-Monarch-Labelers\Monarch-1131-Price-Gun.html</v>
      </c>
    </row>
    <row r="249" spans="1:4" hidden="1" x14ac:dyDescent="0.25">
      <c r="A249" t="str">
        <f>IF(LEN('categories-old'!G249) &gt; 0, "INSERT INTO `catalog_category_entity_varchar` (attribute_id,store_id,entity_id,value) VALUES (48,0,"&amp;'categories-old'!B249&amp;",'"&amp;RIGHT('categories-old'!G249,LEN('categories-old'!G249)-1)&amp;"');","")</f>
        <v>INSERT INTO `catalog_category_entity_varchar` (attribute_id,store_id,entity_id,value) VALUES (48,0,15,'img1/imgaa54.jpg');</v>
      </c>
      <c r="B249" t="str">
        <f>IF(LEN(categories!G249) &gt; 0, "INSERT INTO `catalog_category_entity_varchar` (attribute_id,store_id,entity_id,value) VALUES (48,0,"&amp;categories!B249&amp;",'"&amp;RIGHT(categories!G249,LEN(categories!G249)-1)&amp;"');","")</f>
        <v>INSERT INTO `catalog_category_entity_varchar` (attribute_id,store_id,entity_id,value) VALUES (48,0,15,'img1/imgaa54.jpg');</v>
      </c>
      <c r="C249" t="str">
        <f>VLOOKUP(categories!B249,'categories-old'!B:G,6,FALSE)</f>
        <v>/img1/imgaa54.jpg</v>
      </c>
      <c r="D249" t="str">
        <f>VLOOKUP(categories!B249,'categories-old'!B:H,7,FALSE)</f>
        <v>www.americanretailsupply.com\64922\1562\2-Line-Monarch-Labelers\Monarch-1115-Labels.html</v>
      </c>
    </row>
    <row r="250" spans="1:4" hidden="1" x14ac:dyDescent="0.25">
      <c r="A250" t="str">
        <f>IF(LEN('categories-old'!G250) &gt; 0, "INSERT INTO `catalog_category_entity_varchar` (attribute_id,store_id,entity_id,value) VALUES (48,0,"&amp;'categories-old'!B250&amp;",'"&amp;RIGHT('categories-old'!G250,LEN('categories-old'!G250)-1)&amp;"');","")</f>
        <v>INSERT INTO `catalog_category_entity_varchar` (attribute_id,store_id,entity_id,value) VALUES (48,0,16,'img1/img525c.jpg');</v>
      </c>
      <c r="B250" t="str">
        <f>IF(LEN(categories!G250) &gt; 0, "INSERT INTO `catalog_category_entity_varchar` (attribute_id,store_id,entity_id,value) VALUES (48,0,"&amp;categories!B250&amp;",'"&amp;RIGHT(categories!G250,LEN(categories!G250)-1)&amp;"');","")</f>
        <v>INSERT INTO `catalog_category_entity_varchar` (attribute_id,store_id,entity_id,value) VALUES (48,0,16,'img1/img525c.jpg');</v>
      </c>
      <c r="C250" t="str">
        <f>VLOOKUP(categories!B250,'categories-old'!B:G,6,FALSE)</f>
        <v>/img1/img525c.jpg</v>
      </c>
      <c r="D250" t="str">
        <f>VLOOKUP(categories!B250,'categories-old'!B:H,7,FALSE)</f>
        <v>www.americanretailsupply.com\64922\1566\2-Line-Monarch-Labelers\Monarch-1135-Labels.html</v>
      </c>
    </row>
    <row r="251" spans="1:4" hidden="1" x14ac:dyDescent="0.25">
      <c r="A251" t="str">
        <f>IF(LEN('categories-old'!G251) &gt; 0, "INSERT INTO `catalog_category_entity_varchar` (attribute_id,store_id,entity_id,value) VALUES (48,0,"&amp;'categories-old'!B251&amp;",'"&amp;RIGHT('categories-old'!G251,LEN('categories-old'!G251)-1)&amp;"');","")</f>
        <v>INSERT INTO `catalog_category_entity_varchar` (attribute_id,store_id,entity_id,value) VALUES (48,0,17,'img3/imgbb8b.jpg');</v>
      </c>
      <c r="B251" t="str">
        <f>IF(LEN(categories!G251) &gt; 0, "INSERT INTO `catalog_category_entity_varchar` (attribute_id,store_id,entity_id,value) VALUES (48,0,"&amp;categories!B251&amp;",'"&amp;RIGHT(categories!G251,LEN(categories!G251)-1)&amp;"');","")</f>
        <v>INSERT INTO `catalog_category_entity_varchar` (attribute_id,store_id,entity_id,value) VALUES (48,0,17,'img3/imgbb8b.jpg');</v>
      </c>
      <c r="C251" t="str">
        <f>VLOOKUP(categories!B251,'categories-old'!B:G,6,FALSE)</f>
        <v>/img3/imgbb8b.jpg</v>
      </c>
      <c r="D251" t="str">
        <f>VLOOKUP(categories!B251,'categories-old'!B:H,7,FALSE)</f>
        <v>www.americanretailsupply.com\64922\1567\2-Line-Monarch-Labelers\Monarch-1136-Labels.html</v>
      </c>
    </row>
    <row r="252" spans="1:4" hidden="1" x14ac:dyDescent="0.25">
      <c r="A252" t="str">
        <f>IF(LEN('categories-old'!G252) &gt; 0, "INSERT INTO `catalog_category_entity_varchar` (attribute_id,store_id,entity_id,value) VALUES (48,0,"&amp;'categories-old'!B252&amp;",'"&amp;RIGHT('categories-old'!G252,LEN('categories-old'!G252)-1)&amp;"');","")</f>
        <v>INSERT INTO `catalog_category_entity_varchar` (attribute_id,store_id,entity_id,value) VALUES (48,0,18,'img3/img44e5.jpg');</v>
      </c>
      <c r="B252" t="str">
        <f>IF(LEN(categories!G252) &gt; 0, "INSERT INTO `catalog_category_entity_varchar` (attribute_id,store_id,entity_id,value) VALUES (48,0,"&amp;categories!B252&amp;",'"&amp;RIGHT(categories!G252,LEN(categories!G252)-1)&amp;"');","")</f>
        <v>INSERT INTO `catalog_category_entity_varchar` (attribute_id,store_id,entity_id,value) VALUES (48,0,18,'img3/img44e5.jpg');</v>
      </c>
      <c r="C252" t="str">
        <f>VLOOKUP(categories!B252,'categories-old'!B:G,6,FALSE)</f>
        <v>/img3/img44e5.jpg</v>
      </c>
      <c r="D252" t="str">
        <f>VLOOKUP(categories!B252,'categories-old'!B:H,7,FALSE)</f>
        <v>www.americanretailsupply.com\64922\48184\2-Line-Monarch-Labelers\Monarch-1115-Pricing-Gun.html</v>
      </c>
    </row>
    <row r="253" spans="1:4" hidden="1" x14ac:dyDescent="0.25">
      <c r="A253" t="str">
        <f>IF(LEN('categories-old'!G253) &gt; 0, "INSERT INTO `catalog_category_entity_varchar` (attribute_id,store_id,entity_id,value) VALUES (48,0,"&amp;'categories-old'!B253&amp;",'"&amp;RIGHT('categories-old'!G253,LEN('categories-old'!G253)-1)&amp;"');","")</f>
        <v>INSERT INTO `catalog_category_entity_varchar` (attribute_id,store_id,entity_id,value) VALUES (48,0,19,'img3/img2833.jpg');</v>
      </c>
      <c r="B253" t="str">
        <f>IF(LEN(categories!G253) &gt; 0, "INSERT INTO `catalog_category_entity_varchar` (attribute_id,store_id,entity_id,value) VALUES (48,0,"&amp;categories!B253&amp;",'"&amp;RIGHT(categories!G253,LEN(categories!G253)-1)&amp;"');","")</f>
        <v>INSERT INTO `catalog_category_entity_varchar` (attribute_id,store_id,entity_id,value) VALUES (48,0,19,'img3/img2833.jpg');</v>
      </c>
      <c r="C253" t="str">
        <f>VLOOKUP(categories!B253,'categories-old'!B:G,6,FALSE)</f>
        <v>/img3/img2833.jpg</v>
      </c>
      <c r="D253" t="str">
        <f>VLOOKUP(categories!B253,'categories-old'!B:H,7,FALSE)</f>
        <v>www.americanretailsupply.com\64922\48187\2-Line-Monarch-Labelers\Monarch-1135-Price-Gun.html</v>
      </c>
    </row>
    <row r="254" spans="1:4" hidden="1" x14ac:dyDescent="0.25">
      <c r="A254" t="str">
        <f>IF(LEN('categories-old'!G254) &gt; 0, "INSERT INTO `catalog_category_entity_varchar` (attribute_id,store_id,entity_id,value) VALUES (48,0,"&amp;'categories-old'!B254&amp;",'"&amp;RIGHT('categories-old'!G254,LEN('categories-old'!G254)-1)&amp;"');","")</f>
        <v>INSERT INTO `catalog_category_entity_varchar` (attribute_id,store_id,entity_id,value) VALUES (48,0,20,'img2/imgcba2.jpg');</v>
      </c>
      <c r="B254" t="str">
        <f>IF(LEN(categories!G254) &gt; 0, "INSERT INTO `catalog_category_entity_varchar` (attribute_id,store_id,entity_id,value) VALUES (48,0,"&amp;categories!B254&amp;",'"&amp;RIGHT(categories!G254,LEN(categories!G254)-1)&amp;"');","")</f>
        <v>INSERT INTO `catalog_category_entity_varchar` (attribute_id,store_id,entity_id,value) VALUES (48,0,20,'img2/imgcba2.jpg');</v>
      </c>
      <c r="C254" t="str">
        <f>VLOOKUP(categories!B254,'categories-old'!B:G,6,FALSE)</f>
        <v>/img2/imgcba2.jpg</v>
      </c>
      <c r="D254" t="str">
        <f>VLOOKUP(categories!B254,'categories-old'!B:H,7,FALSE)</f>
        <v>www.americanretailsupply.com\64922\48188\2-Line-Monarch-Labelers\Monarch-1136-Price-Gun.html</v>
      </c>
    </row>
    <row r="255" spans="1:4" hidden="1" x14ac:dyDescent="0.25">
      <c r="A255" t="str">
        <f>IF(LEN('categories-old'!G255) &gt; 0, "INSERT INTO `catalog_category_entity_varchar` (attribute_id,store_id,entity_id,value) VALUES (48,0,"&amp;'categories-old'!B255&amp;",'"&amp;RIGHT('categories-old'!G255,LEN('categories-old'!G255)-1)&amp;"');","")</f>
        <v>INSERT INTO `catalog_category_entity_varchar` (attribute_id,store_id,entity_id,value) VALUES (48,0,21,'img3/img878b.jpg');</v>
      </c>
      <c r="B255" t="str">
        <f>IF(LEN(categories!G255) &gt; 0, "INSERT INTO `catalog_category_entity_varchar` (attribute_id,store_id,entity_id,value) VALUES (48,0,"&amp;categories!B255&amp;",'"&amp;RIGHT(categories!G255,LEN(categories!G255)-1)&amp;"');","")</f>
        <v>INSERT INTO `catalog_category_entity_varchar` (attribute_id,store_id,entity_id,value) VALUES (48,0,21,'img3/img878b.jpg');</v>
      </c>
      <c r="C255" t="str">
        <f>VLOOKUP(categories!B255,'categories-old'!B:G,6,FALSE)</f>
        <v>/img3/img878b.jpg</v>
      </c>
      <c r="D255" t="str">
        <f>VLOOKUP(categories!B255,'categories-old'!B:H,7,FALSE)</f>
        <v>www.americanretailsupply.com\64922\48288\2-Line-Monarch-Labelers\1115-Inker.html</v>
      </c>
    </row>
    <row r="256" spans="1:4" hidden="1" x14ac:dyDescent="0.25">
      <c r="A256" t="str">
        <f>IF(LEN('categories-old'!G256) &gt; 0, "INSERT INTO `catalog_category_entity_varchar` (attribute_id,store_id,entity_id,value) VALUES (48,0,"&amp;'categories-old'!B256&amp;",'"&amp;RIGHT('categories-old'!G256,LEN('categories-old'!G256)-1)&amp;"');","")</f>
        <v>INSERT INTO `catalog_category_entity_varchar` (attribute_id,store_id,entity_id,value) VALUES (48,0,23,'img1/imgcb83.jpg');</v>
      </c>
      <c r="B256" t="str">
        <f>IF(LEN(categories!G256) &gt; 0, "INSERT INTO `catalog_category_entity_varchar` (attribute_id,store_id,entity_id,value) VALUES (48,0,"&amp;categories!B256&amp;",'"&amp;RIGHT(categories!G256,LEN(categories!G256)-1)&amp;"');","")</f>
        <v>INSERT INTO `catalog_category_entity_varchar` (attribute_id,store_id,entity_id,value) VALUES (48,0,23,'img1/imgcb83.jpg');</v>
      </c>
      <c r="C256" t="str">
        <f>VLOOKUP(categories!B256,'categories-old'!B:G,6,FALSE)</f>
        <v>/img1/imgcb83.jpg</v>
      </c>
      <c r="D256" t="str">
        <f>VLOOKUP(categories!B256,'categories-old'!B:H,7,FALSE)</f>
        <v>www.americanretailsupply.com\64924\1568\3-Line--Promo-Monarch-Labelers\Monarch-1150-Series-Promotional-Labels.html</v>
      </c>
    </row>
    <row r="257" spans="1:4" hidden="1" x14ac:dyDescent="0.25">
      <c r="A257" t="str">
        <f>IF(LEN('categories-old'!G257) &gt; 0, "INSERT INTO `catalog_category_entity_varchar` (attribute_id,store_id,entity_id,value) VALUES (48,0,"&amp;'categories-old'!B257&amp;",'"&amp;RIGHT('categories-old'!G257,LEN('categories-old'!G257)-1)&amp;"');","")</f>
        <v>INSERT INTO `catalog_category_entity_varchar` (attribute_id,store_id,entity_id,value) VALUES (48,0,24,'img1/imgfed4.jpg');</v>
      </c>
      <c r="B257" t="str">
        <f>IF(LEN(categories!G257) &gt; 0, "INSERT INTO `catalog_category_entity_varchar` (attribute_id,store_id,entity_id,value) VALUES (48,0,"&amp;categories!B257&amp;",'"&amp;RIGHT(categories!G257,LEN(categories!G257)-1)&amp;"');","")</f>
        <v>INSERT INTO `catalog_category_entity_varchar` (attribute_id,store_id,entity_id,value) VALUES (48,0,24,'img1/imgfed4.jpg');</v>
      </c>
      <c r="C257" t="str">
        <f>VLOOKUP(categories!B257,'categories-old'!B:G,6,FALSE)</f>
        <v>/img1/imgfed4.jpg</v>
      </c>
      <c r="D257" t="str">
        <f>VLOOKUP(categories!B257,'categories-old'!B:H,7,FALSE)</f>
        <v>www.americanretailsupply.com\64924\48189\3-Line--Promo-Monarch-Labelers\Monarch-1151.html</v>
      </c>
    </row>
    <row r="258" spans="1:4" hidden="1" x14ac:dyDescent="0.25">
      <c r="A258" t="str">
        <f>IF(LEN('categories-old'!G258) &gt; 0, "INSERT INTO `catalog_category_entity_varchar` (attribute_id,store_id,entity_id,value) VALUES (48,0,"&amp;'categories-old'!B258&amp;",'"&amp;RIGHT('categories-old'!G258,LEN('categories-old'!G258)-1)&amp;"');","")</f>
        <v>INSERT INTO `catalog_category_entity_varchar` (attribute_id,store_id,entity_id,value) VALUES (48,0,25,'img1/img156e.jpg');</v>
      </c>
      <c r="B258" t="str">
        <f>IF(LEN(categories!G258) &gt; 0, "INSERT INTO `catalog_category_entity_varchar` (attribute_id,store_id,entity_id,value) VALUES (48,0,"&amp;categories!B258&amp;",'"&amp;RIGHT(categories!G258,LEN(categories!G258)-1)&amp;"');","")</f>
        <v>INSERT INTO `catalog_category_entity_varchar` (attribute_id,store_id,entity_id,value) VALUES (48,0,25,'img1/img156e.jpg');</v>
      </c>
      <c r="C258" t="str">
        <f>VLOOKUP(categories!B258,'categories-old'!B:G,6,FALSE)</f>
        <v>/img1/img156e.jpg</v>
      </c>
      <c r="D258" t="str">
        <f>VLOOKUP(categories!B258,'categories-old'!B:H,7,FALSE)</f>
        <v>www.americanretailsupply.com\64924\48190\3-Line--Promo-Monarch-Labelers\Monarch-1152.html</v>
      </c>
    </row>
    <row r="259" spans="1:4" hidden="1" x14ac:dyDescent="0.25">
      <c r="A259" t="str">
        <f>IF(LEN('categories-old'!G259) &gt; 0, "INSERT INTO `catalog_category_entity_varchar` (attribute_id,store_id,entity_id,value) VALUES (48,0,"&amp;'categories-old'!B259&amp;",'"&amp;RIGHT('categories-old'!G259,LEN('categories-old'!G259)-1)&amp;"');","")</f>
        <v>INSERT INTO `catalog_category_entity_varchar` (attribute_id,store_id,entity_id,value) VALUES (48,0,26,'img2/img1e6e.jpg');</v>
      </c>
      <c r="B259" t="str">
        <f>IF(LEN(categories!G259) &gt; 0, "INSERT INTO `catalog_category_entity_varchar` (attribute_id,store_id,entity_id,value) VALUES (48,0,"&amp;categories!B259&amp;",'"&amp;RIGHT(categories!G259,LEN(categories!G259)-1)&amp;"');","")</f>
        <v>INSERT INTO `catalog_category_entity_varchar` (attribute_id,store_id,entity_id,value) VALUES (48,0,26,'img2/img1e6e.jpg');</v>
      </c>
      <c r="C259" t="str">
        <f>VLOOKUP(categories!B259,'categories-old'!B:G,6,FALSE)</f>
        <v>/img2/img1e6e.jpg</v>
      </c>
      <c r="D259" t="str">
        <f>VLOOKUP(categories!B259,'categories-old'!B:H,7,FALSE)</f>
        <v>www.americanretailsupply.com\64924\48289\3-Line--Promo-Monarch-Labelers\1150-Series-Inker.html</v>
      </c>
    </row>
    <row r="260" spans="1:4" hidden="1" x14ac:dyDescent="0.25">
      <c r="A260" t="str">
        <f>IF(LEN('categories-old'!G260) &gt; 0, "INSERT INTO `catalog_category_entity_varchar` (attribute_id,store_id,entity_id,value) VALUES (48,0,"&amp;'categories-old'!B260&amp;",'"&amp;RIGHT('categories-old'!G260,LEN('categories-old'!G260)-1)&amp;"');","")</f>
        <v>INSERT INTO `catalog_category_entity_varchar` (attribute_id,store_id,entity_id,value) VALUES (48,0,27,'img1/img15ca.jpg');</v>
      </c>
      <c r="B260" t="str">
        <f>IF(LEN(categories!G260) &gt; 0, "INSERT INTO `catalog_category_entity_varchar` (attribute_id,store_id,entity_id,value) VALUES (48,0,"&amp;categories!B260&amp;",'"&amp;RIGHT(categories!G260,LEN(categories!G260)-1)&amp;"');","")</f>
        <v>INSERT INTO `catalog_category_entity_varchar` (attribute_id,store_id,entity_id,value) VALUES (48,0,27,'img1/img15ca.jpg');</v>
      </c>
      <c r="C260" t="str">
        <f>VLOOKUP(categories!B260,'categories-old'!B:G,6,FALSE)</f>
        <v>/img1/img15ca.jpg</v>
      </c>
      <c r="D260" t="str">
        <f>VLOOKUP(categories!B260,'categories-old'!B:H,7,FALSE)</f>
        <v>www.americanretailsupply.com\64924\173754\3-Line--Promo-Monarch-Labelers\Monarch-1153-Labeler.html</v>
      </c>
    </row>
    <row r="261" spans="1:4" hidden="1" x14ac:dyDescent="0.25">
      <c r="A261" t="str">
        <f>IF(LEN('categories-old'!G261) &gt; 0, "INSERT INTO `catalog_category_entity_varchar` (attribute_id,store_id,entity_id,value) VALUES (48,0,"&amp;'categories-old'!B261&amp;",'"&amp;RIGHT('categories-old'!G261,LEN('categories-old'!G261)-1)&amp;"');","")</f>
        <v>INSERT INTO `catalog_category_entity_varchar` (attribute_id,store_id,entity_id,value) VALUES (48,0,28,'img3/imga45c.jpg');</v>
      </c>
      <c r="B261" t="str">
        <f>IF(LEN(categories!G261) &gt; 0, "INSERT INTO `catalog_category_entity_varchar` (attribute_id,store_id,entity_id,value) VALUES (48,0,"&amp;categories!B261&amp;",'"&amp;RIGHT(categories!G261,LEN(categories!G261)-1)&amp;"');","")</f>
        <v>INSERT INTO `catalog_category_entity_varchar` (attribute_id,store_id,entity_id,value) VALUES (48,0,28,'img3/imga45c.jpg');</v>
      </c>
      <c r="C261" t="str">
        <f>VLOOKUP(categories!B261,'categories-old'!B:G,6,FALSE)</f>
        <v>/img3/imga45c.jpg</v>
      </c>
      <c r="D261" t="str">
        <f>VLOOKUP(categories!B261,'categories-old'!B:H,7,FALSE)</f>
        <v>www.americanretailsupply.com\64924\173755\3-Line--Promo-Monarch-Labelers\Monarch-1153-Labels.html</v>
      </c>
    </row>
    <row r="262" spans="1:4" hidden="1" x14ac:dyDescent="0.25">
      <c r="A262" t="str">
        <f>IF(LEN('categories-old'!G262) &gt; 0, "INSERT INTO `catalog_category_entity_varchar` (attribute_id,store_id,entity_id,value) VALUES (48,0,"&amp;'categories-old'!B262&amp;",'"&amp;RIGHT('categories-old'!G262,LEN('categories-old'!G262)-1)&amp;"');","")</f>
        <v>INSERT INTO `catalog_category_entity_varchar` (attribute_id,store_id,entity_id,value) VALUES (48,0,32,'img2/img526c.jpg');</v>
      </c>
      <c r="B262" t="str">
        <f>IF(LEN(categories!G262) &gt; 0, "INSERT INTO `catalog_category_entity_varchar` (attribute_id,store_id,entity_id,value) VALUES (48,0,"&amp;categories!B262&amp;",'"&amp;RIGHT(categories!G262,LEN(categories!G262)-1)&amp;"');","")</f>
        <v>INSERT INTO `catalog_category_entity_varchar` (attribute_id,store_id,entity_id,value) VALUES (48,0,32,'img2/img526c.jpg');</v>
      </c>
      <c r="C262" t="str">
        <f>VLOOKUP(categories!B262,'categories-old'!B:G,6,FALSE)</f>
        <v>/img2/img526c.jpg</v>
      </c>
      <c r="D262" t="str">
        <f>VLOOKUP(categories!B262,'categories-old'!B:H,7,FALSE)</f>
        <v>www.americanretailsupply.com\65349\785448\3D-Textured-Slatwall\Heavy-Metal-Textured-Slatwall.html</v>
      </c>
    </row>
    <row r="263" spans="1:4" hidden="1" x14ac:dyDescent="0.25">
      <c r="A263" t="str">
        <f>IF(LEN('categories-old'!G263) &gt; 0, "INSERT INTO `catalog_category_entity_varchar` (attribute_id,store_id,entity_id,value) VALUES (48,0,"&amp;'categories-old'!B263&amp;",'"&amp;RIGHT('categories-old'!G263,LEN('categories-old'!G263)-1)&amp;"');","")</f>
        <v>INSERT INTO `catalog_category_entity_varchar` (attribute_id,store_id,entity_id,value) VALUES (48,0,33,'img1/img8a28.jpg');</v>
      </c>
      <c r="B263" t="str">
        <f>IF(LEN(categories!G263) &gt; 0, "INSERT INTO `catalog_category_entity_varchar` (attribute_id,store_id,entity_id,value) VALUES (48,0,"&amp;categories!B263&amp;",'"&amp;RIGHT(categories!G263,LEN(categories!G263)-1)&amp;"');","")</f>
        <v>INSERT INTO `catalog_category_entity_varchar` (attribute_id,store_id,entity_id,value) VALUES (48,0,33,'img1/img8a28.jpg');</v>
      </c>
      <c r="C263" t="str">
        <f>VLOOKUP(categories!B263,'categories-old'!B:G,6,FALSE)</f>
        <v>/img1/img8a28.jpg</v>
      </c>
      <c r="D263" t="str">
        <f>VLOOKUP(categories!B263,'categories-old'!B:H,7,FALSE)</f>
        <v>www.americanretailsupply.com\65349\785681\3D-Textured-Slatwall\Bricks-Textured-Slatwall.html</v>
      </c>
    </row>
    <row r="264" spans="1:4" hidden="1" x14ac:dyDescent="0.25">
      <c r="A264" t="str">
        <f>IF(LEN('categories-old'!G264) &gt; 0, "INSERT INTO `catalog_category_entity_varchar` (attribute_id,store_id,entity_id,value) VALUES (48,0,"&amp;'categories-old'!B264&amp;",'"&amp;RIGHT('categories-old'!G264,LEN('categories-old'!G264)-1)&amp;"');","")</f>
        <v>INSERT INTO `catalog_category_entity_varchar` (attribute_id,store_id,entity_id,value) VALUES (48,0,34,'img3/img1e30.jpg');</v>
      </c>
      <c r="B264" t="str">
        <f>IF(LEN(categories!G264) &gt; 0, "INSERT INTO `catalog_category_entity_varchar` (attribute_id,store_id,entity_id,value) VALUES (48,0,"&amp;categories!B264&amp;",'"&amp;RIGHT(categories!G264,LEN(categories!G264)-1)&amp;"');","")</f>
        <v>INSERT INTO `catalog_category_entity_varchar` (attribute_id,store_id,entity_id,value) VALUES (48,0,34,'img3/img1e30.jpg');</v>
      </c>
      <c r="C264" t="str">
        <f>VLOOKUP(categories!B264,'categories-old'!B:G,6,FALSE)</f>
        <v>/img3/img1e30.jpg</v>
      </c>
      <c r="D264" t="str">
        <f>VLOOKUP(categories!B264,'categories-old'!B:H,7,FALSE)</f>
        <v>www.americanretailsupply.com\65349\785682\3D-Textured-Slatwall\Blocks-Textured-Slatwall.html</v>
      </c>
    </row>
    <row r="265" spans="1:4" hidden="1" x14ac:dyDescent="0.25">
      <c r="A265" t="str">
        <f>IF(LEN('categories-old'!G265) &gt; 0, "INSERT INTO `catalog_category_entity_varchar` (attribute_id,store_id,entity_id,value) VALUES (48,0,"&amp;'categories-old'!B265&amp;",'"&amp;RIGHT('categories-old'!G265,LEN('categories-old'!G265)-1)&amp;"');","")</f>
        <v>INSERT INTO `catalog_category_entity_varchar` (attribute_id,store_id,entity_id,value) VALUES (48,0,35,'img2/imgafae.jpg');</v>
      </c>
      <c r="B265" t="str">
        <f>IF(LEN(categories!G265) &gt; 0, "INSERT INTO `catalog_category_entity_varchar` (attribute_id,store_id,entity_id,value) VALUES (48,0,"&amp;categories!B265&amp;",'"&amp;RIGHT(categories!G265,LEN(categories!G265)-1)&amp;"');","")</f>
        <v>INSERT INTO `catalog_category_entity_varchar` (attribute_id,store_id,entity_id,value) VALUES (48,0,35,'img2/imgafae.jpg');</v>
      </c>
      <c r="C265" t="str">
        <f>VLOOKUP(categories!B265,'categories-old'!B:G,6,FALSE)</f>
        <v>/img2/imgafae.jpg</v>
      </c>
      <c r="D265" t="str">
        <f>VLOOKUP(categories!B265,'categories-old'!B:H,7,FALSE)</f>
        <v>www.americanretailsupply.com\65349\786852\3D-Textured-Slatwall\Barnwood-Textured-Slatwall.html</v>
      </c>
    </row>
    <row r="266" spans="1:4" hidden="1" x14ac:dyDescent="0.25">
      <c r="A266" t="str">
        <f>IF(LEN('categories-old'!G266) &gt; 0, "INSERT INTO `catalog_category_entity_varchar` (attribute_id,store_id,entity_id,value) VALUES (48,0,"&amp;'categories-old'!B266&amp;",'"&amp;RIGHT('categories-old'!G266,LEN('categories-old'!G266)-1)&amp;"');","")</f>
        <v>INSERT INTO `catalog_category_entity_varchar` (attribute_id,store_id,entity_id,value) VALUES (48,0,36,'img2/imgc8e7.jpg');</v>
      </c>
      <c r="B266" t="str">
        <f>IF(LEN(categories!G266) &gt; 0, "INSERT INTO `catalog_category_entity_varchar` (attribute_id,store_id,entity_id,value) VALUES (48,0,"&amp;categories!B266&amp;",'"&amp;RIGHT(categories!G266,LEN(categories!G266)-1)&amp;"');","")</f>
        <v>INSERT INTO `catalog_category_entity_varchar` (attribute_id,store_id,entity_id,value) VALUES (48,0,36,'img2/imgc8e7.jpg');</v>
      </c>
      <c r="C266" t="str">
        <f>VLOOKUP(categories!B266,'categories-old'!B:G,6,FALSE)</f>
        <v>/img2/imgc8e7.jpg</v>
      </c>
      <c r="D266" t="str">
        <f>VLOOKUP(categories!B266,'categories-old'!B:H,7,FALSE)</f>
        <v>www.americanretailsupply.com\65349\786894\3D-Textured-Slatwall\Linear-Wave-Textured-Slatwall.html</v>
      </c>
    </row>
    <row r="267" spans="1:4" hidden="1" x14ac:dyDescent="0.25">
      <c r="A267" t="str">
        <f>IF(LEN('categories-old'!G267) &gt; 0, "INSERT INTO `catalog_category_entity_varchar` (attribute_id,store_id,entity_id,value) VALUES (48,0,"&amp;'categories-old'!B267&amp;",'"&amp;RIGHT('categories-old'!G267,LEN('categories-old'!G267)-1)&amp;"');","")</f>
        <v>INSERT INTO `catalog_category_entity_varchar` (attribute_id,store_id,entity_id,value) VALUES (48,0,37,'img3/imgb5ab.jpg');</v>
      </c>
      <c r="B267" t="str">
        <f>IF(LEN(categories!G267) &gt; 0, "INSERT INTO `catalog_category_entity_varchar` (attribute_id,store_id,entity_id,value) VALUES (48,0,"&amp;categories!B267&amp;",'"&amp;RIGHT(categories!G267,LEN(categories!G267)-1)&amp;"');","")</f>
        <v>INSERT INTO `catalog_category_entity_varchar` (attribute_id,store_id,entity_id,value) VALUES (48,0,37,'img3/imgb5ab.jpg');</v>
      </c>
      <c r="C267" t="str">
        <f>VLOOKUP(categories!B267,'categories-old'!B:G,6,FALSE)</f>
        <v>/img3/imgb5ab.jpg</v>
      </c>
      <c r="D267" t="str">
        <f>VLOOKUP(categories!B267,'categories-old'!B:H,7,FALSE)</f>
        <v>www.americanretailsupply.com\65349\786902\3D-Textured-Slatwall\Subway-Tile-Textured-Slatwall.html</v>
      </c>
    </row>
    <row r="268" spans="1:4" hidden="1" x14ac:dyDescent="0.25">
      <c r="A268" t="str">
        <f>IF(LEN('categories-old'!G268) &gt; 0, "INSERT INTO `catalog_category_entity_varchar` (attribute_id,store_id,entity_id,value) VALUES (48,0,"&amp;'categories-old'!B268&amp;",'"&amp;RIGHT('categories-old'!G268,LEN('categories-old'!G268)-1)&amp;"');","")</f>
        <v>INSERT INTO `catalog_category_entity_varchar` (attribute_id,store_id,entity_id,value) VALUES (48,0,38,'img2/imgb5c0-2.jpg');</v>
      </c>
      <c r="B268" t="str">
        <f>IF(LEN(categories!G268) &gt; 0, "INSERT INTO `catalog_category_entity_varchar` (attribute_id,store_id,entity_id,value) VALUES (48,0,"&amp;categories!B268&amp;",'"&amp;RIGHT(categories!G268,LEN(categories!G268)-1)&amp;"');","")</f>
        <v>INSERT INTO `catalog_category_entity_varchar` (attribute_id,store_id,entity_id,value) VALUES (48,0,38,'img2/imgb5c0-2.jpg');</v>
      </c>
      <c r="C268" t="str">
        <f>VLOOKUP(categories!B268,'categories-old'!B:G,6,FALSE)</f>
        <v>/img2/imgb5c0-2.jpg</v>
      </c>
      <c r="D268" t="str">
        <f>VLOOKUP(categories!B268,'categories-old'!B:H,7,FALSE)</f>
        <v>www.americanretailsupply.com\65349\786903\3D-Textured-Slatwall\Cement-Textured-Slatwall.html</v>
      </c>
    </row>
    <row r="269" spans="1:4" hidden="1" x14ac:dyDescent="0.25">
      <c r="A269" t="str">
        <f>IF(LEN('categories-old'!G269) &gt; 0, "INSERT INTO `catalog_category_entity_varchar` (attribute_id,store_id,entity_id,value) VALUES (48,0,"&amp;'categories-old'!B269&amp;",'"&amp;RIGHT('categories-old'!G269,LEN('categories-old'!G269)-1)&amp;"');","")</f>
        <v>INSERT INTO `catalog_category_entity_varchar` (attribute_id,store_id,entity_id,value) VALUES (48,0,39,'img2/img1a68.jpg');</v>
      </c>
      <c r="B269" t="str">
        <f>IF(LEN(categories!G269) &gt; 0, "INSERT INTO `catalog_category_entity_varchar` (attribute_id,store_id,entity_id,value) VALUES (48,0,"&amp;categories!B269&amp;",'"&amp;RIGHT(categories!G269,LEN(categories!G269)-1)&amp;"');","")</f>
        <v>INSERT INTO `catalog_category_entity_varchar` (attribute_id,store_id,entity_id,value) VALUES (48,0,39,'img2/img1a68.jpg');</v>
      </c>
      <c r="C269" t="str">
        <f>VLOOKUP(categories!B269,'categories-old'!B:G,6,FALSE)</f>
        <v>/img2/img1a68.jpg</v>
      </c>
      <c r="D269" t="str">
        <f>VLOOKUP(categories!B269,'categories-old'!B:H,7,FALSE)</f>
        <v>www.americanretailsupply.com\65349\786904\3D-Textured-Slatwall\Slate-Textured-Slatwall.html</v>
      </c>
    </row>
    <row r="270" spans="1:4" hidden="1" x14ac:dyDescent="0.25">
      <c r="A270" t="str">
        <f>IF(LEN('categories-old'!G270) &gt; 0, "INSERT INTO `catalog_category_entity_varchar` (attribute_id,store_id,entity_id,value) VALUES (48,0,"&amp;'categories-old'!B270&amp;",'"&amp;RIGHT('categories-old'!G270,LEN('categories-old'!G270)-1)&amp;"');","")</f>
        <v>INSERT INTO `catalog_category_entity_varchar` (attribute_id,store_id,entity_id,value) VALUES (48,0,40,'img2/img1a16.jpg');</v>
      </c>
      <c r="B270" t="str">
        <f>IF(LEN(categories!G270) &gt; 0, "INSERT INTO `catalog_category_entity_varchar` (attribute_id,store_id,entity_id,value) VALUES (48,0,"&amp;categories!B270&amp;",'"&amp;RIGHT(categories!G270,LEN(categories!G270)-1)&amp;"');","")</f>
        <v>INSERT INTO `catalog_category_entity_varchar` (attribute_id,store_id,entity_id,value) VALUES (48,0,40,'img2/img1a16.jpg');</v>
      </c>
      <c r="C270" t="str">
        <f>VLOOKUP(categories!B270,'categories-old'!B:G,6,FALSE)</f>
        <v>/img2/img1a16.jpg</v>
      </c>
      <c r="D270" t="str">
        <f>VLOOKUP(categories!B270,'categories-old'!B:H,7,FALSE)</f>
        <v>www.americanretailsupply.com\65349\786905\3D-Textured-Slatwall\Wood-Textured-Slatwall.html</v>
      </c>
    </row>
    <row r="271" spans="1:4" hidden="1" x14ac:dyDescent="0.25">
      <c r="A271" t="str">
        <f>IF(LEN('categories-old'!G271) &gt; 0, "INSERT INTO `catalog_category_entity_varchar` (attribute_id,store_id,entity_id,value) VALUES (48,0,"&amp;'categories-old'!B271&amp;",'"&amp;RIGHT('categories-old'!G271,LEN('categories-old'!G271)-1)&amp;"');","")</f>
        <v>INSERT INTO `catalog_category_entity_varchar` (attribute_id,store_id,entity_id,value) VALUES (48,0,41,'img1/img6027.jpg');</v>
      </c>
      <c r="B271" t="str">
        <f>IF(LEN(categories!G271) &gt; 0, "INSERT INTO `catalog_category_entity_varchar` (attribute_id,store_id,entity_id,value) VALUES (48,0,"&amp;categories!B271&amp;",'"&amp;RIGHT(categories!G271,LEN(categories!G271)-1)&amp;"');","")</f>
        <v>INSERT INTO `catalog_category_entity_varchar` (attribute_id,store_id,entity_id,value) VALUES (48,0,41,'img1/img6027.jpg');</v>
      </c>
      <c r="C271" t="str">
        <f>VLOOKUP(categories!B271,'categories-old'!B:G,6,FALSE)</f>
        <v>/img1/img6027.jpg</v>
      </c>
      <c r="D271" t="str">
        <f>VLOOKUP(categories!B271,'categories-old'!B:H,7,FALSE)</f>
        <v>www.americanretailsupply.com\65349\786911\3D-Textured-Slatwall\Tire-Tread-Textured-Slatwall.html</v>
      </c>
    </row>
    <row r="272" spans="1:4" hidden="1" x14ac:dyDescent="0.25">
      <c r="A272" t="str">
        <f>IF(LEN('categories-old'!G272) &gt; 0, "INSERT INTO `catalog_category_entity_varchar` (attribute_id,store_id,entity_id,value) VALUES (48,0,"&amp;'categories-old'!B272&amp;",'"&amp;RIGHT('categories-old'!G272,LEN('categories-old'!G272)-1)&amp;"');","")</f>
        <v>INSERT INTO `catalog_category_entity_varchar` (attribute_id,store_id,entity_id,value) VALUES (48,0,42,'img1/img3a2a.jpg');</v>
      </c>
      <c r="B272" t="str">
        <f>IF(LEN(categories!G272) &gt; 0, "INSERT INTO `catalog_category_entity_varchar` (attribute_id,store_id,entity_id,value) VALUES (48,0,"&amp;categories!B272&amp;",'"&amp;RIGHT(categories!G272,LEN(categories!G272)-1)&amp;"');","")</f>
        <v>INSERT INTO `catalog_category_entity_varchar` (attribute_id,store_id,entity_id,value) VALUES (48,0,42,'img1/img3a2a.jpg');</v>
      </c>
      <c r="C272" t="str">
        <f>VLOOKUP(categories!B272,'categories-old'!B:G,6,FALSE)</f>
        <v>/img1/img3a2a.jpg</v>
      </c>
      <c r="D272" t="str">
        <f>VLOOKUP(categories!B272,'categories-old'!B:H,7,FALSE)</f>
        <v>www.americanretailsupply.com\65349\786912\3D-Textured-Slatwall\Roadway-Textured-Slatwall.html</v>
      </c>
    </row>
    <row r="273" spans="1:4" hidden="1" x14ac:dyDescent="0.25">
      <c r="A273" t="str">
        <f>IF(LEN('categories-old'!G273) &gt; 0, "INSERT INTO `catalog_category_entity_varchar` (attribute_id,store_id,entity_id,value) VALUES (48,0,"&amp;'categories-old'!B273&amp;",'"&amp;RIGHT('categories-old'!G273,LEN('categories-old'!G273)-1)&amp;"');","")</f>
        <v>INSERT INTO `catalog_category_entity_varchar` (attribute_id,store_id,entity_id,value) VALUES (48,0,43,'img1/img4f51.jpg');</v>
      </c>
      <c r="B273" t="str">
        <f>IF(LEN(categories!G273) &gt; 0, "INSERT INTO `catalog_category_entity_varchar` (attribute_id,store_id,entity_id,value) VALUES (48,0,"&amp;categories!B273&amp;",'"&amp;RIGHT(categories!G273,LEN(categories!G273)-1)&amp;"');","")</f>
        <v>INSERT INTO `catalog_category_entity_varchar` (attribute_id,store_id,entity_id,value) VALUES (48,0,43,'img1/img4f51.jpg');</v>
      </c>
      <c r="C273" t="str">
        <f>VLOOKUP(categories!B273,'categories-old'!B:G,6,FALSE)</f>
        <v>/img1/img4f51.jpg</v>
      </c>
      <c r="D273" t="str">
        <f>VLOOKUP(categories!B273,'categories-old'!B:H,7,FALSE)</f>
        <v>www.americanretailsupply.com\65349\786913\3D-Textured-Slatwall\Weathered-Wood-Textured-Slatwall.html</v>
      </c>
    </row>
    <row r="274" spans="1:4" hidden="1" x14ac:dyDescent="0.25">
      <c r="A274" t="str">
        <f>IF(LEN('categories-old'!G274) &gt; 0, "INSERT INTO `catalog_category_entity_varchar` (attribute_id,store_id,entity_id,value) VALUES (48,0,"&amp;'categories-old'!B274&amp;",'"&amp;RIGHT('categories-old'!G274,LEN('categories-old'!G274)-1)&amp;"');","")</f>
        <v>INSERT INTO `catalog_category_entity_varchar` (attribute_id,store_id,entity_id,value) VALUES (48,0,44,'img3/img5da2.jpg');</v>
      </c>
      <c r="B274" t="str">
        <f>IF(LEN(categories!G274) &gt; 0, "INSERT INTO `catalog_category_entity_varchar` (attribute_id,store_id,entity_id,value) VALUES (48,0,"&amp;categories!B274&amp;",'"&amp;RIGHT(categories!G274,LEN(categories!G274)-1)&amp;"');","")</f>
        <v>INSERT INTO `catalog_category_entity_varchar` (attribute_id,store_id,entity_id,value) VALUES (48,0,44,'img3/img5da2.jpg');</v>
      </c>
      <c r="C274" t="str">
        <f>VLOOKUP(categories!B274,'categories-old'!B:G,6,FALSE)</f>
        <v>/img3/img5da2.jpg</v>
      </c>
      <c r="D274" t="str">
        <f>VLOOKUP(categories!B274,'categories-old'!B:H,7,FALSE)</f>
        <v>www.americanretailsupply.com\65349\786914\3D-Textured-Slatwall\Diamond-Plate-Textured-Slatwall.html</v>
      </c>
    </row>
    <row r="275" spans="1:4" hidden="1" x14ac:dyDescent="0.25">
      <c r="A275" t="str">
        <f>IF(LEN('categories-old'!G275) &gt; 0, "INSERT INTO `catalog_category_entity_varchar` (attribute_id,store_id,entity_id,value) VALUES (48,0,"&amp;'categories-old'!B275&amp;",'"&amp;RIGHT('categories-old'!G275,LEN('categories-old'!G275)-1)&amp;"');","")</f>
        <v>INSERT INTO `catalog_category_entity_varchar` (attribute_id,store_id,entity_id,value) VALUES (48,0,45,'img1/img59cd.jpg');</v>
      </c>
      <c r="B275" t="str">
        <f>IF(LEN(categories!G275) &gt; 0, "INSERT INTO `catalog_category_entity_varchar` (attribute_id,store_id,entity_id,value) VALUES (48,0,"&amp;categories!B275&amp;",'"&amp;RIGHT(categories!G275,LEN(categories!G275)-1)&amp;"');","")</f>
        <v>INSERT INTO `catalog_category_entity_varchar` (attribute_id,store_id,entity_id,value) VALUES (48,0,45,'img1/img59cd.jpg');</v>
      </c>
      <c r="C275" t="str">
        <f>VLOOKUP(categories!B275,'categories-old'!B:G,6,FALSE)</f>
        <v>/img1/img59cd.jpg</v>
      </c>
      <c r="D275" t="str">
        <f>VLOOKUP(categories!B275,'categories-old'!B:H,7,FALSE)</f>
        <v>www.americanretailsupply.com\65349\786915\3D-Textured-Slatwall\Corrugated-Metal-Textured-Slatwall.html</v>
      </c>
    </row>
    <row r="276" spans="1:4" hidden="1" x14ac:dyDescent="0.25">
      <c r="A276" t="str">
        <f>IF(LEN('categories-old'!G276) &gt; 0, "INSERT INTO `catalog_category_entity_varchar` (attribute_id,store_id,entity_id,value) VALUES (48,0,"&amp;'categories-old'!B276&amp;",'"&amp;RIGHT('categories-old'!G276,LEN('categories-old'!G276)-1)&amp;"');","")</f>
        <v>INSERT INTO `catalog_category_entity_varchar` (attribute_id,store_id,entity_id,value) VALUES (48,0,46,'img1/img75c2.jpg');</v>
      </c>
      <c r="B276" t="str">
        <f>IF(LEN(categories!G276) &gt; 0, "INSERT INTO `catalog_category_entity_varchar` (attribute_id,store_id,entity_id,value) VALUES (48,0,"&amp;categories!B276&amp;",'"&amp;RIGHT(categories!G276,LEN(categories!G276)-1)&amp;"');","")</f>
        <v>INSERT INTO `catalog_category_entity_varchar` (attribute_id,store_id,entity_id,value) VALUES (48,0,46,'img1/img75c2.jpg');</v>
      </c>
      <c r="C276" t="str">
        <f>VLOOKUP(categories!B276,'categories-old'!B:G,6,FALSE)</f>
        <v>/img1/img75c2.jpg</v>
      </c>
      <c r="D276" t="str">
        <f>VLOOKUP(categories!B276,'categories-old'!B:H,7,FALSE)</f>
        <v>www.americanretailsupply.com\65349\786917\3D-Textured-Slatwall\Weave-Textured-Slatwall.html</v>
      </c>
    </row>
    <row r="277" spans="1:4" hidden="1" x14ac:dyDescent="0.25">
      <c r="A277" t="str">
        <f>IF(LEN('categories-old'!G277) &gt; 0, "INSERT INTO `catalog_category_entity_varchar` (attribute_id,store_id,entity_id,value) VALUES (48,0,"&amp;'categories-old'!B277&amp;",'"&amp;RIGHT('categories-old'!G277,LEN('categories-old'!G277)-1)&amp;"');","")</f>
        <v>INSERT INTO `catalog_category_entity_varchar` (attribute_id,store_id,entity_id,value) VALUES (48,0,47,'img3/imgdc76.jpg');</v>
      </c>
      <c r="B277" t="str">
        <f>IF(LEN(categories!G277) &gt; 0, "INSERT INTO `catalog_category_entity_varchar` (attribute_id,store_id,entity_id,value) VALUES (48,0,"&amp;categories!B277&amp;",'"&amp;RIGHT(categories!G277,LEN(categories!G277)-1)&amp;"');","")</f>
        <v>INSERT INTO `catalog_category_entity_varchar` (attribute_id,store_id,entity_id,value) VALUES (48,0,47,'img3/imgdc76.jpg');</v>
      </c>
      <c r="C277" t="str">
        <f>VLOOKUP(categories!B277,'categories-old'!B:G,6,FALSE)</f>
        <v>/img3/imgdc76.jpg</v>
      </c>
      <c r="D277" t="str">
        <f>VLOOKUP(categories!B277,'categories-old'!B:H,7,FALSE)</f>
        <v>www.americanretailsupply.com\65349\787789\3D-Textured-Slatwall\Old-Paint-Textured-Slatwall.html</v>
      </c>
    </row>
    <row r="278" spans="1:4" hidden="1" x14ac:dyDescent="0.25">
      <c r="A278" t="str">
        <f>IF(LEN('categories-old'!G278) &gt; 0, "INSERT INTO `catalog_category_entity_varchar` (attribute_id,store_id,entity_id,value) VALUES (48,0,"&amp;'categories-old'!B278&amp;",'"&amp;RIGHT('categories-old'!G278,LEN('categories-old'!G278)-1)&amp;"');","")</f>
        <v>INSERT INTO `catalog_category_entity_varchar` (attribute_id,store_id,entity_id,value) VALUES (48,0,51,'img3/img7c7b.jpg');</v>
      </c>
      <c r="B278" t="str">
        <f>IF(LEN(categories!G278) &gt; 0, "INSERT INTO `catalog_category_entity_varchar` (attribute_id,store_id,entity_id,value) VALUES (48,0,"&amp;categories!B278&amp;",'"&amp;RIGHT(categories!G278,LEN(categories!G278)-1)&amp;"');","")</f>
        <v>INSERT INTO `catalog_category_entity_varchar` (attribute_id,store_id,entity_id,value) VALUES (48,0,51,'img3/img7c7b.jpg');</v>
      </c>
      <c r="C278" t="str">
        <f>VLOOKUP(categories!B278,'categories-old'!B:G,6,FALSE)</f>
        <v>/img3/img7c7b.jpg</v>
      </c>
      <c r="D278" t="str">
        <f>VLOOKUP(categories!B278,'categories-old'!B:H,7,FALSE)</f>
        <v>www.americanretailsupply.com\64993\48337\A-La-Carte-Bags--Boxes\Forest-Green-Collection-Bags--Boxes.html</v>
      </c>
    </row>
    <row r="279" spans="1:4" hidden="1" x14ac:dyDescent="0.25">
      <c r="A279" t="str">
        <f>IF(LEN('categories-old'!G279) &gt; 0, "INSERT INTO `catalog_category_entity_varchar` (attribute_id,store_id,entity_id,value) VALUES (48,0,"&amp;'categories-old'!B279&amp;",'"&amp;RIGHT('categories-old'!G279,LEN('categories-old'!G279)-1)&amp;"');","")</f>
        <v>INSERT INTO `catalog_category_entity_varchar` (attribute_id,store_id,entity_id,value) VALUES (48,0,52,'img1/img10fb.jpg');</v>
      </c>
      <c r="B279" t="str">
        <f>IF(LEN(categories!G279) &gt; 0, "INSERT INTO `catalog_category_entity_varchar` (attribute_id,store_id,entity_id,value) VALUES (48,0,"&amp;categories!B279&amp;",'"&amp;RIGHT(categories!G279,LEN(categories!G279)-1)&amp;"');","")</f>
        <v>INSERT INTO `catalog_category_entity_varchar` (attribute_id,store_id,entity_id,value) VALUES (48,0,52,'img1/img10fb.jpg');</v>
      </c>
      <c r="C279" t="str">
        <f>VLOOKUP(categories!B279,'categories-old'!B:G,6,FALSE)</f>
        <v>/img1/img10fb.jpg</v>
      </c>
      <c r="D279" t="str">
        <f>VLOOKUP(categories!B279,'categories-old'!B:H,7,FALSE)</f>
        <v>www.americanretailsupply.com\64993\48338\A-La-Carte-Bags--Boxes\Really-Red-Collection-Bags-and-Boxes.html</v>
      </c>
    </row>
    <row r="280" spans="1:4" hidden="1" x14ac:dyDescent="0.25">
      <c r="A280" t="str">
        <f>IF(LEN('categories-old'!G280) &gt; 0, "INSERT INTO `catalog_category_entity_varchar` (attribute_id,store_id,entity_id,value) VALUES (48,0,"&amp;'categories-old'!B280&amp;",'"&amp;RIGHT('categories-old'!G280,LEN('categories-old'!G280)-1)&amp;"');","")</f>
        <v>INSERT INTO `catalog_category_entity_varchar` (attribute_id,store_id,entity_id,value) VALUES (48,0,53,'img1/imge68e.jpg');</v>
      </c>
      <c r="B280" t="str">
        <f>IF(LEN(categories!G280) &gt; 0, "INSERT INTO `catalog_category_entity_varchar` (attribute_id,store_id,entity_id,value) VALUES (48,0,"&amp;categories!B280&amp;",'"&amp;RIGHT(categories!G280,LEN(categories!G280)-1)&amp;"');","")</f>
        <v>INSERT INTO `catalog_category_entity_varchar` (attribute_id,store_id,entity_id,value) VALUES (48,0,53,'img1/imge68e.jpg');</v>
      </c>
      <c r="C280" t="str">
        <f>VLOOKUP(categories!B280,'categories-old'!B:G,6,FALSE)</f>
        <v>/img1/imge68e.jpg</v>
      </c>
      <c r="D280" t="str">
        <f>VLOOKUP(categories!B280,'categories-old'!B:H,7,FALSE)</f>
        <v>www.americanretailsupply.com\64993\48339\A-La-Carte-Bags--Boxes\White-Kraft-Food-Packaging-Bags-and-Boxes.html</v>
      </c>
    </row>
    <row r="281" spans="1:4" hidden="1" x14ac:dyDescent="0.25">
      <c r="A281" t="str">
        <f>IF(LEN('categories-old'!G281) &gt; 0, "INSERT INTO `catalog_category_entity_varchar` (attribute_id,store_id,entity_id,value) VALUES (48,0,"&amp;'categories-old'!B281&amp;",'"&amp;RIGHT('categories-old'!G281,LEN('categories-old'!G281)-1)&amp;"');","")</f>
        <v>INSERT INTO `catalog_category_entity_varchar` (attribute_id,store_id,entity_id,value) VALUES (48,0,54,'img2/imga7d0.jpg');</v>
      </c>
      <c r="B281" t="str">
        <f>IF(LEN(categories!G281) &gt; 0, "INSERT INTO `catalog_category_entity_varchar` (attribute_id,store_id,entity_id,value) VALUES (48,0,"&amp;categories!B281&amp;",'"&amp;RIGHT(categories!G281,LEN(categories!G281)-1)&amp;"');","")</f>
        <v>INSERT INTO `catalog_category_entity_varchar` (attribute_id,store_id,entity_id,value) VALUES (48,0,54,'img2/imga7d0.jpg');</v>
      </c>
      <c r="C281" t="str">
        <f>VLOOKUP(categories!B281,'categories-old'!B:G,6,FALSE)</f>
        <v>/img2/imga7d0.jpg</v>
      </c>
      <c r="D281" t="str">
        <f>VLOOKUP(categories!B281,'categories-old'!B:H,7,FALSE)</f>
        <v>www.americanretailsupply.com\64993\48341\A-La-Carte-Bags--Boxes\Grape-Collection-Shopping-Bags-and-Boxes.html</v>
      </c>
    </row>
    <row r="282" spans="1:4" hidden="1" x14ac:dyDescent="0.25">
      <c r="A282" t="str">
        <f>IF(LEN('categories-old'!G282) &gt; 0, "INSERT INTO `catalog_category_entity_varchar` (attribute_id,store_id,entity_id,value) VALUES (48,0,"&amp;'categories-old'!B282&amp;",'"&amp;RIGHT('categories-old'!G282,LEN('categories-old'!G282)-1)&amp;"');","")</f>
        <v>INSERT INTO `catalog_category_entity_varchar` (attribute_id,store_id,entity_id,value) VALUES (48,0,55,'img1/img64c2.jpg');</v>
      </c>
      <c r="B282" t="str">
        <f>IF(LEN(categories!G282) &gt; 0, "INSERT INTO `catalog_category_entity_varchar` (attribute_id,store_id,entity_id,value) VALUES (48,0,"&amp;categories!B282&amp;",'"&amp;RIGHT(categories!G282,LEN(categories!G282)-1)&amp;"');","")</f>
        <v>INSERT INTO `catalog_category_entity_varchar` (attribute_id,store_id,entity_id,value) VALUES (48,0,55,'img1/img64c2.jpg');</v>
      </c>
      <c r="C282" t="str">
        <f>VLOOKUP(categories!B282,'categories-old'!B:G,6,FALSE)</f>
        <v>/img1/img64c2.jpg</v>
      </c>
      <c r="D282" t="str">
        <f>VLOOKUP(categories!B282,'categories-old'!B:H,7,FALSE)</f>
        <v>www.americanretailsupply.com\64993\563425\A-La-Carte-Bags--Boxes\Fruit-Bowl-Wine-Packaging-Bags-and-Boxes.html</v>
      </c>
    </row>
    <row r="283" spans="1:4" hidden="1" x14ac:dyDescent="0.25">
      <c r="A283" t="str">
        <f>IF(LEN('categories-old'!G283) &gt; 0, "INSERT INTO `catalog_category_entity_varchar` (attribute_id,store_id,entity_id,value) VALUES (48,0,"&amp;'categories-old'!B283&amp;",'"&amp;RIGHT('categories-old'!G283,LEN('categories-old'!G283)-1)&amp;"');","")</f>
        <v>INSERT INTO `catalog_category_entity_varchar` (attribute_id,store_id,entity_id,value) VALUES (48,0,56,'img2/img06d8.jpg');</v>
      </c>
      <c r="B283" t="str">
        <f>IF(LEN(categories!G283) &gt; 0, "INSERT INTO `catalog_category_entity_varchar` (attribute_id,store_id,entity_id,value) VALUES (48,0,"&amp;categories!B283&amp;",'"&amp;RIGHT(categories!G283,LEN(categories!G283)-1)&amp;"');","")</f>
        <v>INSERT INTO `catalog_category_entity_varchar` (attribute_id,store_id,entity_id,value) VALUES (48,0,56,'img2/img06d8.jpg');</v>
      </c>
      <c r="C283" t="str">
        <f>VLOOKUP(categories!B283,'categories-old'!B:G,6,FALSE)</f>
        <v>/img2/img06d8.jpg</v>
      </c>
      <c r="D283" t="str">
        <f>VLOOKUP(categories!B283,'categories-old'!B:H,7,FALSE)</f>
        <v>www.americanretailsupply.com\64993\563427\A-La-Carte-Bags--Boxes\Natural-Kraft-Wine-Bags-and-Boxes.html</v>
      </c>
    </row>
    <row r="284" spans="1:4" hidden="1" x14ac:dyDescent="0.25">
      <c r="A284" t="str">
        <f>IF(LEN('categories-old'!G284) &gt; 0, "INSERT INTO `catalog_category_entity_varchar` (attribute_id,store_id,entity_id,value) VALUES (48,0,"&amp;'categories-old'!B284&amp;",'"&amp;RIGHT('categories-old'!G284,LEN('categories-old'!G284)-1)&amp;"');","")</f>
        <v>INSERT INTO `catalog_category_entity_varchar` (attribute_id,store_id,entity_id,value) VALUES (48,0,57,'img2/img6675.jpg');</v>
      </c>
      <c r="B284" t="str">
        <f>IF(LEN(categories!G284) &gt; 0, "INSERT INTO `catalog_category_entity_varchar` (attribute_id,store_id,entity_id,value) VALUES (48,0,"&amp;categories!B284&amp;",'"&amp;RIGHT(categories!G284,LEN(categories!G284)-1)&amp;"');","")</f>
        <v>INSERT INTO `catalog_category_entity_varchar` (attribute_id,store_id,entity_id,value) VALUES (48,0,57,'img2/img6675.jpg');</v>
      </c>
      <c r="C284" t="str">
        <f>VLOOKUP(categories!B284,'categories-old'!B:G,6,FALSE)</f>
        <v>/img2/img6675.jpg</v>
      </c>
      <c r="D284" t="str">
        <f>VLOOKUP(categories!B284,'categories-old'!B:H,7,FALSE)</f>
        <v>www.americanretailsupply.com\64993\582199\A-La-Carte-Bags--Boxes\Reusable-Non-Woven-Wine-Totes.html</v>
      </c>
    </row>
    <row r="285" spans="1:4" hidden="1" x14ac:dyDescent="0.25">
      <c r="A285" t="str">
        <f>IF(LEN('categories-old'!G285) &gt; 0, "INSERT INTO `catalog_category_entity_varchar` (attribute_id,store_id,entity_id,value) VALUES (48,0,"&amp;'categories-old'!B285&amp;",'"&amp;RIGHT('categories-old'!G285,LEN('categories-old'!G285)-1)&amp;"');","")</f>
        <v>INSERT INTO `catalog_category_entity_varchar` (attribute_id,store_id,entity_id,value) VALUES (48,0,58,'img3/imgb9c1-2.jpg');</v>
      </c>
      <c r="B285" t="str">
        <f>IF(LEN(categories!G285) &gt; 0, "INSERT INTO `catalog_category_entity_varchar` (attribute_id,store_id,entity_id,value) VALUES (48,0,"&amp;categories!B285&amp;",'"&amp;RIGHT(categories!G285,LEN(categories!G285)-1)&amp;"');","")</f>
        <v>INSERT INTO `catalog_category_entity_varchar` (attribute_id,store_id,entity_id,value) VALUES (48,0,58,'img3/imgb9c1-2.jpg');</v>
      </c>
      <c r="C285" t="str">
        <f>VLOOKUP(categories!B285,'categories-old'!B:G,6,FALSE)</f>
        <v>/img3/imgb9c1-2.jpg</v>
      </c>
      <c r="D285" t="str">
        <f>VLOOKUP(categories!B285,'categories-old'!B:H,7,FALSE)</f>
        <v>www.americanretailsupply.com\64993\785423\A-La-Carte-Bags--Boxes\Green-Gardens-Collection-Bags-and-Boxes.html</v>
      </c>
    </row>
    <row r="286" spans="1:4" hidden="1" x14ac:dyDescent="0.25">
      <c r="A286" t="str">
        <f>IF(LEN('categories-old'!G286) &gt; 0, "INSERT INTO `catalog_category_entity_varchar` (attribute_id,store_id,entity_id,value) VALUES (48,0,"&amp;'categories-old'!B286&amp;",'"&amp;RIGHT('categories-old'!G286,LEN('categories-old'!G286)-1)&amp;"');","")</f>
        <v>INSERT INTO `catalog_category_entity_varchar` (attribute_id,store_id,entity_id,value) VALUES (48,0,59,'img2/img4201.jpg');</v>
      </c>
      <c r="B286" t="str">
        <f>IF(LEN(categories!G286) &gt; 0, "INSERT INTO `catalog_category_entity_varchar` (attribute_id,store_id,entity_id,value) VALUES (48,0,"&amp;categories!B286&amp;",'"&amp;RIGHT(categories!G286,LEN(categories!G286)-1)&amp;"');","")</f>
        <v>INSERT INTO `catalog_category_entity_varchar` (attribute_id,store_id,entity_id,value) VALUES (48,0,59,'img2/img4201.jpg');</v>
      </c>
      <c r="C286" t="str">
        <f>VLOOKUP(categories!B286,'categories-old'!B:G,6,FALSE)</f>
        <v>/img2/img4201.jpg</v>
      </c>
      <c r="D286" t="str">
        <f>VLOOKUP(categories!B286,'categories-old'!B:H,7,FALSE)</f>
        <v>www.americanretailsupply.com\64993\785424\A-La-Carte-Bags--Boxes\Market-Fresh-Collection-Bags-and-Boxes.html</v>
      </c>
    </row>
    <row r="287" spans="1:4" hidden="1" x14ac:dyDescent="0.25">
      <c r="A287" t="str">
        <f>IF(LEN('categories-old'!G287) &gt; 0, "INSERT INTO `catalog_category_entity_varchar` (attribute_id,store_id,entity_id,value) VALUES (48,0,"&amp;'categories-old'!B287&amp;",'"&amp;RIGHT('categories-old'!G287,LEN('categories-old'!G287)-1)&amp;"');","")</f>
        <v>INSERT INTO `catalog_category_entity_varchar` (attribute_id,store_id,entity_id,value) VALUES (48,0,60,'img1/img1265.jpg');</v>
      </c>
      <c r="B287" t="str">
        <f>IF(LEN(categories!G287) &gt; 0, "INSERT INTO `catalog_category_entity_varchar` (attribute_id,store_id,entity_id,value) VALUES (48,0,"&amp;categories!B287&amp;",'"&amp;RIGHT(categories!G287,LEN(categories!G287)-1)&amp;"');","")</f>
        <v>INSERT INTO `catalog_category_entity_varchar` (attribute_id,store_id,entity_id,value) VALUES (48,0,60,'img1/img1265.jpg');</v>
      </c>
      <c r="C287" t="str">
        <f>VLOOKUP(categories!B287,'categories-old'!B:G,6,FALSE)</f>
        <v>/img1/img1265.jpg</v>
      </c>
      <c r="D287" t="str">
        <f>VLOOKUP(categories!B287,'categories-old'!B:H,7,FALSE)</f>
        <v>www.americanretailsupply.com\64993\785425\A-La-Carte-Bags--Boxes\Geo-Trio-Collection-Bags-and-Boxes.html</v>
      </c>
    </row>
    <row r="288" spans="1:4" hidden="1" x14ac:dyDescent="0.25">
      <c r="A288" t="str">
        <f>IF(LEN('categories-old'!G288) &gt; 0, "INSERT INTO `catalog_category_entity_varchar` (attribute_id,store_id,entity_id,value) VALUES (48,0,"&amp;'categories-old'!B288&amp;",'"&amp;RIGHT('categories-old'!G288,LEN('categories-old'!G288)-1)&amp;"');","")</f>
        <v>INSERT INTO `catalog_category_entity_varchar` (attribute_id,store_id,entity_id,value) VALUES (48,0,61,'img1/imgb7af.jpg');</v>
      </c>
      <c r="B288" t="str">
        <f>IF(LEN(categories!G288) &gt; 0, "INSERT INTO `catalog_category_entity_varchar` (attribute_id,store_id,entity_id,value) VALUES (48,0,"&amp;categories!B288&amp;",'"&amp;RIGHT(categories!G288,LEN(categories!G288)-1)&amp;"');","")</f>
        <v>INSERT INTO `catalog_category_entity_varchar` (attribute_id,store_id,entity_id,value) VALUES (48,0,61,'img1/imgb7af.jpg');</v>
      </c>
      <c r="C288" t="str">
        <f>VLOOKUP(categories!B288,'categories-old'!B:G,6,FALSE)</f>
        <v>/img1/imgb7af.jpg</v>
      </c>
      <c r="D288" t="str">
        <f>VLOOKUP(categories!B288,'categories-old'!B:H,7,FALSE)</f>
        <v>www.americanretailsupply.com\64993\785426\A-La-Carte-Bags--Boxes\Newsprint-Collection-Bags-and-Boxes.html</v>
      </c>
    </row>
    <row r="289" spans="1:4" hidden="1" x14ac:dyDescent="0.25">
      <c r="A289" t="str">
        <f>IF(LEN('categories-old'!G289) &gt; 0, "INSERT INTO `catalog_category_entity_varchar` (attribute_id,store_id,entity_id,value) VALUES (48,0,"&amp;'categories-old'!B289&amp;",'"&amp;RIGHT('categories-old'!G289,LEN('categories-old'!G289)-1)&amp;"');","")</f>
        <v>INSERT INTO `catalog_category_entity_varchar` (attribute_id,store_id,entity_id,value) VALUES (48,0,65,'img2/img3c46.jpg');</v>
      </c>
      <c r="B289" t="str">
        <f>IF(LEN(categories!G289) &gt; 0, "INSERT INTO `catalog_category_entity_varchar` (attribute_id,store_id,entity_id,value) VALUES (48,0,"&amp;categories!B289&amp;",'"&amp;RIGHT(categories!G289,LEN(categories!G289)-1)&amp;"');","")</f>
        <v>INSERT INTO `catalog_category_entity_varchar` (attribute_id,store_id,entity_id,value) VALUES (48,0,65,'img2/img3c46.jpg');</v>
      </c>
      <c r="C289" t="str">
        <f>VLOOKUP(categories!B289,'categories-old'!B:G,6,FALSE)</f>
        <v>/img2/img3c46.jpg</v>
      </c>
      <c r="D289" t="str">
        <f>VLOOKUP(categories!B289,'categories-old'!B:H,7,FALSE)</f>
        <v>www.americanretailsupply.com\65088\785427\A-La-Carte-Bags--Boxes\Beaujolais-Collection-Bags-and-Boxes.html</v>
      </c>
    </row>
    <row r="290" spans="1:4" hidden="1" x14ac:dyDescent="0.25">
      <c r="A290" t="str">
        <f>IF(LEN('categories-old'!G290) &gt; 0, "INSERT INTO `catalog_category_entity_varchar` (attribute_id,store_id,entity_id,value) VALUES (48,0,"&amp;'categories-old'!B290&amp;",'"&amp;RIGHT('categories-old'!G290,LEN('categories-old'!G290)-1)&amp;"');","")</f>
        <v>INSERT INTO `catalog_category_entity_varchar` (attribute_id,store_id,entity_id,value) VALUES (48,0,66,'img3/img6596.jpg');</v>
      </c>
      <c r="B290" t="str">
        <f>IF(LEN(categories!G290) &gt; 0, "INSERT INTO `catalog_category_entity_varchar` (attribute_id,store_id,entity_id,value) VALUES (48,0,"&amp;categories!B290&amp;",'"&amp;RIGHT(categories!G290,LEN(categories!G290)-1)&amp;"');","")</f>
        <v>INSERT INTO `catalog_category_entity_varchar` (attribute_id,store_id,entity_id,value) VALUES (48,0,66,'img3/img6596.jpg');</v>
      </c>
      <c r="C290" t="str">
        <f>VLOOKUP(categories!B290,'categories-old'!B:G,6,FALSE)</f>
        <v>/img3/img6596.jpg</v>
      </c>
      <c r="D290" t="str">
        <f>VLOOKUP(categories!B290,'categories-old'!B:H,7,FALSE)</f>
        <v>www.americanretailsupply.com\64993\785428\A-La-Carte-Bags--Boxes\Noir-Collection-Bags-and-Boxes.html</v>
      </c>
    </row>
    <row r="291" spans="1:4" hidden="1" x14ac:dyDescent="0.25">
      <c r="A291" t="str">
        <f>IF(LEN('categories-old'!G291) &gt; 0, "INSERT INTO `catalog_category_entity_varchar` (attribute_id,store_id,entity_id,value) VALUES (48,0,"&amp;'categories-old'!B291&amp;",'"&amp;RIGHT('categories-old'!G291,LEN('categories-old'!G291)-1)&amp;"');","")</f>
        <v>INSERT INTO `catalog_category_entity_varchar` (attribute_id,store_id,entity_id,value) VALUES (48,0,67,'img2/img0ee0.jpg');</v>
      </c>
      <c r="B291" t="str">
        <f>IF(LEN(categories!G291) &gt; 0, "INSERT INTO `catalog_category_entity_varchar` (attribute_id,store_id,entity_id,value) VALUES (48,0,"&amp;categories!B291&amp;",'"&amp;RIGHT(categories!G291,LEN(categories!G291)-1)&amp;"');","")</f>
        <v>INSERT INTO `catalog_category_entity_varchar` (attribute_id,store_id,entity_id,value) VALUES (48,0,67,'img2/img0ee0.jpg');</v>
      </c>
      <c r="C291" t="str">
        <f>VLOOKUP(categories!B291,'categories-old'!B:G,6,FALSE)</f>
        <v>/img2/img0ee0.jpg</v>
      </c>
      <c r="D291" t="str">
        <f>VLOOKUP(categories!B291,'categories-old'!B:H,7,FALSE)</f>
        <v>www.americanretailsupply.com\64993\785446\A-La-Carte-Bags--Boxes\Leaves--Berries-on-Kraft.html</v>
      </c>
    </row>
    <row r="292" spans="1:4" hidden="1" x14ac:dyDescent="0.25">
      <c r="A292" t="str">
        <f>IF(LEN('categories-old'!G292) &gt; 0, "INSERT INTO `catalog_category_entity_varchar` (attribute_id,store_id,entity_id,value) VALUES (48,0,"&amp;'categories-old'!B292&amp;",'"&amp;RIGHT('categories-old'!G292,LEN('categories-old'!G292)-1)&amp;"');","")</f>
        <v>INSERT INTO `catalog_category_entity_varchar` (attribute_id,store_id,entity_id,value) VALUES (48,0,71,'img1/img52a2-2.jpg');</v>
      </c>
      <c r="B292" t="str">
        <f>IF(LEN(categories!G292) &gt; 0, "INSERT INTO `catalog_category_entity_varchar` (attribute_id,store_id,entity_id,value) VALUES (48,0,"&amp;categories!B292&amp;",'"&amp;RIGHT(categories!G292,LEN(categories!G292)-1)&amp;"');","")</f>
        <v>INSERT INTO `catalog_category_entity_varchar` (attribute_id,store_id,entity_id,value) VALUES (48,0,71,'img1/img52a2-2.jpg');</v>
      </c>
      <c r="C292" t="str">
        <f>VLOOKUP(categories!B292,'categories-old'!B:G,6,FALSE)</f>
        <v>/img1/img52a2-2.jpg</v>
      </c>
      <c r="D292" t="str">
        <f>VLOOKUP(categories!B292,'categories-old'!B:H,7,FALSE)</f>
        <v>www.americanretailsupply.com\64770\2082\Acrylic-Bins-Trays-Easels\Acrylic-Mini-Easel.html</v>
      </c>
    </row>
    <row r="293" spans="1:4" hidden="1" x14ac:dyDescent="0.25">
      <c r="A293" t="str">
        <f>IF(LEN('categories-old'!G293) &gt; 0, "INSERT INTO `catalog_category_entity_varchar` (attribute_id,store_id,entity_id,value) VALUES (48,0,"&amp;'categories-old'!B293&amp;",'"&amp;RIGHT('categories-old'!G293,LEN('categories-old'!G293)-1)&amp;"');","")</f>
        <v>INSERT INTO `catalog_category_entity_varchar` (attribute_id,store_id,entity_id,value) VALUES (48,0,72,'img1/img234d.jpg');</v>
      </c>
      <c r="B293" t="str">
        <f>IF(LEN(categories!G293) &gt; 0, "INSERT INTO `catalog_category_entity_varchar` (attribute_id,store_id,entity_id,value) VALUES (48,0,"&amp;categories!B293&amp;",'"&amp;RIGHT(categories!G293,LEN(categories!G293)-1)&amp;"');","")</f>
        <v>INSERT INTO `catalog_category_entity_varchar` (attribute_id,store_id,entity_id,value) VALUES (48,0,72,'img1/img234d.jpg');</v>
      </c>
      <c r="C293" t="str">
        <f>VLOOKUP(categories!B293,'categories-old'!B:G,6,FALSE)</f>
        <v>/img1/img234d.jpg</v>
      </c>
      <c r="D293" t="str">
        <f>VLOOKUP(categories!B293,'categories-old'!B:H,7,FALSE)</f>
        <v>www.americanretailsupply.com\64770\33978\Acrylic-Bins-Trays-Easels\Acrylic-Shirt-Easels.html</v>
      </c>
    </row>
    <row r="294" spans="1:4" hidden="1" x14ac:dyDescent="0.25">
      <c r="A294" t="str">
        <f>IF(LEN('categories-old'!G294) &gt; 0, "INSERT INTO `catalog_category_entity_varchar` (attribute_id,store_id,entity_id,value) VALUES (48,0,"&amp;'categories-old'!B294&amp;",'"&amp;RIGHT('categories-old'!G294,LEN('categories-old'!G294)-1)&amp;"');","")</f>
        <v>INSERT INTO `catalog_category_entity_varchar` (attribute_id,store_id,entity_id,value) VALUES (48,0,73,'img1/imgffde.jpg');</v>
      </c>
      <c r="B294" t="str">
        <f>IF(LEN(categories!G294) &gt; 0, "INSERT INTO `catalog_category_entity_varchar` (attribute_id,store_id,entity_id,value) VALUES (48,0,"&amp;categories!B294&amp;",'"&amp;RIGHT(categories!G294,LEN(categories!G294)-1)&amp;"');","")</f>
        <v>INSERT INTO `catalog_category_entity_varchar` (attribute_id,store_id,entity_id,value) VALUES (48,0,73,'img1/imgffde.jpg');</v>
      </c>
      <c r="C294" t="str">
        <f>VLOOKUP(categories!B294,'categories-old'!B:G,6,FALSE)</f>
        <v>/img1/imgffde.jpg</v>
      </c>
      <c r="D294" t="str">
        <f>VLOOKUP(categories!B294,'categories-old'!B:H,7,FALSE)</f>
        <v>www.americanretailsupply.com\64770\34051\Acrylic-Bins-Trays-Easels\Easels-with-Acrylic-Base.html</v>
      </c>
    </row>
    <row r="295" spans="1:4" hidden="1" x14ac:dyDescent="0.25">
      <c r="A295" t="str">
        <f>IF(LEN('categories-old'!G295) &gt; 0, "INSERT INTO `catalog_category_entity_varchar` (attribute_id,store_id,entity_id,value) VALUES (48,0,"&amp;'categories-old'!B295&amp;",'"&amp;RIGHT('categories-old'!G295,LEN('categories-old'!G295)-1)&amp;"');","")</f>
        <v>INSERT INTO `catalog_category_entity_varchar` (attribute_id,store_id,entity_id,value) VALUES (48,0,74,'img3/img07b0.jpg');</v>
      </c>
      <c r="B295" t="str">
        <f>IF(LEN(categories!G295) &gt; 0, "INSERT INTO `catalog_category_entity_varchar` (attribute_id,store_id,entity_id,value) VALUES (48,0,"&amp;categories!B295&amp;",'"&amp;RIGHT(categories!G295,LEN(categories!G295)-1)&amp;"');","")</f>
        <v>INSERT INTO `catalog_category_entity_varchar` (attribute_id,store_id,entity_id,value) VALUES (48,0,74,'img3/img07b0.jpg');</v>
      </c>
      <c r="C295" t="str">
        <f>VLOOKUP(categories!B295,'categories-old'!B:G,6,FALSE)</f>
        <v>/img3/img07b0.jpg</v>
      </c>
      <c r="D295" t="str">
        <f>VLOOKUP(categories!B295,'categories-old'!B:H,7,FALSE)</f>
        <v>www.americanretailsupply.com\64770\34053\Acrylic-Bins-Trays-Easels\Acrylic-Rounded-Opening-Easels.html</v>
      </c>
    </row>
    <row r="296" spans="1:4" hidden="1" x14ac:dyDescent="0.25">
      <c r="A296" t="str">
        <f>IF(LEN('categories-old'!G296) &gt; 0, "INSERT INTO `catalog_category_entity_varchar` (attribute_id,store_id,entity_id,value) VALUES (48,0,"&amp;'categories-old'!B296&amp;",'"&amp;RIGHT('categories-old'!G296,LEN('categories-old'!G296)-1)&amp;"');","")</f>
        <v>INSERT INTO `catalog_category_entity_varchar` (attribute_id,store_id,entity_id,value) VALUES (48,0,75,'img1/img2953.jpg');</v>
      </c>
      <c r="B296" t="str">
        <f>IF(LEN(categories!G296) &gt; 0, "INSERT INTO `catalog_category_entity_varchar` (attribute_id,store_id,entity_id,value) VALUES (48,0,"&amp;categories!B296&amp;",'"&amp;RIGHT(categories!G296,LEN(categories!G296)-1)&amp;"');","")</f>
        <v>INSERT INTO `catalog_category_entity_varchar` (attribute_id,store_id,entity_id,value) VALUES (48,0,75,'img1/img2953.jpg');</v>
      </c>
      <c r="C296" t="str">
        <f>VLOOKUP(categories!B296,'categories-old'!B:G,6,FALSE)</f>
        <v>/img1/img2953.jpg</v>
      </c>
      <c r="D296" t="str">
        <f>VLOOKUP(categories!B296,'categories-old'!B:H,7,FALSE)</f>
        <v>www.americanretailsupply.com\64770\34056\Acrylic-Bins-Trays-Easels\Acrylic-Display-Easels.html</v>
      </c>
    </row>
    <row r="297" spans="1:4" hidden="1" x14ac:dyDescent="0.25">
      <c r="A297" t="str">
        <f>IF(LEN('categories-old'!G297) &gt; 0, "INSERT INTO `catalog_category_entity_varchar` (attribute_id,store_id,entity_id,value) VALUES (48,0,"&amp;'categories-old'!B297&amp;",'"&amp;RIGHT('categories-old'!G297,LEN('categories-old'!G297)-1)&amp;"');","")</f>
        <v>INSERT INTO `catalog_category_entity_varchar` (attribute_id,store_id,entity_id,value) VALUES (48,0,76,'img2/img4973.jpg');</v>
      </c>
      <c r="B297" t="str">
        <f>IF(LEN(categories!G297) &gt; 0, "INSERT INTO `catalog_category_entity_varchar` (attribute_id,store_id,entity_id,value) VALUES (48,0,"&amp;categories!B297&amp;",'"&amp;RIGHT(categories!G297,LEN(categories!G297)-1)&amp;"');","")</f>
        <v>INSERT INTO `catalog_category_entity_varchar` (attribute_id,store_id,entity_id,value) VALUES (48,0,76,'img2/img4973.jpg');</v>
      </c>
      <c r="C297" t="str">
        <f>VLOOKUP(categories!B297,'categories-old'!B:G,6,FALSE)</f>
        <v>/img2/img4973.jpg</v>
      </c>
      <c r="D297" t="str">
        <f>VLOOKUP(categories!B297,'categories-old'!B:H,7,FALSE)</f>
        <v>www.americanretailsupply.com\64770\34057\Acrylic-Bins-Trays-Easels\Acrylic-Molded-Easels.html</v>
      </c>
    </row>
    <row r="298" spans="1:4" hidden="1" x14ac:dyDescent="0.25">
      <c r="A298" t="str">
        <f>IF(LEN('categories-old'!G298) &gt; 0, "INSERT INTO `catalog_category_entity_varchar` (attribute_id,store_id,entity_id,value) VALUES (48,0,"&amp;'categories-old'!B298&amp;",'"&amp;RIGHT('categories-old'!G298,LEN('categories-old'!G298)-1)&amp;"');","")</f>
        <v>INSERT INTO `catalog_category_entity_varchar` (attribute_id,store_id,entity_id,value) VALUES (48,0,77,'img3/img0abb.jpg');</v>
      </c>
      <c r="B298" t="str">
        <f>IF(LEN(categories!G298) &gt; 0, "INSERT INTO `catalog_category_entity_varchar` (attribute_id,store_id,entity_id,value) VALUES (48,0,"&amp;categories!B298&amp;",'"&amp;RIGHT(categories!G298,LEN(categories!G298)-1)&amp;"');","")</f>
        <v>INSERT INTO `catalog_category_entity_varchar` (attribute_id,store_id,entity_id,value) VALUES (48,0,77,'img3/img0abb.jpg');</v>
      </c>
      <c r="C298" t="str">
        <f>VLOOKUP(categories!B298,'categories-old'!B:G,6,FALSE)</f>
        <v>/img3/img0abb.jpg</v>
      </c>
      <c r="D298" t="str">
        <f>VLOOKUP(categories!B298,'categories-old'!B:H,7,FALSE)</f>
        <v>www.americanretailsupply.com\64770\34236\Acrylic-Bins-Trays-Easels\Acrylic-Open-Cubes-316-Clear.html</v>
      </c>
    </row>
    <row r="299" spans="1:4" hidden="1" x14ac:dyDescent="0.25">
      <c r="A299" t="str">
        <f>IF(LEN('categories-old'!G299) &gt; 0, "INSERT INTO `catalog_category_entity_varchar` (attribute_id,store_id,entity_id,value) VALUES (48,0,"&amp;'categories-old'!B299&amp;",'"&amp;RIGHT('categories-old'!G299,LEN('categories-old'!G299)-1)&amp;"');","")</f>
        <v>INSERT INTO `catalog_category_entity_varchar` (attribute_id,store_id,entity_id,value) VALUES (48,0,78,'img1/img0193.jpg');</v>
      </c>
      <c r="B299" t="str">
        <f>IF(LEN(categories!G299) &gt; 0, "INSERT INTO `catalog_category_entity_varchar` (attribute_id,store_id,entity_id,value) VALUES (48,0,"&amp;categories!B299&amp;",'"&amp;RIGHT(categories!G299,LEN(categories!G299)-1)&amp;"');","")</f>
        <v>INSERT INTO `catalog_category_entity_varchar` (attribute_id,store_id,entity_id,value) VALUES (48,0,78,'img1/img0193.jpg');</v>
      </c>
      <c r="C299" t="str">
        <f>VLOOKUP(categories!B299,'categories-old'!B:G,6,FALSE)</f>
        <v>/img1/img0193.jpg</v>
      </c>
      <c r="D299" t="str">
        <f>VLOOKUP(categories!B299,'categories-old'!B:H,7,FALSE)</f>
        <v>www.americanretailsupply.com\64770\231535\Acrylic-Bins-Trays-Easels\Acrylic-Dinnerware-Holder.html</v>
      </c>
    </row>
    <row r="300" spans="1:4" hidden="1" x14ac:dyDescent="0.25">
      <c r="A300" t="str">
        <f>IF(LEN('categories-old'!G300) &gt; 0, "INSERT INTO `catalog_category_entity_varchar` (attribute_id,store_id,entity_id,value) VALUES (48,0,"&amp;'categories-old'!B300&amp;",'"&amp;RIGHT('categories-old'!G300,LEN('categories-old'!G300)-1)&amp;"');","")</f>
        <v>INSERT INTO `catalog_category_entity_varchar` (attribute_id,store_id,entity_id,value) VALUES (48,0,79,'img1/imga69b.jpg');</v>
      </c>
      <c r="B300" t="str">
        <f>IF(LEN(categories!G300) &gt; 0, "INSERT INTO `catalog_category_entity_varchar` (attribute_id,store_id,entity_id,value) VALUES (48,0,"&amp;categories!B300&amp;",'"&amp;RIGHT(categories!G300,LEN(categories!G300)-1)&amp;"');","")</f>
        <v>INSERT INTO `catalog_category_entity_varchar` (attribute_id,store_id,entity_id,value) VALUES (48,0,79,'img1/imga69b.jpg');</v>
      </c>
      <c r="C300" t="str">
        <f>VLOOKUP(categories!B300,'categories-old'!B:G,6,FALSE)</f>
        <v>/img1/imga69b.jpg</v>
      </c>
      <c r="D300" t="str">
        <f>VLOOKUP(categories!B300,'categories-old'!B:H,7,FALSE)</f>
        <v>www.americanretailsupply.com\64770\575748\Acrylic-Bins-Trays-Easels\Cell-Phone-Acrylic-Easels.html</v>
      </c>
    </row>
    <row r="301" spans="1:4" hidden="1" x14ac:dyDescent="0.25">
      <c r="A301" t="str">
        <f>IF(LEN('categories-old'!G301) &gt; 0, "INSERT INTO `catalog_category_entity_varchar` (attribute_id,store_id,entity_id,value) VALUES (48,0,"&amp;'categories-old'!B301&amp;",'"&amp;RIGHT('categories-old'!G301,LEN('categories-old'!G301)-1)&amp;"');","")</f>
        <v>INSERT INTO `catalog_category_entity_varchar` (attribute_id,store_id,entity_id,value) VALUES (48,0,80,'img3/img204d.jpg');</v>
      </c>
      <c r="B301" t="str">
        <f>IF(LEN(categories!G301) &gt; 0, "INSERT INTO `catalog_category_entity_varchar` (attribute_id,store_id,entity_id,value) VALUES (48,0,"&amp;categories!B301&amp;",'"&amp;RIGHT(categories!G301,LEN(categories!G301)-1)&amp;"');","")</f>
        <v>INSERT INTO `catalog_category_entity_varchar` (attribute_id,store_id,entity_id,value) VALUES (48,0,80,'img3/img204d.jpg');</v>
      </c>
      <c r="C301" t="str">
        <f>VLOOKUP(categories!B301,'categories-old'!B:G,6,FALSE)</f>
        <v>/img3/img204d.jpg</v>
      </c>
      <c r="D301" t="str">
        <f>VLOOKUP(categories!B301,'categories-old'!B:H,7,FALSE)</f>
        <v>www.americanretailsupply.com\64770\575749\Acrylic-Bins-Trays-Easels\3-Deep-J-Opening-Acrylic-Easels.html</v>
      </c>
    </row>
    <row r="302" spans="1:4" hidden="1" x14ac:dyDescent="0.25">
      <c r="A302" t="str">
        <f>IF(LEN('categories-old'!G302) &gt; 0, "INSERT INTO `catalog_category_entity_varchar` (attribute_id,store_id,entity_id,value) VALUES (48,0,"&amp;'categories-old'!B302&amp;",'"&amp;RIGHT('categories-old'!G302,LEN('categories-old'!G302)-1)&amp;"');","")</f>
        <v>INSERT INTO `catalog_category_entity_varchar` (attribute_id,store_id,entity_id,value) VALUES (48,0,81,'img1/img5c81.jpg');</v>
      </c>
      <c r="B302" t="str">
        <f>IF(LEN(categories!G302) &gt; 0, "INSERT INTO `catalog_category_entity_varchar` (attribute_id,store_id,entity_id,value) VALUES (48,0,"&amp;categories!B302&amp;",'"&amp;RIGHT(categories!G302,LEN(categories!G302)-1)&amp;"');","")</f>
        <v>INSERT INTO `catalog_category_entity_varchar` (attribute_id,store_id,entity_id,value) VALUES (48,0,81,'img1/img5c81.jpg');</v>
      </c>
      <c r="C302" t="str">
        <f>VLOOKUP(categories!B302,'categories-old'!B:G,6,FALSE)</f>
        <v>/img1/img5c81.jpg</v>
      </c>
      <c r="D302" t="str">
        <f>VLOOKUP(categories!B302,'categories-old'!B:H,7,FALSE)</f>
        <v>www.americanretailsupply.com\64770\576364\Acrylic-Bins-Trays-Easels\Acrylic-Compartment-Bins-for-Countertop.html</v>
      </c>
    </row>
    <row r="303" spans="1:4" hidden="1" x14ac:dyDescent="0.25">
      <c r="A303" t="str">
        <f>IF(LEN('categories-old'!G303) &gt; 0, "INSERT INTO `catalog_category_entity_varchar` (attribute_id,store_id,entity_id,value) VALUES (48,0,"&amp;'categories-old'!B303&amp;",'"&amp;RIGHT('categories-old'!G303,LEN('categories-old'!G303)-1)&amp;"');","")</f>
        <v>INSERT INTO `catalog_category_entity_varchar` (attribute_id,store_id,entity_id,value) VALUES (48,0,82,'img3/img683e.jpg');</v>
      </c>
      <c r="B303" t="str">
        <f>IF(LEN(categories!G303) &gt; 0, "INSERT INTO `catalog_category_entity_varchar` (attribute_id,store_id,entity_id,value) VALUES (48,0,"&amp;categories!B303&amp;",'"&amp;RIGHT(categories!G303,LEN(categories!G303)-1)&amp;"');","")</f>
        <v>INSERT INTO `catalog_category_entity_varchar` (attribute_id,store_id,entity_id,value) VALUES (48,0,82,'img3/img683e.jpg');</v>
      </c>
      <c r="C303" t="str">
        <f>VLOOKUP(categories!B303,'categories-old'!B:G,6,FALSE)</f>
        <v>/img3/img683e.jpg</v>
      </c>
      <c r="D303" t="str">
        <f>VLOOKUP(categories!B303,'categories-old'!B:H,7,FALSE)</f>
        <v>www.americanretailsupply.com\64770\576365\Acrylic-Bins-Trays-Easels\Acrylic-Display-Trays-for-Countertop.html</v>
      </c>
    </row>
    <row r="304" spans="1:4" hidden="1" x14ac:dyDescent="0.25">
      <c r="A304" t="str">
        <f>IF(LEN('categories-old'!G304) &gt; 0, "INSERT INTO `catalog_category_entity_varchar` (attribute_id,store_id,entity_id,value) VALUES (48,0,"&amp;'categories-old'!B304&amp;",'"&amp;RIGHT('categories-old'!G304,LEN('categories-old'!G304)-1)&amp;"');","")</f>
        <v>INSERT INTO `catalog_category_entity_varchar` (attribute_id,store_id,entity_id,value) VALUES (48,0,83,'img2/img40cd.jpg');</v>
      </c>
      <c r="B304" t="str">
        <f>IF(LEN(categories!G304) &gt; 0, "INSERT INTO `catalog_category_entity_varchar` (attribute_id,store_id,entity_id,value) VALUES (48,0,"&amp;categories!B304&amp;",'"&amp;RIGHT(categories!G304,LEN(categories!G304)-1)&amp;"');","")</f>
        <v>INSERT INTO `catalog_category_entity_varchar` (attribute_id,store_id,entity_id,value) VALUES (48,0,83,'img2/img40cd.jpg');</v>
      </c>
      <c r="C304" t="str">
        <f>VLOOKUP(categories!B304,'categories-old'!B:G,6,FALSE)</f>
        <v>/img2/img40cd.jpg</v>
      </c>
      <c r="D304" t="str">
        <f>VLOOKUP(categories!B304,'categories-old'!B:H,7,FALSE)</f>
        <v>www.americanretailsupply.com\64770\777848\Acrylic-Bins-Trays-Easels\38-Series-Acrylic-Easels.html</v>
      </c>
    </row>
    <row r="305" spans="1:4" hidden="1" x14ac:dyDescent="0.25">
      <c r="A305" t="str">
        <f>IF(LEN('categories-old'!G305) &gt; 0, "INSERT INTO `catalog_category_entity_varchar` (attribute_id,store_id,entity_id,value) VALUES (48,0,"&amp;'categories-old'!B305&amp;",'"&amp;RIGHT('categories-old'!G305,LEN('categories-old'!G305)-1)&amp;"');","")</f>
        <v>INSERT INTO `catalog_category_entity_varchar` (attribute_id,store_id,entity_id,value) VALUES (48,0,84,'img2/img40cd.jpg');</v>
      </c>
      <c r="B305" t="str">
        <f>IF(LEN(categories!G305) &gt; 0, "INSERT INTO `catalog_category_entity_varchar` (attribute_id,store_id,entity_id,value) VALUES (48,0,"&amp;categories!B305&amp;",'"&amp;RIGHT(categories!G305,LEN(categories!G305)-1)&amp;"');","")</f>
        <v>INSERT INTO `catalog_category_entity_varchar` (attribute_id,store_id,entity_id,value) VALUES (48,0,84,'img2/img40cd.jpg');</v>
      </c>
      <c r="C305" t="str">
        <f>VLOOKUP(categories!B305,'categories-old'!B:G,6,FALSE)</f>
        <v>/img2/img40cd.jpg</v>
      </c>
      <c r="D305" t="str">
        <f>VLOOKUP(categories!B305,'categories-old'!B:H,7,FALSE)</f>
        <v>www.americanretailsupply.com\64770\777849\Acrylic-Bins-Trays-Easels\37-Series-Acrylic-Easels.html</v>
      </c>
    </row>
    <row r="306" spans="1:4" hidden="1" x14ac:dyDescent="0.25">
      <c r="A306" t="str">
        <f>IF(LEN('categories-old'!G306) &gt; 0, "INSERT INTO `catalog_category_entity_varchar` (attribute_id,store_id,entity_id,value) VALUES (48,0,"&amp;'categories-old'!B306&amp;",'"&amp;RIGHT('categories-old'!G306,LEN('categories-old'!G306)-1)&amp;"');","")</f>
        <v>INSERT INTO `catalog_category_entity_varchar` (attribute_id,store_id,entity_id,value) VALUES (48,0,86,'img3/img7ce6.jpg');</v>
      </c>
      <c r="B306" t="str">
        <f>IF(LEN(categories!G306) &gt; 0, "INSERT INTO `catalog_category_entity_varchar` (attribute_id,store_id,entity_id,value) VALUES (48,0,"&amp;categories!B306&amp;",'"&amp;RIGHT(categories!G306,LEN(categories!G306)-1)&amp;"');","")</f>
        <v>INSERT INTO `catalog_category_entity_varchar` (attribute_id,store_id,entity_id,value) VALUES (48,0,86,'img3/img7ce6.jpg');</v>
      </c>
      <c r="C306" t="str">
        <f>VLOOKUP(categories!B306,'categories-old'!B:G,6,FALSE)</f>
        <v>/img3/img7ce6.jpg</v>
      </c>
      <c r="D306" t="str">
        <f>VLOOKUP(categories!B306,'categories-old'!B:H,7,FALSE)</f>
        <v>www.americanretailsupply.com\64779\34240\Acrylic-Countertop-Displays\Acrylic-Glass-Mirror-for-Countertop-High-Style.html</v>
      </c>
    </row>
    <row r="307" spans="1:4" hidden="1" x14ac:dyDescent="0.25">
      <c r="A307" t="str">
        <f>IF(LEN('categories-old'!G307) &gt; 0, "INSERT INTO `catalog_category_entity_varchar` (attribute_id,store_id,entity_id,value) VALUES (48,0,"&amp;'categories-old'!B307&amp;",'"&amp;RIGHT('categories-old'!G307,LEN('categories-old'!G307)-1)&amp;"');","")</f>
        <v>INSERT INTO `catalog_category_entity_varchar` (attribute_id,store_id,entity_id,value) VALUES (48,0,87,'img3/imgc8f4.jpg');</v>
      </c>
      <c r="B307" t="str">
        <f>IF(LEN(categories!G307) &gt; 0, "INSERT INTO `catalog_category_entity_varchar` (attribute_id,store_id,entity_id,value) VALUES (48,0,"&amp;categories!B307&amp;",'"&amp;RIGHT(categories!G307,LEN(categories!G307)-1)&amp;"');","")</f>
        <v>INSERT INTO `catalog_category_entity_varchar` (attribute_id,store_id,entity_id,value) VALUES (48,0,87,'img3/imgc8f4.jpg');</v>
      </c>
      <c r="C307" t="str">
        <f>VLOOKUP(categories!B307,'categories-old'!B:G,6,FALSE)</f>
        <v>/img3/imgc8f4.jpg</v>
      </c>
      <c r="D307" t="str">
        <f>VLOOKUP(categories!B307,'categories-old'!B:H,7,FALSE)</f>
        <v>www.americanretailsupply.com\64779\34241\Acrylic-Countertop-Displays\Acrylic-Beveled-Glass-Counter-Mirror.html</v>
      </c>
    </row>
    <row r="308" spans="1:4" hidden="1" x14ac:dyDescent="0.25">
      <c r="A308" t="str">
        <f>IF(LEN('categories-old'!G308) &gt; 0, "INSERT INTO `catalog_category_entity_varchar` (attribute_id,store_id,entity_id,value) VALUES (48,0,"&amp;'categories-old'!B308&amp;",'"&amp;RIGHT('categories-old'!G308,LEN('categories-old'!G308)-1)&amp;"');","")</f>
        <v>INSERT INTO `catalog_category_entity_varchar` (attribute_id,store_id,entity_id,value) VALUES (48,0,88,'img2/imgeb07.jpg');</v>
      </c>
      <c r="B308" t="str">
        <f>IF(LEN(categories!G308) &gt; 0, "INSERT INTO `catalog_category_entity_varchar` (attribute_id,store_id,entity_id,value) VALUES (48,0,"&amp;categories!B308&amp;",'"&amp;RIGHT(categories!G308,LEN(categories!G308)-1)&amp;"');","")</f>
        <v>INSERT INTO `catalog_category_entity_varchar` (attribute_id,store_id,entity_id,value) VALUES (48,0,88,'img2/imgeb07.jpg');</v>
      </c>
      <c r="C308" t="str">
        <f>VLOOKUP(categories!B308,'categories-old'!B:G,6,FALSE)</f>
        <v>/img2/imgeb07.jpg</v>
      </c>
      <c r="D308" t="str">
        <f>VLOOKUP(categories!B308,'categories-old'!B:H,7,FALSE)</f>
        <v>www.americanretailsupply.com\64779\34242\Acrylic-Countertop-Displays\Slant-Back-Acrylic-Mirror.html</v>
      </c>
    </row>
    <row r="309" spans="1:4" hidden="1" x14ac:dyDescent="0.25">
      <c r="A309" t="str">
        <f>IF(LEN('categories-old'!G309) &gt; 0, "INSERT INTO `catalog_category_entity_varchar` (attribute_id,store_id,entity_id,value) VALUES (48,0,"&amp;'categories-old'!B309&amp;",'"&amp;RIGHT('categories-old'!G309,LEN('categories-old'!G309)-1)&amp;"');","")</f>
        <v>INSERT INTO `catalog_category_entity_varchar` (attribute_id,store_id,entity_id,value) VALUES (48,0,89,'img2/img71dc.jpg');</v>
      </c>
      <c r="B309" t="str">
        <f>IF(LEN(categories!G309) &gt; 0, "INSERT INTO `catalog_category_entity_varchar` (attribute_id,store_id,entity_id,value) VALUES (48,0,"&amp;categories!B309&amp;",'"&amp;RIGHT(categories!G309,LEN(categories!G309)-1)&amp;"');","")</f>
        <v>INSERT INTO `catalog_category_entity_varchar` (attribute_id,store_id,entity_id,value) VALUES (48,0,89,'img2/img71dc.jpg');</v>
      </c>
      <c r="C309" t="str">
        <f>VLOOKUP(categories!B309,'categories-old'!B:G,6,FALSE)</f>
        <v>/img2/img71dc.jpg</v>
      </c>
      <c r="D309" t="str">
        <f>VLOOKUP(categories!B309,'categories-old'!B:H,7,FALSE)</f>
        <v>www.americanretailsupply.com\64779\34243\Acrylic-Countertop-Displays\Gridwall-Acrylic-Mirror.html</v>
      </c>
    </row>
    <row r="310" spans="1:4" hidden="1" x14ac:dyDescent="0.25">
      <c r="A310" t="str">
        <f>IF(LEN('categories-old'!G310) &gt; 0, "INSERT INTO `catalog_category_entity_varchar` (attribute_id,store_id,entity_id,value) VALUES (48,0,"&amp;'categories-old'!B310&amp;",'"&amp;RIGHT('categories-old'!G310,LEN('categories-old'!G310)-1)&amp;"');","")</f>
        <v>INSERT INTO `catalog_category_entity_varchar` (attribute_id,store_id,entity_id,value) VALUES (48,0,90,'img2/img7f48.jpg');</v>
      </c>
      <c r="B310" t="str">
        <f>IF(LEN(categories!G310) &gt; 0, "INSERT INTO `catalog_category_entity_varchar` (attribute_id,store_id,entity_id,value) VALUES (48,0,"&amp;categories!B310&amp;",'"&amp;RIGHT(categories!G310,LEN(categories!G310)-1)&amp;"');","")</f>
        <v>INSERT INTO `catalog_category_entity_varchar` (attribute_id,store_id,entity_id,value) VALUES (48,0,90,'img2/img7f48.jpg');</v>
      </c>
      <c r="C310" t="str">
        <f>VLOOKUP(categories!B310,'categories-old'!B:G,6,FALSE)</f>
        <v>/img2/img7f48.jpg</v>
      </c>
      <c r="D310" t="str">
        <f>VLOOKUP(categories!B310,'categories-old'!B:H,7,FALSE)</f>
        <v>www.americanretailsupply.com\64779\34244\Acrylic-Countertop-Displays\Black-Adjustable-Glass-Counter-Mirror.html</v>
      </c>
    </row>
    <row r="311" spans="1:4" hidden="1" x14ac:dyDescent="0.25">
      <c r="A311" t="str">
        <f>IF(LEN('categories-old'!G311) &gt; 0, "INSERT INTO `catalog_category_entity_varchar` (attribute_id,store_id,entity_id,value) VALUES (48,0,"&amp;'categories-old'!B311&amp;",'"&amp;RIGHT('categories-old'!G311,LEN('categories-old'!G311)-1)&amp;"');","")</f>
        <v>INSERT INTO `catalog_category_entity_varchar` (attribute_id,store_id,entity_id,value) VALUES (48,0,91,'img1/img3bb2.jpg');</v>
      </c>
      <c r="B311" t="str">
        <f>IF(LEN(categories!G311) &gt; 0, "INSERT INTO `catalog_category_entity_varchar` (attribute_id,store_id,entity_id,value) VALUES (48,0,"&amp;categories!B311&amp;",'"&amp;RIGHT(categories!G311,LEN(categories!G311)-1)&amp;"');","")</f>
        <v>INSERT INTO `catalog_category_entity_varchar` (attribute_id,store_id,entity_id,value) VALUES (48,0,91,'img1/img3bb2.jpg');</v>
      </c>
      <c r="C311" t="str">
        <f>VLOOKUP(categories!B311,'categories-old'!B:G,6,FALSE)</f>
        <v>/img1/img3bb2.jpg</v>
      </c>
      <c r="D311" t="str">
        <f>VLOOKUP(categories!B311,'categories-old'!B:H,7,FALSE)</f>
        <v>www.americanretailsupply.com\64779\34245\Acrylic-Countertop-Displays\Acrylic-Domed-Countertop-Glass-Mirror.html</v>
      </c>
    </row>
    <row r="312" spans="1:4" hidden="1" x14ac:dyDescent="0.25">
      <c r="A312" t="str">
        <f>IF(LEN('categories-old'!G312) &gt; 0, "INSERT INTO `catalog_category_entity_varchar` (attribute_id,store_id,entity_id,value) VALUES (48,0,"&amp;'categories-old'!B312&amp;",'"&amp;RIGHT('categories-old'!G312,LEN('categories-old'!G312)-1)&amp;"');","")</f>
        <v>INSERT INTO `catalog_category_entity_varchar` (attribute_id,store_id,entity_id,value) VALUES (48,0,92,'img3/imgb28a.jpg');</v>
      </c>
      <c r="B312" t="str">
        <f>IF(LEN(categories!G312) &gt; 0, "INSERT INTO `catalog_category_entity_varchar` (attribute_id,store_id,entity_id,value) VALUES (48,0,"&amp;categories!B312&amp;",'"&amp;RIGHT(categories!G312,LEN(categories!G312)-1)&amp;"');","")</f>
        <v>INSERT INTO `catalog_category_entity_varchar` (attribute_id,store_id,entity_id,value) VALUES (48,0,92,'img3/imgb28a.jpg');</v>
      </c>
      <c r="C312" t="str">
        <f>VLOOKUP(categories!B312,'categories-old'!B:G,6,FALSE)</f>
        <v>/img3/imgb28a.jpg</v>
      </c>
      <c r="D312" t="str">
        <f>VLOOKUP(categories!B312,'categories-old'!B:H,7,FALSE)</f>
        <v>www.americanretailsupply.com\64779\34246\Acrylic-Countertop-Displays\Acrylic-Economy-Shelf-Display-for-Slatwall.html</v>
      </c>
    </row>
    <row r="313" spans="1:4" hidden="1" x14ac:dyDescent="0.25">
      <c r="A313" t="str">
        <f>IF(LEN('categories-old'!G313) &gt; 0, "INSERT INTO `catalog_category_entity_varchar` (attribute_id,store_id,entity_id,value) VALUES (48,0,"&amp;'categories-old'!B313&amp;",'"&amp;RIGHT('categories-old'!G313,LEN('categories-old'!G313)-1)&amp;"');","")</f>
        <v>INSERT INTO `catalog_category_entity_varchar` (attribute_id,store_id,entity_id,value) VALUES (48,0,93,'img2/imgb111-2.jpg');</v>
      </c>
      <c r="B313" t="str">
        <f>IF(LEN(categories!G313) &gt; 0, "INSERT INTO `catalog_category_entity_varchar` (attribute_id,store_id,entity_id,value) VALUES (48,0,"&amp;categories!B313&amp;",'"&amp;RIGHT(categories!G313,LEN(categories!G313)-1)&amp;"');","")</f>
        <v>INSERT INTO `catalog_category_entity_varchar` (attribute_id,store_id,entity_id,value) VALUES (48,0,93,'img2/imgb111-2.jpg');</v>
      </c>
      <c r="C313" t="str">
        <f>VLOOKUP(categories!B313,'categories-old'!B:G,6,FALSE)</f>
        <v>/img2/imgb111-2.jpg</v>
      </c>
      <c r="D313" t="str">
        <f>VLOOKUP(categories!B313,'categories-old'!B:H,7,FALSE)</f>
        <v>www.americanretailsupply.com\64779\34247\Acrylic-Countertop-Displays\Acrylic-Countertop-Rack.html</v>
      </c>
    </row>
    <row r="314" spans="1:4" hidden="1" x14ac:dyDescent="0.25">
      <c r="A314" t="str">
        <f>IF(LEN('categories-old'!G314) &gt; 0, "INSERT INTO `catalog_category_entity_varchar` (attribute_id,store_id,entity_id,value) VALUES (48,0,"&amp;'categories-old'!B314&amp;",'"&amp;RIGHT('categories-old'!G314,LEN('categories-old'!G314)-1)&amp;"');","")</f>
        <v>INSERT INTO `catalog_category_entity_varchar` (attribute_id,store_id,entity_id,value) VALUES (48,0,94,'img1/img02df.jpg');</v>
      </c>
      <c r="B314" t="str">
        <f>IF(LEN(categories!G314) &gt; 0, "INSERT INTO `catalog_category_entity_varchar` (attribute_id,store_id,entity_id,value) VALUES (48,0,"&amp;categories!B314&amp;",'"&amp;RIGHT(categories!G314,LEN(categories!G314)-1)&amp;"');","")</f>
        <v>INSERT INTO `catalog_category_entity_varchar` (attribute_id,store_id,entity_id,value) VALUES (48,0,94,'img1/img02df.jpg');</v>
      </c>
      <c r="C314" t="str">
        <f>VLOOKUP(categories!B314,'categories-old'!B:G,6,FALSE)</f>
        <v>/img1/img02df.jpg</v>
      </c>
      <c r="D314" t="str">
        <f>VLOOKUP(categories!B314,'categories-old'!B:H,7,FALSE)</f>
        <v>www.americanretailsupply.com\64779\34248\Acrylic-Countertop-Displays\Acrylic-Mini-Platform-Stairs.html</v>
      </c>
    </row>
    <row r="315" spans="1:4" hidden="1" x14ac:dyDescent="0.25">
      <c r="A315" t="str">
        <f>IF(LEN('categories-old'!G315) &gt; 0, "INSERT INTO `catalog_category_entity_varchar` (attribute_id,store_id,entity_id,value) VALUES (48,0,"&amp;'categories-old'!B315&amp;",'"&amp;RIGHT('categories-old'!G315,LEN('categories-old'!G315)-1)&amp;"');","")</f>
        <v>INSERT INTO `catalog_category_entity_varchar` (attribute_id,store_id,entity_id,value) VALUES (48,0,95,'img1/img93f1.jpg');</v>
      </c>
      <c r="B315" t="str">
        <f>IF(LEN(categories!G315) &gt; 0, "INSERT INTO `catalog_category_entity_varchar` (attribute_id,store_id,entity_id,value) VALUES (48,0,"&amp;categories!B315&amp;",'"&amp;RIGHT(categories!G315,LEN(categories!G315)-1)&amp;"');","")</f>
        <v>INSERT INTO `catalog_category_entity_varchar` (attribute_id,store_id,entity_id,value) VALUES (48,0,95,'img1/img93f1.jpg');</v>
      </c>
      <c r="C315" t="str">
        <f>VLOOKUP(categories!B315,'categories-old'!B:G,6,FALSE)</f>
        <v>/img1/img93f1.jpg</v>
      </c>
      <c r="D315" t="str">
        <f>VLOOKUP(categories!B315,'categories-old'!B:H,7,FALSE)</f>
        <v>www.americanretailsupply.com\64779\34249\Acrylic-Countertop-Displays\Acrylic-Clear-Three-Step-Stairs.html</v>
      </c>
    </row>
    <row r="316" spans="1:4" hidden="1" x14ac:dyDescent="0.25">
      <c r="A316" t="str">
        <f>IF(LEN('categories-old'!G316) &gt; 0, "INSERT INTO `catalog_category_entity_varchar` (attribute_id,store_id,entity_id,value) VALUES (48,0,"&amp;'categories-old'!B316&amp;",'"&amp;RIGHT('categories-old'!G316,LEN('categories-old'!G316)-1)&amp;"');","")</f>
        <v>INSERT INTO `catalog_category_entity_varchar` (attribute_id,store_id,entity_id,value) VALUES (48,0,96,'img3/imgfe71.jpg');</v>
      </c>
      <c r="B316" t="str">
        <f>IF(LEN(categories!G316) &gt; 0, "INSERT INTO `catalog_category_entity_varchar` (attribute_id,store_id,entity_id,value) VALUES (48,0,"&amp;categories!B316&amp;",'"&amp;RIGHT(categories!G316,LEN(categories!G316)-1)&amp;"');","")</f>
        <v>INSERT INTO `catalog_category_entity_varchar` (attribute_id,store_id,entity_id,value) VALUES (48,0,96,'img3/imgfe71.jpg');</v>
      </c>
      <c r="C316" t="str">
        <f>VLOOKUP(categories!B316,'categories-old'!B:G,6,FALSE)</f>
        <v>/img3/imgfe71.jpg</v>
      </c>
      <c r="D316" t="str">
        <f>VLOOKUP(categories!B316,'categories-old'!B:H,7,FALSE)</f>
        <v>www.americanretailsupply.com\64779\34251\Acrylic-Countertop-Displays\14-Acrylic-3-Tier-Displays.html</v>
      </c>
    </row>
    <row r="317" spans="1:4" hidden="1" x14ac:dyDescent="0.25">
      <c r="A317" t="str">
        <f>IF(LEN('categories-old'!G317) &gt; 0, "INSERT INTO `catalog_category_entity_varchar` (attribute_id,store_id,entity_id,value) VALUES (48,0,"&amp;'categories-old'!B317&amp;",'"&amp;RIGHT('categories-old'!G317,LEN('categories-old'!G317)-1)&amp;"');","")</f>
        <v>INSERT INTO `catalog_category_entity_varchar` (attribute_id,store_id,entity_id,value) VALUES (48,0,97,'img2/imga616.jpg');</v>
      </c>
      <c r="B317" t="str">
        <f>IF(LEN(categories!G317) &gt; 0, "INSERT INTO `catalog_category_entity_varchar` (attribute_id,store_id,entity_id,value) VALUES (48,0,"&amp;categories!B317&amp;",'"&amp;RIGHT(categories!G317,LEN(categories!G317)-1)&amp;"');","")</f>
        <v>INSERT INTO `catalog_category_entity_varchar` (attribute_id,store_id,entity_id,value) VALUES (48,0,97,'img2/imga616.jpg');</v>
      </c>
      <c r="C317" t="str">
        <f>VLOOKUP(categories!B317,'categories-old'!B:G,6,FALSE)</f>
        <v>/img2/imga616.jpg</v>
      </c>
      <c r="D317" t="str">
        <f>VLOOKUP(categories!B317,'categories-old'!B:H,7,FALSE)</f>
        <v>www.americanretailsupply.com\64779\34252\Acrylic-Countertop-Displays\Acrylic-Bin-Display.html</v>
      </c>
    </row>
    <row r="318" spans="1:4" hidden="1" x14ac:dyDescent="0.25">
      <c r="A318" t="str">
        <f>IF(LEN('categories-old'!G318) &gt; 0, "INSERT INTO `catalog_category_entity_varchar` (attribute_id,store_id,entity_id,value) VALUES (48,0,"&amp;'categories-old'!B318&amp;",'"&amp;RIGHT('categories-old'!G318,LEN('categories-old'!G318)-1)&amp;"');","")</f>
        <v>INSERT INTO `catalog_category_entity_varchar` (attribute_id,store_id,entity_id,value) VALUES (48,0,98,'img2/img8c2b.jpg');</v>
      </c>
      <c r="B318" t="str">
        <f>IF(LEN(categories!G318) &gt; 0, "INSERT INTO `catalog_category_entity_varchar` (attribute_id,store_id,entity_id,value) VALUES (48,0,"&amp;categories!B318&amp;",'"&amp;RIGHT(categories!G318,LEN(categories!G318)-1)&amp;"');","")</f>
        <v>INSERT INTO `catalog_category_entity_varchar` (attribute_id,store_id,entity_id,value) VALUES (48,0,98,'img2/img8c2b.jpg');</v>
      </c>
      <c r="C318" t="str">
        <f>VLOOKUP(categories!B318,'categories-old'!B:G,6,FALSE)</f>
        <v>/img2/img8c2b.jpg</v>
      </c>
      <c r="D318" t="str">
        <f>VLOOKUP(categories!B318,'categories-old'!B:H,7,FALSE)</f>
        <v>www.americanretailsupply.com\64779\34253\Acrylic-Countertop-Displays\Acrylic-Clear-Tiered-Stairs.html</v>
      </c>
    </row>
    <row r="319" spans="1:4" hidden="1" x14ac:dyDescent="0.25">
      <c r="A319" t="str">
        <f>IF(LEN('categories-old'!G319) &gt; 0, "INSERT INTO `catalog_category_entity_varchar` (attribute_id,store_id,entity_id,value) VALUES (48,0,"&amp;'categories-old'!B319&amp;",'"&amp;RIGHT('categories-old'!G319,LEN('categories-old'!G319)-1)&amp;"');","")</f>
        <v>INSERT INTO `catalog_category_entity_varchar` (attribute_id,store_id,entity_id,value) VALUES (48,0,99,'img3/imgfb70.jpg');</v>
      </c>
      <c r="B319" t="str">
        <f>IF(LEN(categories!G319) &gt; 0, "INSERT INTO `catalog_category_entity_varchar` (attribute_id,store_id,entity_id,value) VALUES (48,0,"&amp;categories!B319&amp;",'"&amp;RIGHT(categories!G319,LEN(categories!G319)-1)&amp;"');","")</f>
        <v>INSERT INTO `catalog_category_entity_varchar` (attribute_id,store_id,entity_id,value) VALUES (48,0,99,'img3/imgfb70.jpg');</v>
      </c>
      <c r="C319" t="str">
        <f>VLOOKUP(categories!B319,'categories-old'!B:G,6,FALSE)</f>
        <v>/img3/imgfb70.jpg</v>
      </c>
      <c r="D319" t="str">
        <f>VLOOKUP(categories!B319,'categories-old'!B:H,7,FALSE)</f>
        <v>www.americanretailsupply.com\64779\34255\Acrylic-Countertop-Displays\Acrylic-Countertop-Showcases.html</v>
      </c>
    </row>
    <row r="320" spans="1:4" hidden="1" x14ac:dyDescent="0.25">
      <c r="A320" t="str">
        <f>IF(LEN('categories-old'!G320) &gt; 0, "INSERT INTO `catalog_category_entity_varchar` (attribute_id,store_id,entity_id,value) VALUES (48,0,"&amp;'categories-old'!B320&amp;",'"&amp;RIGHT('categories-old'!G320,LEN('categories-old'!G320)-1)&amp;"');","")</f>
        <v>INSERT INTO `catalog_category_entity_varchar` (attribute_id,store_id,entity_id,value) VALUES (48,0,100,'img2/img25f4.jpg');</v>
      </c>
      <c r="B320" t="str">
        <f>IF(LEN(categories!G320) &gt; 0, "INSERT INTO `catalog_category_entity_varchar` (attribute_id,store_id,entity_id,value) VALUES (48,0,"&amp;categories!B320&amp;",'"&amp;RIGHT(categories!G320,LEN(categories!G320)-1)&amp;"');","")</f>
        <v>INSERT INTO `catalog_category_entity_varchar` (attribute_id,store_id,entity_id,value) VALUES (48,0,100,'img2/img25f4.jpg');</v>
      </c>
      <c r="C320" t="str">
        <f>VLOOKUP(categories!B320,'categories-old'!B:G,6,FALSE)</f>
        <v>/img2/img25f4.jpg</v>
      </c>
      <c r="D320" t="str">
        <f>VLOOKUP(categories!B320,'categories-old'!B:H,7,FALSE)</f>
        <v>www.americanretailsupply.com\64779\34256\Acrylic-Countertop-Displays\Flat-Locking-Acrylic-Showcases.html</v>
      </c>
    </row>
    <row r="321" spans="1:4" hidden="1" x14ac:dyDescent="0.25">
      <c r="A321" t="str">
        <f>IF(LEN('categories-old'!G321) &gt; 0, "INSERT INTO `catalog_category_entity_varchar` (attribute_id,store_id,entity_id,value) VALUES (48,0,"&amp;'categories-old'!B321&amp;",'"&amp;RIGHT('categories-old'!G321,LEN('categories-old'!G321)-1)&amp;"');","")</f>
        <v>INSERT INTO `catalog_category_entity_varchar` (attribute_id,store_id,entity_id,value) VALUES (48,0,101,'img2/img47b7.jpg');</v>
      </c>
      <c r="B321" t="str">
        <f>IF(LEN(categories!G321) &gt; 0, "INSERT INTO `catalog_category_entity_varchar` (attribute_id,store_id,entity_id,value) VALUES (48,0,"&amp;categories!B321&amp;",'"&amp;RIGHT(categories!G321,LEN(categories!G321)-1)&amp;"');","")</f>
        <v>INSERT INTO `catalog_category_entity_varchar` (attribute_id,store_id,entity_id,value) VALUES (48,0,101,'img2/img47b7.jpg');</v>
      </c>
      <c r="C321" t="str">
        <f>VLOOKUP(categories!B321,'categories-old'!B:G,6,FALSE)</f>
        <v>/img2/img47b7.jpg</v>
      </c>
      <c r="D321" t="str">
        <f>VLOOKUP(categories!B321,'categories-old'!B:H,7,FALSE)</f>
        <v>www.americanretailsupply.com\64779\34257\Acrylic-Countertop-Displays\Acrylic-Locking-Showcases-for-Slatwall.html</v>
      </c>
    </row>
    <row r="322" spans="1:4" hidden="1" x14ac:dyDescent="0.25">
      <c r="A322" t="str">
        <f>IF(LEN('categories-old'!G322) &gt; 0, "INSERT INTO `catalog_category_entity_varchar` (attribute_id,store_id,entity_id,value) VALUES (48,0,"&amp;'categories-old'!B322&amp;",'"&amp;RIGHT('categories-old'!G322,LEN('categories-old'!G322)-1)&amp;"');","")</f>
        <v>INSERT INTO `catalog_category_entity_varchar` (attribute_id,store_id,entity_id,value) VALUES (48,0,102,'img2/imgc4be.jpg');</v>
      </c>
      <c r="B322" t="str">
        <f>IF(LEN(categories!G322) &gt; 0, "INSERT INTO `catalog_category_entity_varchar` (attribute_id,store_id,entity_id,value) VALUES (48,0,"&amp;categories!B322&amp;",'"&amp;RIGHT(categories!G322,LEN(categories!G322)-1)&amp;"');","")</f>
        <v>INSERT INTO `catalog_category_entity_varchar` (attribute_id,store_id,entity_id,value) VALUES (48,0,102,'img2/imgc4be.jpg');</v>
      </c>
      <c r="C322" t="str">
        <f>VLOOKUP(categories!B322,'categories-old'!B:G,6,FALSE)</f>
        <v>/img2/imgc4be.jpg</v>
      </c>
      <c r="D322" t="str">
        <f>VLOOKUP(categories!B322,'categories-old'!B:H,7,FALSE)</f>
        <v>www.americanretailsupply.com\64779\576088\Acrylic-Countertop-Displays\Acrylic-4-Tier-Displays.html</v>
      </c>
    </row>
    <row r="323" spans="1:4" hidden="1" x14ac:dyDescent="0.25">
      <c r="A323" t="str">
        <f>IF(LEN('categories-old'!G323) &gt; 0, "INSERT INTO `catalog_category_entity_varchar` (attribute_id,store_id,entity_id,value) VALUES (48,0,"&amp;'categories-old'!B323&amp;",'"&amp;RIGHT('categories-old'!G323,LEN('categories-old'!G323)-1)&amp;"');","")</f>
        <v>INSERT INTO `catalog_category_entity_varchar` (attribute_id,store_id,entity_id,value) VALUES (48,0,103,'img1/img53d0.jpg');</v>
      </c>
      <c r="B323" t="str">
        <f>IF(LEN(categories!G323) &gt; 0, "INSERT INTO `catalog_category_entity_varchar` (attribute_id,store_id,entity_id,value) VALUES (48,0,"&amp;categories!B323&amp;",'"&amp;RIGHT(categories!G323,LEN(categories!G323)-1)&amp;"');","")</f>
        <v>INSERT INTO `catalog_category_entity_varchar` (attribute_id,store_id,entity_id,value) VALUES (48,0,103,'img1/img53d0.jpg');</v>
      </c>
      <c r="C323" t="str">
        <f>VLOOKUP(categories!B323,'categories-old'!B:G,6,FALSE)</f>
        <v>/img1/img53d0.jpg</v>
      </c>
      <c r="D323" t="str">
        <f>VLOOKUP(categories!B323,'categories-old'!B:H,7,FALSE)</f>
        <v>www.americanretailsupply.com\64779\576089\Acrylic-Countertop-Displays\Acrylic-CD-or-DVD-Shelf-Display-Rack.html</v>
      </c>
    </row>
    <row r="324" spans="1:4" hidden="1" x14ac:dyDescent="0.25">
      <c r="A324" t="str">
        <f>IF(LEN('categories-old'!G324) &gt; 0, "INSERT INTO `catalog_category_entity_varchar` (attribute_id,store_id,entity_id,value) VALUES (48,0,"&amp;'categories-old'!B324&amp;",'"&amp;RIGHT('categories-old'!G324,LEN('categories-old'!G324)-1)&amp;"');","")</f>
        <v>INSERT INTO `catalog_category_entity_varchar` (attribute_id,store_id,entity_id,value) VALUES (48,0,105,'img2/img1454.jpg');</v>
      </c>
      <c r="B324" t="str">
        <f>IF(LEN(categories!G324) &gt; 0, "INSERT INTO `catalog_category_entity_varchar` (attribute_id,store_id,entity_id,value) VALUES (48,0,"&amp;categories!B324&amp;",'"&amp;RIGHT(categories!G324,LEN(categories!G324)-1)&amp;"');","")</f>
        <v>INSERT INTO `catalog_category_entity_varchar` (attribute_id,store_id,entity_id,value) VALUES (48,0,105,'img2/img1454.jpg');</v>
      </c>
      <c r="C324" t="str">
        <f>VLOOKUP(categories!B324,'categories-old'!B:G,6,FALSE)</f>
        <v>/img2/img1454.jpg</v>
      </c>
      <c r="D324" t="str">
        <f>VLOOKUP(categories!B324,'categories-old'!B:H,7,FALSE)</f>
        <v>www.americanretailsupply.com\64768\782120\Acrylic-E--Cig-Displays\E--Cig-Acrylic-Displays.html</v>
      </c>
    </row>
    <row r="325" spans="1:4" hidden="1" x14ac:dyDescent="0.25">
      <c r="A325" t="str">
        <f>IF(LEN('categories-old'!G325) &gt; 0, "INSERT INTO `catalog_category_entity_varchar` (attribute_id,store_id,entity_id,value) VALUES (48,0,"&amp;'categories-old'!B325&amp;",'"&amp;RIGHT('categories-old'!G325,LEN('categories-old'!G325)-1)&amp;"');","")</f>
        <v>INSERT INTO `catalog_category_entity_varchar` (attribute_id,store_id,entity_id,value) VALUES (48,0,108,'img1/img8ede.jpg');</v>
      </c>
      <c r="B325" t="str">
        <f>IF(LEN(categories!G325) &gt; 0, "INSERT INTO `catalog_category_entity_varchar` (attribute_id,store_id,entity_id,value) VALUES (48,0,"&amp;categories!B325&amp;",'"&amp;RIGHT(categories!G325,LEN(categories!G325)-1)&amp;"');","")</f>
        <v>INSERT INTO `catalog_category_entity_varchar` (attribute_id,store_id,entity_id,value) VALUES (48,0,108,'img1/img8ede.jpg');</v>
      </c>
      <c r="C325" t="str">
        <f>VLOOKUP(categories!B325,'categories-old'!B:G,6,FALSE)</f>
        <v>/img1/img8ede.jpg</v>
      </c>
      <c r="D325" t="str">
        <f>VLOOKUP(categories!B325,'categories-old'!B:H,7,FALSE)</f>
        <v>www.americanretailsupply.com\64949\3986\Acrylic-for-Gridwall\Gridwall-Acrylic-Sign-Holders.html</v>
      </c>
    </row>
    <row r="326" spans="1:4" hidden="1" x14ac:dyDescent="0.25">
      <c r="A326" t="str">
        <f>IF(LEN('categories-old'!G326) &gt; 0, "INSERT INTO `catalog_category_entity_varchar` (attribute_id,store_id,entity_id,value) VALUES (48,0,"&amp;'categories-old'!B326&amp;",'"&amp;RIGHT('categories-old'!G326,LEN('categories-old'!G326)-1)&amp;"');","")</f>
        <v>INSERT INTO `catalog_category_entity_varchar` (attribute_id,store_id,entity_id,value) VALUES (48,0,109,'img2/imgdad4.jpg');</v>
      </c>
      <c r="B326" t="str">
        <f>IF(LEN(categories!G326) &gt; 0, "INSERT INTO `catalog_category_entity_varchar` (attribute_id,store_id,entity_id,value) VALUES (48,0,"&amp;categories!B326&amp;",'"&amp;RIGHT(categories!G326,LEN(categories!G326)-1)&amp;"');","")</f>
        <v>INSERT INTO `catalog_category_entity_varchar` (attribute_id,store_id,entity_id,value) VALUES (48,0,109,'img2/imgdad4.jpg');</v>
      </c>
      <c r="C326" t="str">
        <f>VLOOKUP(categories!B326,'categories-old'!B:G,6,FALSE)</f>
        <v>/img2/imgdad4.jpg</v>
      </c>
      <c r="D326" t="str">
        <f>VLOOKUP(categories!B326,'categories-old'!B:H,7,FALSE)</f>
        <v>www.americanretailsupply.com\64949\3987\Acrylic-for-Gridwall\Gridwall-Acrylic-Hosiery-Bin.html</v>
      </c>
    </row>
    <row r="327" spans="1:4" hidden="1" x14ac:dyDescent="0.25">
      <c r="A327" t="str">
        <f>IF(LEN('categories-old'!G327) &gt; 0, "INSERT INTO `catalog_category_entity_varchar` (attribute_id,store_id,entity_id,value) VALUES (48,0,"&amp;'categories-old'!B327&amp;",'"&amp;RIGHT('categories-old'!G327,LEN('categories-old'!G327)-1)&amp;"');","")</f>
        <v>INSERT INTO `catalog_category_entity_varchar` (attribute_id,store_id,entity_id,value) VALUES (48,0,110,'img3/img61c1.jpg');</v>
      </c>
      <c r="B327" t="str">
        <f>IF(LEN(categories!G327) &gt; 0, "INSERT INTO `catalog_category_entity_varchar` (attribute_id,store_id,entity_id,value) VALUES (48,0,"&amp;categories!B327&amp;",'"&amp;RIGHT(categories!G327,LEN(categories!G327)-1)&amp;"');","")</f>
        <v>INSERT INTO `catalog_category_entity_varchar` (attribute_id,store_id,entity_id,value) VALUES (48,0,110,'img3/img61c1.jpg');</v>
      </c>
      <c r="C327" t="str">
        <f>VLOOKUP(categories!B327,'categories-old'!B:G,6,FALSE)</f>
        <v>/img3/img61c1.jpg</v>
      </c>
      <c r="D327" t="str">
        <f>VLOOKUP(categories!B327,'categories-old'!B:H,7,FALSE)</f>
        <v>www.americanretailsupply.com\64949\33435\Acrylic-for-Gridwall\Acrylic-Compact-Disc-Display-for-Slatwall-Gridwall-Pegboard-or-Wallmount.html</v>
      </c>
    </row>
    <row r="328" spans="1:4" hidden="1" x14ac:dyDescent="0.25">
      <c r="A328" t="str">
        <f>IF(LEN('categories-old'!G328) &gt; 0, "INSERT INTO `catalog_category_entity_varchar` (attribute_id,store_id,entity_id,value) VALUES (48,0,"&amp;'categories-old'!B328&amp;",'"&amp;RIGHT('categories-old'!G328,LEN('categories-old'!G328)-1)&amp;"');","")</f>
        <v>INSERT INTO `catalog_category_entity_varchar` (attribute_id,store_id,entity_id,value) VALUES (48,0,111,'img3/img8217.jpg');</v>
      </c>
      <c r="B328" t="str">
        <f>IF(LEN(categories!G328) &gt; 0, "INSERT INTO `catalog_category_entity_varchar` (attribute_id,store_id,entity_id,value) VALUES (48,0,"&amp;categories!B328&amp;",'"&amp;RIGHT(categories!G328,LEN(categories!G328)-1)&amp;"');","")</f>
        <v>INSERT INTO `catalog_category_entity_varchar` (attribute_id,store_id,entity_id,value) VALUES (48,0,111,'img3/img8217.jpg');</v>
      </c>
      <c r="C328" t="str">
        <f>VLOOKUP(categories!B328,'categories-old'!B:G,6,FALSE)</f>
        <v>/img3/img8217.jpg</v>
      </c>
      <c r="D328" t="str">
        <f>VLOOKUP(categories!B328,'categories-old'!B:H,7,FALSE)</f>
        <v>www.americanretailsupply.com\64949\34010\Acrylic-for-Gridwall\Acrylic-Brochure-Holders-for-Slatwall-Gridwall-or-Wallmount-for-123-Pocket.html</v>
      </c>
    </row>
    <row r="329" spans="1:4" hidden="1" x14ac:dyDescent="0.25">
      <c r="A329" t="str">
        <f>IF(LEN('categories-old'!G329) &gt; 0, "INSERT INTO `catalog_category_entity_varchar` (attribute_id,store_id,entity_id,value) VALUES (48,0,"&amp;'categories-old'!B329&amp;",'"&amp;RIGHT('categories-old'!G329,LEN('categories-old'!G329)-1)&amp;"');","")</f>
        <v>INSERT INTO `catalog_category_entity_varchar` (attribute_id,store_id,entity_id,value) VALUES (48,0,112,'img1/img665b.jpg');</v>
      </c>
      <c r="B329" t="str">
        <f>IF(LEN(categories!G329) &gt; 0, "INSERT INTO `catalog_category_entity_varchar` (attribute_id,store_id,entity_id,value) VALUES (48,0,"&amp;categories!B329&amp;",'"&amp;RIGHT(categories!G329,LEN(categories!G329)-1)&amp;"');","")</f>
        <v>INSERT INTO `catalog_category_entity_varchar` (attribute_id,store_id,entity_id,value) VALUES (48,0,112,'img1/img665b.jpg');</v>
      </c>
      <c r="C329" t="str">
        <f>VLOOKUP(categories!B329,'categories-old'!B:G,6,FALSE)</f>
        <v>/img1/img665b.jpg</v>
      </c>
      <c r="D329" t="str">
        <f>VLOOKUP(categories!B329,'categories-old'!B:H,7,FALSE)</f>
        <v>www.americanretailsupply.com\64949\34126\Acrylic-for-Gridwall\Acrylic-Shelves-for-Slatwall-Gridwall-or-Pegboard-Deluxe-14.html</v>
      </c>
    </row>
    <row r="330" spans="1:4" hidden="1" x14ac:dyDescent="0.25">
      <c r="A330" t="str">
        <f>IF(LEN('categories-old'!G330) &gt; 0, "INSERT INTO `catalog_category_entity_varchar` (attribute_id,store_id,entity_id,value) VALUES (48,0,"&amp;'categories-old'!B330&amp;",'"&amp;RIGHT('categories-old'!G330,LEN('categories-old'!G330)-1)&amp;"');","")</f>
        <v>INSERT INTO `catalog_category_entity_varchar` (attribute_id,store_id,entity_id,value) VALUES (48,0,113,'img1/img563b.jpg');</v>
      </c>
      <c r="B330" t="str">
        <f>IF(LEN(categories!G330) &gt; 0, "INSERT INTO `catalog_category_entity_varchar` (attribute_id,store_id,entity_id,value) VALUES (48,0,"&amp;categories!B330&amp;",'"&amp;RIGHT(categories!G330,LEN(categories!G330)-1)&amp;"');","")</f>
        <v>INSERT INTO `catalog_category_entity_varchar` (attribute_id,store_id,entity_id,value) VALUES (48,0,113,'img1/img563b.jpg');</v>
      </c>
      <c r="C330" t="str">
        <f>VLOOKUP(categories!B330,'categories-old'!B:G,6,FALSE)</f>
        <v>/img1/img563b.jpg</v>
      </c>
      <c r="D330" t="str">
        <f>VLOOKUP(categories!B330,'categories-old'!B:H,7,FALSE)</f>
        <v>www.americanretailsupply.com\64949\34157\Acrylic-for-Gridwall\Acrylic-Display-Trays-for-Slatwall-or-Gridwall.html</v>
      </c>
    </row>
    <row r="331" spans="1:4" hidden="1" x14ac:dyDescent="0.25">
      <c r="A331" t="str">
        <f>IF(LEN('categories-old'!G331) &gt; 0, "INSERT INTO `catalog_category_entity_varchar` (attribute_id,store_id,entity_id,value) VALUES (48,0,"&amp;'categories-old'!B331&amp;",'"&amp;RIGHT('categories-old'!G331,LEN('categories-old'!G331)-1)&amp;"');","")</f>
        <v>INSERT INTO `catalog_category_entity_varchar` (attribute_id,store_id,entity_id,value) VALUES (48,0,114,'img1/imgbefa.jpg');</v>
      </c>
      <c r="B331" t="str">
        <f>IF(LEN(categories!G331) &gt; 0, "INSERT INTO `catalog_category_entity_varchar` (attribute_id,store_id,entity_id,value) VALUES (48,0,"&amp;categories!B331&amp;",'"&amp;RIGHT(categories!G331,LEN(categories!G331)-1)&amp;"');","")</f>
        <v>INSERT INTO `catalog_category_entity_varchar` (attribute_id,store_id,entity_id,value) VALUES (48,0,114,'img1/imgbefa.jpg');</v>
      </c>
      <c r="C331" t="str">
        <f>VLOOKUP(categories!B331,'categories-old'!B:G,6,FALSE)</f>
        <v>/img1/imgbefa.jpg</v>
      </c>
      <c r="D331" t="str">
        <f>VLOOKUP(categories!B331,'categories-old'!B:H,7,FALSE)</f>
        <v>www.americanretailsupply.com\64949\173810\Acrylic-for-Gridwall\Acrylic-J-Rack-Divider-Molded.html</v>
      </c>
    </row>
    <row r="332" spans="1:4" hidden="1" x14ac:dyDescent="0.25">
      <c r="A332" t="str">
        <f>IF(LEN('categories-old'!G332) &gt; 0, "INSERT INTO `catalog_category_entity_varchar` (attribute_id,store_id,entity_id,value) VALUES (48,0,"&amp;'categories-old'!B332&amp;",'"&amp;RIGHT('categories-old'!G332,LEN('categories-old'!G332)-1)&amp;"');","")</f>
        <v>INSERT INTO `catalog_category_entity_varchar` (attribute_id,store_id,entity_id,value) VALUES (48,0,115,'img3/imgf1d9.jpg');</v>
      </c>
      <c r="B332" t="str">
        <f>IF(LEN(categories!G332) &gt; 0, "INSERT INTO `catalog_category_entity_varchar` (attribute_id,store_id,entity_id,value) VALUES (48,0,"&amp;categories!B332&amp;",'"&amp;RIGHT(categories!G332,LEN(categories!G332)-1)&amp;"');","")</f>
        <v>INSERT INTO `catalog_category_entity_varchar` (attribute_id,store_id,entity_id,value) VALUES (48,0,115,'img3/imgf1d9.jpg');</v>
      </c>
      <c r="C332" t="str">
        <f>VLOOKUP(categories!B332,'categories-old'!B:G,6,FALSE)</f>
        <v>/img3/imgf1d9.jpg</v>
      </c>
      <c r="D332" t="str">
        <f>VLOOKUP(categories!B332,'categories-old'!B:H,7,FALSE)</f>
        <v>www.americanretailsupply.com\64949\774184\Acrylic-for-Gridwall\Gridwall-Acrylic-Sloping-Bins.html</v>
      </c>
    </row>
    <row r="333" spans="1:4" hidden="1" x14ac:dyDescent="0.25">
      <c r="A333" t="str">
        <f>IF(LEN('categories-old'!G333) &gt; 0, "INSERT INTO `catalog_category_entity_varchar` (attribute_id,store_id,entity_id,value) VALUES (48,0,"&amp;'categories-old'!B333&amp;",'"&amp;RIGHT('categories-old'!G333,LEN('categories-old'!G333)-1)&amp;"');","")</f>
        <v>INSERT INTO `catalog_category_entity_varchar` (attribute_id,store_id,entity_id,value) VALUES (48,0,117,'img3/img47ee.jpg');</v>
      </c>
      <c r="B333" t="str">
        <f>IF(LEN(categories!G333) &gt; 0, "INSERT INTO `catalog_category_entity_varchar` (attribute_id,store_id,entity_id,value) VALUES (48,0,"&amp;categories!B333&amp;",'"&amp;RIGHT(categories!G333,LEN(categories!G333)-1)&amp;"');","")</f>
        <v>INSERT INTO `catalog_category_entity_varchar` (attribute_id,store_id,entity_id,value) VALUES (48,0,117,'img3/img47ee.jpg');</v>
      </c>
      <c r="C333" t="str">
        <f>VLOOKUP(categories!B333,'categories-old'!B:G,6,FALSE)</f>
        <v>/img3/img47ee.jpg</v>
      </c>
      <c r="D333" t="str">
        <f>VLOOKUP(categories!B333,'categories-old'!B:H,7,FALSE)</f>
        <v>www.americanretailsupply.com\64944\33862\Acrylic-for-Slatwall\Acrylic-Literature-Holder-for-Wallmount-Double-Pocket.html</v>
      </c>
    </row>
    <row r="334" spans="1:4" hidden="1" x14ac:dyDescent="0.25">
      <c r="A334" t="str">
        <f>IF(LEN('categories-old'!G334) &gt; 0, "INSERT INTO `catalog_category_entity_varchar` (attribute_id,store_id,entity_id,value) VALUES (48,0,"&amp;'categories-old'!B334&amp;",'"&amp;RIGHT('categories-old'!G334,LEN('categories-old'!G334)-1)&amp;"');","")</f>
        <v>INSERT INTO `catalog_category_entity_varchar` (attribute_id,store_id,entity_id,value) VALUES (48,0,118,'img3/img32ba.jpg');</v>
      </c>
      <c r="B334" t="str">
        <f>IF(LEN(categories!G334) &gt; 0, "INSERT INTO `catalog_category_entity_varchar` (attribute_id,store_id,entity_id,value) VALUES (48,0,"&amp;categories!B334&amp;",'"&amp;RIGHT(categories!G334,LEN(categories!G334)-1)&amp;"');","")</f>
        <v>INSERT INTO `catalog_category_entity_varchar` (attribute_id,store_id,entity_id,value) VALUES (48,0,118,'img3/img32ba.jpg');</v>
      </c>
      <c r="C334" t="str">
        <f>VLOOKUP(categories!B334,'categories-old'!B:G,6,FALSE)</f>
        <v>/img3/img32ba.jpg</v>
      </c>
      <c r="D334" t="str">
        <f>VLOOKUP(categories!B334,'categories-old'!B:H,7,FALSE)</f>
        <v>www.americanretailsupply.com\64944\33972\Acrylic-for-Slatwall\Acrylic-Apparel-Hangers-for-Slatwall-or-Slatgrid.html</v>
      </c>
    </row>
    <row r="335" spans="1:4" hidden="1" x14ac:dyDescent="0.25">
      <c r="A335" t="str">
        <f>IF(LEN('categories-old'!G335) &gt; 0, "INSERT INTO `catalog_category_entity_varchar` (attribute_id,store_id,entity_id,value) VALUES (48,0,"&amp;'categories-old'!B335&amp;",'"&amp;RIGHT('categories-old'!G335,LEN('categories-old'!G335)-1)&amp;"');","")</f>
        <v>INSERT INTO `catalog_category_entity_varchar` (attribute_id,store_id,entity_id,value) VALUES (48,0,119,'img1/imgba4d.jpg');</v>
      </c>
      <c r="B335" t="str">
        <f>IF(LEN(categories!G335) &gt; 0, "INSERT INTO `catalog_category_entity_varchar` (attribute_id,store_id,entity_id,value) VALUES (48,0,"&amp;categories!B335&amp;",'"&amp;RIGHT(categories!G335,LEN(categories!G335)-1)&amp;"');","")</f>
        <v>INSERT INTO `catalog_category_entity_varchar` (attribute_id,store_id,entity_id,value) VALUES (48,0,119,'img1/imgba4d.jpg');</v>
      </c>
      <c r="C335" t="str">
        <f>VLOOKUP(categories!B335,'categories-old'!B:G,6,FALSE)</f>
        <v>/img1/imgba4d.jpg</v>
      </c>
      <c r="D335" t="str">
        <f>VLOOKUP(categories!B335,'categories-old'!B:H,7,FALSE)</f>
        <v>www.americanretailsupply.com\64944\34009\Acrylic-for-Slatwall\Acrylic-Literature-Holder-for-Counter-Slatwall-Gridwall-Economy.html</v>
      </c>
    </row>
    <row r="336" spans="1:4" hidden="1" x14ac:dyDescent="0.25">
      <c r="A336" t="str">
        <f>IF(LEN('categories-old'!G336) &gt; 0, "INSERT INTO `catalog_category_entity_varchar` (attribute_id,store_id,entity_id,value) VALUES (48,0,"&amp;'categories-old'!B336&amp;",'"&amp;RIGHT('categories-old'!G336,LEN('categories-old'!G336)-1)&amp;"');","")</f>
        <v>INSERT INTO `catalog_category_entity_varchar` (attribute_id,store_id,entity_id,value) VALUES (48,0,120,'img3/img352c.jpg');</v>
      </c>
      <c r="B336" t="str">
        <f>IF(LEN(categories!G336) &gt; 0, "INSERT INTO `catalog_category_entity_varchar` (attribute_id,store_id,entity_id,value) VALUES (48,0,"&amp;categories!B336&amp;",'"&amp;RIGHT(categories!G336,LEN(categories!G336)-1)&amp;"');","")</f>
        <v>INSERT INTO `catalog_category_entity_varchar` (attribute_id,store_id,entity_id,value) VALUES (48,0,120,'img3/img352c.jpg');</v>
      </c>
      <c r="C336" t="str">
        <f>VLOOKUP(categories!B336,'categories-old'!B:G,6,FALSE)</f>
        <v>/img3/img352c.jpg</v>
      </c>
      <c r="D336" t="str">
        <f>VLOOKUP(categories!B336,'categories-old'!B:H,7,FALSE)</f>
        <v>www.americanretailsupply.com\64944\34018\Acrylic-for-Slatwall\Acrylic-Book-Displayer-for-Slatwall.html</v>
      </c>
    </row>
    <row r="337" spans="1:4" hidden="1" x14ac:dyDescent="0.25">
      <c r="A337" t="str">
        <f>IF(LEN('categories-old'!G337) &gt; 0, "INSERT INTO `catalog_category_entity_varchar` (attribute_id,store_id,entity_id,value) VALUES (48,0,"&amp;'categories-old'!B337&amp;",'"&amp;RIGHT('categories-old'!G337,LEN('categories-old'!G337)-1)&amp;"');","")</f>
        <v>INSERT INTO `catalog_category_entity_varchar` (attribute_id,store_id,entity_id,value) VALUES (48,0,121,'img2/img678b.jpg');</v>
      </c>
      <c r="B337" t="str">
        <f>IF(LEN(categories!G337) &gt; 0, "INSERT INTO `catalog_category_entity_varchar` (attribute_id,store_id,entity_id,value) VALUES (48,0,"&amp;categories!B337&amp;",'"&amp;RIGHT(categories!G337,LEN(categories!G337)-1)&amp;"');","")</f>
        <v>INSERT INTO `catalog_category_entity_varchar` (attribute_id,store_id,entity_id,value) VALUES (48,0,121,'img2/img678b.jpg');</v>
      </c>
      <c r="C337" t="str">
        <f>VLOOKUP(categories!B337,'categories-old'!B:G,6,FALSE)</f>
        <v>/img2/img678b.jpg</v>
      </c>
      <c r="D337" t="str">
        <f>VLOOKUP(categories!B337,'categories-old'!B:H,7,FALSE)</f>
        <v>www.americanretailsupply.com\64944\34054\Acrylic-for-Slatwall\Acrylic-Easel-with-50-Tilt-for-Slatwall.html</v>
      </c>
    </row>
    <row r="338" spans="1:4" hidden="1" x14ac:dyDescent="0.25">
      <c r="A338" t="str">
        <f>IF(LEN('categories-old'!G338) &gt; 0, "INSERT INTO `catalog_category_entity_varchar` (attribute_id,store_id,entity_id,value) VALUES (48,0,"&amp;'categories-old'!B338&amp;",'"&amp;RIGHT('categories-old'!G338,LEN('categories-old'!G338)-1)&amp;"');","")</f>
        <v>INSERT INTO `catalog_category_entity_varchar` (attribute_id,store_id,entity_id,value) VALUES (48,0,122,'img3/img0755.jpg');</v>
      </c>
      <c r="B338" t="str">
        <f>IF(LEN(categories!G338) &gt; 0, "INSERT INTO `catalog_category_entity_varchar` (attribute_id,store_id,entity_id,value) VALUES (48,0,"&amp;categories!B338&amp;",'"&amp;RIGHT(categories!G338,LEN(categories!G338)-1)&amp;"');","")</f>
        <v>INSERT INTO `catalog_category_entity_varchar` (attribute_id,store_id,entity_id,value) VALUES (48,0,122,'img3/img0755.jpg');</v>
      </c>
      <c r="C338" t="str">
        <f>VLOOKUP(categories!B338,'categories-old'!B:G,6,FALSE)</f>
        <v>/img3/img0755.jpg</v>
      </c>
      <c r="D338" t="str">
        <f>VLOOKUP(categories!B338,'categories-old'!B:H,7,FALSE)</f>
        <v>www.americanretailsupply.com\64944\34071\Acrylic-for-Slatwall\Acrylic-Single-Watch-Display-for-Slatwall-or-Slatgrid.html</v>
      </c>
    </row>
    <row r="339" spans="1:4" hidden="1" x14ac:dyDescent="0.25">
      <c r="A339" t="str">
        <f>IF(LEN('categories-old'!G339) &gt; 0, "INSERT INTO `catalog_category_entity_varchar` (attribute_id,store_id,entity_id,value) VALUES (48,0,"&amp;'categories-old'!B339&amp;",'"&amp;RIGHT('categories-old'!G339,LEN('categories-old'!G339)-1)&amp;"');","")</f>
        <v>INSERT INTO `catalog_category_entity_varchar` (attribute_id,store_id,entity_id,value) VALUES (48,0,123,'img1/imgaf6c.jpg');</v>
      </c>
      <c r="B339" t="str">
        <f>IF(LEN(categories!G339) &gt; 0, "INSERT INTO `catalog_category_entity_varchar` (attribute_id,store_id,entity_id,value) VALUES (48,0,"&amp;categories!B339&amp;",'"&amp;RIGHT(categories!G339,LEN(categories!G339)-1)&amp;"');","")</f>
        <v>INSERT INTO `catalog_category_entity_varchar` (attribute_id,store_id,entity_id,value) VALUES (48,0,123,'img1/imgaf6c.jpg');</v>
      </c>
      <c r="C339" t="str">
        <f>VLOOKUP(categories!B339,'categories-old'!B:G,6,FALSE)</f>
        <v>/img1/imgaf6c.jpg</v>
      </c>
      <c r="D339" t="str">
        <f>VLOOKUP(categories!B339,'categories-old'!B:H,7,FALSE)</f>
        <v>www.americanretailsupply.com\64944\34076\Acrylic-for-Slatwall\Acrylic-Eyeglass-Holder-for-Slatwall-or-Slatgrid.html</v>
      </c>
    </row>
    <row r="340" spans="1:4" hidden="1" x14ac:dyDescent="0.25">
      <c r="A340" t="str">
        <f>IF(LEN('categories-old'!G340) &gt; 0, "INSERT INTO `catalog_category_entity_varchar` (attribute_id,store_id,entity_id,value) VALUES (48,0,"&amp;'categories-old'!B340&amp;",'"&amp;RIGHT('categories-old'!G340,LEN('categories-old'!G340)-1)&amp;"');","")</f>
        <v>INSERT INTO `catalog_category_entity_varchar` (attribute_id,store_id,entity_id,value) VALUES (48,0,124,'img3/img2c73.jpg');</v>
      </c>
      <c r="B340" t="str">
        <f>IF(LEN(categories!G340) &gt; 0, "INSERT INTO `catalog_category_entity_varchar` (attribute_id,store_id,entity_id,value) VALUES (48,0,"&amp;categories!B340&amp;",'"&amp;RIGHT(categories!G340,LEN(categories!G340)-1)&amp;"');","")</f>
        <v>INSERT INTO `catalog_category_entity_varchar` (attribute_id,store_id,entity_id,value) VALUES (48,0,124,'img3/img2c73.jpg');</v>
      </c>
      <c r="C340" t="str">
        <f>VLOOKUP(categories!B340,'categories-old'!B:G,6,FALSE)</f>
        <v>/img3/img2c73.jpg</v>
      </c>
      <c r="D340" t="str">
        <f>VLOOKUP(categories!B340,'categories-old'!B:H,7,FALSE)</f>
        <v>www.americanretailsupply.com\64944\34124\Acrylic-for-Slatwall\Economy-18-Acrylic-Shelves-for-Slatwall-or-Slatgrid.html</v>
      </c>
    </row>
    <row r="341" spans="1:4" hidden="1" x14ac:dyDescent="0.25">
      <c r="A341" t="str">
        <f>IF(LEN('categories-old'!G341) &gt; 0, "INSERT INTO `catalog_category_entity_varchar` (attribute_id,store_id,entity_id,value) VALUES (48,0,"&amp;'categories-old'!B341&amp;",'"&amp;RIGHT('categories-old'!G341,LEN('categories-old'!G341)-1)&amp;"');","")</f>
        <v>INSERT INTO `catalog_category_entity_varchar` (attribute_id,store_id,entity_id,value) VALUES (48,0,125,'img1/img0fc5.jpg');</v>
      </c>
      <c r="B341" t="str">
        <f>IF(LEN(categories!G341) &gt; 0, "INSERT INTO `catalog_category_entity_varchar` (attribute_id,store_id,entity_id,value) VALUES (48,0,"&amp;categories!B341&amp;",'"&amp;RIGHT(categories!G341,LEN(categories!G341)-1)&amp;"');","")</f>
        <v>INSERT INTO `catalog_category_entity_varchar` (attribute_id,store_id,entity_id,value) VALUES (48,0,125,'img1/img0fc5.jpg');</v>
      </c>
      <c r="C341" t="str">
        <f>VLOOKUP(categories!B341,'categories-old'!B:G,6,FALSE)</f>
        <v>/img1/img0fc5.jpg</v>
      </c>
      <c r="D341" t="str">
        <f>VLOOKUP(categories!B341,'categories-old'!B:H,7,FALSE)</f>
        <v>www.americanretailsupply.com\64944\34127\Acrylic-for-Slatwall\Acrylic-Flat-Braced-Shelves-for-Slatwall-Slatgrid.html</v>
      </c>
    </row>
    <row r="342" spans="1:4" hidden="1" x14ac:dyDescent="0.25">
      <c r="A342" t="str">
        <f>IF(LEN('categories-old'!G342) &gt; 0, "INSERT INTO `catalog_category_entity_varchar` (attribute_id,store_id,entity_id,value) VALUES (48,0,"&amp;'categories-old'!B342&amp;",'"&amp;RIGHT('categories-old'!G342,LEN('categories-old'!G342)-1)&amp;"');","")</f>
        <v>INSERT INTO `catalog_category_entity_varchar` (attribute_id,store_id,entity_id,value) VALUES (48,0,126,'img3/img783f.jpg');</v>
      </c>
      <c r="B342" t="str">
        <f>IF(LEN(categories!G342) &gt; 0, "INSERT INTO `catalog_category_entity_varchar` (attribute_id,store_id,entity_id,value) VALUES (48,0,"&amp;categories!B342&amp;",'"&amp;RIGHT(categories!G342,LEN(categories!G342)-1)&amp;"');","")</f>
        <v>INSERT INTO `catalog_category_entity_varchar` (attribute_id,store_id,entity_id,value) VALUES (48,0,126,'img3/img783f.jpg');</v>
      </c>
      <c r="C342" t="str">
        <f>VLOOKUP(categories!B342,'categories-old'!B:G,6,FALSE)</f>
        <v>/img3/img783f.jpg</v>
      </c>
      <c r="D342" t="str">
        <f>VLOOKUP(categories!B342,'categories-old'!B:H,7,FALSE)</f>
        <v>www.americanretailsupply.com\64944\34133\Acrylic-for-Slatwall\Acrylic-Shelves-for-Slatwall-316-thick.html</v>
      </c>
    </row>
    <row r="343" spans="1:4" hidden="1" x14ac:dyDescent="0.25">
      <c r="A343" t="str">
        <f>IF(LEN('categories-old'!G343) &gt; 0, "INSERT INTO `catalog_category_entity_varchar` (attribute_id,store_id,entity_id,value) VALUES (48,0,"&amp;'categories-old'!B343&amp;",'"&amp;RIGHT('categories-old'!G343,LEN('categories-old'!G343)-1)&amp;"');","")</f>
        <v>INSERT INTO `catalog_category_entity_varchar` (attribute_id,store_id,entity_id,value) VALUES (48,0,127,'img2/img866b.jpg');</v>
      </c>
      <c r="B343" t="str">
        <f>IF(LEN(categories!G343) &gt; 0, "INSERT INTO `catalog_category_entity_varchar` (attribute_id,store_id,entity_id,value) VALUES (48,0,"&amp;categories!B343&amp;",'"&amp;RIGHT(categories!G343,LEN(categories!G343)-1)&amp;"');","")</f>
        <v>INSERT INTO `catalog_category_entity_varchar` (attribute_id,store_id,entity_id,value) VALUES (48,0,127,'img2/img866b.jpg');</v>
      </c>
      <c r="C343" t="str">
        <f>VLOOKUP(categories!B343,'categories-old'!B:G,6,FALSE)</f>
        <v>/img2/img866b.jpg</v>
      </c>
      <c r="D343" t="str">
        <f>VLOOKUP(categories!B343,'categories-old'!B:H,7,FALSE)</f>
        <v>www.americanretailsupply.com\64944\34135\Acrylic-for-Slatwall\Acrylic-Slatwall-Maxi-Length-Shelves.html</v>
      </c>
    </row>
    <row r="344" spans="1:4" hidden="1" x14ac:dyDescent="0.25">
      <c r="A344" t="str">
        <f>IF(LEN('categories-old'!G344) &gt; 0, "INSERT INTO `catalog_category_entity_varchar` (attribute_id,store_id,entity_id,value) VALUES (48,0,"&amp;'categories-old'!B344&amp;",'"&amp;RIGHT('categories-old'!G344,LEN('categories-old'!G344)-1)&amp;"');","")</f>
        <v>INSERT INTO `catalog_category_entity_varchar` (attribute_id,store_id,entity_id,value) VALUES (48,0,128,'img1/img995e.jpg');</v>
      </c>
      <c r="B344" t="str">
        <f>IF(LEN(categories!G344) &gt; 0, "INSERT INTO `catalog_category_entity_varchar` (attribute_id,store_id,entity_id,value) VALUES (48,0,"&amp;categories!B344&amp;",'"&amp;RIGHT(categories!G344,LEN(categories!G344)-1)&amp;"');","")</f>
        <v>INSERT INTO `catalog_category_entity_varchar` (attribute_id,store_id,entity_id,value) VALUES (48,0,128,'img1/img995e.jpg');</v>
      </c>
      <c r="C344" t="str">
        <f>VLOOKUP(categories!B344,'categories-old'!B:G,6,FALSE)</f>
        <v>/img1/img995e.jpg</v>
      </c>
      <c r="D344" t="str">
        <f>VLOOKUP(categories!B344,'categories-old'!B:H,7,FALSE)</f>
        <v>www.americanretailsupply.com\64944\34136\Acrylic-for-Slatwall\Acrylic-Shelves-for-Slatwall-Slatgrid-with-sides.html</v>
      </c>
    </row>
    <row r="345" spans="1:4" hidden="1" x14ac:dyDescent="0.25">
      <c r="A345" t="str">
        <f>IF(LEN('categories-old'!G345) &gt; 0, "INSERT INTO `catalog_category_entity_varchar` (attribute_id,store_id,entity_id,value) VALUES (48,0,"&amp;'categories-old'!B345&amp;",'"&amp;RIGHT('categories-old'!G345,LEN('categories-old'!G345)-1)&amp;"');","")</f>
        <v>INSERT INTO `catalog_category_entity_varchar` (attribute_id,store_id,entity_id,value) VALUES (48,0,129,'img3/img5a5f.jpg');</v>
      </c>
      <c r="B345" t="str">
        <f>IF(LEN(categories!G345) &gt; 0, "INSERT INTO `catalog_category_entity_varchar` (attribute_id,store_id,entity_id,value) VALUES (48,0,"&amp;categories!B345&amp;",'"&amp;RIGHT(categories!G345,LEN(categories!G345)-1)&amp;"');","")</f>
        <v>INSERT INTO `catalog_category_entity_varchar` (attribute_id,store_id,entity_id,value) VALUES (48,0,129,'img3/img5a5f.jpg');</v>
      </c>
      <c r="C345" t="str">
        <f>VLOOKUP(categories!B345,'categories-old'!B:G,6,FALSE)</f>
        <v>/img3/img5a5f.jpg</v>
      </c>
      <c r="D345" t="str">
        <f>VLOOKUP(categories!B345,'categories-old'!B:H,7,FALSE)</f>
        <v>www.americanretailsupply.com\64944\34137\Acrylic-for-Slatwall\Molded-Slatwall-Acrylic-Shelves.html</v>
      </c>
    </row>
    <row r="346" spans="1:4" hidden="1" x14ac:dyDescent="0.25">
      <c r="A346" t="str">
        <f>IF(LEN('categories-old'!G346) &gt; 0, "INSERT INTO `catalog_category_entity_varchar` (attribute_id,store_id,entity_id,value) VALUES (48,0,"&amp;'categories-old'!B346&amp;",'"&amp;RIGHT('categories-old'!G346,LEN('categories-old'!G346)-1)&amp;"');","")</f>
        <v>INSERT INTO `catalog_category_entity_varchar` (attribute_id,store_id,entity_id,value) VALUES (48,0,130,'img3/img8bc7.jpg');</v>
      </c>
      <c r="B346" t="str">
        <f>IF(LEN(categories!G346) &gt; 0, "INSERT INTO `catalog_category_entity_varchar` (attribute_id,store_id,entity_id,value) VALUES (48,0,"&amp;categories!B346&amp;",'"&amp;RIGHT(categories!G346,LEN(categories!G346)-1)&amp;"');","")</f>
        <v>INSERT INTO `catalog_category_entity_varchar` (attribute_id,store_id,entity_id,value) VALUES (48,0,130,'img3/img8bc7.jpg');</v>
      </c>
      <c r="C346" t="str">
        <f>VLOOKUP(categories!B346,'categories-old'!B:G,6,FALSE)</f>
        <v>/img3/img8bc7.jpg</v>
      </c>
      <c r="D346" t="str">
        <f>VLOOKUP(categories!B346,'categories-old'!B:H,7,FALSE)</f>
        <v>www.americanretailsupply.com\64944\34138\Acrylic-for-Slatwall\Acrylic-Slatwall-Flat-Braced-Shelves-with-Front-Lip.html</v>
      </c>
    </row>
    <row r="347" spans="1:4" hidden="1" x14ac:dyDescent="0.25">
      <c r="A347" t="str">
        <f>IF(LEN('categories-old'!G347) &gt; 0, "INSERT INTO `catalog_category_entity_varchar` (attribute_id,store_id,entity_id,value) VALUES (48,0,"&amp;'categories-old'!B347&amp;",'"&amp;RIGHT('categories-old'!G347,LEN('categories-old'!G347)-1)&amp;"');","")</f>
        <v>INSERT INTO `catalog_category_entity_varchar` (attribute_id,store_id,entity_id,value) VALUES (48,0,131,'img1/imgf522.jpg');</v>
      </c>
      <c r="B347" t="str">
        <f>IF(LEN(categories!G347) &gt; 0, "INSERT INTO `catalog_category_entity_varchar` (attribute_id,store_id,entity_id,value) VALUES (48,0,"&amp;categories!B347&amp;",'"&amp;RIGHT(categories!G347,LEN(categories!G347)-1)&amp;"');","")</f>
        <v>INSERT INTO `catalog_category_entity_varchar` (attribute_id,store_id,entity_id,value) VALUES (48,0,131,'img1/imgf522.jpg');</v>
      </c>
      <c r="C347" t="str">
        <f>VLOOKUP(categories!B347,'categories-old'!B:G,6,FALSE)</f>
        <v>/img1/imgf522.jpg</v>
      </c>
      <c r="D347" t="str">
        <f>VLOOKUP(categories!B347,'categories-old'!B:H,7,FALSE)</f>
        <v>www.americanretailsupply.com\64944\34145\Acrylic-for-Slatwall\Acrylic-Display-Holders-for-Packaged-Items-for-Slatwall-Open-Sided.html</v>
      </c>
    </row>
    <row r="348" spans="1:4" hidden="1" x14ac:dyDescent="0.25">
      <c r="A348" t="str">
        <f>IF(LEN('categories-old'!G348) &gt; 0, "INSERT INTO `catalog_category_entity_varchar` (attribute_id,store_id,entity_id,value) VALUES (48,0,"&amp;'categories-old'!B348&amp;",'"&amp;RIGHT('categories-old'!G348,LEN('categories-old'!G348)-1)&amp;"');","")</f>
        <v>INSERT INTO `catalog_category_entity_varchar` (attribute_id,store_id,entity_id,value) VALUES (48,0,132,'img2/imgb0d2.jpg');</v>
      </c>
      <c r="B348" t="str">
        <f>IF(LEN(categories!G348) &gt; 0, "INSERT INTO `catalog_category_entity_varchar` (attribute_id,store_id,entity_id,value) VALUES (48,0,"&amp;categories!B348&amp;",'"&amp;RIGHT(categories!G348,LEN(categories!G348)-1)&amp;"');","")</f>
        <v>INSERT INTO `catalog_category_entity_varchar` (attribute_id,store_id,entity_id,value) VALUES (48,0,132,'img2/imgb0d2.jpg');</v>
      </c>
      <c r="C348" t="str">
        <f>VLOOKUP(categories!B348,'categories-old'!B:G,6,FALSE)</f>
        <v>/img2/imgb0d2.jpg</v>
      </c>
      <c r="D348" t="str">
        <f>VLOOKUP(categories!B348,'categories-old'!B:H,7,FALSE)</f>
        <v>www.americanretailsupply.com\64944\34146\Acrylic-for-Slatwall\Acrylic-Shelves-for-Slatwall-with-Lip-Slanted-or-Braced-Slanted.html</v>
      </c>
    </row>
    <row r="349" spans="1:4" hidden="1" x14ac:dyDescent="0.25">
      <c r="A349" t="str">
        <f>IF(LEN('categories-old'!G349) &gt; 0, "INSERT INTO `catalog_category_entity_varchar` (attribute_id,store_id,entity_id,value) VALUES (48,0,"&amp;'categories-old'!B349&amp;",'"&amp;RIGHT('categories-old'!G349,LEN('categories-old'!G349)-1)&amp;"');","")</f>
        <v>INSERT INTO `catalog_category_entity_varchar` (attribute_id,store_id,entity_id,value) VALUES (48,0,133,'img3/imgc158.jpg');</v>
      </c>
      <c r="B349" t="str">
        <f>IF(LEN(categories!G349) &gt; 0, "INSERT INTO `catalog_category_entity_varchar` (attribute_id,store_id,entity_id,value) VALUES (48,0,"&amp;categories!B349&amp;",'"&amp;RIGHT(categories!G349,LEN(categories!G349)-1)&amp;"');","")</f>
        <v>INSERT INTO `catalog_category_entity_varchar` (attribute_id,store_id,entity_id,value) VALUES (48,0,133,'img3/imgc158.jpg');</v>
      </c>
      <c r="C349" t="str">
        <f>VLOOKUP(categories!B349,'categories-old'!B:G,6,FALSE)</f>
        <v>/img3/imgc158.jpg</v>
      </c>
      <c r="D349" t="str">
        <f>VLOOKUP(categories!B349,'categories-old'!B:H,7,FALSE)</f>
        <v>www.americanretailsupply.com\64944\34152\Acrylic-for-Slatwall\Acrylic-J-Rack-20-Tilt-Back-for-Slatwall-or-Gridwall.html</v>
      </c>
    </row>
    <row r="350" spans="1:4" hidden="1" x14ac:dyDescent="0.25">
      <c r="A350" t="str">
        <f>IF(LEN('categories-old'!G350) &gt; 0, "INSERT INTO `catalog_category_entity_varchar` (attribute_id,store_id,entity_id,value) VALUES (48,0,"&amp;'categories-old'!B350&amp;",'"&amp;RIGHT('categories-old'!G350,LEN('categories-old'!G350)-1)&amp;"');","")</f>
        <v>INSERT INTO `catalog_category_entity_varchar` (attribute_id,store_id,entity_id,value) VALUES (48,0,134,'img2/img476b.jpg');</v>
      </c>
      <c r="B350" t="str">
        <f>IF(LEN(categories!G350) &gt; 0, "INSERT INTO `catalog_category_entity_varchar` (attribute_id,store_id,entity_id,value) VALUES (48,0,"&amp;categories!B350&amp;",'"&amp;RIGHT(categories!G350,LEN(categories!G350)-1)&amp;"');","")</f>
        <v>INSERT INTO `catalog_category_entity_varchar` (attribute_id,store_id,entity_id,value) VALUES (48,0,134,'img2/img476b.jpg');</v>
      </c>
      <c r="C350" t="str">
        <f>VLOOKUP(categories!B350,'categories-old'!B:G,6,FALSE)</f>
        <v>/img2/img476b.jpg</v>
      </c>
      <c r="D350" t="str">
        <f>VLOOKUP(categories!B350,'categories-old'!B:H,7,FALSE)</f>
        <v>www.americanretailsupply.com\64944\34153\Acrylic-for-Slatwall\Acrylic-J-Racks-Large-for-Slatwall.html</v>
      </c>
    </row>
    <row r="351" spans="1:4" hidden="1" x14ac:dyDescent="0.25">
      <c r="A351" t="str">
        <f>IF(LEN('categories-old'!G351) &gt; 0, "INSERT INTO `catalog_category_entity_varchar` (attribute_id,store_id,entity_id,value) VALUES (48,0,"&amp;'categories-old'!B351&amp;",'"&amp;RIGHT('categories-old'!G351,LEN('categories-old'!G351)-1)&amp;"');","")</f>
        <v>INSERT INTO `catalog_category_entity_varchar` (attribute_id,store_id,entity_id,value) VALUES (48,0,135,'img3/img8907.jpg');</v>
      </c>
      <c r="B351" t="str">
        <f>IF(LEN(categories!G351) &gt; 0, "INSERT INTO `catalog_category_entity_varchar` (attribute_id,store_id,entity_id,value) VALUES (48,0,"&amp;categories!B351&amp;",'"&amp;RIGHT(categories!G351,LEN(categories!G351)-1)&amp;"');","")</f>
        <v>INSERT INTO `catalog_category_entity_varchar` (attribute_id,store_id,entity_id,value) VALUES (48,0,135,'img3/img8907.jpg');</v>
      </c>
      <c r="C351" t="str">
        <f>VLOOKUP(categories!B351,'categories-old'!B:G,6,FALSE)</f>
        <v>/img3/img8907.jpg</v>
      </c>
      <c r="D351" t="str">
        <f>VLOOKUP(categories!B351,'categories-old'!B:H,7,FALSE)</f>
        <v>www.americanretailsupply.com\64944\34262\Acrylic-for-Slatwall\Acrylic-Hook-for-Slatwall-or-Slatgrid.html</v>
      </c>
    </row>
    <row r="352" spans="1:4" hidden="1" x14ac:dyDescent="0.25">
      <c r="A352" t="str">
        <f>IF(LEN('categories-old'!G352) &gt; 0, "INSERT INTO `catalog_category_entity_varchar` (attribute_id,store_id,entity_id,value) VALUES (48,0,"&amp;'categories-old'!B352&amp;",'"&amp;RIGHT('categories-old'!G352,LEN('categories-old'!G352)-1)&amp;"');","")</f>
        <v>INSERT INTO `catalog_category_entity_varchar` (attribute_id,store_id,entity_id,value) VALUES (48,0,136,'img3/img6e4e.jpg');</v>
      </c>
      <c r="B352" t="str">
        <f>IF(LEN(categories!G352) &gt; 0, "INSERT INTO `catalog_category_entity_varchar` (attribute_id,store_id,entity_id,value) VALUES (48,0,"&amp;categories!B352&amp;",'"&amp;RIGHT(categories!G352,LEN(categories!G352)-1)&amp;"');","")</f>
        <v>INSERT INTO `catalog_category_entity_varchar` (attribute_id,store_id,entity_id,value) VALUES (48,0,136,'img3/img6e4e.jpg');</v>
      </c>
      <c r="C352" t="str">
        <f>VLOOKUP(categories!B352,'categories-old'!B:G,6,FALSE)</f>
        <v>/img3/img6e4e.jpg</v>
      </c>
      <c r="D352" t="str">
        <f>VLOOKUP(categories!B352,'categories-old'!B:H,7,FALSE)</f>
        <v>www.americanretailsupply.com\64944\34269\Acrylic-for-Slatwall\Acrylic-Faceout-Hook-for-Slatwall-or-Slatgrid.html</v>
      </c>
    </row>
    <row r="353" spans="1:4" hidden="1" x14ac:dyDescent="0.25">
      <c r="A353" t="str">
        <f>IF(LEN('categories-old'!G353) &gt; 0, "INSERT INTO `catalog_category_entity_varchar` (attribute_id,store_id,entity_id,value) VALUES (48,0,"&amp;'categories-old'!B353&amp;",'"&amp;RIGHT('categories-old'!G353,LEN('categories-old'!G353)-1)&amp;"');","")</f>
        <v>INSERT INTO `catalog_category_entity_varchar` (attribute_id,store_id,entity_id,value) VALUES (48,0,137,'img2/imgd6cf.jpg');</v>
      </c>
      <c r="B353" t="str">
        <f>IF(LEN(categories!G353) &gt; 0, "INSERT INTO `catalog_category_entity_varchar` (attribute_id,store_id,entity_id,value) VALUES (48,0,"&amp;categories!B353&amp;",'"&amp;RIGHT(categories!G353,LEN(categories!G353)-1)&amp;"');","")</f>
        <v>INSERT INTO `catalog_category_entity_varchar` (attribute_id,store_id,entity_id,value) VALUES (48,0,137,'img2/imgd6cf.jpg');</v>
      </c>
      <c r="C353" t="str">
        <f>VLOOKUP(categories!B353,'categories-old'!B:G,6,FALSE)</f>
        <v>/img2/imgd6cf.jpg</v>
      </c>
      <c r="D353" t="str">
        <f>VLOOKUP(categories!B353,'categories-old'!B:H,7,FALSE)</f>
        <v>www.americanretailsupply.com\64944\34270\Acrylic-for-Slatwall\Acrylic-Molded-Hooks-for-Slatwall.html</v>
      </c>
    </row>
    <row r="354" spans="1:4" hidden="1" x14ac:dyDescent="0.25">
      <c r="A354" t="str">
        <f>IF(LEN('categories-old'!G354) &gt; 0, "INSERT INTO `catalog_category_entity_varchar` (attribute_id,store_id,entity_id,value) VALUES (48,0,"&amp;'categories-old'!B354&amp;",'"&amp;RIGHT('categories-old'!G354,LEN('categories-old'!G354)-1)&amp;"');","")</f>
        <v>INSERT INTO `catalog_category_entity_varchar` (attribute_id,store_id,entity_id,value) VALUES (48,0,138,'img1/img211e.jpg');</v>
      </c>
      <c r="B354" t="str">
        <f>IF(LEN(categories!G354) &gt; 0, "INSERT INTO `catalog_category_entity_varchar` (attribute_id,store_id,entity_id,value) VALUES (48,0,"&amp;categories!B354&amp;",'"&amp;RIGHT(categories!G354,LEN(categories!G354)-1)&amp;"');","")</f>
        <v>INSERT INTO `catalog_category_entity_varchar` (attribute_id,store_id,entity_id,value) VALUES (48,0,138,'img1/img211e.jpg');</v>
      </c>
      <c r="C354" t="str">
        <f>VLOOKUP(categories!B354,'categories-old'!B:G,6,FALSE)</f>
        <v>/img1/img211e.jpg</v>
      </c>
      <c r="D354" t="str">
        <f>VLOOKUP(categories!B354,'categories-old'!B:H,7,FALSE)</f>
        <v>www.americanretailsupply.com\64944\34272\Acrylic-for-Slatwall\Acrylic-Small-Bar-for-Slatwall.html</v>
      </c>
    </row>
    <row r="355" spans="1:4" hidden="1" x14ac:dyDescent="0.25">
      <c r="A355" t="str">
        <f>IF(LEN('categories-old'!G355) &gt; 0, "INSERT INTO `catalog_category_entity_varchar` (attribute_id,store_id,entity_id,value) VALUES (48,0,"&amp;'categories-old'!B355&amp;",'"&amp;RIGHT('categories-old'!G355,LEN('categories-old'!G355)-1)&amp;"');","")</f>
        <v>INSERT INTO `catalog_category_entity_varchar` (attribute_id,store_id,entity_id,value) VALUES (48,0,139,'img1/imga2b1.jpg');</v>
      </c>
      <c r="B355" t="str">
        <f>IF(LEN(categories!G355) &gt; 0, "INSERT INTO `catalog_category_entity_varchar` (attribute_id,store_id,entity_id,value) VALUES (48,0,"&amp;categories!B355&amp;",'"&amp;RIGHT(categories!G355,LEN(categories!G355)-1)&amp;"');","")</f>
        <v>INSERT INTO `catalog_category_entity_varchar` (attribute_id,store_id,entity_id,value) VALUES (48,0,139,'img1/imga2b1.jpg');</v>
      </c>
      <c r="C355" t="str">
        <f>VLOOKUP(categories!B355,'categories-old'!B:G,6,FALSE)</f>
        <v>/img1/imga2b1.jpg</v>
      </c>
      <c r="D355" t="str">
        <f>VLOOKUP(categories!B355,'categories-old'!B:H,7,FALSE)</f>
        <v>www.americanretailsupply.com\64944\34303\Acrylic-for-Slatwall\Acrylic-Polycarbonate-Brackets-for-Slatwall-or-Slatgrid.html</v>
      </c>
    </row>
    <row r="356" spans="1:4" hidden="1" x14ac:dyDescent="0.25">
      <c r="A356" t="str">
        <f>IF(LEN('categories-old'!G356) &gt; 0, "INSERT INTO `catalog_category_entity_varchar` (attribute_id,store_id,entity_id,value) VALUES (48,0,"&amp;'categories-old'!B356&amp;",'"&amp;RIGHT('categories-old'!G356,LEN('categories-old'!G356)-1)&amp;"');","")</f>
        <v>INSERT INTO `catalog_category_entity_varchar` (attribute_id,store_id,entity_id,value) VALUES (48,0,140,'img1/img2016.jpg');</v>
      </c>
      <c r="B356" t="str">
        <f>IF(LEN(categories!G356) &gt; 0, "INSERT INTO `catalog_category_entity_varchar` (attribute_id,store_id,entity_id,value) VALUES (48,0,"&amp;categories!B356&amp;",'"&amp;RIGHT(categories!G356,LEN(categories!G356)-1)&amp;"');","")</f>
        <v>INSERT INTO `catalog_category_entity_varchar` (attribute_id,store_id,entity_id,value) VALUES (48,0,140,'img1/img2016.jpg');</v>
      </c>
      <c r="C356" t="str">
        <f>VLOOKUP(categories!B356,'categories-old'!B:G,6,FALSE)</f>
        <v>/img1/img2016.jpg</v>
      </c>
      <c r="D356" t="str">
        <f>VLOOKUP(categories!B356,'categories-old'!B:H,7,FALSE)</f>
        <v>www.americanretailsupply.com\64944\173756\Acrylic-for-Slatwall\Acrylic-J-Rack-Economy-with-10-Tilt-for-Slatwall.html</v>
      </c>
    </row>
    <row r="357" spans="1:4" hidden="1" x14ac:dyDescent="0.25">
      <c r="A357" t="str">
        <f>IF(LEN('categories-old'!G357) &gt; 0, "INSERT INTO `catalog_category_entity_varchar` (attribute_id,store_id,entity_id,value) VALUES (48,0,"&amp;'categories-old'!B357&amp;",'"&amp;RIGHT('categories-old'!G357,LEN('categories-old'!G357)-1)&amp;"');","")</f>
        <v>INSERT INTO `catalog_category_entity_varchar` (attribute_id,store_id,entity_id,value) VALUES (48,0,141,'img2/img9a2f-2.jpg');</v>
      </c>
      <c r="B357" t="str">
        <f>IF(LEN(categories!G357) &gt; 0, "INSERT INTO `catalog_category_entity_varchar` (attribute_id,store_id,entity_id,value) VALUES (48,0,"&amp;categories!B357&amp;",'"&amp;RIGHT(categories!G357,LEN(categories!G357)-1)&amp;"');","")</f>
        <v>INSERT INTO `catalog_category_entity_varchar` (attribute_id,store_id,entity_id,value) VALUES (48,0,141,'img2/img9a2f-2.jpg');</v>
      </c>
      <c r="C357" t="str">
        <f>VLOOKUP(categories!B357,'categories-old'!B:G,6,FALSE)</f>
        <v>/img2/img9a2f-2.jpg</v>
      </c>
      <c r="D357" t="str">
        <f>VLOOKUP(categories!B357,'categories-old'!B:H,7,FALSE)</f>
        <v>www.americanretailsupply.com\64944\173759\Acrylic-for-Slatwall\Acrylic-Tray-for-Packaged-Items-for-Slatwall-or-Slatgrid.html</v>
      </c>
    </row>
    <row r="358" spans="1:4" hidden="1" x14ac:dyDescent="0.25">
      <c r="A358" t="str">
        <f>IF(LEN('categories-old'!G358) &gt; 0, "INSERT INTO `catalog_category_entity_varchar` (attribute_id,store_id,entity_id,value) VALUES (48,0,"&amp;'categories-old'!B358&amp;",'"&amp;RIGHT('categories-old'!G358,LEN('categories-old'!G358)-1)&amp;"');","")</f>
        <v>INSERT INTO `catalog_category_entity_varchar` (attribute_id,store_id,entity_id,value) VALUES (48,0,142,'img1/imge280.jpg');</v>
      </c>
      <c r="B358" t="str">
        <f>IF(LEN(categories!G358) &gt; 0, "INSERT INTO `catalog_category_entity_varchar` (attribute_id,store_id,entity_id,value) VALUES (48,0,"&amp;categories!B358&amp;",'"&amp;RIGHT(categories!G358,LEN(categories!G358)-1)&amp;"');","")</f>
        <v>INSERT INTO `catalog_category_entity_varchar` (attribute_id,store_id,entity_id,value) VALUES (48,0,142,'img1/imge280.jpg');</v>
      </c>
      <c r="C358" t="str">
        <f>VLOOKUP(categories!B358,'categories-old'!B:G,6,FALSE)</f>
        <v>/img1/imge280.jpg</v>
      </c>
      <c r="D358" t="str">
        <f>VLOOKUP(categories!B358,'categories-old'!B:H,7,FALSE)</f>
        <v>www.americanretailsupply.com\64944\228539\Acrylic-for-Slatwall\Acrylic-Molded-Economy-Shelves-for-Slatwall.html</v>
      </c>
    </row>
    <row r="359" spans="1:4" hidden="1" x14ac:dyDescent="0.25">
      <c r="A359" t="str">
        <f>IF(LEN('categories-old'!G359) &gt; 0, "INSERT INTO `catalog_category_entity_varchar` (attribute_id,store_id,entity_id,value) VALUES (48,0,"&amp;'categories-old'!B359&amp;",'"&amp;RIGHT('categories-old'!G359,LEN('categories-old'!G359)-1)&amp;"');","")</f>
        <v>INSERT INTO `catalog_category_entity_varchar` (attribute_id,store_id,entity_id,value) VALUES (48,0,143,'img1/img0ac2.jpg');</v>
      </c>
      <c r="B359" t="str">
        <f>IF(LEN(categories!G359) &gt; 0, "INSERT INTO `catalog_category_entity_varchar` (attribute_id,store_id,entity_id,value) VALUES (48,0,"&amp;categories!B359&amp;",'"&amp;RIGHT(categories!G359,LEN(categories!G359)-1)&amp;"');","")</f>
        <v>INSERT INTO `catalog_category_entity_varchar` (attribute_id,store_id,entity_id,value) VALUES (48,0,143,'img1/img0ac2.jpg');</v>
      </c>
      <c r="C359" t="str">
        <f>VLOOKUP(categories!B359,'categories-old'!B:G,6,FALSE)</f>
        <v>/img1/img0ac2.jpg</v>
      </c>
      <c r="D359" t="str">
        <f>VLOOKUP(categories!B359,'categories-old'!B:H,7,FALSE)</f>
        <v>www.americanretailsupply.com\64944\228551\Acrylic-for-Slatwall\Acrylic-45-Slanted-Shelf-for-Slatwall-or-Slatgrid.html</v>
      </c>
    </row>
    <row r="360" spans="1:4" hidden="1" x14ac:dyDescent="0.25">
      <c r="A360" t="str">
        <f>IF(LEN('categories-old'!G360) &gt; 0, "INSERT INTO `catalog_category_entity_varchar` (attribute_id,store_id,entity_id,value) VALUES (48,0,"&amp;'categories-old'!B360&amp;",'"&amp;RIGHT('categories-old'!G360,LEN('categories-old'!G360)-1)&amp;"');","")</f>
        <v>INSERT INTO `catalog_category_entity_varchar` (attribute_id,store_id,entity_id,value) VALUES (48,0,144,'img1/imgfce3.jpg');</v>
      </c>
      <c r="B360" t="str">
        <f>IF(LEN(categories!G360) &gt; 0, "INSERT INTO `catalog_category_entity_varchar` (attribute_id,store_id,entity_id,value) VALUES (48,0,"&amp;categories!B360&amp;",'"&amp;RIGHT(categories!G360,LEN(categories!G360)-1)&amp;"');","")</f>
        <v>INSERT INTO `catalog_category_entity_varchar` (attribute_id,store_id,entity_id,value) VALUES (48,0,144,'img1/imgfce3.jpg');</v>
      </c>
      <c r="C360" t="str">
        <f>VLOOKUP(categories!B360,'categories-old'!B:G,6,FALSE)</f>
        <v>/img1/imgfce3.jpg</v>
      </c>
      <c r="D360" t="str">
        <f>VLOOKUP(categories!B360,'categories-old'!B:H,7,FALSE)</f>
        <v>www.americanretailsupply.com\64944\576368\Acrylic-for-Slatwall\Acrylic-J-Racks-Shelves-for-Slatwall.html</v>
      </c>
    </row>
    <row r="361" spans="1:4" hidden="1" x14ac:dyDescent="0.25">
      <c r="A361" t="str">
        <f>IF(LEN('categories-old'!G361) &gt; 0, "INSERT INTO `catalog_category_entity_varchar` (attribute_id,store_id,entity_id,value) VALUES (48,0,"&amp;'categories-old'!B361&amp;",'"&amp;RIGHT('categories-old'!G361,LEN('categories-old'!G361)-1)&amp;"');","")</f>
        <v>INSERT INTO `catalog_category_entity_varchar` (attribute_id,store_id,entity_id,value) VALUES (48,0,145,'img2/img1ce8.jpg');</v>
      </c>
      <c r="B361" t="str">
        <f>IF(LEN(categories!G361) &gt; 0, "INSERT INTO `catalog_category_entity_varchar` (attribute_id,store_id,entity_id,value) VALUES (48,0,"&amp;categories!B361&amp;",'"&amp;RIGHT(categories!G361,LEN(categories!G361)-1)&amp;"');","")</f>
        <v>INSERT INTO `catalog_category_entity_varchar` (attribute_id,store_id,entity_id,value) VALUES (48,0,145,'img2/img1ce8.jpg');</v>
      </c>
      <c r="C361" t="str">
        <f>VLOOKUP(categories!B361,'categories-old'!B:G,6,FALSE)</f>
        <v>/img2/img1ce8.jpg</v>
      </c>
      <c r="D361" t="str">
        <f>VLOOKUP(categories!B361,'categories-old'!B:H,7,FALSE)</f>
        <v>www.americanretailsupply.com\64944\577223\Acrylic-for-Slatwall\Acrylic-J-Racks-for-Slatwall-Economy.html</v>
      </c>
    </row>
    <row r="362" spans="1:4" hidden="1" x14ac:dyDescent="0.25">
      <c r="A362" t="str">
        <f>IF(LEN('categories-old'!G362) &gt; 0, "INSERT INTO `catalog_category_entity_varchar` (attribute_id,store_id,entity_id,value) VALUES (48,0,"&amp;'categories-old'!B362&amp;",'"&amp;RIGHT('categories-old'!G362,LEN('categories-old'!G362)-1)&amp;"');","")</f>
        <v>INSERT INTO `catalog_category_entity_varchar` (attribute_id,store_id,entity_id,value) VALUES (48,0,146,'img1/imgf866.jpg');</v>
      </c>
      <c r="B362" t="str">
        <f>IF(LEN(categories!G362) &gt; 0, "INSERT INTO `catalog_category_entity_varchar` (attribute_id,store_id,entity_id,value) VALUES (48,0,"&amp;categories!B362&amp;",'"&amp;RIGHT(categories!G362,LEN(categories!G362)-1)&amp;"');","")</f>
        <v>INSERT INTO `catalog_category_entity_varchar` (attribute_id,store_id,entity_id,value) VALUES (48,0,146,'img1/imgf866.jpg');</v>
      </c>
      <c r="C362" t="str">
        <f>VLOOKUP(categories!B362,'categories-old'!B:G,6,FALSE)</f>
        <v>/img1/imgf866.jpg</v>
      </c>
      <c r="D362" t="str">
        <f>VLOOKUP(categories!B362,'categories-old'!B:H,7,FALSE)</f>
        <v>www.americanretailsupply.com\64944\577354\Acrylic-for-Slatwall\Acrylic-Business-Card-Holders-for-Slatwall-or-Slatgrid.html</v>
      </c>
    </row>
    <row r="363" spans="1:4" hidden="1" x14ac:dyDescent="0.25">
      <c r="A363" t="str">
        <f>IF(LEN('categories-old'!G363) &gt; 0, "INSERT INTO `catalog_category_entity_varchar` (attribute_id,store_id,entity_id,value) VALUES (48,0,"&amp;'categories-old'!B363&amp;",'"&amp;RIGHT('categories-old'!G363,LEN('categories-old'!G363)-1)&amp;"');","")</f>
        <v>INSERT INTO `catalog_category_entity_varchar` (attribute_id,store_id,entity_id,value) VALUES (48,0,147,'img2/imgb887.jpg');</v>
      </c>
      <c r="B363" t="str">
        <f>IF(LEN(categories!G363) &gt; 0, "INSERT INTO `catalog_category_entity_varchar` (attribute_id,store_id,entity_id,value) VALUES (48,0,"&amp;categories!B363&amp;",'"&amp;RIGHT(categories!G363,LEN(categories!G363)-1)&amp;"');","")</f>
        <v>INSERT INTO `catalog_category_entity_varchar` (attribute_id,store_id,entity_id,value) VALUES (48,0,147,'img2/imgb887.jpg');</v>
      </c>
      <c r="C363" t="str">
        <f>VLOOKUP(categories!B363,'categories-old'!B:G,6,FALSE)</f>
        <v>/img2/imgb887.jpg</v>
      </c>
      <c r="D363" t="str">
        <f>VLOOKUP(categories!B363,'categories-old'!B:H,7,FALSE)</f>
        <v>www.americanretailsupply.com\64944\579426\Acrylic-for-Slatwall\Acrylic-Shelves-for-Slatwall-Deluxe-Slanted-1-Lip.html</v>
      </c>
    </row>
    <row r="364" spans="1:4" hidden="1" x14ac:dyDescent="0.25">
      <c r="A364" t="str">
        <f>IF(LEN('categories-old'!G364) &gt; 0, "INSERT INTO `catalog_category_entity_varchar` (attribute_id,store_id,entity_id,value) VALUES (48,0,"&amp;'categories-old'!B364&amp;",'"&amp;RIGHT('categories-old'!G364,LEN('categories-old'!G364)-1)&amp;"');","")</f>
        <v>INSERT INTO `catalog_category_entity_varchar` (attribute_id,store_id,entity_id,value) VALUES (48,0,148,'img2/imgd84a.jpg');</v>
      </c>
      <c r="B364" t="str">
        <f>IF(LEN(categories!G364) &gt; 0, "INSERT INTO `catalog_category_entity_varchar` (attribute_id,store_id,entity_id,value) VALUES (48,0,"&amp;categories!B364&amp;",'"&amp;RIGHT(categories!G364,LEN(categories!G364)-1)&amp;"');","")</f>
        <v>INSERT INTO `catalog_category_entity_varchar` (attribute_id,store_id,entity_id,value) VALUES (48,0,148,'img2/imgd84a.jpg');</v>
      </c>
      <c r="C364" t="str">
        <f>VLOOKUP(categories!B364,'categories-old'!B:G,6,FALSE)</f>
        <v>/img2/imgd84a.jpg</v>
      </c>
      <c r="D364" t="str">
        <f>VLOOKUP(categories!B364,'categories-old'!B:H,7,FALSE)</f>
        <v>www.americanretailsupply.com\64944\773223\Acrylic-for-Slatwall\Acrylic-Mirrors-for-Slatwall.html</v>
      </c>
    </row>
    <row r="365" spans="1:4" hidden="1" x14ac:dyDescent="0.25">
      <c r="A365" t="str">
        <f>IF(LEN('categories-old'!G365) &gt; 0, "INSERT INTO `catalog_category_entity_varchar` (attribute_id,store_id,entity_id,value) VALUES (48,0,"&amp;'categories-old'!B365&amp;",'"&amp;RIGHT('categories-old'!G365,LEN('categories-old'!G365)-1)&amp;"');","")</f>
        <v>INSERT INTO `catalog_category_entity_varchar` (attribute_id,store_id,entity_id,value) VALUES (48,0,149,'img1/img26fe.jpg');</v>
      </c>
      <c r="B365" t="str">
        <f>IF(LEN(categories!G365) &gt; 0, "INSERT INTO `catalog_category_entity_varchar` (attribute_id,store_id,entity_id,value) VALUES (48,0,"&amp;categories!B365&amp;",'"&amp;RIGHT(categories!G365,LEN(categories!G365)-1)&amp;"');","")</f>
        <v>INSERT INTO `catalog_category_entity_varchar` (attribute_id,store_id,entity_id,value) VALUES (48,0,149,'img1/img26fe.jpg');</v>
      </c>
      <c r="C365" t="str">
        <f>VLOOKUP(categories!B365,'categories-old'!B:G,6,FALSE)</f>
        <v>/img1/img26fe.jpg</v>
      </c>
      <c r="D365" t="str">
        <f>VLOOKUP(categories!B365,'categories-old'!B:H,7,FALSE)</f>
        <v>www.americanretailsupply.com\64944\782982\Acrylic-for-Slatwall\Slatwall-or-Slatgrid-Acrylic-Sign-Holders.html</v>
      </c>
    </row>
    <row r="366" spans="1:4" hidden="1" x14ac:dyDescent="0.25">
      <c r="A366" t="str">
        <f>IF(LEN('categories-old'!G366) &gt; 0, "INSERT INTO `catalog_category_entity_varchar` (attribute_id,store_id,entity_id,value) VALUES (48,0,"&amp;'categories-old'!B366&amp;",'"&amp;RIGHT('categories-old'!G366,LEN('categories-old'!G366)-1)&amp;"');","")</f>
        <v>INSERT INTO `catalog_category_entity_varchar` (attribute_id,store_id,entity_id,value) VALUES (48,0,151,'img1/imgfff0.jpg');</v>
      </c>
      <c r="B366" t="str">
        <f>IF(LEN(categories!G366) &gt; 0, "INSERT INTO `catalog_category_entity_varchar` (attribute_id,store_id,entity_id,value) VALUES (48,0,"&amp;categories!B366&amp;",'"&amp;RIGHT(categories!G366,LEN(categories!G366)-1)&amp;"');","")</f>
        <v>INSERT INTO `catalog_category_entity_varchar` (attribute_id,store_id,entity_id,value) VALUES (48,0,151,'img1/imgfff0.jpg');</v>
      </c>
      <c r="C366" t="str">
        <f>VLOOKUP(categories!B366,'categories-old'!B:G,6,FALSE)</f>
        <v>/img1/imgfff0.jpg</v>
      </c>
      <c r="D366" t="str">
        <f>VLOOKUP(categories!B366,'categories-old'!B:H,7,FALSE)</f>
        <v>www.americanretailsupply.com\64774\34011\Acrylic-Literature-Displays\Acrylic-Brochure-Holders-for-Countertop-Deluxe.html</v>
      </c>
    </row>
    <row r="367" spans="1:4" hidden="1" x14ac:dyDescent="0.25">
      <c r="A367" t="str">
        <f>IF(LEN('categories-old'!G367) &gt; 0, "INSERT INTO `catalog_category_entity_varchar` (attribute_id,store_id,entity_id,value) VALUES (48,0,"&amp;'categories-old'!B367&amp;",'"&amp;RIGHT('categories-old'!G367,LEN('categories-old'!G367)-1)&amp;"');","")</f>
        <v>INSERT INTO `catalog_category_entity_varchar` (attribute_id,store_id,entity_id,value) VALUES (48,0,152,'img2/img481a.jpg');</v>
      </c>
      <c r="B367" t="str">
        <f>IF(LEN(categories!G367) &gt; 0, "INSERT INTO `catalog_category_entity_varchar` (attribute_id,store_id,entity_id,value) VALUES (48,0,"&amp;categories!B367&amp;",'"&amp;RIGHT(categories!G367,LEN(categories!G367)-1)&amp;"');","")</f>
        <v>INSERT INTO `catalog_category_entity_varchar` (attribute_id,store_id,entity_id,value) VALUES (48,0,152,'img2/img481a.jpg');</v>
      </c>
      <c r="C367" t="str">
        <f>VLOOKUP(categories!B367,'categories-old'!B:G,6,FALSE)</f>
        <v>/img2/img481a.jpg</v>
      </c>
      <c r="D367" t="str">
        <f>VLOOKUP(categories!B367,'categories-old'!B:H,7,FALSE)</f>
        <v>www.americanretailsupply.com\64774\34012\Acrylic-Literature-Displays\Acrylic-Literature-Holder-for-Countertop-Double-Pocket.html</v>
      </c>
    </row>
    <row r="368" spans="1:4" hidden="1" x14ac:dyDescent="0.25">
      <c r="A368" t="str">
        <f>IF(LEN('categories-old'!G368) &gt; 0, "INSERT INTO `catalog_category_entity_varchar` (attribute_id,store_id,entity_id,value) VALUES (48,0,"&amp;'categories-old'!B368&amp;",'"&amp;RIGHT('categories-old'!G368,LEN('categories-old'!G368)-1)&amp;"');","")</f>
        <v>INSERT INTO `catalog_category_entity_varchar` (attribute_id,store_id,entity_id,value) VALUES (48,0,153,'img1/img3f93.jpg');</v>
      </c>
      <c r="B368" t="str">
        <f>IF(LEN(categories!G368) &gt; 0, "INSERT INTO `catalog_category_entity_varchar` (attribute_id,store_id,entity_id,value) VALUES (48,0,"&amp;categories!B368&amp;",'"&amp;RIGHT(categories!G368,LEN(categories!G368)-1)&amp;"');","")</f>
        <v>INSERT INTO `catalog_category_entity_varchar` (attribute_id,store_id,entity_id,value) VALUES (48,0,153,'img1/img3f93.jpg');</v>
      </c>
      <c r="C368" t="str">
        <f>VLOOKUP(categories!B368,'categories-old'!B:G,6,FALSE)</f>
        <v>/img1/img3f93.jpg</v>
      </c>
      <c r="D368" t="str">
        <f>VLOOKUP(categories!B368,'categories-old'!B:H,7,FALSE)</f>
        <v>www.americanretailsupply.com\64774\34022\Acrylic-Literature-Displays\Acrylic-Literature-Holder-3-Sided-Revolving-Display.html</v>
      </c>
    </row>
    <row r="369" spans="1:4" hidden="1" x14ac:dyDescent="0.25">
      <c r="A369" t="str">
        <f>IF(LEN('categories-old'!G369) &gt; 0, "INSERT INTO `catalog_category_entity_varchar` (attribute_id,store_id,entity_id,value) VALUES (48,0,"&amp;'categories-old'!B369&amp;",'"&amp;RIGHT('categories-old'!G369,LEN('categories-old'!G369)-1)&amp;"');","")</f>
        <v>INSERT INTO `catalog_category_entity_varchar` (attribute_id,store_id,entity_id,value) VALUES (48,0,154,'img3/imgca8f.jpg');</v>
      </c>
      <c r="B369" t="str">
        <f>IF(LEN(categories!G369) &gt; 0, "INSERT INTO `catalog_category_entity_varchar` (attribute_id,store_id,entity_id,value) VALUES (48,0,"&amp;categories!B369&amp;",'"&amp;RIGHT(categories!G369,LEN(categories!G369)-1)&amp;"');","")</f>
        <v>INSERT INTO `catalog_category_entity_varchar` (attribute_id,store_id,entity_id,value) VALUES (48,0,154,'img3/imgca8f.jpg');</v>
      </c>
      <c r="C369" t="str">
        <f>VLOOKUP(categories!B369,'categories-old'!B:G,6,FALSE)</f>
        <v>/img3/imgca8f.jpg</v>
      </c>
      <c r="D369" t="str">
        <f>VLOOKUP(categories!B369,'categories-old'!B:H,7,FALSE)</f>
        <v>www.americanretailsupply.com\64774\34023\Acrylic-Literature-Displays\Acrylic-Business-Card-Holders.html</v>
      </c>
    </row>
    <row r="370" spans="1:4" hidden="1" x14ac:dyDescent="0.25">
      <c r="A370" t="str">
        <f>IF(LEN('categories-old'!G370) &gt; 0, "INSERT INTO `catalog_category_entity_varchar` (attribute_id,store_id,entity_id,value) VALUES (48,0,"&amp;'categories-old'!B370&amp;",'"&amp;RIGHT('categories-old'!G370,LEN('categories-old'!G370)-1)&amp;"');","")</f>
        <v>INSERT INTO `catalog_category_entity_varchar` (attribute_id,store_id,entity_id,value) VALUES (48,0,155,'img2/img07b5.jpg');</v>
      </c>
      <c r="B370" t="str">
        <f>IF(LEN(categories!G370) &gt; 0, "INSERT INTO `catalog_category_entity_varchar` (attribute_id,store_id,entity_id,value) VALUES (48,0,"&amp;categories!B370&amp;",'"&amp;RIGHT(categories!G370,LEN(categories!G370)-1)&amp;"');","")</f>
        <v>INSERT INTO `catalog_category_entity_varchar` (attribute_id,store_id,entity_id,value) VALUES (48,0,155,'img2/img07b5.jpg');</v>
      </c>
      <c r="C370" t="str">
        <f>VLOOKUP(categories!B370,'categories-old'!B:G,6,FALSE)</f>
        <v>/img2/img07b5.jpg</v>
      </c>
      <c r="D370" t="str">
        <f>VLOOKUP(categories!B370,'categories-old'!B:H,7,FALSE)</f>
        <v>www.americanretailsupply.com\64774\174055\Acrylic-Literature-Displays\Sign-Card--Ticket-Holders.html</v>
      </c>
    </row>
    <row r="371" spans="1:4" hidden="1" x14ac:dyDescent="0.25">
      <c r="A371" t="str">
        <f>IF(LEN('categories-old'!G371) &gt; 0, "INSERT INTO `catalog_category_entity_varchar` (attribute_id,store_id,entity_id,value) VALUES (48,0,"&amp;'categories-old'!B371&amp;",'"&amp;RIGHT('categories-old'!G371,LEN('categories-old'!G371)-1)&amp;"');","")</f>
        <v>INSERT INTO `catalog_category_entity_varchar` (attribute_id,store_id,entity_id,value) VALUES (48,0,156,'img2/imgbb37.jpg');</v>
      </c>
      <c r="B371" t="str">
        <f>IF(LEN(categories!G371) &gt; 0, "INSERT INTO `catalog_category_entity_varchar` (attribute_id,store_id,entity_id,value) VALUES (48,0,"&amp;categories!B371&amp;",'"&amp;RIGHT(categories!G371,LEN(categories!G371)-1)&amp;"');","")</f>
        <v>INSERT INTO `catalog_category_entity_varchar` (attribute_id,store_id,entity_id,value) VALUES (48,0,156,'img2/imgbb37.jpg');</v>
      </c>
      <c r="C371" t="str">
        <f>VLOOKUP(categories!B371,'categories-old'!B:G,6,FALSE)</f>
        <v>/img2/imgbb37.jpg</v>
      </c>
      <c r="D371" t="str">
        <f>VLOOKUP(categories!B371,'categories-old'!B:H,7,FALSE)</f>
        <v>www.americanretailsupply.com\64774\174062\Acrylic-Literature-Displays\Acrylic-Brochure-Holder-Economy.html</v>
      </c>
    </row>
    <row r="372" spans="1:4" hidden="1" x14ac:dyDescent="0.25">
      <c r="A372" t="str">
        <f>IF(LEN('categories-old'!G372) &gt; 0, "INSERT INTO `catalog_category_entity_varchar` (attribute_id,store_id,entity_id,value) VALUES (48,0,"&amp;'categories-old'!B372&amp;",'"&amp;RIGHT('categories-old'!G372,LEN('categories-old'!G372)-1)&amp;"');","")</f>
        <v>INSERT INTO `catalog_category_entity_varchar` (attribute_id,store_id,entity_id,value) VALUES (48,0,157,'img2/img60eb.jpg');</v>
      </c>
      <c r="B372" t="str">
        <f>IF(LEN(categories!G372) &gt; 0, "INSERT INTO `catalog_category_entity_varchar` (attribute_id,store_id,entity_id,value) VALUES (48,0,"&amp;categories!B372&amp;",'"&amp;RIGHT(categories!G372,LEN(categories!G372)-1)&amp;"');","")</f>
        <v>INSERT INTO `catalog_category_entity_varchar` (attribute_id,store_id,entity_id,value) VALUES (48,0,157,'img2/img60eb.jpg');</v>
      </c>
      <c r="C372" t="str">
        <f>VLOOKUP(categories!B372,'categories-old'!B:G,6,FALSE)</f>
        <v>/img2/img60eb.jpg</v>
      </c>
      <c r="D372" t="str">
        <f>VLOOKUP(categories!B372,'categories-old'!B:H,7,FALSE)</f>
        <v>www.americanretailsupply.com\64774\575618\Acrylic-Literature-Displays\Acrylic-Add-A-Pocket-to-Sign-Holders.html</v>
      </c>
    </row>
    <row r="373" spans="1:4" hidden="1" x14ac:dyDescent="0.25">
      <c r="A373" t="str">
        <f>IF(LEN('categories-old'!G373) &gt; 0, "INSERT INTO `catalog_category_entity_varchar` (attribute_id,store_id,entity_id,value) VALUES (48,0,"&amp;'categories-old'!B373&amp;",'"&amp;RIGHT('categories-old'!G373,LEN('categories-old'!G373)-1)&amp;"');","")</f>
        <v>INSERT INTO `catalog_category_entity_varchar` (attribute_id,store_id,entity_id,value) VALUES (48,0,158,'img3/img39e9.jpg');</v>
      </c>
      <c r="B373" t="str">
        <f>IF(LEN(categories!G373) &gt; 0, "INSERT INTO `catalog_category_entity_varchar` (attribute_id,store_id,entity_id,value) VALUES (48,0,"&amp;categories!B373&amp;",'"&amp;RIGHT(categories!G373,LEN(categories!G373)-1)&amp;"');","")</f>
        <v>INSERT INTO `catalog_category_entity_varchar` (attribute_id,store_id,entity_id,value) VALUES (48,0,158,'img3/img39e9.jpg');</v>
      </c>
      <c r="C373" t="str">
        <f>VLOOKUP(categories!B373,'categories-old'!B:G,6,FALSE)</f>
        <v>/img3/img39e9.jpg</v>
      </c>
      <c r="D373" t="str">
        <f>VLOOKUP(categories!B373,'categories-old'!B:H,7,FALSE)</f>
        <v>www.americanretailsupply.com\64774\575658\Acrylic-Literature-Displays\Acrylic-Literature-Holder-for-Walls-or-Slatwall-Deluxe-Hold-It.html</v>
      </c>
    </row>
    <row r="374" spans="1:4" hidden="1" x14ac:dyDescent="0.25">
      <c r="A374" t="str">
        <f>IF(LEN('categories-old'!G374) &gt; 0, "INSERT INTO `catalog_category_entity_varchar` (attribute_id,store_id,entity_id,value) VALUES (48,0,"&amp;'categories-old'!B374&amp;",'"&amp;RIGHT('categories-old'!G374,LEN('categories-old'!G374)-1)&amp;"');","")</f>
        <v>INSERT INTO `catalog_category_entity_varchar` (attribute_id,store_id,entity_id,value) VALUES (48,0,159,'img2/img1f9c.jpg');</v>
      </c>
      <c r="B374" t="str">
        <f>IF(LEN(categories!G374) &gt; 0, "INSERT INTO `catalog_category_entity_varchar` (attribute_id,store_id,entity_id,value) VALUES (48,0,"&amp;categories!B374&amp;",'"&amp;RIGHT(categories!G374,LEN(categories!G374)-1)&amp;"');","")</f>
        <v>INSERT INTO `catalog_category_entity_varchar` (attribute_id,store_id,entity_id,value) VALUES (48,0,159,'img2/img1f9c.jpg');</v>
      </c>
      <c r="C374" t="str">
        <f>VLOOKUP(categories!B374,'categories-old'!B:G,6,FALSE)</f>
        <v>/img2/img1f9c.jpg</v>
      </c>
      <c r="D374" t="str">
        <f>VLOOKUP(categories!B374,'categories-old'!B:H,7,FALSE)</f>
        <v>www.americanretailsupply.com\64774\575696\Acrylic-Literature-Displays\Acrylic-Literature-Holders-for-Walls-or-Slatwall-Large.html</v>
      </c>
    </row>
    <row r="375" spans="1:4" hidden="1" x14ac:dyDescent="0.25">
      <c r="A375" t="str">
        <f>IF(LEN('categories-old'!G375) &gt; 0, "INSERT INTO `catalog_category_entity_varchar` (attribute_id,store_id,entity_id,value) VALUES (48,0,"&amp;'categories-old'!B375&amp;",'"&amp;RIGHT('categories-old'!G375,LEN('categories-old'!G375)-1)&amp;"');","")</f>
        <v>INSERT INTO `catalog_category_entity_varchar` (attribute_id,store_id,entity_id,value) VALUES (48,0,160,'img2/img7c18-2.jpg');</v>
      </c>
      <c r="B375" t="str">
        <f>IF(LEN(categories!G375) &gt; 0, "INSERT INTO `catalog_category_entity_varchar` (attribute_id,store_id,entity_id,value) VALUES (48,0,"&amp;categories!B375&amp;",'"&amp;RIGHT(categories!G375,LEN(categories!G375)-1)&amp;"');","")</f>
        <v>INSERT INTO `catalog_category_entity_varchar` (attribute_id,store_id,entity_id,value) VALUES (48,0,160,'img2/img7c18-2.jpg');</v>
      </c>
      <c r="C375" t="str">
        <f>VLOOKUP(categories!B375,'categories-old'!B:G,6,FALSE)</f>
        <v>/img2/img7c18-2.jpg</v>
      </c>
      <c r="D375" t="str">
        <f>VLOOKUP(categories!B375,'categories-old'!B:H,7,FALSE)</f>
        <v>www.americanretailsupply.com\64774\576367\Acrylic-Literature-Displays\Wallmount-Acrylic-J-Racks-Shelves.html</v>
      </c>
    </row>
    <row r="376" spans="1:4" hidden="1" x14ac:dyDescent="0.25">
      <c r="A376" t="str">
        <f>IF(LEN('categories-old'!G376) &gt; 0, "INSERT INTO `catalog_category_entity_varchar` (attribute_id,store_id,entity_id,value) VALUES (48,0,"&amp;'categories-old'!B376&amp;",'"&amp;RIGHT('categories-old'!G376,LEN('categories-old'!G376)-1)&amp;"');","")</f>
        <v>INSERT INTO `catalog_category_entity_varchar` (attribute_id,store_id,entity_id,value) VALUES (48,0,161,'img3/img5f86.jpg');</v>
      </c>
      <c r="B376" t="str">
        <f>IF(LEN(categories!G376) &gt; 0, "INSERT INTO `catalog_category_entity_varchar` (attribute_id,store_id,entity_id,value) VALUES (48,0,"&amp;categories!B376&amp;",'"&amp;RIGHT(categories!G376,LEN(categories!G376)-1)&amp;"');","")</f>
        <v>INSERT INTO `catalog_category_entity_varchar` (attribute_id,store_id,entity_id,value) VALUES (48,0,161,'img3/img5f86.jpg');</v>
      </c>
      <c r="C376" t="str">
        <f>VLOOKUP(categories!B376,'categories-old'!B:G,6,FALSE)</f>
        <v>/img3/img5f86.jpg</v>
      </c>
      <c r="D376" t="str">
        <f>VLOOKUP(categories!B376,'categories-old'!B:H,7,FALSE)</f>
        <v>www.americanretailsupply.com\64774\576848\Acrylic-Literature-Displays\Acrylic-J-Racks-For-Gridwall.html</v>
      </c>
    </row>
    <row r="377" spans="1:4" hidden="1" x14ac:dyDescent="0.25">
      <c r="A377" t="str">
        <f>IF(LEN('categories-old'!G377) &gt; 0, "INSERT INTO `catalog_category_entity_varchar` (attribute_id,store_id,entity_id,value) VALUES (48,0,"&amp;'categories-old'!B377&amp;",'"&amp;RIGHT('categories-old'!G377,LEN('categories-old'!G377)-1)&amp;"');","")</f>
        <v>INSERT INTO `catalog_category_entity_varchar` (attribute_id,store_id,entity_id,value) VALUES (48,0,162,'img3/img2f23.jpg');</v>
      </c>
      <c r="B377" t="str">
        <f>IF(LEN(categories!G377) &gt; 0, "INSERT INTO `catalog_category_entity_varchar` (attribute_id,store_id,entity_id,value) VALUES (48,0,"&amp;categories!B377&amp;",'"&amp;RIGHT(categories!G377,LEN(categories!G377)-1)&amp;"');","")</f>
        <v>INSERT INTO `catalog_category_entity_varchar` (attribute_id,store_id,entity_id,value) VALUES (48,0,162,'img3/img2f23.jpg');</v>
      </c>
      <c r="C377" t="str">
        <f>VLOOKUP(categories!B377,'categories-old'!B:G,6,FALSE)</f>
        <v>/img3/img2f23.jpg</v>
      </c>
      <c r="D377" t="str">
        <f>VLOOKUP(categories!B377,'categories-old'!B:H,7,FALSE)</f>
        <v>www.americanretailsupply.com\64774\576849\Acrylic-Literature-Displays\Acrylic-Outdoor-Literature-Box.html</v>
      </c>
    </row>
    <row r="378" spans="1:4" hidden="1" x14ac:dyDescent="0.25">
      <c r="A378" t="str">
        <f>IF(LEN('categories-old'!G378) &gt; 0, "INSERT INTO `catalog_category_entity_varchar` (attribute_id,store_id,entity_id,value) VALUES (48,0,"&amp;'categories-old'!B378&amp;",'"&amp;RIGHT('categories-old'!G378,LEN('categories-old'!G378)-1)&amp;"');","")</f>
        <v>INSERT INTO `catalog_category_entity_varchar` (attribute_id,store_id,entity_id,value) VALUES (48,0,163,'img2/img500d.jpg');</v>
      </c>
      <c r="B378" t="str">
        <f>IF(LEN(categories!G378) &gt; 0, "INSERT INTO `catalog_category_entity_varchar` (attribute_id,store_id,entity_id,value) VALUES (48,0,"&amp;categories!B378&amp;",'"&amp;RIGHT(categories!G378,LEN(categories!G378)-1)&amp;"');","")</f>
        <v>INSERT INTO `catalog_category_entity_varchar` (attribute_id,store_id,entity_id,value) VALUES (48,0,163,'img2/img500d.jpg');</v>
      </c>
      <c r="C378" t="str">
        <f>VLOOKUP(categories!B378,'categories-old'!B:G,6,FALSE)</f>
        <v>/img2/img500d.jpg</v>
      </c>
      <c r="D378" t="str">
        <f>VLOOKUP(categories!B378,'categories-old'!B:H,7,FALSE)</f>
        <v>www.americanretailsupply.com\64774\576850\Acrylic-Literature-Displays\Acrylic-Literature-Holder-Multi-Tier.html</v>
      </c>
    </row>
    <row r="379" spans="1:4" hidden="1" x14ac:dyDescent="0.25">
      <c r="A379" t="str">
        <f>IF(LEN('categories-old'!G379) &gt; 0, "INSERT INTO `catalog_category_entity_varchar` (attribute_id,store_id,entity_id,value) VALUES (48,0,"&amp;'categories-old'!B379&amp;",'"&amp;RIGHT('categories-old'!G379,LEN('categories-old'!G379)-1)&amp;"');","")</f>
        <v>INSERT INTO `catalog_category_entity_varchar` (attribute_id,store_id,entity_id,value) VALUES (48,0,164,'img2/img4a7b.jpg');</v>
      </c>
      <c r="B379" t="str">
        <f>IF(LEN(categories!G379) &gt; 0, "INSERT INTO `catalog_category_entity_varchar` (attribute_id,store_id,entity_id,value) VALUES (48,0,"&amp;categories!B379&amp;",'"&amp;RIGHT(categories!G379,LEN(categories!G379)-1)&amp;"');","")</f>
        <v>INSERT INTO `catalog_category_entity_varchar` (attribute_id,store_id,entity_id,value) VALUES (48,0,164,'img2/img4a7b.jpg');</v>
      </c>
      <c r="C379" t="str">
        <f>VLOOKUP(categories!B379,'categories-old'!B:G,6,FALSE)</f>
        <v>/img2/img4a7b.jpg</v>
      </c>
      <c r="D379" t="str">
        <f>VLOOKUP(categories!B379,'categories-old'!B:H,7,FALSE)</f>
        <v>www.americanretailsupply.com\64774\579425\Acrylic-Literature-Displays\Acrylic-Brochure-Holders-for-Slatwall-Deluxe.html</v>
      </c>
    </row>
    <row r="380" spans="1:4" hidden="1" x14ac:dyDescent="0.25">
      <c r="A380" t="str">
        <f>IF(LEN('categories-old'!G380) &gt; 0, "INSERT INTO `catalog_category_entity_varchar` (attribute_id,store_id,entity_id,value) VALUES (48,0,"&amp;'categories-old'!B380&amp;",'"&amp;RIGHT('categories-old'!G380,LEN('categories-old'!G380)-1)&amp;"');","")</f>
        <v>INSERT INTO `catalog_category_entity_varchar` (attribute_id,store_id,entity_id,value) VALUES (48,0,166,'img2/img187c.jpg');</v>
      </c>
      <c r="B380" t="str">
        <f>IF(LEN(categories!G380) &gt; 0, "INSERT INTO `catalog_category_entity_varchar` (attribute_id,store_id,entity_id,value) VALUES (48,0,"&amp;categories!B380&amp;",'"&amp;RIGHT(categories!G380,LEN(categories!G380)-1)&amp;"');","")</f>
        <v>INSERT INTO `catalog_category_entity_varchar` (attribute_id,store_id,entity_id,value) VALUES (48,0,166,'img2/img187c.jpg');</v>
      </c>
      <c r="C380" t="str">
        <f>VLOOKUP(categories!B380,'categories-old'!B:G,6,FALSE)</f>
        <v>/img2/img187c.jpg</v>
      </c>
      <c r="D380" t="str">
        <f>VLOOKUP(categories!B380,'categories-old'!B:H,7,FALSE)</f>
        <v>www.americanretailsupply.com\64769\2290\Acrylic-Risers--Cubes\Mirrored-Acrylic-Open-Cubes.html</v>
      </c>
    </row>
    <row r="381" spans="1:4" hidden="1" x14ac:dyDescent="0.25">
      <c r="A381" t="str">
        <f>IF(LEN('categories-old'!G381) &gt; 0, "INSERT INTO `catalog_category_entity_varchar` (attribute_id,store_id,entity_id,value) VALUES (48,0,"&amp;'categories-old'!B381&amp;",'"&amp;RIGHT('categories-old'!G381,LEN('categories-old'!G381)-1)&amp;"');","")</f>
        <v>INSERT INTO `catalog_category_entity_varchar` (attribute_id,store_id,entity_id,value) VALUES (48,0,167,'img2/img3394.jpg');</v>
      </c>
      <c r="B381" t="str">
        <f>IF(LEN(categories!G381) &gt; 0, "INSERT INTO `catalog_category_entity_varchar` (attribute_id,store_id,entity_id,value) VALUES (48,0,"&amp;categories!B381&amp;",'"&amp;RIGHT(categories!G381,LEN(categories!G381)-1)&amp;"');","")</f>
        <v>INSERT INTO `catalog_category_entity_varchar` (attribute_id,store_id,entity_id,value) VALUES (48,0,167,'img2/img3394.jpg');</v>
      </c>
      <c r="C381" t="str">
        <f>VLOOKUP(categories!B381,'categories-old'!B:G,6,FALSE)</f>
        <v>/img2/img3394.jpg</v>
      </c>
      <c r="D381" t="str">
        <f>VLOOKUP(categories!B381,'categories-old'!B:H,7,FALSE)</f>
        <v>www.americanretailsupply.com\64769\33865\Acrylic-Risers--Cubes\14-Beveled-Edge-Acrylic-Risers.html</v>
      </c>
    </row>
    <row r="382" spans="1:4" hidden="1" x14ac:dyDescent="0.25">
      <c r="A382" t="str">
        <f>IF(LEN('categories-old'!G382) &gt; 0, "INSERT INTO `catalog_category_entity_varchar` (attribute_id,store_id,entity_id,value) VALUES (48,0,"&amp;'categories-old'!B382&amp;",'"&amp;RIGHT('categories-old'!G382,LEN('categories-old'!G382)-1)&amp;"');","")</f>
        <v>INSERT INTO `catalog_category_entity_varchar` (attribute_id,store_id,entity_id,value) VALUES (48,0,168,'img1/imgef18.jpg');</v>
      </c>
      <c r="B382" t="str">
        <f>IF(LEN(categories!G382) &gt; 0, "INSERT INTO `catalog_category_entity_varchar` (attribute_id,store_id,entity_id,value) VALUES (48,0,"&amp;categories!B382&amp;",'"&amp;RIGHT(categories!G382,LEN(categories!G382)-1)&amp;"');","")</f>
        <v>INSERT INTO `catalog_category_entity_varchar` (attribute_id,store_id,entity_id,value) VALUES (48,0,168,'img1/imgef18.jpg');</v>
      </c>
      <c r="C382" t="str">
        <f>VLOOKUP(categories!B382,'categories-old'!B:G,6,FALSE)</f>
        <v>/img1/imgef18.jpg</v>
      </c>
      <c r="D382" t="str">
        <f>VLOOKUP(categories!B382,'categories-old'!B:H,7,FALSE)</f>
        <v>www.americanretailsupply.com\64769\33965\Acrylic-Risers--Cubes\18-Acrylic-Risers-Sets--Individual.html</v>
      </c>
    </row>
    <row r="383" spans="1:4" hidden="1" x14ac:dyDescent="0.25">
      <c r="A383" t="str">
        <f>IF(LEN('categories-old'!G383) &gt; 0, "INSERT INTO `catalog_category_entity_varchar` (attribute_id,store_id,entity_id,value) VALUES (48,0,"&amp;'categories-old'!B383&amp;",'"&amp;RIGHT('categories-old'!G383,LEN('categories-old'!G383)-1)&amp;"');","")</f>
        <v>INSERT INTO `catalog_category_entity_varchar` (attribute_id,store_id,entity_id,value) VALUES (48,0,169,'img3/img3888.jpg');</v>
      </c>
      <c r="B383" t="str">
        <f>IF(LEN(categories!G383) &gt; 0, "INSERT INTO `catalog_category_entity_varchar` (attribute_id,store_id,entity_id,value) VALUES (48,0,"&amp;categories!B383&amp;",'"&amp;RIGHT(categories!G383,LEN(categories!G383)-1)&amp;"');","")</f>
        <v>INSERT INTO `catalog_category_entity_varchar` (attribute_id,store_id,entity_id,value) VALUES (48,0,169,'img3/img3888.jpg');</v>
      </c>
      <c r="C383" t="str">
        <f>VLOOKUP(categories!B383,'categories-old'!B:G,6,FALSE)</f>
        <v>/img3/img3888.jpg</v>
      </c>
      <c r="D383" t="str">
        <f>VLOOKUP(categories!B383,'categories-old'!B:H,7,FALSE)</f>
        <v>www.americanretailsupply.com\64769\34005\Acrylic-Risers--Cubes\14-Acrylic-Risers-Sets--Individual.html</v>
      </c>
    </row>
    <row r="384" spans="1:4" hidden="1" x14ac:dyDescent="0.25">
      <c r="A384" t="str">
        <f>IF(LEN('categories-old'!G384) &gt; 0, "INSERT INTO `catalog_category_entity_varchar` (attribute_id,store_id,entity_id,value) VALUES (48,0,"&amp;'categories-old'!B384&amp;",'"&amp;RIGHT('categories-old'!G384,LEN('categories-old'!G384)-1)&amp;"');","")</f>
        <v>INSERT INTO `catalog_category_entity_varchar` (attribute_id,store_id,entity_id,value) VALUES (48,0,170,'img3/imgc067.jpg');</v>
      </c>
      <c r="B384" t="str">
        <f>IF(LEN(categories!G384) &gt; 0, "INSERT INTO `catalog_category_entity_varchar` (attribute_id,store_id,entity_id,value) VALUES (48,0,"&amp;categories!B384&amp;",'"&amp;RIGHT(categories!G384,LEN(categories!G384)-1)&amp;"');","")</f>
        <v>INSERT INTO `catalog_category_entity_varchar` (attribute_id,store_id,entity_id,value) VALUES (48,0,170,'img3/imgc067.jpg');</v>
      </c>
      <c r="C384" t="str">
        <f>VLOOKUP(categories!B384,'categories-old'!B:G,6,FALSE)</f>
        <v>/img3/imgc067.jpg</v>
      </c>
      <c r="D384" t="str">
        <f>VLOOKUP(categories!B384,'categories-old'!B:H,7,FALSE)</f>
        <v>www.americanretailsupply.com\64769\34231\Acrylic-Risers--Cubes\Solid-Acrylic-Pedestals.html</v>
      </c>
    </row>
    <row r="385" spans="1:4" hidden="1" x14ac:dyDescent="0.25">
      <c r="A385" t="str">
        <f>IF(LEN('categories-old'!G385) &gt; 0, "INSERT INTO `catalog_category_entity_varchar` (attribute_id,store_id,entity_id,value) VALUES (48,0,"&amp;'categories-old'!B385&amp;",'"&amp;RIGHT('categories-old'!G385,LEN('categories-old'!G385)-1)&amp;"');","")</f>
        <v>INSERT INTO `catalog_category_entity_varchar` (attribute_id,store_id,entity_id,value) VALUES (48,0,171,'img3/img5458.jpg');</v>
      </c>
      <c r="B385" t="str">
        <f>IF(LEN(categories!G385) &gt; 0, "INSERT INTO `catalog_category_entity_varchar` (attribute_id,store_id,entity_id,value) VALUES (48,0,"&amp;categories!B385&amp;",'"&amp;RIGHT(categories!G385,LEN(categories!G385)-1)&amp;"');","")</f>
        <v>INSERT INTO `catalog_category_entity_varchar` (attribute_id,store_id,entity_id,value) VALUES (48,0,171,'img3/img5458.jpg');</v>
      </c>
      <c r="C385" t="str">
        <f>VLOOKUP(categories!B385,'categories-old'!B:G,6,FALSE)</f>
        <v>/img3/img5458.jpg</v>
      </c>
      <c r="D385" t="str">
        <f>VLOOKUP(categories!B385,'categories-old'!B:H,7,FALSE)</f>
        <v>www.americanretailsupply.com\64769\34233\Acrylic-Risers--Cubes\Acrylic-Economy-Molded-3-Piece-Riser-Set.html</v>
      </c>
    </row>
    <row r="386" spans="1:4" hidden="1" x14ac:dyDescent="0.25">
      <c r="A386" t="str">
        <f>IF(LEN('categories-old'!G386) &gt; 0, "INSERT INTO `catalog_category_entity_varchar` (attribute_id,store_id,entity_id,value) VALUES (48,0,"&amp;'categories-old'!B386&amp;",'"&amp;RIGHT('categories-old'!G386,LEN('categories-old'!G386)-1)&amp;"');","")</f>
        <v>INSERT INTO `catalog_category_entity_varchar` (attribute_id,store_id,entity_id,value) VALUES (48,0,172,'img3/img37a2.jpg');</v>
      </c>
      <c r="B386" t="str">
        <f>IF(LEN(categories!G386) &gt; 0, "INSERT INTO `catalog_category_entity_varchar` (attribute_id,store_id,entity_id,value) VALUES (48,0,"&amp;categories!B386&amp;",'"&amp;RIGHT(categories!G386,LEN(categories!G386)-1)&amp;"');","")</f>
        <v>INSERT INTO `catalog_category_entity_varchar` (attribute_id,store_id,entity_id,value) VALUES (48,0,172,'img3/img37a2.jpg');</v>
      </c>
      <c r="C386" t="str">
        <f>VLOOKUP(categories!B386,'categories-old'!B:G,6,FALSE)</f>
        <v>/img3/img37a2.jpg</v>
      </c>
      <c r="D386" t="str">
        <f>VLOOKUP(categories!B386,'categories-old'!B:H,7,FALSE)</f>
        <v>www.americanretailsupply.com\64769\34234\Acrylic-Risers--Cubes\18-Acrylic-Mirrored-Riser-Set.html</v>
      </c>
    </row>
    <row r="387" spans="1:4" hidden="1" x14ac:dyDescent="0.25">
      <c r="A387" t="str">
        <f>IF(LEN('categories-old'!G387) &gt; 0, "INSERT INTO `catalog_category_entity_varchar` (attribute_id,store_id,entity_id,value) VALUES (48,0,"&amp;'categories-old'!B387&amp;",'"&amp;RIGHT('categories-old'!G387,LEN('categories-old'!G387)-1)&amp;"');","")</f>
        <v>INSERT INTO `catalog_category_entity_varchar` (attribute_id,store_id,entity_id,value) VALUES (48,0,173,'img1/img9b19.jpg');</v>
      </c>
      <c r="B387" t="str">
        <f>IF(LEN(categories!G387) &gt; 0, "INSERT INTO `catalog_category_entity_varchar` (attribute_id,store_id,entity_id,value) VALUES (48,0,"&amp;categories!B387&amp;",'"&amp;RIGHT(categories!G387,LEN(categories!G387)-1)&amp;"');","")</f>
        <v>INSERT INTO `catalog_category_entity_varchar` (attribute_id,store_id,entity_id,value) VALUES (48,0,173,'img1/img9b19.jpg');</v>
      </c>
      <c r="C387" t="str">
        <f>VLOOKUP(categories!B387,'categories-old'!B:G,6,FALSE)</f>
        <v>/img1/img9b19.jpg</v>
      </c>
      <c r="D387" t="str">
        <f>VLOOKUP(categories!B387,'categories-old'!B:H,7,FALSE)</f>
        <v>www.americanretailsupply.com\64769\34235\Acrylic-Risers--Cubes\14-Acrylic-Mirrored-Riser-with-Beveled-Edge.html</v>
      </c>
    </row>
    <row r="388" spans="1:4" hidden="1" x14ac:dyDescent="0.25">
      <c r="A388" t="str">
        <f>IF(LEN('categories-old'!G388) &gt; 0, "INSERT INTO `catalog_category_entity_varchar` (attribute_id,store_id,entity_id,value) VALUES (48,0,"&amp;'categories-old'!B388&amp;",'"&amp;RIGHT('categories-old'!G388,LEN('categories-old'!G388)-1)&amp;"');","")</f>
        <v>INSERT INTO `catalog_category_entity_varchar` (attribute_id,store_id,entity_id,value) VALUES (48,0,174,'img2/img3394.jpg');</v>
      </c>
      <c r="B388" t="str">
        <f>IF(LEN(categories!G388) &gt; 0, "INSERT INTO `catalog_category_entity_varchar` (attribute_id,store_id,entity_id,value) VALUES (48,0,"&amp;categories!B388&amp;",'"&amp;RIGHT(categories!G388,LEN(categories!G388)-1)&amp;"');","")</f>
        <v>INSERT INTO `catalog_category_entity_varchar` (attribute_id,store_id,entity_id,value) VALUES (48,0,174,'img2/img3394.jpg');</v>
      </c>
      <c r="C388" t="str">
        <f>VLOOKUP(categories!B388,'categories-old'!B:G,6,FALSE)</f>
        <v>/img2/img3394.jpg</v>
      </c>
      <c r="D388" t="str">
        <f>VLOOKUP(categories!B388,'categories-old'!B:H,7,FALSE)</f>
        <v>www.americanretailsupply.com\64769\34238\Acrylic-Risers--Cubes\12-Beveled-Edge-Acrylic-Risers.html</v>
      </c>
    </row>
    <row r="389" spans="1:4" hidden="1" x14ac:dyDescent="0.25">
      <c r="A389" t="str">
        <f>IF(LEN('categories-old'!G389) &gt; 0, "INSERT INTO `catalog_category_entity_varchar` (attribute_id,store_id,entity_id,value) VALUES (48,0,"&amp;'categories-old'!B389&amp;",'"&amp;RIGHT('categories-old'!G389,LEN('categories-old'!G389)-1)&amp;"');","")</f>
        <v>INSERT INTO `catalog_category_entity_varchar` (attribute_id,store_id,entity_id,value) VALUES (48,0,175,'img1/img8d37.jpg');</v>
      </c>
      <c r="B389" t="str">
        <f>IF(LEN(categories!G389) &gt; 0, "INSERT INTO `catalog_category_entity_varchar` (attribute_id,store_id,entity_id,value) VALUES (48,0,"&amp;categories!B389&amp;",'"&amp;RIGHT(categories!G389,LEN(categories!G389)-1)&amp;"');","")</f>
        <v>INSERT INTO `catalog_category_entity_varchar` (attribute_id,store_id,entity_id,value) VALUES (48,0,175,'img1/img8d37.jpg');</v>
      </c>
      <c r="C389" t="str">
        <f>VLOOKUP(categories!B389,'categories-old'!B:G,6,FALSE)</f>
        <v>/img1/img8d37.jpg</v>
      </c>
      <c r="D389" t="str">
        <f>VLOOKUP(categories!B389,'categories-old'!B:H,7,FALSE)</f>
        <v>www.americanretailsupply.com\64769\34239\Acrylic-Risers--Cubes\316-Acrylic-Beveled-Edge-6-Piece-Riser-Set.html</v>
      </c>
    </row>
    <row r="390" spans="1:4" hidden="1" x14ac:dyDescent="0.25">
      <c r="A390" t="str">
        <f>IF(LEN('categories-old'!G390) &gt; 0, "INSERT INTO `catalog_category_entity_varchar` (attribute_id,store_id,entity_id,value) VALUES (48,0,"&amp;'categories-old'!B390&amp;",'"&amp;RIGHT('categories-old'!G390,LEN('categories-old'!G390)-1)&amp;"');","")</f>
        <v>INSERT INTO `catalog_category_entity_varchar` (attribute_id,store_id,entity_id,value) VALUES (48,0,176,'img1/img7308.jpg');</v>
      </c>
      <c r="B390" t="str">
        <f>IF(LEN(categories!G390) &gt; 0, "INSERT INTO `catalog_category_entity_varchar` (attribute_id,store_id,entity_id,value) VALUES (48,0,"&amp;categories!B390&amp;",'"&amp;RIGHT(categories!G390,LEN(categories!G390)-1)&amp;"');","")</f>
        <v>INSERT INTO `catalog_category_entity_varchar` (attribute_id,store_id,entity_id,value) VALUES (48,0,176,'img1/img7308.jpg');</v>
      </c>
      <c r="C390" t="str">
        <f>VLOOKUP(categories!B390,'categories-old'!B:G,6,FALSE)</f>
        <v>/img1/img7308.jpg</v>
      </c>
      <c r="D390" t="str">
        <f>VLOOKUP(categories!B390,'categories-old'!B:H,7,FALSE)</f>
        <v>www.americanretailsupply.com\64769\575750\Acrylic-Risers--Cubes\14-Beveled-Edge-Frosted-Acrylic-Risers.html</v>
      </c>
    </row>
    <row r="391" spans="1:4" hidden="1" x14ac:dyDescent="0.25">
      <c r="A391" t="str">
        <f>IF(LEN('categories-old'!G391) &gt; 0, "INSERT INTO `catalog_category_entity_varchar` (attribute_id,store_id,entity_id,value) VALUES (48,0,"&amp;'categories-old'!B391&amp;",'"&amp;RIGHT('categories-old'!G391,LEN('categories-old'!G391)-1)&amp;"');","")</f>
        <v>INSERT INTO `catalog_category_entity_varchar` (attribute_id,store_id,entity_id,value) VALUES (48,0,177,'img1/img8652.jpg');</v>
      </c>
      <c r="B391" t="str">
        <f>IF(LEN(categories!G391) &gt; 0, "INSERT INTO `catalog_category_entity_varchar` (attribute_id,store_id,entity_id,value) VALUES (48,0,"&amp;categories!B391&amp;",'"&amp;RIGHT(categories!G391,LEN(categories!G391)-1)&amp;"');","")</f>
        <v>INSERT INTO `catalog_category_entity_varchar` (attribute_id,store_id,entity_id,value) VALUES (48,0,177,'img1/img8652.jpg');</v>
      </c>
      <c r="C391" t="str">
        <f>VLOOKUP(categories!B391,'categories-old'!B:G,6,FALSE)</f>
        <v>/img1/img8652.jpg</v>
      </c>
      <c r="D391" t="str">
        <f>VLOOKUP(categories!B391,'categories-old'!B:H,7,FALSE)</f>
        <v>www.americanretailsupply.com\64769\575980\Acrylic-Risers--Cubes\12-Beveled-Edge-Frosted-Acrylic-Risers.html</v>
      </c>
    </row>
    <row r="392" spans="1:4" hidden="1" x14ac:dyDescent="0.25">
      <c r="A392" t="str">
        <f>IF(LEN('categories-old'!G392) &gt; 0, "INSERT INTO `catalog_category_entity_varchar` (attribute_id,store_id,entity_id,value) VALUES (48,0,"&amp;'categories-old'!B392&amp;",'"&amp;RIGHT('categories-old'!G392,LEN('categories-old'!G392)-1)&amp;"');","")</f>
        <v>INSERT INTO `catalog_category_entity_varchar` (attribute_id,store_id,entity_id,value) VALUES (48,0,178,'img1/imga451.jpg');</v>
      </c>
      <c r="B392" t="str">
        <f>IF(LEN(categories!G392) &gt; 0, "INSERT INTO `catalog_category_entity_varchar` (attribute_id,store_id,entity_id,value) VALUES (48,0,"&amp;categories!B392&amp;",'"&amp;RIGHT(categories!G392,LEN(categories!G392)-1)&amp;"');","")</f>
        <v>INSERT INTO `catalog_category_entity_varchar` (attribute_id,store_id,entity_id,value) VALUES (48,0,178,'img1/imga451.jpg');</v>
      </c>
      <c r="C392" t="str">
        <f>VLOOKUP(categories!B392,'categories-old'!B:G,6,FALSE)</f>
        <v>/img1/imga451.jpg</v>
      </c>
      <c r="D392" t="str">
        <f>VLOOKUP(categories!B392,'categories-old'!B:H,7,FALSE)</f>
        <v>www.americanretailsupply.com\64769\576066\Acrylic-Risers--Cubes\Acrylic-4-Tier-Spiral-Display.html</v>
      </c>
    </row>
    <row r="393" spans="1:4" hidden="1" x14ac:dyDescent="0.25">
      <c r="A393" t="str">
        <f>IF(LEN('categories-old'!G393) &gt; 0, "INSERT INTO `catalog_category_entity_varchar` (attribute_id,store_id,entity_id,value) VALUES (48,0,"&amp;'categories-old'!B393&amp;",'"&amp;RIGHT('categories-old'!G393,LEN('categories-old'!G393)-1)&amp;"');","")</f>
        <v>INSERT INTO `catalog_category_entity_varchar` (attribute_id,store_id,entity_id,value) VALUES (48,0,179,'img3/imgcb4a.jpg');</v>
      </c>
      <c r="B393" t="str">
        <f>IF(LEN(categories!G393) &gt; 0, "INSERT INTO `catalog_category_entity_varchar` (attribute_id,store_id,entity_id,value) VALUES (48,0,"&amp;categories!B393&amp;",'"&amp;RIGHT(categories!G393,LEN(categories!G393)-1)&amp;"');","")</f>
        <v>INSERT INTO `catalog_category_entity_varchar` (attribute_id,store_id,entity_id,value) VALUES (48,0,179,'img3/imgcb4a.jpg');</v>
      </c>
      <c r="C393" t="str">
        <f>VLOOKUP(categories!B393,'categories-old'!B:G,6,FALSE)</f>
        <v>/img3/imgcb4a.jpg</v>
      </c>
      <c r="D393" t="str">
        <f>VLOOKUP(categories!B393,'categories-old'!B:H,7,FALSE)</f>
        <v>www.americanretailsupply.com\64769\576067\Acrylic-Risers--Cubes\Acrylic-Interlocking-Four-Way-Riser.html</v>
      </c>
    </row>
    <row r="394" spans="1:4" hidden="1" x14ac:dyDescent="0.25">
      <c r="A394" t="str">
        <f>IF(LEN('categories-old'!G394) &gt; 0, "INSERT INTO `catalog_category_entity_varchar` (attribute_id,store_id,entity_id,value) VALUES (48,0,"&amp;'categories-old'!B394&amp;",'"&amp;RIGHT('categories-old'!G394,LEN('categories-old'!G394)-1)&amp;"');","")</f>
        <v>INSERT INTO `catalog_category_entity_varchar` (attribute_id,store_id,entity_id,value) VALUES (48,0,180,'img2/img2ab1.jpg');</v>
      </c>
      <c r="B394" t="str">
        <f>IF(LEN(categories!G394) &gt; 0, "INSERT INTO `catalog_category_entity_varchar` (attribute_id,store_id,entity_id,value) VALUES (48,0,"&amp;categories!B394&amp;",'"&amp;RIGHT(categories!G394,LEN(categories!G394)-1)&amp;"');","")</f>
        <v>INSERT INTO `catalog_category_entity_varchar` (attribute_id,store_id,entity_id,value) VALUES (48,0,180,'img2/img2ab1.jpg');</v>
      </c>
      <c r="C394" t="str">
        <f>VLOOKUP(categories!B394,'categories-old'!B:G,6,FALSE)</f>
        <v>/img2/img2ab1.jpg</v>
      </c>
      <c r="D394" t="str">
        <f>VLOOKUP(categories!B394,'categories-old'!B:H,7,FALSE)</f>
        <v>www.americanretailsupply.com\64769\576068\Acrylic-Risers--Cubes\Vertical-Acrylic-Tower-with-5-Platforms.html</v>
      </c>
    </row>
    <row r="395" spans="1:4" hidden="1" x14ac:dyDescent="0.25">
      <c r="A395" t="str">
        <f>IF(LEN('categories-old'!G395) &gt; 0, "INSERT INTO `catalog_category_entity_varchar` (attribute_id,store_id,entity_id,value) VALUES (48,0,"&amp;'categories-old'!B395&amp;",'"&amp;RIGHT('categories-old'!G395,LEN('categories-old'!G395)-1)&amp;"');","")</f>
        <v>INSERT INTO `catalog_category_entity_varchar` (attribute_id,store_id,entity_id,value) VALUES (48,0,184,'img3/imgd60d.jpg');</v>
      </c>
      <c r="B395" t="str">
        <f>IF(LEN(categories!G395) &gt; 0, "INSERT INTO `catalog_category_entity_varchar` (attribute_id,store_id,entity_id,value) VALUES (48,0,"&amp;categories!B395&amp;",'"&amp;RIGHT(categories!G395,LEN(categories!G395)-1)&amp;"');","")</f>
        <v>INSERT INTO `catalog_category_entity_varchar` (attribute_id,store_id,entity_id,value) VALUES (48,0,184,'img3/imgd60d.jpg');</v>
      </c>
      <c r="C395" t="str">
        <f>VLOOKUP(categories!B395,'categories-old'!B:G,6,FALSE)</f>
        <v>/img3/imgd60d.jpg</v>
      </c>
      <c r="D395" t="str">
        <f>VLOOKUP(categories!B395,'categories-old'!B:H,7,FALSE)</f>
        <v>www.americanretailsupply.com\64983\575655\Acrylic-Sign-Card-Frames\Acrylic-Sign-Holders-for-Wallmount-Extra-Large.html</v>
      </c>
    </row>
    <row r="396" spans="1:4" hidden="1" x14ac:dyDescent="0.25">
      <c r="A396" t="str">
        <f>IF(LEN('categories-old'!G396) &gt; 0, "INSERT INTO `catalog_category_entity_varchar` (attribute_id,store_id,entity_id,value) VALUES (48,0,"&amp;'categories-old'!B396&amp;",'"&amp;RIGHT('categories-old'!G396,LEN('categories-old'!G396)-1)&amp;"');","")</f>
        <v>INSERT INTO `catalog_category_entity_varchar` (attribute_id,store_id,entity_id,value) VALUES (48,0,185,'img2/imgd07b.jpg');</v>
      </c>
      <c r="B396" t="str">
        <f>IF(LEN(categories!G396) &gt; 0, "INSERT INTO `catalog_category_entity_varchar` (attribute_id,store_id,entity_id,value) VALUES (48,0,"&amp;categories!B396&amp;",'"&amp;RIGHT(categories!G396,LEN(categories!G396)-1)&amp;"');","")</f>
        <v>INSERT INTO `catalog_category_entity_varchar` (attribute_id,store_id,entity_id,value) VALUES (48,0,185,'img2/imgd07b.jpg');</v>
      </c>
      <c r="C396" t="str">
        <f>VLOOKUP(categories!B396,'categories-old'!B:G,6,FALSE)</f>
        <v>/img2/imgd07b.jpg</v>
      </c>
      <c r="D396" t="str">
        <f>VLOOKUP(categories!B396,'categories-old'!B:H,7,FALSE)</f>
        <v>www.americanretailsupply.com\64983\575694\Acrylic-Sign-Card-Frames\Acrylic-Sign-Holders-for-Countertop-Economy-Slant-Back.html</v>
      </c>
    </row>
    <row r="397" spans="1:4" hidden="1" x14ac:dyDescent="0.25">
      <c r="A397" t="str">
        <f>IF(LEN('categories-old'!G397) &gt; 0, "INSERT INTO `catalog_category_entity_varchar` (attribute_id,store_id,entity_id,value) VALUES (48,0,"&amp;'categories-old'!B397&amp;",'"&amp;RIGHT('categories-old'!G397,LEN('categories-old'!G397)-1)&amp;"');","")</f>
        <v>INSERT INTO `catalog_category_entity_varchar` (attribute_id,store_id,entity_id,value) VALUES (48,0,186,'img3/img4dcb.jpg');</v>
      </c>
      <c r="B397" t="str">
        <f>IF(LEN(categories!G397) &gt; 0, "INSERT INTO `catalog_category_entity_varchar` (attribute_id,store_id,entity_id,value) VALUES (48,0,"&amp;categories!B397&amp;",'"&amp;RIGHT(categories!G397,LEN(categories!G397)-1)&amp;"');","")</f>
        <v>INSERT INTO `catalog_category_entity_varchar` (attribute_id,store_id,entity_id,value) VALUES (48,0,186,'img3/img4dcb.jpg');</v>
      </c>
      <c r="C397" t="str">
        <f>VLOOKUP(categories!B397,'categories-old'!B:G,6,FALSE)</f>
        <v>/img3/img4dcb.jpg</v>
      </c>
      <c r="D397" t="str">
        <f>VLOOKUP(categories!B397,'categories-old'!B:H,7,FALSE)</f>
        <v>www.americanretailsupply.com\64983\575695\Acrylic-Sign-Card-Frames\Acrylic-Sign-Holders-with-Chrome-Channel.html</v>
      </c>
    </row>
    <row r="398" spans="1:4" hidden="1" x14ac:dyDescent="0.25">
      <c r="A398" t="str">
        <f>IF(LEN('categories-old'!G398) &gt; 0, "INSERT INTO `catalog_category_entity_varchar` (attribute_id,store_id,entity_id,value) VALUES (48,0,"&amp;'categories-old'!B398&amp;",'"&amp;RIGHT('categories-old'!G398,LEN('categories-old'!G398)-1)&amp;"');","")</f>
        <v>INSERT INTO `catalog_category_entity_varchar` (attribute_id,store_id,entity_id,value) VALUES (48,0,187,'img3/img63b4.jpg');</v>
      </c>
      <c r="B398" t="str">
        <f>IF(LEN(categories!G398) &gt; 0, "INSERT INTO `catalog_category_entity_varchar` (attribute_id,store_id,entity_id,value) VALUES (48,0,"&amp;categories!B398&amp;",'"&amp;RIGHT(categories!G398,LEN(categories!G398)-1)&amp;"');","")</f>
        <v>INSERT INTO `catalog_category_entity_varchar` (attribute_id,store_id,entity_id,value) VALUES (48,0,187,'img3/img63b4.jpg');</v>
      </c>
      <c r="C398" t="str">
        <f>VLOOKUP(categories!B398,'categories-old'!B:G,6,FALSE)</f>
        <v>/img3/img63b4.jpg</v>
      </c>
      <c r="D398" t="str">
        <f>VLOOKUP(categories!B398,'categories-old'!B:H,7,FALSE)</f>
        <v>www.americanretailsupply.com\64983\576366\Acrylic-Sign-Card-Frames\Acrylic-Sign-Holders-Special-with-Holes-to-Attach-to-Shelves-etc.html</v>
      </c>
    </row>
    <row r="399" spans="1:4" hidden="1" x14ac:dyDescent="0.25">
      <c r="A399" t="str">
        <f>IF(LEN('categories-old'!G399) &gt; 0, "INSERT INTO `catalog_category_entity_varchar` (attribute_id,store_id,entity_id,value) VALUES (48,0,"&amp;'categories-old'!B399&amp;",'"&amp;RIGHT('categories-old'!G399,LEN('categories-old'!G399)-1)&amp;"');","")</f>
        <v>INSERT INTO `catalog_category_entity_varchar` (attribute_id,store_id,entity_id,value) VALUES (48,0,188,'img1/imgf2ff-2.jpg');</v>
      </c>
      <c r="B399" t="str">
        <f>IF(LEN(categories!G399) &gt; 0, "INSERT INTO `catalog_category_entity_varchar` (attribute_id,store_id,entity_id,value) VALUES (48,0,"&amp;categories!B399&amp;",'"&amp;RIGHT(categories!G399,LEN(categories!G399)-1)&amp;"');","")</f>
        <v>INSERT INTO `catalog_category_entity_varchar` (attribute_id,store_id,entity_id,value) VALUES (48,0,188,'img1/imgf2ff-2.jpg');</v>
      </c>
      <c r="C399" t="str">
        <f>VLOOKUP(categories!B399,'categories-old'!B:G,6,FALSE)</f>
        <v>/img1/imgf2ff-2.jpg</v>
      </c>
      <c r="D399" t="str">
        <f>VLOOKUP(categories!B399,'categories-old'!B:H,7,FALSE)</f>
        <v>www.americanretailsupply.com\64983\782978\Acrylic-Sign-Card-Frames\Acrylic-Specialty-Sign-Holders.html</v>
      </c>
    </row>
    <row r="400" spans="1:4" hidden="1" x14ac:dyDescent="0.25">
      <c r="A400" t="str">
        <f>IF(LEN('categories-old'!G400) &gt; 0, "INSERT INTO `catalog_category_entity_varchar` (attribute_id,store_id,entity_id,value) VALUES (48,0,"&amp;'categories-old'!B400&amp;",'"&amp;RIGHT('categories-old'!G400,LEN('categories-old'!G400)-1)&amp;"');","")</f>
        <v>INSERT INTO `catalog_category_entity_varchar` (attribute_id,store_id,entity_id,value) VALUES (48,0,189,'img2/imga120.jpg');</v>
      </c>
      <c r="B400" t="str">
        <f>IF(LEN(categories!G400) &gt; 0, "INSERT INTO `catalog_category_entity_varchar` (attribute_id,store_id,entity_id,value) VALUES (48,0,"&amp;categories!B400&amp;",'"&amp;RIGHT(categories!G400,LEN(categories!G400)-1)&amp;"');","")</f>
        <v>INSERT INTO `catalog_category_entity_varchar` (attribute_id,store_id,entity_id,value) VALUES (48,0,189,'img2/imga120.jpg');</v>
      </c>
      <c r="C400" t="str">
        <f>VLOOKUP(categories!B400,'categories-old'!B:G,6,FALSE)</f>
        <v>/img2/imga120.jpg</v>
      </c>
      <c r="D400" t="str">
        <f>VLOOKUP(categories!B400,'categories-old'!B:H,7,FALSE)</f>
        <v>www.americanretailsupply.com\64983\782979\Acrylic-Sign-Card-Frames\Acrylic-Sign-Holder-with-Literature-Pocket.html</v>
      </c>
    </row>
    <row r="401" spans="1:4" hidden="1" x14ac:dyDescent="0.25">
      <c r="A401" t="str">
        <f>IF(LEN('categories-old'!G401) &gt; 0, "INSERT INTO `catalog_category_entity_varchar` (attribute_id,store_id,entity_id,value) VALUES (48,0,"&amp;'categories-old'!B401&amp;",'"&amp;RIGHT('categories-old'!G401,LEN('categories-old'!G401)-1)&amp;"');","")</f>
        <v>INSERT INTO `catalog_category_entity_varchar` (attribute_id,store_id,entity_id,value) VALUES (48,0,190,'img3/img1dcd.jpg');</v>
      </c>
      <c r="B401" t="str">
        <f>IF(LEN(categories!G401) &gt; 0, "INSERT INTO `catalog_category_entity_varchar` (attribute_id,store_id,entity_id,value) VALUES (48,0,"&amp;categories!B401&amp;",'"&amp;RIGHT(categories!G401,LEN(categories!G401)-1)&amp;"');","")</f>
        <v>INSERT INTO `catalog_category_entity_varchar` (attribute_id,store_id,entity_id,value) VALUES (48,0,190,'img3/img1dcd.jpg');</v>
      </c>
      <c r="C401" t="str">
        <f>VLOOKUP(categories!B401,'categories-old'!B:G,6,FALSE)</f>
        <v>/img3/img1dcd.jpg</v>
      </c>
      <c r="D401" t="str">
        <f>VLOOKUP(categories!B401,'categories-old'!B:H,7,FALSE)</f>
        <v>www.americanretailsupply.com\64983\783312\Acrylic-Sign-Card-Frames\Acrylic-Slant-Back-Countertop-Sign-Holders.html</v>
      </c>
    </row>
    <row r="402" spans="1:4" hidden="1" x14ac:dyDescent="0.25">
      <c r="A402" t="str">
        <f>IF(LEN('categories-old'!G402) &gt; 0, "INSERT INTO `catalog_category_entity_varchar` (attribute_id,store_id,entity_id,value) VALUES (48,0,"&amp;'categories-old'!B402&amp;",'"&amp;RIGHT('categories-old'!G402,LEN('categories-old'!G402)-1)&amp;"');","")</f>
        <v>INSERT INTO `catalog_category_entity_varchar` (attribute_id,store_id,entity_id,value) VALUES (48,0,191,'img2/img23da.jpg');</v>
      </c>
      <c r="B402" t="str">
        <f>IF(LEN(categories!G402) &gt; 0, "INSERT INTO `catalog_category_entity_varchar` (attribute_id,store_id,entity_id,value) VALUES (48,0,"&amp;categories!B402&amp;",'"&amp;RIGHT(categories!G402,LEN(categories!G402)-1)&amp;"');","")</f>
        <v>INSERT INTO `catalog_category_entity_varchar` (attribute_id,store_id,entity_id,value) VALUES (48,0,191,'img2/img23da.jpg');</v>
      </c>
      <c r="C402" t="str">
        <f>VLOOKUP(categories!B402,'categories-old'!B:G,6,FALSE)</f>
        <v>/img2/img23da.jpg</v>
      </c>
      <c r="D402" t="str">
        <f>VLOOKUP(categories!B402,'categories-old'!B:H,7,FALSE)</f>
        <v>www.americanretailsupply.com\64983\783313\Acrylic-Sign-Card-Frames\Acrylic-Two-Sided-Top-Loading-Sign-Holders.html</v>
      </c>
    </row>
    <row r="403" spans="1:4" hidden="1" x14ac:dyDescent="0.25">
      <c r="A403" t="str">
        <f>IF(LEN('categories-old'!G403) &gt; 0, "INSERT INTO `catalog_category_entity_varchar` (attribute_id,store_id,entity_id,value) VALUES (48,0,"&amp;'categories-old'!B403&amp;",'"&amp;RIGHT('categories-old'!G403,LEN('categories-old'!G403)-1)&amp;"');","")</f>
        <v>INSERT INTO `catalog_category_entity_varchar` (attribute_id,store_id,entity_id,value) VALUES (48,0,192,'img1/imgaea7.jpg');</v>
      </c>
      <c r="B403" t="str">
        <f>IF(LEN(categories!G403) &gt; 0, "INSERT INTO `catalog_category_entity_varchar` (attribute_id,store_id,entity_id,value) VALUES (48,0,"&amp;categories!B403&amp;",'"&amp;RIGHT(categories!G403,LEN(categories!G403)-1)&amp;"');","")</f>
        <v>INSERT INTO `catalog_category_entity_varchar` (attribute_id,store_id,entity_id,value) VALUES (48,0,192,'img1/imgaea7.jpg');</v>
      </c>
      <c r="C403" t="str">
        <f>VLOOKUP(categories!B403,'categories-old'!B:G,6,FALSE)</f>
        <v>/img1/imgaea7.jpg</v>
      </c>
      <c r="D403" t="str">
        <f>VLOOKUP(categories!B403,'categories-old'!B:H,7,FALSE)</f>
        <v>www.americanretailsupply.com\64983\783363\Acrylic-Sign-Card-Frames\Acrylic-Two-Sided-Bottom-Loading-Sign-Holders.html</v>
      </c>
    </row>
    <row r="404" spans="1:4" hidden="1" x14ac:dyDescent="0.25">
      <c r="A404" t="str">
        <f>IF(LEN('categories-old'!G404) &gt; 0, "INSERT INTO `catalog_category_entity_varchar` (attribute_id,store_id,entity_id,value) VALUES (48,0,"&amp;'categories-old'!B404&amp;",'"&amp;RIGHT('categories-old'!G404,LEN('categories-old'!G404)-1)&amp;"');","")</f>
        <v>INSERT INTO `catalog_category_entity_varchar` (attribute_id,store_id,entity_id,value) VALUES (48,0,193,'img3/imgbd2c.jpg');</v>
      </c>
      <c r="B404" t="str">
        <f>IF(LEN(categories!G404) &gt; 0, "INSERT INTO `catalog_category_entity_varchar` (attribute_id,store_id,entity_id,value) VALUES (48,0,"&amp;categories!B404&amp;",'"&amp;RIGHT(categories!G404,LEN(categories!G404)-1)&amp;"');","")</f>
        <v>INSERT INTO `catalog_category_entity_varchar` (attribute_id,store_id,entity_id,value) VALUES (48,0,193,'img3/imgbd2c.jpg');</v>
      </c>
      <c r="C404" t="str">
        <f>VLOOKUP(categories!B404,'categories-old'!B:G,6,FALSE)</f>
        <v>/img3/imgbd2c.jpg</v>
      </c>
      <c r="D404" t="str">
        <f>VLOOKUP(categories!B404,'categories-old'!B:H,7,FALSE)</f>
        <v>www.americanretailsupply.com\64983\783366\Acrylic-Sign-Card-Frames\Economy-Acrylic-Two-Sided-Bottom-Loading-Sign-Holders.html</v>
      </c>
    </row>
    <row r="405" spans="1:4" hidden="1" x14ac:dyDescent="0.25">
      <c r="A405" t="str">
        <f>IF(LEN('categories-old'!G405) &gt; 0, "INSERT INTO `catalog_category_entity_varchar` (attribute_id,store_id,entity_id,value) VALUES (48,0,"&amp;'categories-old'!B405&amp;",'"&amp;RIGHT('categories-old'!G405,LEN('categories-old'!G405)-1)&amp;"');","")</f>
        <v>INSERT INTO `catalog_category_entity_varchar` (attribute_id,store_id,entity_id,value) VALUES (48,0,196,'img2/img192c-2.jpg');</v>
      </c>
      <c r="B405" t="str">
        <f>IF(LEN(categories!G405) &gt; 0, "INSERT INTO `catalog_category_entity_varchar` (attribute_id,store_id,entity_id,value) VALUES (48,0,"&amp;categories!B405&amp;",'"&amp;RIGHT(categories!G405,LEN(categories!G405)-1)&amp;"');","")</f>
        <v>INSERT INTO `catalog_category_entity_varchar` (attribute_id,store_id,entity_id,value) VALUES (48,0,196,'img2/img192c-2.jpg');</v>
      </c>
      <c r="C405" t="str">
        <f>VLOOKUP(categories!B405,'categories-old'!B:G,6,FALSE)</f>
        <v>/img2/img192c-2.jpg</v>
      </c>
      <c r="D405" t="str">
        <f>VLOOKUP(categories!B405,'categories-old'!B:H,7,FALSE)</f>
        <v>www.americanretailsupply.com\65161\154763\Apollo--Athena-Forms\Athena-Miss-Size-Full-Torso-Form.html</v>
      </c>
    </row>
    <row r="406" spans="1:4" hidden="1" x14ac:dyDescent="0.25">
      <c r="A406" t="str">
        <f>IF(LEN('categories-old'!G406) &gt; 0, "INSERT INTO `catalog_category_entity_varchar` (attribute_id,store_id,entity_id,value) VALUES (48,0,"&amp;'categories-old'!B406&amp;",'"&amp;RIGHT('categories-old'!G406,LEN('categories-old'!G406)-1)&amp;"');","")</f>
        <v>INSERT INTO `catalog_category_entity_varchar` (attribute_id,store_id,entity_id,value) VALUES (48,0,197,'img3/imgf663-2.jpg');</v>
      </c>
      <c r="B406" t="str">
        <f>IF(LEN(categories!G406) &gt; 0, "INSERT INTO `catalog_category_entity_varchar` (attribute_id,store_id,entity_id,value) VALUES (48,0,"&amp;categories!B406&amp;",'"&amp;RIGHT(categories!G406,LEN(categories!G406)-1)&amp;"');","")</f>
        <v>INSERT INTO `catalog_category_entity_varchar` (attribute_id,store_id,entity_id,value) VALUES (48,0,197,'img3/imgf663-2.jpg');</v>
      </c>
      <c r="C406" t="str">
        <f>VLOOKUP(categories!B406,'categories-old'!B:G,6,FALSE)</f>
        <v>/img3/imgf663-2.jpg</v>
      </c>
      <c r="D406" t="str">
        <f>VLOOKUP(categories!B406,'categories-old'!B:H,7,FALSE)</f>
        <v>www.americanretailsupply.com\65161\154765\Apollo--Athena-Forms\Athena-Ladies-Blouse-Form.html</v>
      </c>
    </row>
    <row r="407" spans="1:4" hidden="1" x14ac:dyDescent="0.25">
      <c r="A407" t="str">
        <f>IF(LEN('categories-old'!G407) &gt; 0, "INSERT INTO `catalog_category_entity_varchar` (attribute_id,store_id,entity_id,value) VALUES (48,0,"&amp;'categories-old'!B407&amp;",'"&amp;RIGHT('categories-old'!G407,LEN('categories-old'!G407)-1)&amp;"');","")</f>
        <v>INSERT INTO `catalog_category_entity_varchar` (attribute_id,store_id,entity_id,value) VALUES (48,0,198,'img2/img883d.jpg');</v>
      </c>
      <c r="B407" t="str">
        <f>IF(LEN(categories!G407) &gt; 0, "INSERT INTO `catalog_category_entity_varchar` (attribute_id,store_id,entity_id,value) VALUES (48,0,"&amp;categories!B407&amp;",'"&amp;RIGHT(categories!G407,LEN(categories!G407)-1)&amp;"');","")</f>
        <v>INSERT INTO `catalog_category_entity_varchar` (attribute_id,store_id,entity_id,value) VALUES (48,0,198,'img2/img883d.jpg');</v>
      </c>
      <c r="C407" t="str">
        <f>VLOOKUP(categories!B407,'categories-old'!B:G,6,FALSE)</f>
        <v>/img2/img883d.jpg</v>
      </c>
      <c r="D407" t="str">
        <f>VLOOKUP(categories!B407,'categories-old'!B:H,7,FALSE)</f>
        <v>www.americanretailsupply.com\65161\154768\Apollo--Athena-Forms\Apollo-Torso-Form-wMatching-Painted-Wooden-Snap--on-Base.html</v>
      </c>
    </row>
    <row r="408" spans="1:4" hidden="1" x14ac:dyDescent="0.25">
      <c r="A408" t="str">
        <f>IF(LEN('categories-old'!G408) &gt; 0, "INSERT INTO `catalog_category_entity_varchar` (attribute_id,store_id,entity_id,value) VALUES (48,0,"&amp;'categories-old'!B408&amp;",'"&amp;RIGHT('categories-old'!G408,LEN('categories-old'!G408)-1)&amp;"');","")</f>
        <v>INSERT INTO `catalog_category_entity_varchar` (attribute_id,store_id,entity_id,value) VALUES (48,0,199,'img3/img2b64.jpg');</v>
      </c>
      <c r="B408" t="str">
        <f>IF(LEN(categories!G408) &gt; 0, "INSERT INTO `catalog_category_entity_varchar` (attribute_id,store_id,entity_id,value) VALUES (48,0,"&amp;categories!B408&amp;",'"&amp;RIGHT(categories!G408,LEN(categories!G408)-1)&amp;"');","")</f>
        <v>INSERT INTO `catalog_category_entity_varchar` (attribute_id,store_id,entity_id,value) VALUES (48,0,199,'img3/img2b64.jpg');</v>
      </c>
      <c r="C408" t="str">
        <f>VLOOKUP(categories!B408,'categories-old'!B:G,6,FALSE)</f>
        <v>/img3/img2b64.jpg</v>
      </c>
      <c r="D408" t="str">
        <f>VLOOKUP(categories!B408,'categories-old'!B:H,7,FALSE)</f>
        <v>www.americanretailsupply.com\65161\154769\Apollo--Athena-Forms\Apollo-Muscular-Shirt-Form.html</v>
      </c>
    </row>
    <row r="409" spans="1:4" hidden="1" x14ac:dyDescent="0.25">
      <c r="A409" t="str">
        <f>IF(LEN('categories-old'!G409) &gt; 0, "INSERT INTO `catalog_category_entity_varchar` (attribute_id,store_id,entity_id,value) VALUES (48,0,"&amp;'categories-old'!B409&amp;",'"&amp;RIGHT('categories-old'!G409,LEN('categories-old'!G409)-1)&amp;"');","")</f>
        <v>INSERT INTO `catalog_category_entity_varchar` (attribute_id,store_id,entity_id,value) VALUES (48,0,200,'img1/img8cfb.jpg');</v>
      </c>
      <c r="B409" t="str">
        <f>IF(LEN(categories!G409) &gt; 0, "INSERT INTO `catalog_category_entity_varchar` (attribute_id,store_id,entity_id,value) VALUES (48,0,"&amp;categories!B409&amp;",'"&amp;RIGHT(categories!G409,LEN(categories!G409)-1)&amp;"');","")</f>
        <v>INSERT INTO `catalog_category_entity_varchar` (attribute_id,store_id,entity_id,value) VALUES (48,0,200,'img1/img8cfb.jpg');</v>
      </c>
      <c r="C409" t="str">
        <f>VLOOKUP(categories!B409,'categories-old'!B:G,6,FALSE)</f>
        <v>/img1/img8cfb.jpg</v>
      </c>
      <c r="D409" t="str">
        <f>VLOOKUP(categories!B409,'categories-old'!B:H,7,FALSE)</f>
        <v>www.americanretailsupply.com\65161\154771\Apollo--Athena-Forms\Adjustable-Sweater-and-Jacket-Form.html</v>
      </c>
    </row>
    <row r="410" spans="1:4" hidden="1" x14ac:dyDescent="0.25">
      <c r="A410" t="str">
        <f>IF(LEN('categories-old'!G410) &gt; 0, "INSERT INTO `catalog_category_entity_varchar` (attribute_id,store_id,entity_id,value) VALUES (48,0,"&amp;'categories-old'!B410&amp;",'"&amp;RIGHT('categories-old'!G410,LEN('categories-old'!G410)-1)&amp;"');","")</f>
        <v>INSERT INTO `catalog_category_entity_varchar` (attribute_id,store_id,entity_id,value) VALUES (48,0,201,'img2/img2ad5.jpg');</v>
      </c>
      <c r="B410" t="str">
        <f>IF(LEN(categories!G410) &gt; 0, "INSERT INTO `catalog_category_entity_varchar` (attribute_id,store_id,entity_id,value) VALUES (48,0,"&amp;categories!B410&amp;",'"&amp;RIGHT(categories!G410,LEN(categories!G410)-1)&amp;"');","")</f>
        <v>INSERT INTO `catalog_category_entity_varchar` (attribute_id,store_id,entity_id,value) VALUES (48,0,201,'img2/img2ad5.jpg');</v>
      </c>
      <c r="C410" t="str">
        <f>VLOOKUP(categories!B410,'categories-old'!B:G,6,FALSE)</f>
        <v>/img2/img2ad5.jpg</v>
      </c>
      <c r="D410" t="str">
        <f>VLOOKUP(categories!B410,'categories-old'!B:H,7,FALSE)</f>
        <v>www.americanretailsupply.com\65161\741160\Apollo--Athena-Forms\Apollo-Torso-Form-with-Wood-Pin-Base.html</v>
      </c>
    </row>
    <row r="411" spans="1:4" hidden="1" x14ac:dyDescent="0.25">
      <c r="A411" t="str">
        <f>IF(LEN('categories-old'!G411) &gt; 0, "INSERT INTO `catalog_category_entity_varchar` (attribute_id,store_id,entity_id,value) VALUES (48,0,"&amp;'categories-old'!B411&amp;",'"&amp;RIGHT('categories-old'!G411,LEN('categories-old'!G411)-1)&amp;"');","")</f>
        <v>INSERT INTO `catalog_category_entity_varchar` (attribute_id,store_id,entity_id,value) VALUES (48,0,203,'img2/img5dd5.jpg');</v>
      </c>
      <c r="B411" t="str">
        <f>IF(LEN(categories!G411) &gt; 0, "INSERT INTO `catalog_category_entity_varchar` (attribute_id,store_id,entity_id,value) VALUES (48,0,"&amp;categories!B411&amp;",'"&amp;RIGHT(categories!G411,LEN(categories!G411)-1)&amp;"');","")</f>
        <v>INSERT INTO `catalog_category_entity_varchar` (attribute_id,store_id,entity_id,value) VALUES (48,0,203,'img2/img5dd5.jpg');</v>
      </c>
      <c r="C411" t="str">
        <f>VLOOKUP(categories!B411,'categories-old'!B:G,6,FALSE)</f>
        <v>/img2/img5dd5.jpg</v>
      </c>
      <c r="D411" t="str">
        <f>VLOOKUP(categories!B411,'categories-old'!B:H,7,FALSE)</f>
        <v>www.americanretailsupply.com\25490\235905\Apollo-and-Athena-Series-Mannequins\Base-for-Apollo--Athena-Forms.html</v>
      </c>
    </row>
    <row r="412" spans="1:4" hidden="1" x14ac:dyDescent="0.25">
      <c r="A412" t="str">
        <f>IF(LEN('categories-old'!G412) &gt; 0, "INSERT INTO `catalog_category_entity_varchar` (attribute_id,store_id,entity_id,value) VALUES (48,0,"&amp;'categories-old'!B412&amp;",'"&amp;RIGHT('categories-old'!G412,LEN('categories-old'!G412)-1)&amp;"');","")</f>
        <v>INSERT INTO `catalog_category_entity_varchar` (attribute_id,store_id,entity_id,value) VALUES (48,0,204,'img3/imgd28d.jpg');</v>
      </c>
      <c r="B412" t="str">
        <f>IF(LEN(categories!G412) &gt; 0, "INSERT INTO `catalog_category_entity_varchar` (attribute_id,store_id,entity_id,value) VALUES (48,0,"&amp;categories!B412&amp;",'"&amp;RIGHT(categories!G412,LEN(categories!G412)-1)&amp;"');","")</f>
        <v>INSERT INTO `catalog_category_entity_varchar` (attribute_id,store_id,entity_id,value) VALUES (48,0,204,'img3/imgd28d.jpg');</v>
      </c>
      <c r="C412" t="str">
        <f>VLOOKUP(categories!B412,'categories-old'!B:G,6,FALSE)</f>
        <v>/img3/imgd28d.jpg</v>
      </c>
      <c r="D412" t="str">
        <f>VLOOKUP(categories!B412,'categories-old'!B:H,7,FALSE)</f>
        <v>www.americanretailsupply.com\25490\235906\Apollo-and-Athena-Series-Mannequins\Upright-for-Apollo--Athena-Forms.html</v>
      </c>
    </row>
    <row r="413" spans="1:4" hidden="1" x14ac:dyDescent="0.25">
      <c r="A413" t="str">
        <f>IF(LEN('categories-old'!G413) &gt; 0, "INSERT INTO `catalog_category_entity_varchar` (attribute_id,store_id,entity_id,value) VALUES (48,0,"&amp;'categories-old'!B413&amp;",'"&amp;RIGHT('categories-old'!G413,LEN('categories-old'!G413)-1)&amp;"');","")</f>
        <v>INSERT INTO `catalog_category_entity_varchar` (attribute_id,store_id,entity_id,value) VALUES (48,0,207,'img1/imgd8b8.jpg');</v>
      </c>
      <c r="B413" t="str">
        <f>IF(LEN(categories!G413) &gt; 0, "INSERT INTO `catalog_category_entity_varchar` (attribute_id,store_id,entity_id,value) VALUES (48,0,"&amp;categories!B413&amp;",'"&amp;RIGHT(categories!G413,LEN(categories!G413)-1)&amp;"');","")</f>
        <v>INSERT INTO `catalog_category_entity_varchar` (attribute_id,store_id,entity_id,value) VALUES (48,0,207,'img1/imgd8b8.jpg');</v>
      </c>
      <c r="C413" t="str">
        <f>VLOOKUP(categories!B413,'categories-old'!B:G,6,FALSE)</f>
        <v>/img1/imgd8b8.jpg</v>
      </c>
      <c r="D413" t="str">
        <f>VLOOKUP(categories!B413,'categories-old'!B:H,7,FALSE)</f>
        <v>www.americanretailsupply.com\65197\36353\Apparel-Accessories--Apparel-Store-Supplies\Display-It-Hooks.html</v>
      </c>
    </row>
    <row r="414" spans="1:4" hidden="1" x14ac:dyDescent="0.25">
      <c r="A414" t="str">
        <f>IF(LEN('categories-old'!G414) &gt; 0, "INSERT INTO `catalog_category_entity_varchar` (attribute_id,store_id,entity_id,value) VALUES (48,0,"&amp;'categories-old'!B414&amp;",'"&amp;RIGHT('categories-old'!G414,LEN('categories-old'!G414)-1)&amp;"');","")</f>
        <v>INSERT INTO `catalog_category_entity_varchar` (attribute_id,store_id,entity_id,value) VALUES (48,0,208,'img2/img8461.jpg');</v>
      </c>
      <c r="B414" t="str">
        <f>IF(LEN(categories!G414) &gt; 0, "INSERT INTO `catalog_category_entity_varchar` (attribute_id,store_id,entity_id,value) VALUES (48,0,"&amp;categories!B414&amp;",'"&amp;RIGHT(categories!G414,LEN(categories!G414)-1)&amp;"');","")</f>
        <v>INSERT INTO `catalog_category_entity_varchar` (attribute_id,store_id,entity_id,value) VALUES (48,0,208,'img2/img8461.jpg');</v>
      </c>
      <c r="C414" t="str">
        <f>VLOOKUP(categories!B414,'categories-old'!B:G,6,FALSE)</f>
        <v>/img2/img8461.jpg</v>
      </c>
      <c r="D414" t="str">
        <f>VLOOKUP(categories!B414,'categories-old'!B:H,7,FALSE)</f>
        <v>www.americanretailsupply.com\65197\36356\Apparel-Accessories--Apparel-Store-Supplies\Safety-Pins.html</v>
      </c>
    </row>
    <row r="415" spans="1:4" hidden="1" x14ac:dyDescent="0.25">
      <c r="A415" t="str">
        <f>IF(LEN('categories-old'!G415) &gt; 0, "INSERT INTO `catalog_category_entity_varchar` (attribute_id,store_id,entity_id,value) VALUES (48,0,"&amp;'categories-old'!B415&amp;",'"&amp;RIGHT('categories-old'!G415,LEN('categories-old'!G415)-1)&amp;"');","")</f>
        <v>INSERT INTO `catalog_category_entity_varchar` (attribute_id,store_id,entity_id,value) VALUES (48,0,209,'img3/imgcbce.jpg');</v>
      </c>
      <c r="B415" t="str">
        <f>IF(LEN(categories!G415) &gt; 0, "INSERT INTO `catalog_category_entity_varchar` (attribute_id,store_id,entity_id,value) VALUES (48,0,"&amp;categories!B415&amp;",'"&amp;RIGHT(categories!G415,LEN(categories!G415)-1)&amp;"');","")</f>
        <v>INSERT INTO `catalog_category_entity_varchar` (attribute_id,store_id,entity_id,value) VALUES (48,0,209,'img3/imgcbce.jpg');</v>
      </c>
      <c r="C415" t="str">
        <f>VLOOKUP(categories!B415,'categories-old'!B:G,6,FALSE)</f>
        <v>/img3/imgcbce.jpg</v>
      </c>
      <c r="D415" t="str">
        <f>VLOOKUP(categories!B415,'categories-old'!B:H,7,FALSE)</f>
        <v>www.americanretailsupply.com\65197\36372\Apparel-Accessories--Apparel-Store-Supplies\Cosmetic-Stain-Remover.html</v>
      </c>
    </row>
    <row r="416" spans="1:4" hidden="1" x14ac:dyDescent="0.25">
      <c r="A416" t="str">
        <f>IF(LEN('categories-old'!G416) &gt; 0, "INSERT INTO `catalog_category_entity_varchar` (attribute_id,store_id,entity_id,value) VALUES (48,0,"&amp;'categories-old'!B416&amp;",'"&amp;RIGHT('categories-old'!G416,LEN('categories-old'!G416)-1)&amp;"');","")</f>
        <v>INSERT INTO `catalog_category_entity_varchar` (attribute_id,store_id,entity_id,value) VALUES (48,0,210,'img3/img2e02.jpg');</v>
      </c>
      <c r="B416" t="str">
        <f>IF(LEN(categories!G416) &gt; 0, "INSERT INTO `catalog_category_entity_varchar` (attribute_id,store_id,entity_id,value) VALUES (48,0,"&amp;categories!B416&amp;",'"&amp;RIGHT(categories!G416,LEN(categories!G416)-1)&amp;"');","")</f>
        <v>INSERT INTO `catalog_category_entity_varchar` (attribute_id,store_id,entity_id,value) VALUES (48,0,210,'img3/img2e02.jpg');</v>
      </c>
      <c r="C416" t="str">
        <f>VLOOKUP(categories!B416,'categories-old'!B:G,6,FALSE)</f>
        <v>/img3/img2e02.jpg</v>
      </c>
      <c r="D416" t="str">
        <f>VLOOKUP(categories!B416,'categories-old'!B:H,7,FALSE)</f>
        <v>www.americanretailsupply.com\65197\36373\Apparel-Accessories--Apparel-Store-Supplies\Lint-Pickup-Roller.html</v>
      </c>
    </row>
    <row r="417" spans="1:4" hidden="1" x14ac:dyDescent="0.25">
      <c r="A417" t="str">
        <f>IF(LEN('categories-old'!G417) &gt; 0, "INSERT INTO `catalog_category_entity_varchar` (attribute_id,store_id,entity_id,value) VALUES (48,0,"&amp;'categories-old'!B417&amp;",'"&amp;RIGHT('categories-old'!G417,LEN('categories-old'!G417)-1)&amp;"');","")</f>
        <v>INSERT INTO `catalog_category_entity_varchar` (attribute_id,store_id,entity_id,value) VALUES (48,0,211,'img3/img14a5.jpg');</v>
      </c>
      <c r="B417" t="str">
        <f>IF(LEN(categories!G417) &gt; 0, "INSERT INTO `catalog_category_entity_varchar` (attribute_id,store_id,entity_id,value) VALUES (48,0,"&amp;categories!B417&amp;",'"&amp;RIGHT(categories!G417,LEN(categories!G417)-1)&amp;"');","")</f>
        <v>INSERT INTO `catalog_category_entity_varchar` (attribute_id,store_id,entity_id,value) VALUES (48,0,211,'img3/img14a5.jpg');</v>
      </c>
      <c r="C417" t="str">
        <f>VLOOKUP(categories!B417,'categories-old'!B:G,6,FALSE)</f>
        <v>/img3/img14a5.jpg</v>
      </c>
      <c r="D417" t="str">
        <f>VLOOKUP(categories!B417,'categories-old'!B:H,7,FALSE)</f>
        <v>www.americanretailsupply.com\65197\36374\Apparel-Accessories--Apparel-Store-Supplies\Try--Ons.html</v>
      </c>
    </row>
    <row r="418" spans="1:4" hidden="1" x14ac:dyDescent="0.25">
      <c r="A418" t="str">
        <f>IF(LEN('categories-old'!G418) &gt; 0, "INSERT INTO `catalog_category_entity_varchar` (attribute_id,store_id,entity_id,value) VALUES (48,0,"&amp;'categories-old'!B418&amp;",'"&amp;RIGHT('categories-old'!G418,LEN('categories-old'!G418)-1)&amp;"');","")</f>
        <v>INSERT INTO `catalog_category_entity_varchar` (attribute_id,store_id,entity_id,value) VALUES (48,0,212,'img1/imga7c2.jpg');</v>
      </c>
      <c r="B418" t="str">
        <f>IF(LEN(categories!G418) &gt; 0, "INSERT INTO `catalog_category_entity_varchar` (attribute_id,store_id,entity_id,value) VALUES (48,0,"&amp;categories!B418&amp;",'"&amp;RIGHT(categories!G418,LEN(categories!G418)-1)&amp;"');","")</f>
        <v>INSERT INTO `catalog_category_entity_varchar` (attribute_id,store_id,entity_id,value) VALUES (48,0,212,'img1/imga7c2.jpg');</v>
      </c>
      <c r="C418" t="str">
        <f>VLOOKUP(categories!B418,'categories-old'!B:G,6,FALSE)</f>
        <v>/img1/imga7c2.jpg</v>
      </c>
      <c r="D418" t="str">
        <f>VLOOKUP(categories!B418,'categories-old'!B:H,7,FALSE)</f>
        <v>www.americanretailsupply.com\65197\47174\Apparel-Accessories--Apparel-Store-Supplies\Neck-Tie-Holders.html</v>
      </c>
    </row>
    <row r="419" spans="1:4" hidden="1" x14ac:dyDescent="0.25">
      <c r="A419" t="str">
        <f>IF(LEN('categories-old'!G419) &gt; 0, "INSERT INTO `catalog_category_entity_varchar` (attribute_id,store_id,entity_id,value) VALUES (48,0,"&amp;'categories-old'!B419&amp;",'"&amp;RIGHT('categories-old'!G419,LEN('categories-old'!G419)-1)&amp;"');","")</f>
        <v>INSERT INTO `catalog_category_entity_varchar` (attribute_id,store_id,entity_id,value) VALUES (48,0,213,'img3/img5e30.jpg');</v>
      </c>
      <c r="B419" t="str">
        <f>IF(LEN(categories!G419) &gt; 0, "INSERT INTO `catalog_category_entity_varchar` (attribute_id,store_id,entity_id,value) VALUES (48,0,"&amp;categories!B419&amp;",'"&amp;RIGHT(categories!G419,LEN(categories!G419)-1)&amp;"');","")</f>
        <v>INSERT INTO `catalog_category_entity_varchar` (attribute_id,store_id,entity_id,value) VALUES (48,0,213,'img3/img5e30.jpg');</v>
      </c>
      <c r="C419" t="str">
        <f>VLOOKUP(categories!B419,'categories-old'!B:G,6,FALSE)</f>
        <v>/img3/img5e30.jpg</v>
      </c>
      <c r="D419" t="str">
        <f>VLOOKUP(categories!B419,'categories-old'!B:H,7,FALSE)</f>
        <v>www.americanretailsupply.com\65197\48245\Apparel-Accessories--Apparel-Store-Supplies\Lift-Off-Gum-and-Adhesive-Remover.html</v>
      </c>
    </row>
    <row r="420" spans="1:4" hidden="1" x14ac:dyDescent="0.25">
      <c r="A420" t="str">
        <f>IF(LEN('categories-old'!G420) &gt; 0, "INSERT INTO `catalog_category_entity_varchar` (attribute_id,store_id,entity_id,value) VALUES (48,0,"&amp;'categories-old'!B420&amp;",'"&amp;RIGHT('categories-old'!G420,LEN('categories-old'!G420)-1)&amp;"');","")</f>
        <v>INSERT INTO `catalog_category_entity_varchar` (attribute_id,store_id,entity_id,value) VALUES (48,0,214,'img2/img22b2.jpg');</v>
      </c>
      <c r="B420" t="str">
        <f>IF(LEN(categories!G420) &gt; 0, "INSERT INTO `catalog_category_entity_varchar` (attribute_id,store_id,entity_id,value) VALUES (48,0,"&amp;categories!B420&amp;",'"&amp;RIGHT(categories!G420,LEN(categories!G420)-1)&amp;"');","")</f>
        <v>INSERT INTO `catalog_category_entity_varchar` (attribute_id,store_id,entity_id,value) VALUES (48,0,214,'img2/img22b2.jpg');</v>
      </c>
      <c r="C420" t="str">
        <f>VLOOKUP(categories!B420,'categories-old'!B:G,6,FALSE)</f>
        <v>/img2/img22b2.jpg</v>
      </c>
      <c r="D420" t="str">
        <f>VLOOKUP(categories!B420,'categories-old'!B:H,7,FALSE)</f>
        <v>www.americanretailsupply.com\65197\48279\Apparel-Accessories--Apparel-Store-Supplies\Silicone-Lubricant-5oz.html</v>
      </c>
    </row>
    <row r="421" spans="1:4" hidden="1" x14ac:dyDescent="0.25">
      <c r="A421" t="str">
        <f>IF(LEN('categories-old'!G421) &gt; 0, "INSERT INTO `catalog_category_entity_varchar` (attribute_id,store_id,entity_id,value) VALUES (48,0,"&amp;'categories-old'!B421&amp;",'"&amp;RIGHT('categories-old'!G421,LEN('categories-old'!G421)-1)&amp;"');","")</f>
        <v>INSERT INTO `catalog_category_entity_varchar` (attribute_id,store_id,entity_id,value) VALUES (48,0,215,'img3/imgd7bf.jpg');</v>
      </c>
      <c r="B421" t="str">
        <f>IF(LEN(categories!G421) &gt; 0, "INSERT INTO `catalog_category_entity_varchar` (attribute_id,store_id,entity_id,value) VALUES (48,0,"&amp;categories!B421&amp;",'"&amp;RIGHT(categories!G421,LEN(categories!G421)-1)&amp;"');","")</f>
        <v>INSERT INTO `catalog_category_entity_varchar` (attribute_id,store_id,entity_id,value) VALUES (48,0,215,'img3/imgd7bf.jpg');</v>
      </c>
      <c r="C421" t="str">
        <f>VLOOKUP(categories!B421,'categories-old'!B:G,6,FALSE)</f>
        <v>/img3/imgd7bf.jpg</v>
      </c>
      <c r="D421" t="str">
        <f>VLOOKUP(categories!B421,'categories-old'!B:H,7,FALSE)</f>
        <v>www.americanretailsupply.com\65197\48281\Apparel-Accessories--Apparel-Store-Supplies\Plastic-Label-Scrapers.html</v>
      </c>
    </row>
    <row r="422" spans="1:4" hidden="1" x14ac:dyDescent="0.25">
      <c r="A422" t="str">
        <f>IF(LEN('categories-old'!G422) &gt; 0, "INSERT INTO `catalog_category_entity_varchar` (attribute_id,store_id,entity_id,value) VALUES (48,0,"&amp;'categories-old'!B422&amp;",'"&amp;RIGHT('categories-old'!G422,LEN('categories-old'!G422)-1)&amp;"');","")</f>
        <v>INSERT INTO `catalog_category_entity_varchar` (attribute_id,store_id,entity_id,value) VALUES (48,0,216,'img2/img81ae.jpg');</v>
      </c>
      <c r="B422" t="str">
        <f>IF(LEN(categories!G422) &gt; 0, "INSERT INTO `catalog_category_entity_varchar` (attribute_id,store_id,entity_id,value) VALUES (48,0,"&amp;categories!B422&amp;",'"&amp;RIGHT(categories!G422,LEN(categories!G422)-1)&amp;"');","")</f>
        <v>INSERT INTO `catalog_category_entity_varchar` (attribute_id,store_id,entity_id,value) VALUES (48,0,216,'img2/img81ae.jpg');</v>
      </c>
      <c r="C422" t="str">
        <f>VLOOKUP(categories!B422,'categories-old'!B:G,6,FALSE)</f>
        <v>/img2/img81ae.jpg</v>
      </c>
      <c r="D422" t="str">
        <f>VLOOKUP(categories!B422,'categories-old'!B:H,7,FALSE)</f>
        <v>www.americanretailsupply.com\65197\48282\Apparel-Accessories--Apparel-Store-Supplies\Metal-Label-Scrapers.html</v>
      </c>
    </row>
    <row r="423" spans="1:4" hidden="1" x14ac:dyDescent="0.25">
      <c r="A423" t="str">
        <f>IF(LEN('categories-old'!G423) &gt; 0, "INSERT INTO `catalog_category_entity_varchar` (attribute_id,store_id,entity_id,value) VALUES (48,0,"&amp;'categories-old'!B423&amp;",'"&amp;RIGHT('categories-old'!G423,LEN('categories-old'!G423)-1)&amp;"');","")</f>
        <v>INSERT INTO `catalog_category_entity_varchar` (attribute_id,store_id,entity_id,value) VALUES (48,0,217,'img1/img82a9.jpg');</v>
      </c>
      <c r="B423" t="str">
        <f>IF(LEN(categories!G423) &gt; 0, "INSERT INTO `catalog_category_entity_varchar` (attribute_id,store_id,entity_id,value) VALUES (48,0,"&amp;categories!B423&amp;",'"&amp;RIGHT(categories!G423,LEN(categories!G423)-1)&amp;"');","")</f>
        <v>INSERT INTO `catalog_category_entity_varchar` (attribute_id,store_id,entity_id,value) VALUES (48,0,217,'img1/img82a9.jpg');</v>
      </c>
      <c r="C423" t="str">
        <f>VLOOKUP(categories!B423,'categories-old'!B:G,6,FALSE)</f>
        <v>/img1/img82a9.jpg</v>
      </c>
      <c r="D423" t="str">
        <f>VLOOKUP(categories!B423,'categories-old'!B:H,7,FALSE)</f>
        <v>www.americanretailsupply.com\65197\244287\Apparel-Accessories--Apparel-Store-Supplies\Steel-Bank-Pins.html</v>
      </c>
    </row>
    <row r="424" spans="1:4" hidden="1" x14ac:dyDescent="0.25">
      <c r="A424" t="str">
        <f>IF(LEN('categories-old'!G424) &gt; 0, "INSERT INTO `catalog_category_entity_varchar` (attribute_id,store_id,entity_id,value) VALUES (48,0,"&amp;'categories-old'!B424&amp;",'"&amp;RIGHT('categories-old'!G424,LEN('categories-old'!G424)-1)&amp;"');","")</f>
        <v>INSERT INTO `catalog_category_entity_varchar` (attribute_id,store_id,entity_id,value) VALUES (48,0,220,'img3/imgd86d.jpg');</v>
      </c>
      <c r="B424" t="str">
        <f>IF(LEN(categories!G424) &gt; 0, "INSERT INTO `catalog_category_entity_varchar` (attribute_id,store_id,entity_id,value) VALUES (48,0,"&amp;categories!B424&amp;",'"&amp;RIGHT(categories!G424,LEN(categories!G424)-1)&amp;"');","")</f>
        <v>INSERT INTO `catalog_category_entity_varchar` (attribute_id,store_id,entity_id,value) VALUES (48,0,220,'img3/imgd86d.jpg');</v>
      </c>
      <c r="C424" t="str">
        <f>VLOOKUP(categories!B424,'categories-old'!B:G,6,FALSE)</f>
        <v>/img3/imgd86d.jpg</v>
      </c>
      <c r="D424" t="str">
        <f>VLOOKUP(categories!B424,'categories-old'!B:H,7,FALSE)</f>
        <v>www.americanretailsupply.com\64707\780383\Apparel-Boxes\White-2-Piece-Pop-Up-Apparel-Boxes.html</v>
      </c>
    </row>
    <row r="425" spans="1:4" hidden="1" x14ac:dyDescent="0.25">
      <c r="A425" t="str">
        <f>IF(LEN('categories-old'!G425) &gt; 0, "INSERT INTO `catalog_category_entity_varchar` (attribute_id,store_id,entity_id,value) VALUES (48,0,"&amp;'categories-old'!B425&amp;",'"&amp;RIGHT('categories-old'!G425,LEN('categories-old'!G425)-1)&amp;"');","")</f>
        <v>INSERT INTO `catalog_category_entity_varchar` (attribute_id,store_id,entity_id,value) VALUES (48,0,221,'img2/imgc48b.jpg');</v>
      </c>
      <c r="B425" t="str">
        <f>IF(LEN(categories!G425) &gt; 0, "INSERT INTO `catalog_category_entity_varchar` (attribute_id,store_id,entity_id,value) VALUES (48,0,"&amp;categories!B425&amp;",'"&amp;RIGHT(categories!G425,LEN(categories!G425)-1)&amp;"');","")</f>
        <v>INSERT INTO `catalog_category_entity_varchar` (attribute_id,store_id,entity_id,value) VALUES (48,0,221,'img2/imgc48b.jpg');</v>
      </c>
      <c r="C425" t="str">
        <f>VLOOKUP(categories!B425,'categories-old'!B:G,6,FALSE)</f>
        <v>/img2/imgc48b.jpg</v>
      </c>
      <c r="D425" t="str">
        <f>VLOOKUP(categories!B425,'categories-old'!B:H,7,FALSE)</f>
        <v>www.americanretailsupply.com\64707\780384\Apparel-Boxes\Kraft-2-Piece-Pop-Up-Apparel-Boxes.html</v>
      </c>
    </row>
    <row r="426" spans="1:4" hidden="1" x14ac:dyDescent="0.25">
      <c r="A426" t="str">
        <f>IF(LEN('categories-old'!G426) &gt; 0, "INSERT INTO `catalog_category_entity_varchar` (attribute_id,store_id,entity_id,value) VALUES (48,0,"&amp;'categories-old'!B426&amp;",'"&amp;RIGHT('categories-old'!G426,LEN('categories-old'!G426)-1)&amp;"');","")</f>
        <v>INSERT INTO `catalog_category_entity_varchar` (attribute_id,store_id,entity_id,value) VALUES (48,0,224,'img2/img192c.jpg');</v>
      </c>
      <c r="B426" t="str">
        <f>IF(LEN(categories!G426) &gt; 0, "INSERT INTO `catalog_category_entity_varchar` (attribute_id,store_id,entity_id,value) VALUES (48,0,"&amp;categories!B426&amp;",'"&amp;RIGHT(categories!G426,LEN(categories!G426)-1)&amp;"');","")</f>
        <v>INSERT INTO `catalog_category_entity_varchar` (attribute_id,store_id,entity_id,value) VALUES (48,0,224,'img2/img192c.jpg');</v>
      </c>
      <c r="C426" t="str">
        <f>VLOOKUP(categories!B426,'categories-old'!B:G,6,FALSE)</f>
        <v>/img2/img192c.jpg</v>
      </c>
      <c r="D426" t="str">
        <f>VLOOKUP(categories!B426,'categories-old'!B:H,7,FALSE)</f>
        <v>www.americanretailsupply.com\64967\37848\Aristocrat-Extra-HD-Brackets\Aristocrat-Heavy-Duty-Bracket.html</v>
      </c>
    </row>
    <row r="427" spans="1:4" hidden="1" x14ac:dyDescent="0.25">
      <c r="A427" t="str">
        <f>IF(LEN('categories-old'!G427) &gt; 0, "INSERT INTO `catalog_category_entity_varchar` (attribute_id,store_id,entity_id,value) VALUES (48,0,"&amp;'categories-old'!B427&amp;",'"&amp;RIGHT('categories-old'!G427,LEN('categories-old'!G427)-1)&amp;"');","")</f>
        <v>INSERT INTO `catalog_category_entity_varchar` (attribute_id,store_id,entity_id,value) VALUES (48,0,225,'img3/imgda5b.jpg');</v>
      </c>
      <c r="B427" t="str">
        <f>IF(LEN(categories!G427) &gt; 0, "INSERT INTO `catalog_category_entity_varchar` (attribute_id,store_id,entity_id,value) VALUES (48,0,"&amp;categories!B427&amp;",'"&amp;RIGHT(categories!G427,LEN(categories!G427)-1)&amp;"');","")</f>
        <v>INSERT INTO `catalog_category_entity_varchar` (attribute_id,store_id,entity_id,value) VALUES (48,0,225,'img3/imgda5b.jpg');</v>
      </c>
      <c r="C427" t="str">
        <f>VLOOKUP(categories!B427,'categories-old'!B:G,6,FALSE)</f>
        <v>/img3/imgda5b.jpg</v>
      </c>
      <c r="D427" t="str">
        <f>VLOOKUP(categories!B427,'categories-old'!B:H,7,FALSE)</f>
        <v>www.americanretailsupply.com\64967\37849\Aristocrat-Extra-HD-Brackets\Aristocrat-Bracket-with-Upturn-Standard.html</v>
      </c>
    </row>
    <row r="428" spans="1:4" hidden="1" x14ac:dyDescent="0.25">
      <c r="A428" t="str">
        <f>IF(LEN('categories-old'!G428) &gt; 0, "INSERT INTO `catalog_category_entity_varchar` (attribute_id,store_id,entity_id,value) VALUES (48,0,"&amp;'categories-old'!B428&amp;",'"&amp;RIGHT('categories-old'!G428,LEN('categories-old'!G428)-1)&amp;"');","")</f>
        <v>INSERT INTO `catalog_category_entity_varchar` (attribute_id,store_id,entity_id,value) VALUES (48,0,226,'img1/img0c14.jpg');</v>
      </c>
      <c r="B428" t="str">
        <f>IF(LEN(categories!G428) &gt; 0, "INSERT INTO `catalog_category_entity_varchar` (attribute_id,store_id,entity_id,value) VALUES (48,0,"&amp;categories!B428&amp;",'"&amp;RIGHT(categories!G428,LEN(categories!G428)-1)&amp;"');","")</f>
        <v>INSERT INTO `catalog_category_entity_varchar` (attribute_id,store_id,entity_id,value) VALUES (48,0,226,'img1/img0c14.jpg');</v>
      </c>
      <c r="C428" t="str">
        <f>VLOOKUP(categories!B428,'categories-old'!B:G,6,FALSE)</f>
        <v>/img1/img0c14.jpg</v>
      </c>
      <c r="D428" t="str">
        <f>VLOOKUP(categories!B428,'categories-old'!B:H,7,FALSE)</f>
        <v>www.americanretailsupply.com\64967\37852\Aristocrat-Extra-HD-Brackets\Aristocrat-Standard-Bracket.html</v>
      </c>
    </row>
    <row r="429" spans="1:4" hidden="1" x14ac:dyDescent="0.25">
      <c r="A429" t="str">
        <f>IF(LEN('categories-old'!G429) &gt; 0, "INSERT INTO `catalog_category_entity_varchar` (attribute_id,store_id,entity_id,value) VALUES (48,0,"&amp;'categories-old'!B429&amp;",'"&amp;RIGHT('categories-old'!G429,LEN('categories-old'!G429)-1)&amp;"');","")</f>
        <v>INSERT INTO `catalog_category_entity_varchar` (attribute_id,store_id,entity_id,value) VALUES (48,0,227,'img2/img1b8b.jpg');</v>
      </c>
      <c r="B429" t="str">
        <f>IF(LEN(categories!G429) &gt; 0, "INSERT INTO `catalog_category_entity_varchar` (attribute_id,store_id,entity_id,value) VALUES (48,0,"&amp;categories!B429&amp;",'"&amp;RIGHT(categories!G429,LEN(categories!G429)-1)&amp;"');","")</f>
        <v>INSERT INTO `catalog_category_entity_varchar` (attribute_id,store_id,entity_id,value) VALUES (48,0,227,'img2/img1b8b.jpg');</v>
      </c>
      <c r="C429" t="str">
        <f>VLOOKUP(categories!B429,'categories-old'!B:G,6,FALSE)</f>
        <v>/img2/img1b8b.jpg</v>
      </c>
      <c r="D429" t="str">
        <f>VLOOKUP(categories!B429,'categories-old'!B:H,7,FALSE)</f>
        <v>www.americanretailsupply.com\64967\37853\Aristocrat-Extra-HD-Brackets\Shelf-Rest-with-Rubber-Buttons.html</v>
      </c>
    </row>
    <row r="430" spans="1:4" hidden="1" x14ac:dyDescent="0.25">
      <c r="A430" t="str">
        <f>IF(LEN('categories-old'!G430) &gt; 0, "INSERT INTO `catalog_category_entity_varchar` (attribute_id,store_id,entity_id,value) VALUES (48,0,"&amp;'categories-old'!B430&amp;",'"&amp;RIGHT('categories-old'!G430,LEN('categories-old'!G430)-1)&amp;"');","")</f>
        <v>INSERT INTO `catalog_category_entity_varchar` (attribute_id,store_id,entity_id,value) VALUES (48,0,228,'img3/imgdd7e.jpg');</v>
      </c>
      <c r="B430" t="str">
        <f>IF(LEN(categories!G430) &gt; 0, "INSERT INTO `catalog_category_entity_varchar` (attribute_id,store_id,entity_id,value) VALUES (48,0,"&amp;categories!B430&amp;",'"&amp;RIGHT(categories!G430,LEN(categories!G430)-1)&amp;"');","")</f>
        <v>INSERT INTO `catalog_category_entity_varchar` (attribute_id,store_id,entity_id,value) VALUES (48,0,228,'img3/imgdd7e.jpg');</v>
      </c>
      <c r="C430" t="str">
        <f>VLOOKUP(categories!B430,'categories-old'!B:G,6,FALSE)</f>
        <v>/img3/imgdd7e.jpg</v>
      </c>
      <c r="D430" t="str">
        <f>VLOOKUP(categories!B430,'categories-old'!B:H,7,FALSE)</f>
        <v>www.americanretailsupply.com\64967\37855\Aristocrat-Extra-HD-Brackets\Adjustable-Bracket.html</v>
      </c>
    </row>
    <row r="431" spans="1:4" hidden="1" x14ac:dyDescent="0.25">
      <c r="A431" t="str">
        <f>IF(LEN('categories-old'!G431) &gt; 0, "INSERT INTO `catalog_category_entity_varchar` (attribute_id,store_id,entity_id,value) VALUES (48,0,"&amp;'categories-old'!B431&amp;",'"&amp;RIGHT('categories-old'!G431,LEN('categories-old'!G431)-1)&amp;"');","")</f>
        <v>INSERT INTO `catalog_category_entity_varchar` (attribute_id,store_id,entity_id,value) VALUES (48,0,229,'img1/img1b66-2.jpg');</v>
      </c>
      <c r="B431" t="str">
        <f>IF(LEN(categories!G431) &gt; 0, "INSERT INTO `catalog_category_entity_varchar` (attribute_id,store_id,entity_id,value) VALUES (48,0,"&amp;categories!B431&amp;",'"&amp;RIGHT(categories!G431,LEN(categories!G431)-1)&amp;"');","")</f>
        <v>INSERT INTO `catalog_category_entity_varchar` (attribute_id,store_id,entity_id,value) VALUES (48,0,229,'img1/img1b66-2.jpg');</v>
      </c>
      <c r="C431" t="str">
        <f>VLOOKUP(categories!B431,'categories-old'!B:G,6,FALSE)</f>
        <v>/img1/img1b66-2.jpg</v>
      </c>
      <c r="D431" t="str">
        <f>VLOOKUP(categories!B431,'categories-old'!B:H,7,FALSE)</f>
        <v>www.americanretailsupply.com\64967\37856\Aristocrat-Extra-HD-Brackets\Aristocrat-Facia-Bracket.html</v>
      </c>
    </row>
    <row r="432" spans="1:4" hidden="1" x14ac:dyDescent="0.25">
      <c r="A432" t="str">
        <f>IF(LEN('categories-old'!G432) &gt; 0, "INSERT INTO `catalog_category_entity_varchar` (attribute_id,store_id,entity_id,value) VALUES (48,0,"&amp;'categories-old'!B432&amp;",'"&amp;RIGHT('categories-old'!G432,LEN('categories-old'!G432)-1)&amp;"');","")</f>
        <v>INSERT INTO `catalog_category_entity_varchar` (attribute_id,store_id,entity_id,value) VALUES (48,0,230,'img1/img0ffd.jpg');</v>
      </c>
      <c r="B432" t="str">
        <f>IF(LEN(categories!G432) &gt; 0, "INSERT INTO `catalog_category_entity_varchar` (attribute_id,store_id,entity_id,value) VALUES (48,0,"&amp;categories!B432&amp;",'"&amp;RIGHT(categories!G432,LEN(categories!G432)-1)&amp;"');","")</f>
        <v>INSERT INTO `catalog_category_entity_varchar` (attribute_id,store_id,entity_id,value) VALUES (48,0,230,'img1/img0ffd.jpg');</v>
      </c>
      <c r="C432" t="str">
        <f>VLOOKUP(categories!B432,'categories-old'!B:G,6,FALSE)</f>
        <v>/img1/img0ffd.jpg</v>
      </c>
      <c r="D432" t="str">
        <f>VLOOKUP(categories!B432,'categories-old'!B:H,7,FALSE)</f>
        <v>www.americanretailsupply.com\64967\37857\Aristocrat-Extra-HD-Brackets\Aristocrat-Straight-Faceout.html</v>
      </c>
    </row>
    <row r="433" spans="1:4" hidden="1" x14ac:dyDescent="0.25">
      <c r="A433" t="str">
        <f>IF(LEN('categories-old'!G433) &gt; 0, "INSERT INTO `catalog_category_entity_varchar` (attribute_id,store_id,entity_id,value) VALUES (48,0,"&amp;'categories-old'!B433&amp;",'"&amp;RIGHT('categories-old'!G433,LEN('categories-old'!G433)-1)&amp;"');","")</f>
        <v>INSERT INTO `catalog_category_entity_varchar` (attribute_id,store_id,entity_id,value) VALUES (48,0,231,'img2/img90b7.jpg');</v>
      </c>
      <c r="B433" t="str">
        <f>IF(LEN(categories!G433) &gt; 0, "INSERT INTO `catalog_category_entity_varchar` (attribute_id,store_id,entity_id,value) VALUES (48,0,"&amp;categories!B433&amp;",'"&amp;RIGHT(categories!G433,LEN(categories!G433)-1)&amp;"');","")</f>
        <v>INSERT INTO `catalog_category_entity_varchar` (attribute_id,store_id,entity_id,value) VALUES (48,0,231,'img2/img90b7.jpg');</v>
      </c>
      <c r="C433" t="str">
        <f>VLOOKUP(categories!B433,'categories-old'!B:G,6,FALSE)</f>
        <v>/img2/img90b7.jpg</v>
      </c>
      <c r="D433" t="str">
        <f>VLOOKUP(categories!B433,'categories-old'!B:H,7,FALSE)</f>
        <v>www.americanretailsupply.com\64967\37859\Aristocrat-Extra-HD-Brackets\Aristocrat-Waterfall.html</v>
      </c>
    </row>
    <row r="434" spans="1:4" hidden="1" x14ac:dyDescent="0.25">
      <c r="A434" t="str">
        <f>IF(LEN('categories-old'!G434) &gt; 0, "INSERT INTO `catalog_category_entity_varchar` (attribute_id,store_id,entity_id,value) VALUES (48,0,"&amp;'categories-old'!B434&amp;",'"&amp;RIGHT('categories-old'!G434,LEN('categories-old'!G434)-1)&amp;"');","")</f>
        <v>INSERT INTO `catalog_category_entity_varchar` (attribute_id,store_id,entity_id,value) VALUES (48,0,232,'img3/img622f.jpg');</v>
      </c>
      <c r="B434" t="str">
        <f>IF(LEN(categories!G434) &gt; 0, "INSERT INTO `catalog_category_entity_varchar` (attribute_id,store_id,entity_id,value) VALUES (48,0,"&amp;categories!B434&amp;",'"&amp;RIGHT(categories!G434,LEN(categories!G434)-1)&amp;"');","")</f>
        <v>INSERT INTO `catalog_category_entity_varchar` (attribute_id,store_id,entity_id,value) VALUES (48,0,232,'img3/img622f.jpg');</v>
      </c>
      <c r="C434" t="str">
        <f>VLOOKUP(categories!B434,'categories-old'!B:G,6,FALSE)</f>
        <v>/img3/img622f.jpg</v>
      </c>
      <c r="D434" t="str">
        <f>VLOOKUP(categories!B434,'categories-old'!B:H,7,FALSE)</f>
        <v>www.americanretailsupply.com\64967\37862\Aristocrat-Extra-HD-Brackets\Aristocrat-Heavy-Duty-Brackets-Upturn-at-Standard.html</v>
      </c>
    </row>
    <row r="435" spans="1:4" hidden="1" x14ac:dyDescent="0.25">
      <c r="A435" t="str">
        <f>IF(LEN('categories-old'!G435) &gt; 0, "INSERT INTO `catalog_category_entity_varchar` (attribute_id,store_id,entity_id,value) VALUES (48,0,"&amp;'categories-old'!B435&amp;",'"&amp;RIGHT('categories-old'!G435,LEN('categories-old'!G435)-1)&amp;"');","")</f>
        <v>INSERT INTO `catalog_category_entity_varchar` (attribute_id,store_id,entity_id,value) VALUES (48,0,233,'img3/img6f00.jpg');</v>
      </c>
      <c r="B435" t="str">
        <f>IF(LEN(categories!G435) &gt; 0, "INSERT INTO `catalog_category_entity_varchar` (attribute_id,store_id,entity_id,value) VALUES (48,0,"&amp;categories!B435&amp;",'"&amp;RIGHT(categories!G435,LEN(categories!G435)-1)&amp;"');","")</f>
        <v>INSERT INTO `catalog_category_entity_varchar` (attribute_id,store_id,entity_id,value) VALUES (48,0,233,'img3/img6f00.jpg');</v>
      </c>
      <c r="C435" t="str">
        <f>VLOOKUP(categories!B435,'categories-old'!B:G,6,FALSE)</f>
        <v>/img3/img6f00.jpg</v>
      </c>
      <c r="D435" t="str">
        <f>VLOOKUP(categories!B435,'categories-old'!B:H,7,FALSE)</f>
        <v>www.americanretailsupply.com\64967\37863\Aristocrat-Extra-HD-Brackets\Aristocrat-Merchandising-Bar-Brackets.html</v>
      </c>
    </row>
    <row r="436" spans="1:4" hidden="1" x14ac:dyDescent="0.25">
      <c r="A436" t="str">
        <f>IF(LEN('categories-old'!G436) &gt; 0, "INSERT INTO `catalog_category_entity_varchar` (attribute_id,store_id,entity_id,value) VALUES (48,0,"&amp;'categories-old'!B436&amp;",'"&amp;RIGHT('categories-old'!G436,LEN('categories-old'!G436)-1)&amp;"');","")</f>
        <v>INSERT INTO `catalog_category_entity_varchar` (attribute_id,store_id,entity_id,value) VALUES (48,0,235,'img3/img9f5a.jpg');</v>
      </c>
      <c r="B436" t="str">
        <f>IF(LEN(categories!G436) &gt; 0, "INSERT INTO `catalog_category_entity_varchar` (attribute_id,store_id,entity_id,value) VALUES (48,0,"&amp;categories!B436&amp;",'"&amp;RIGHT(categories!G436,LEN(categories!G436)-1)&amp;"');","")</f>
        <v>INSERT INTO `catalog_category_entity_varchar` (attribute_id,store_id,entity_id,value) VALUES (48,0,235,'img3/img9f5a.jpg');</v>
      </c>
      <c r="C436" t="str">
        <f>VLOOKUP(categories!B436,'categories-old'!B:G,6,FALSE)</f>
        <v>/img3/img9f5a.jpg</v>
      </c>
      <c r="D436" t="str">
        <f>VLOOKUP(categories!B436,'categories-old'!B:H,7,FALSE)</f>
        <v>www.americanretailsupply.com\64968\41121\Aristocrat-Extra-HD-Standards\Mounting-Screws-for-Mounting-Standards.html</v>
      </c>
    </row>
    <row r="437" spans="1:4" hidden="1" x14ac:dyDescent="0.25">
      <c r="A437" t="str">
        <f>IF(LEN('categories-old'!G437) &gt; 0, "INSERT INTO `catalog_category_entity_varchar` (attribute_id,store_id,entity_id,value) VALUES (48,0,"&amp;'categories-old'!B437&amp;",'"&amp;RIGHT('categories-old'!G437,LEN('categories-old'!G437)-1)&amp;"');","")</f>
        <v>INSERT INTO `catalog_category_entity_varchar` (attribute_id,store_id,entity_id,value) VALUES (48,0,236,'img3/img58d7.jpg');</v>
      </c>
      <c r="B437" t="str">
        <f>IF(LEN(categories!G437) &gt; 0, "INSERT INTO `catalog_category_entity_varchar` (attribute_id,store_id,entity_id,value) VALUES (48,0,"&amp;categories!B437&amp;",'"&amp;RIGHT(categories!G437,LEN(categories!G437)-1)&amp;"');","")</f>
        <v>INSERT INTO `catalog_category_entity_varchar` (attribute_id,store_id,entity_id,value) VALUES (48,0,236,'img3/img58d7.jpg');</v>
      </c>
      <c r="C437" t="str">
        <f>VLOOKUP(categories!B437,'categories-old'!B:G,6,FALSE)</f>
        <v>/img3/img58d7.jpg</v>
      </c>
      <c r="D437" t="str">
        <f>VLOOKUP(categories!B437,'categories-old'!B:H,7,FALSE)</f>
        <v>www.americanretailsupply.com\64968\784378\Aristocrat-Extra-HD-Standards\Aristocrat-Extra-Heavy-T--Concealed-Standard.html</v>
      </c>
    </row>
    <row r="438" spans="1:4" hidden="1" x14ac:dyDescent="0.25">
      <c r="A438" t="str">
        <f>IF(LEN('categories-old'!G438) &gt; 0, "INSERT INTO `catalog_category_entity_varchar` (attribute_id,store_id,entity_id,value) VALUES (48,0,"&amp;'categories-old'!B438&amp;",'"&amp;RIGHT('categories-old'!G438,LEN('categories-old'!G438)-1)&amp;"');","")</f>
        <v>INSERT INTO `catalog_category_entity_varchar` (attribute_id,store_id,entity_id,value) VALUES (48,0,237,'img1/imgd137.jpg');</v>
      </c>
      <c r="B438" t="str">
        <f>IF(LEN(categories!G438) &gt; 0, "INSERT INTO `catalog_category_entity_varchar` (attribute_id,store_id,entity_id,value) VALUES (48,0,"&amp;categories!B438&amp;",'"&amp;RIGHT(categories!G438,LEN(categories!G438)-1)&amp;"');","")</f>
        <v>INSERT INTO `catalog_category_entity_varchar` (attribute_id,store_id,entity_id,value) VALUES (48,0,237,'img1/imgd137.jpg');</v>
      </c>
      <c r="C438" t="str">
        <f>VLOOKUP(categories!B438,'categories-old'!B:G,6,FALSE)</f>
        <v>/img1/imgd137.jpg</v>
      </c>
      <c r="D438" t="str">
        <f>VLOOKUP(categories!B438,'categories-old'!B:H,7,FALSE)</f>
        <v>www.americanretailsupply.com\64968\784380\Aristocrat-Extra-HD-Standards\Aristocrat-Extra-Heavy-Duty-Standards.html</v>
      </c>
    </row>
    <row r="439" spans="1:4" hidden="1" x14ac:dyDescent="0.25">
      <c r="A439" t="str">
        <f>IF(LEN('categories-old'!G439) &gt; 0, "INSERT INTO `catalog_category_entity_varchar` (attribute_id,store_id,entity_id,value) VALUES (48,0,"&amp;'categories-old'!B439&amp;",'"&amp;RIGHT('categories-old'!G439,LEN('categories-old'!G439)-1)&amp;"');","")</f>
        <v>INSERT INTO `catalog_category_entity_varchar` (attribute_id,store_id,entity_id,value) VALUES (48,0,238,'img2/imgbd53.jpg');</v>
      </c>
      <c r="B439" t="str">
        <f>IF(LEN(categories!G439) &gt; 0, "INSERT INTO `catalog_category_entity_varchar` (attribute_id,store_id,entity_id,value) VALUES (48,0,"&amp;categories!B439&amp;",'"&amp;RIGHT(categories!G439,LEN(categories!G439)-1)&amp;"');","")</f>
        <v>INSERT INTO `catalog_category_entity_varchar` (attribute_id,store_id,entity_id,value) VALUES (48,0,238,'img2/imgbd53.jpg');</v>
      </c>
      <c r="C439" t="str">
        <f>VLOOKUP(categories!B439,'categories-old'!B:G,6,FALSE)</f>
        <v>/img2/imgbd53.jpg</v>
      </c>
      <c r="D439" t="str">
        <f>VLOOKUP(categories!B439,'categories-old'!B:H,7,FALSE)</f>
        <v>www.americanretailsupply.com\64968\784381\Aristocrat-Extra-HD-Standards\Aristocrat-Extra-Heavy-Duty-Concealed-Standards.html</v>
      </c>
    </row>
    <row r="440" spans="1:4" hidden="1" x14ac:dyDescent="0.25">
      <c r="A440" t="str">
        <f>IF(LEN('categories-old'!G440) &gt; 0, "INSERT INTO `catalog_category_entity_varchar` (attribute_id,store_id,entity_id,value) VALUES (48,0,"&amp;'categories-old'!B440&amp;",'"&amp;RIGHT('categories-old'!G440,LEN('categories-old'!G440)-1)&amp;"');","")</f>
        <v>INSERT INTO `catalog_category_entity_varchar` (attribute_id,store_id,entity_id,value) VALUES (48,0,240,'img1/img2777.jpg');</v>
      </c>
      <c r="B440" t="str">
        <f>IF(LEN(categories!G440) &gt; 0, "INSERT INTO `catalog_category_entity_varchar` (attribute_id,store_id,entity_id,value) VALUES (48,0,"&amp;categories!B440&amp;",'"&amp;RIGHT(categories!G440,LEN(categories!G440)-1)&amp;"');","")</f>
        <v>INSERT INTO `catalog_category_entity_varchar` (attribute_id,store_id,entity_id,value) VALUES (48,0,240,'img1/img2777.jpg');</v>
      </c>
      <c r="C440" t="str">
        <f>VLOOKUP(categories!B440,'categories-old'!B:G,6,FALSE)</f>
        <v>/img1/img2777.jpg</v>
      </c>
      <c r="D440" t="str">
        <f>VLOOKUP(categories!B440,'categories-old'!B:H,7,FALSE)</f>
        <v>www.americanretailsupply.com\64679\1443\Avery-Dennison-Labelers--Labels\PB-210-Labeler.html</v>
      </c>
    </row>
    <row r="441" spans="1:4" hidden="1" x14ac:dyDescent="0.25">
      <c r="A441" t="str">
        <f>IF(LEN('categories-old'!G441) &gt; 0, "INSERT INTO `catalog_category_entity_varchar` (attribute_id,store_id,entity_id,value) VALUES (48,0,"&amp;'categories-old'!B441&amp;",'"&amp;RIGHT('categories-old'!G441,LEN('categories-old'!G441)-1)&amp;"');","")</f>
        <v>INSERT INTO `catalog_category_entity_varchar` (attribute_id,store_id,entity_id,value) VALUES (48,0,241,'img2/img0d8c.jpg');</v>
      </c>
      <c r="B441" t="str">
        <f>IF(LEN(categories!G441) &gt; 0, "INSERT INTO `catalog_category_entity_varchar` (attribute_id,store_id,entity_id,value) VALUES (48,0,"&amp;categories!B441&amp;",'"&amp;RIGHT(categories!G441,LEN(categories!G441)-1)&amp;"');","")</f>
        <v>INSERT INTO `catalog_category_entity_varchar` (attribute_id,store_id,entity_id,value) VALUES (48,0,241,'img2/img0d8c.jpg');</v>
      </c>
      <c r="C441" t="str">
        <f>VLOOKUP(categories!B441,'categories-old'!B:G,6,FALSE)</f>
        <v>/img2/img0d8c.jpg</v>
      </c>
      <c r="D441" t="str">
        <f>VLOOKUP(categories!B441,'categories-old'!B:H,7,FALSE)</f>
        <v>www.americanretailsupply.com\64679\1533\Avery-Dennison-Labelers--Labels\PB-1-Labels.html</v>
      </c>
    </row>
    <row r="442" spans="1:4" hidden="1" x14ac:dyDescent="0.25">
      <c r="A442" t="str">
        <f>IF(LEN('categories-old'!G442) &gt; 0, "INSERT INTO `catalog_category_entity_varchar` (attribute_id,store_id,entity_id,value) VALUES (48,0,"&amp;'categories-old'!B442&amp;",'"&amp;RIGHT('categories-old'!G442,LEN('categories-old'!G442)-1)&amp;"');","")</f>
        <v>INSERT INTO `catalog_category_entity_varchar` (attribute_id,store_id,entity_id,value) VALUES (48,0,242,'img3/imge888.jpg');</v>
      </c>
      <c r="B442" t="str">
        <f>IF(LEN(categories!G442) &gt; 0, "INSERT INTO `catalog_category_entity_varchar` (attribute_id,store_id,entity_id,value) VALUES (48,0,"&amp;categories!B442&amp;",'"&amp;RIGHT(categories!G442,LEN(categories!G442)-1)&amp;"');","")</f>
        <v>INSERT INTO `catalog_category_entity_varchar` (attribute_id,store_id,entity_id,value) VALUES (48,0,242,'img3/imge888.jpg');</v>
      </c>
      <c r="C442" t="str">
        <f>VLOOKUP(categories!B442,'categories-old'!B:G,6,FALSE)</f>
        <v>/img3/imge888.jpg</v>
      </c>
      <c r="D442" t="str">
        <f>VLOOKUP(categories!B442,'categories-old'!B:H,7,FALSE)</f>
        <v>www.americanretailsupply.com\64679\1545\Avery-Dennison-Labelers--Labels\PB216-Labels.html</v>
      </c>
    </row>
    <row r="443" spans="1:4" hidden="1" x14ac:dyDescent="0.25">
      <c r="A443" t="str">
        <f>IF(LEN('categories-old'!G443) &gt; 0, "INSERT INTO `catalog_category_entity_varchar` (attribute_id,store_id,entity_id,value) VALUES (48,0,"&amp;'categories-old'!B443&amp;",'"&amp;RIGHT('categories-old'!G443,LEN('categories-old'!G443)-1)&amp;"');","")</f>
        <v>INSERT INTO `catalog_category_entity_varchar` (attribute_id,store_id,entity_id,value) VALUES (48,0,243,'img3/img8890.jpg');</v>
      </c>
      <c r="B443" t="str">
        <f>IF(LEN(categories!G443) &gt; 0, "INSERT INTO `catalog_category_entity_varchar` (attribute_id,store_id,entity_id,value) VALUES (48,0,"&amp;categories!B443&amp;",'"&amp;RIGHT(categories!G443,LEN(categories!G443)-1)&amp;"');","")</f>
        <v>INSERT INTO `catalog_category_entity_varchar` (attribute_id,store_id,entity_id,value) VALUES (48,0,243,'img3/img8890.jpg');</v>
      </c>
      <c r="C443" t="str">
        <f>VLOOKUP(categories!B443,'categories-old'!B:G,6,FALSE)</f>
        <v>/img3/img8890.jpg</v>
      </c>
      <c r="D443" t="str">
        <f>VLOOKUP(categories!B443,'categories-old'!B:H,7,FALSE)</f>
        <v>www.americanretailsupply.com\64679\1552\Avery-Dennison-Labelers--Labels\PB210-Labels.html</v>
      </c>
    </row>
    <row r="444" spans="1:4" hidden="1" x14ac:dyDescent="0.25">
      <c r="A444" t="str">
        <f>IF(LEN('categories-old'!G444) &gt; 0, "INSERT INTO `catalog_category_entity_varchar` (attribute_id,store_id,entity_id,value) VALUES (48,0,"&amp;'categories-old'!B444&amp;",'"&amp;RIGHT('categories-old'!G444,LEN('categories-old'!G444)-1)&amp;"');","")</f>
        <v>INSERT INTO `catalog_category_entity_varchar` (attribute_id,store_id,entity_id,value) VALUES (48,0,244,'img1/imgdf6e.jpg');</v>
      </c>
      <c r="B444" t="str">
        <f>IF(LEN(categories!G444) &gt; 0, "INSERT INTO `catalog_category_entity_varchar` (attribute_id,store_id,entity_id,value) VALUES (48,0,"&amp;categories!B444&amp;",'"&amp;RIGHT(categories!G444,LEN(categories!G444)-1)&amp;"');","")</f>
        <v>INSERT INTO `catalog_category_entity_varchar` (attribute_id,store_id,entity_id,value) VALUES (48,0,244,'img1/imgdf6e.jpg');</v>
      </c>
      <c r="C444" t="str">
        <f>VLOOKUP(categories!B444,'categories-old'!B:G,6,FALSE)</f>
        <v>/img1/imgdf6e.jpg</v>
      </c>
      <c r="D444" t="str">
        <f>VLOOKUP(categories!B444,'categories-old'!B:H,7,FALSE)</f>
        <v>www.americanretailsupply.com\64679\1553\Avery-Dennison-Labelers--Labels\PB-Inkers.html</v>
      </c>
    </row>
    <row r="445" spans="1:4" hidden="1" x14ac:dyDescent="0.25">
      <c r="A445" t="str">
        <f>IF(LEN('categories-old'!G445) &gt; 0, "INSERT INTO `catalog_category_entity_varchar` (attribute_id,store_id,entity_id,value) VALUES (48,0,"&amp;'categories-old'!B445&amp;",'"&amp;RIGHT('categories-old'!G445,LEN('categories-old'!G445)-1)&amp;"');","")</f>
        <v>INSERT INTO `catalog_category_entity_varchar` (attribute_id,store_id,entity_id,value) VALUES (48,0,245,'img3/img3f41.jpg');</v>
      </c>
      <c r="B445" t="str">
        <f>IF(LEN(categories!G445) &gt; 0, "INSERT INTO `catalog_category_entity_varchar` (attribute_id,store_id,entity_id,value) VALUES (48,0,"&amp;categories!B445&amp;",'"&amp;RIGHT(categories!G445,LEN(categories!G445)-1)&amp;"');","")</f>
        <v>INSERT INTO `catalog_category_entity_varchar` (attribute_id,store_id,entity_id,value) VALUES (48,0,245,'img3/img3f41.jpg');</v>
      </c>
      <c r="C445" t="str">
        <f>VLOOKUP(categories!B445,'categories-old'!B:G,6,FALSE)</f>
        <v>/img3/img3f41.jpg</v>
      </c>
      <c r="D445" t="str">
        <f>VLOOKUP(categories!B445,'categories-old'!B:H,7,FALSE)</f>
        <v>www.americanretailsupply.com\64679\48182\Avery-Dennison-Labelers--Labels\PB-1-Line-Labelers.html</v>
      </c>
    </row>
    <row r="446" spans="1:4" hidden="1" x14ac:dyDescent="0.25">
      <c r="A446" t="str">
        <f>IF(LEN('categories-old'!G446) &gt; 0, "INSERT INTO `catalog_category_entity_varchar` (attribute_id,store_id,entity_id,value) VALUES (48,0,"&amp;'categories-old'!B446&amp;",'"&amp;RIGHT('categories-old'!G446,LEN('categories-old'!G446)-1)&amp;"');","")</f>
        <v>INSERT INTO `catalog_category_entity_varchar` (attribute_id,store_id,entity_id,value) VALUES (48,0,246,'img2/img817e.jpg');</v>
      </c>
      <c r="B446" t="str">
        <f>IF(LEN(categories!G446) &gt; 0, "INSERT INTO `catalog_category_entity_varchar` (attribute_id,store_id,entity_id,value) VALUES (48,0,"&amp;categories!B446&amp;",'"&amp;RIGHT(categories!G446,LEN(categories!G446)-1)&amp;"');","")</f>
        <v>INSERT INTO `catalog_category_entity_varchar` (attribute_id,store_id,entity_id,value) VALUES (48,0,246,'img2/img817e.jpg');</v>
      </c>
      <c r="C446" t="str">
        <f>VLOOKUP(categories!B446,'categories-old'!B:G,6,FALSE)</f>
        <v>/img2/img817e.jpg</v>
      </c>
      <c r="D446" t="str">
        <f>VLOOKUP(categories!B446,'categories-old'!B:H,7,FALSE)</f>
        <v>www.americanretailsupply.com\64679\48183\Avery-Dennison-Labelers--Labels\PB-216-Labelers.html</v>
      </c>
    </row>
    <row r="447" spans="1:4" hidden="1" x14ac:dyDescent="0.25">
      <c r="A447" t="str">
        <f>IF(LEN('categories-old'!G447) &gt; 0, "INSERT INTO `catalog_category_entity_varchar` (attribute_id,store_id,entity_id,value) VALUES (48,0,"&amp;'categories-old'!B447&amp;",'"&amp;RIGHT('categories-old'!G447,LEN('categories-old'!G447)-1)&amp;"');","")</f>
        <v>INSERT INTO `catalog_category_entity_varchar` (attribute_id,store_id,entity_id,value) VALUES (48,0,247,'img3/img2791.jpg');</v>
      </c>
      <c r="B447" t="str">
        <f>IF(LEN(categories!G447) &gt; 0, "INSERT INTO `catalog_category_entity_varchar` (attribute_id,store_id,entity_id,value) VALUES (48,0,"&amp;categories!B447&amp;",'"&amp;RIGHT(categories!G447,LEN(categories!G447)-1)&amp;"');","")</f>
        <v>INSERT INTO `catalog_category_entity_varchar` (attribute_id,store_id,entity_id,value) VALUES (48,0,247,'img3/img2791.jpg');</v>
      </c>
      <c r="C447" t="str">
        <f>VLOOKUP(categories!B447,'categories-old'!B:G,6,FALSE)</f>
        <v>/img3/img2791.jpg</v>
      </c>
      <c r="D447" t="str">
        <f>VLOOKUP(categories!B447,'categories-old'!B:H,7,FALSE)</f>
        <v>www.americanretailsupply.com\64679\48287\Avery-Dennison-Labelers--Labels\PB-210-or-216-Inkers.html</v>
      </c>
    </row>
    <row r="448" spans="1:4" hidden="1" x14ac:dyDescent="0.25">
      <c r="A448" t="str">
        <f>IF(LEN('categories-old'!G448) &gt; 0, "INSERT INTO `catalog_category_entity_varchar` (attribute_id,store_id,entity_id,value) VALUES (48,0,"&amp;'categories-old'!B448&amp;",'"&amp;RIGHT('categories-old'!G448,LEN('categories-old'!G448)-1)&amp;"');","")</f>
        <v>INSERT INTO `catalog_category_entity_varchar` (attribute_id,store_id,entity_id,value) VALUES (48,0,248,'img3/img8c7a.jpg');</v>
      </c>
      <c r="B448" t="str">
        <f>IF(LEN(categories!G448) &gt; 0, "INSERT INTO `catalog_category_entity_varchar` (attribute_id,store_id,entity_id,value) VALUES (48,0,"&amp;categories!B448&amp;",'"&amp;RIGHT(categories!G448,LEN(categories!G448)-1)&amp;"');","")</f>
        <v>INSERT INTO `catalog_category_entity_varchar` (attribute_id,store_id,entity_id,value) VALUES (48,0,248,'img3/img8c7a.jpg');</v>
      </c>
      <c r="C448" t="str">
        <f>VLOOKUP(categories!B448,'categories-old'!B:G,6,FALSE)</f>
        <v>/img3/img8c7a.jpg</v>
      </c>
      <c r="D448" t="str">
        <f>VLOOKUP(categories!B448,'categories-old'!B:H,7,FALSE)</f>
        <v>www.americanretailsupply.com\64679\234585\Avery-Dennison-Labelers--Labels\Replacement-Inker-Assembly.html</v>
      </c>
    </row>
    <row r="449" spans="1:4" hidden="1" x14ac:dyDescent="0.25">
      <c r="A449" t="str">
        <f>IF(LEN('categories-old'!G449) &gt; 0, "INSERT INTO `catalog_category_entity_varchar` (attribute_id,store_id,entity_id,value) VALUES (48,0,"&amp;'categories-old'!B449&amp;",'"&amp;RIGHT('categories-old'!G449,LEN('categories-old'!G449)-1)&amp;"');","")</f>
        <v>INSERT INTO `catalog_category_entity_varchar` (attribute_id,store_id,entity_id,value) VALUES (48,0,250,'img2/img63b0.jpg');</v>
      </c>
      <c r="B449" t="str">
        <f>IF(LEN(categories!G449) &gt; 0, "INSERT INTO `catalog_category_entity_varchar` (attribute_id,store_id,entity_id,value) VALUES (48,0,"&amp;categories!B449&amp;",'"&amp;RIGHT(categories!G449,LEN(categories!G449)-1)&amp;"');","")</f>
        <v>INSERT INTO `catalog_category_entity_varchar` (attribute_id,store_id,entity_id,value) VALUES (48,0,250,'img2/img63b0.jpg');</v>
      </c>
      <c r="C449" t="str">
        <f>VLOOKUP(categories!B449,'categories-old'!B:G,6,FALSE)</f>
        <v>/img2/img63b0.jpg</v>
      </c>
      <c r="D449" t="str">
        <f>VLOOKUP(categories!B449,'categories-old'!B:H,7,FALSE)</f>
        <v>www.americanretailsupply.com\64683\48297\Avery-Dennison-Taggers\Needles-for-Taggers.html</v>
      </c>
    </row>
    <row r="450" spans="1:4" hidden="1" x14ac:dyDescent="0.25">
      <c r="A450" t="str">
        <f>IF(LEN('categories-old'!G450) &gt; 0, "INSERT INTO `catalog_category_entity_varchar` (attribute_id,store_id,entity_id,value) VALUES (48,0,"&amp;'categories-old'!B450&amp;",'"&amp;RIGHT('categories-old'!G450,LEN('categories-old'!G450)-1)&amp;"');","")</f>
        <v>INSERT INTO `catalog_category_entity_varchar` (attribute_id,store_id,entity_id,value) VALUES (48,0,251,'img2/img421a.jpg');</v>
      </c>
      <c r="B450" t="str">
        <f>IF(LEN(categories!G450) &gt; 0, "INSERT INTO `catalog_category_entity_varchar` (attribute_id,store_id,entity_id,value) VALUES (48,0,"&amp;categories!B450&amp;",'"&amp;RIGHT(categories!G450,LEN(categories!G450)-1)&amp;"');","")</f>
        <v>INSERT INTO `catalog_category_entity_varchar` (attribute_id,store_id,entity_id,value) VALUES (48,0,251,'img2/img421a.jpg');</v>
      </c>
      <c r="C450" t="str">
        <f>VLOOKUP(categories!B450,'categories-old'!B:G,6,FALSE)</f>
        <v>/img2/img421a.jpg</v>
      </c>
      <c r="D450" t="str">
        <f>VLOOKUP(categories!B450,'categories-old'!B:H,7,FALSE)</f>
        <v>www.americanretailsupply.com\64683\784098\Avery-Dennison-Taggers\Avery-Dennison-Taggers.html</v>
      </c>
    </row>
    <row r="451" spans="1:4" hidden="1" x14ac:dyDescent="0.25">
      <c r="A451" t="str">
        <f>IF(LEN('categories-old'!G451) &gt; 0, "INSERT INTO `catalog_category_entity_varchar` (attribute_id,store_id,entity_id,value) VALUES (48,0,"&amp;'categories-old'!B451&amp;",'"&amp;RIGHT('categories-old'!G451,LEN('categories-old'!G451)-1)&amp;"');","")</f>
        <v>INSERT INTO `catalog_category_entity_varchar` (attribute_id,store_id,entity_id,value) VALUES (48,0,252,'img2/imgee5b.jpg');</v>
      </c>
      <c r="B451" t="str">
        <f>IF(LEN(categories!G451) &gt; 0, "INSERT INTO `catalog_category_entity_varchar` (attribute_id,store_id,entity_id,value) VALUES (48,0,"&amp;categories!B451&amp;",'"&amp;RIGHT(categories!G451,LEN(categories!G451)-1)&amp;"');","")</f>
        <v>INSERT INTO `catalog_category_entity_varchar` (attribute_id,store_id,entity_id,value) VALUES (48,0,252,'img2/imgee5b.jpg');</v>
      </c>
      <c r="C451" t="str">
        <f>VLOOKUP(categories!B451,'categories-old'!B:G,6,FALSE)</f>
        <v>/img2/imgee5b.jpg</v>
      </c>
      <c r="D451" t="str">
        <f>VLOOKUP(categories!B451,'categories-old'!B:H,7,FALSE)</f>
        <v>www.americanretailsupply.com\64683\784103\Avery-Dennison-Taggers\Fasteners-for-Avery-Dennison-Taggers.html</v>
      </c>
    </row>
    <row r="452" spans="1:4" hidden="1" x14ac:dyDescent="0.25">
      <c r="A452" t="str">
        <f>IF(LEN('categories-old'!G452) &gt; 0, "INSERT INTO `catalog_category_entity_varchar` (attribute_id,store_id,entity_id,value) VALUES (48,0,"&amp;'categories-old'!B452&amp;",'"&amp;RIGHT('categories-old'!G452,LEN('categories-old'!G452)-1)&amp;"');","")</f>
        <v>INSERT INTO `catalog_category_entity_varchar` (attribute_id,store_id,entity_id,value) VALUES (48,0,255,'img1/img3506.jpg');</v>
      </c>
      <c r="B452" t="str">
        <f>IF(LEN(categories!G452) &gt; 0, "INSERT INTO `catalog_category_entity_varchar` (attribute_id,store_id,entity_id,value) VALUES (48,0,"&amp;categories!B452&amp;",'"&amp;RIGHT(categories!G452,LEN(categories!G452)-1)&amp;"');","")</f>
        <v>INSERT INTO `catalog_category_entity_varchar` (attribute_id,store_id,entity_id,value) VALUES (48,0,255,'img1/img3506.jpg');</v>
      </c>
      <c r="C452" t="str">
        <f>VLOOKUP(categories!B452,'categories-old'!B:G,6,FALSE)</f>
        <v>/img1/img3506.jpg</v>
      </c>
      <c r="D452" t="str">
        <f>VLOOKUP(categories!B452,'categories-old'!B:H,7,FALSE)</f>
        <v>www.americanretailsupply.com\65008\741329\Bags-in-Animal-Prints\Zebra--Leopard-Paper-Shopping-Bags.html</v>
      </c>
    </row>
    <row r="453" spans="1:4" hidden="1" x14ac:dyDescent="0.25">
      <c r="A453" t="str">
        <f>IF(LEN('categories-old'!G453) &gt; 0, "INSERT INTO `catalog_category_entity_varchar` (attribute_id,store_id,entity_id,value) VALUES (48,0,"&amp;'categories-old'!B453&amp;",'"&amp;RIGHT('categories-old'!G453,LEN('categories-old'!G453)-1)&amp;"');","")</f>
        <v>INSERT INTO `catalog_category_entity_varchar` (attribute_id,store_id,entity_id,value) VALUES (48,0,256,'img3/img8067.jpg');</v>
      </c>
      <c r="B453" t="str">
        <f>IF(LEN(categories!G453) &gt; 0, "INSERT INTO `catalog_category_entity_varchar` (attribute_id,store_id,entity_id,value) VALUES (48,0,"&amp;categories!B453&amp;",'"&amp;RIGHT(categories!G453,LEN(categories!G453)-1)&amp;"');","")</f>
        <v>INSERT INTO `catalog_category_entity_varchar` (attribute_id,store_id,entity_id,value) VALUES (48,0,256,'img3/img8067.jpg');</v>
      </c>
      <c r="C453" t="str">
        <f>VLOOKUP(categories!B453,'categories-old'!B:G,6,FALSE)</f>
        <v>/img3/img8067.jpg</v>
      </c>
      <c r="D453" t="str">
        <f>VLOOKUP(categories!B453,'categories-old'!B:H,7,FALSE)</f>
        <v>www.americanretailsupply.com\65008\742786\Bags-in-Animal-Prints\Frosted-Animal-Print-Shoppers-with-Tri-Fold-Handles.html</v>
      </c>
    </row>
    <row r="454" spans="1:4" hidden="1" x14ac:dyDescent="0.25">
      <c r="A454" t="str">
        <f>IF(LEN('categories-old'!G454) &gt; 0, "INSERT INTO `catalog_category_entity_varchar` (attribute_id,store_id,entity_id,value) VALUES (48,0,"&amp;'categories-old'!B454&amp;",'"&amp;RIGHT('categories-old'!G454,LEN('categories-old'!G454)-1)&amp;"');","")</f>
        <v>INSERT INTO `catalog_category_entity_varchar` (attribute_id,store_id,entity_id,value) VALUES (48,0,258,'img1/img8944.jpg');</v>
      </c>
      <c r="B454" t="str">
        <f>IF(LEN(categories!G454) &gt; 0, "INSERT INTO `catalog_category_entity_varchar` (attribute_id,store_id,entity_id,value) VALUES (48,0,"&amp;categories!B454&amp;",'"&amp;RIGHT(categories!G454,LEN(categories!G454)-1)&amp;"');","")</f>
        <v>INSERT INTO `catalog_category_entity_varchar` (attribute_id,store_id,entity_id,value) VALUES (48,0,258,'img1/img8944.jpg');</v>
      </c>
      <c r="C454" t="str">
        <f>VLOOKUP(categories!B454,'categories-old'!B:G,6,FALSE)</f>
        <v>/img1/img8944.jpg</v>
      </c>
      <c r="D454" t="str">
        <f>VLOOKUP(categories!B454,'categories-old'!B:H,7,FALSE)</f>
        <v>www.americanretailsupply.com\64690\730878\Banners--Posters\Seasonal-Posters.html</v>
      </c>
    </row>
    <row r="455" spans="1:4" hidden="1" x14ac:dyDescent="0.25">
      <c r="A455" t="str">
        <f>IF(LEN('categories-old'!G455) &gt; 0, "INSERT INTO `catalog_category_entity_varchar` (attribute_id,store_id,entity_id,value) VALUES (48,0,"&amp;'categories-old'!B455&amp;",'"&amp;RIGHT('categories-old'!G455,LEN('categories-old'!G455)-1)&amp;"');","")</f>
        <v>INSERT INTO `catalog_category_entity_varchar` (attribute_id,store_id,entity_id,value) VALUES (48,0,259,'img1/imgf3b3.jpg');</v>
      </c>
      <c r="B455" t="str">
        <f>IF(LEN(categories!G455) &gt; 0, "INSERT INTO `catalog_category_entity_varchar` (attribute_id,store_id,entity_id,value) VALUES (48,0,"&amp;categories!B455&amp;",'"&amp;RIGHT(categories!G455,LEN(categories!G455)-1)&amp;"');","")</f>
        <v>INSERT INTO `catalog_category_entity_varchar` (attribute_id,store_id,entity_id,value) VALUES (48,0,259,'img1/imgf3b3.jpg');</v>
      </c>
      <c r="C455" t="str">
        <f>VLOOKUP(categories!B455,'categories-old'!B:G,6,FALSE)</f>
        <v>/img1/imgf3b3.jpg</v>
      </c>
      <c r="D455" t="str">
        <f>VLOOKUP(categories!B455,'categories-old'!B:H,7,FALSE)</f>
        <v>www.americanretailsupply.com\64690\777694\Banners--Posters\Miracle-Sticks.html</v>
      </c>
    </row>
    <row r="456" spans="1:4" hidden="1" x14ac:dyDescent="0.25">
      <c r="A456" t="str">
        <f>IF(LEN('categories-old'!G456) &gt; 0, "INSERT INTO `catalog_category_entity_varchar` (attribute_id,store_id,entity_id,value) VALUES (48,0,"&amp;'categories-old'!B456&amp;",'"&amp;RIGHT('categories-old'!G456,LEN('categories-old'!G456)-1)&amp;"');","")</f>
        <v>INSERT INTO `catalog_category_entity_varchar` (attribute_id,store_id,entity_id,value) VALUES (48,0,260,'img1/imgd6d7.jpg');</v>
      </c>
      <c r="B456" t="str">
        <f>IF(LEN(categories!G456) &gt; 0, "INSERT INTO `catalog_category_entity_varchar` (attribute_id,store_id,entity_id,value) VALUES (48,0,"&amp;categories!B456&amp;",'"&amp;RIGHT(categories!G456,LEN(categories!G456)-1)&amp;"');","")</f>
        <v>INSERT INTO `catalog_category_entity_varchar` (attribute_id,store_id,entity_id,value) VALUES (48,0,260,'img1/imgd6d7.jpg');</v>
      </c>
      <c r="C456" t="str">
        <f>VLOOKUP(categories!B456,'categories-old'!B:G,6,FALSE)</f>
        <v>/img1/imgd6d7.jpg</v>
      </c>
      <c r="D456" t="str">
        <f>VLOOKUP(categories!B456,'categories-old'!B:H,7,FALSE)</f>
        <v>www.americanretailsupply.com\64690\778759\Banners--Posters\Posters-and-Pennants.html</v>
      </c>
    </row>
    <row r="457" spans="1:4" hidden="1" x14ac:dyDescent="0.25">
      <c r="A457" t="str">
        <f>IF(LEN('categories-old'!G457) &gt; 0, "INSERT INTO `catalog_category_entity_varchar` (attribute_id,store_id,entity_id,value) VALUES (48,0,"&amp;'categories-old'!B457&amp;",'"&amp;RIGHT('categories-old'!G457,LEN('categories-old'!G457)-1)&amp;"');","")</f>
        <v>INSERT INTO `catalog_category_entity_varchar` (attribute_id,store_id,entity_id,value) VALUES (48,0,261,'img1/imgda19.jpg');</v>
      </c>
      <c r="B457" t="str">
        <f>IF(LEN(categories!G457) &gt; 0, "INSERT INTO `catalog_category_entity_varchar` (attribute_id,store_id,entity_id,value) VALUES (48,0,"&amp;categories!B457&amp;",'"&amp;RIGHT(categories!G457,LEN(categories!G457)-1)&amp;"');","")</f>
        <v>INSERT INTO `catalog_category_entity_varchar` (attribute_id,store_id,entity_id,value) VALUES (48,0,261,'img1/imgda19.jpg');</v>
      </c>
      <c r="C457" t="str">
        <f>VLOOKUP(categories!B457,'categories-old'!B:G,6,FALSE)</f>
        <v>/img1/imgda19.jpg</v>
      </c>
      <c r="D457" t="str">
        <f>VLOOKUP(categories!B457,'categories-old'!B:H,7,FALSE)</f>
        <v>www.americanretailsupply.com\64690\778760\Banners--Posters\Ceiling-Danglers.html</v>
      </c>
    </row>
    <row r="458" spans="1:4" hidden="1" x14ac:dyDescent="0.25">
      <c r="A458" t="str">
        <f>IF(LEN('categories-old'!G458) &gt; 0, "INSERT INTO `catalog_category_entity_varchar` (attribute_id,store_id,entity_id,value) VALUES (48,0,"&amp;'categories-old'!B458&amp;",'"&amp;RIGHT('categories-old'!G458,LEN('categories-old'!G458)-1)&amp;"');","")</f>
        <v>INSERT INTO `catalog_category_entity_varchar` (attribute_id,store_id,entity_id,value) VALUES (48,0,264,'img3/img1816.jpg');</v>
      </c>
      <c r="B458" t="str">
        <f>IF(LEN(categories!G458) &gt; 0, "INSERT INTO `catalog_category_entity_varchar` (attribute_id,store_id,entity_id,value) VALUES (48,0,"&amp;categories!B458&amp;",'"&amp;RIGHT(categories!G458,LEN(categories!G458)-1)&amp;"');","")</f>
        <v>INSERT INTO `catalog_category_entity_varchar` (attribute_id,store_id,entity_id,value) VALUES (48,0,264,'img3/img1816.jpg');</v>
      </c>
      <c r="C458" t="str">
        <f>VLOOKUP(categories!B458,'categories-old'!B:G,6,FALSE)</f>
        <v>/img3/img1816.jpg</v>
      </c>
      <c r="D458" t="str">
        <f>VLOOKUP(categories!B458,'categories-old'!B:H,7,FALSE)</f>
        <v>www.americanretailsupply.com\64725\716279\BARGAIN-In-Stock-Giftwrap\Everyday-Patterns-100-Rolls.html</v>
      </c>
    </row>
    <row r="459" spans="1:4" hidden="1" x14ac:dyDescent="0.25">
      <c r="A459" t="str">
        <f>IF(LEN('categories-old'!G459) &gt; 0, "INSERT INTO `catalog_category_entity_varchar` (attribute_id,store_id,entity_id,value) VALUES (48,0,"&amp;'categories-old'!B459&amp;",'"&amp;RIGHT('categories-old'!G459,LEN('categories-old'!G459)-1)&amp;"');","")</f>
        <v>INSERT INTO `catalog_category_entity_varchar` (attribute_id,store_id,entity_id,value) VALUES (48,0,265,'img3/imgdd1d.jpg');</v>
      </c>
      <c r="B459" t="str">
        <f>IF(LEN(categories!G459) &gt; 0, "INSERT INTO `catalog_category_entity_varchar` (attribute_id,store_id,entity_id,value) VALUES (48,0,"&amp;categories!B459&amp;",'"&amp;RIGHT(categories!G459,LEN(categories!G459)-1)&amp;"');","")</f>
        <v>INSERT INTO `catalog_category_entity_varchar` (attribute_id,store_id,entity_id,value) VALUES (48,0,265,'img3/imgdd1d.jpg');</v>
      </c>
      <c r="C459" t="str">
        <f>VLOOKUP(categories!B459,'categories-old'!B:G,6,FALSE)</f>
        <v>/img3/imgdd1d.jpg</v>
      </c>
      <c r="D459" t="str">
        <f>VLOOKUP(categories!B459,'categories-old'!B:H,7,FALSE)</f>
        <v>www.americanretailsupply.com\64725\716286\BARGAIN-In-Stock-Giftwrap\Everyday-Patterns-II-100-rolls.html</v>
      </c>
    </row>
    <row r="460" spans="1:4" hidden="1" x14ac:dyDescent="0.25">
      <c r="A460" t="str">
        <f>IF(LEN('categories-old'!G460) &gt; 0, "INSERT INTO `catalog_category_entity_varchar` (attribute_id,store_id,entity_id,value) VALUES (48,0,"&amp;'categories-old'!B460&amp;",'"&amp;RIGHT('categories-old'!G460,LEN('categories-old'!G460)-1)&amp;"');","")</f>
        <v>INSERT INTO `catalog_category_entity_varchar` (attribute_id,store_id,entity_id,value) VALUES (48,0,266,'img2/img0089.jpg');</v>
      </c>
      <c r="B460" t="str">
        <f>IF(LEN(categories!G460) &gt; 0, "INSERT INTO `catalog_category_entity_varchar` (attribute_id,store_id,entity_id,value) VALUES (48,0,"&amp;categories!B460&amp;",'"&amp;RIGHT(categories!G460,LEN(categories!G460)-1)&amp;"');","")</f>
        <v>INSERT INTO `catalog_category_entity_varchar` (attribute_id,store_id,entity_id,value) VALUES (48,0,266,'img2/img0089.jpg');</v>
      </c>
      <c r="C460" t="str">
        <f>VLOOKUP(categories!B460,'categories-old'!B:G,6,FALSE)</f>
        <v>/img2/img0089.jpg</v>
      </c>
      <c r="D460" t="str">
        <f>VLOOKUP(categories!B460,'categories-old'!B:H,7,FALSE)</f>
        <v>www.americanretailsupply.com\64725\716785\BARGAIN-In-Stock-Giftwrap\Christmas--Holiday-Patterns-100-Rolls.html</v>
      </c>
    </row>
    <row r="461" spans="1:4" hidden="1" x14ac:dyDescent="0.25">
      <c r="A461" t="str">
        <f>IF(LEN('categories-old'!G461) &gt; 0, "INSERT INTO `catalog_category_entity_varchar` (attribute_id,store_id,entity_id,value) VALUES (48,0,"&amp;'categories-old'!B461&amp;",'"&amp;RIGHT('categories-old'!G461,LEN('categories-old'!G461)-1)&amp;"');","")</f>
        <v>INSERT INTO `catalog_category_entity_varchar` (attribute_id,store_id,entity_id,value) VALUES (48,0,267,'img2/img6198.jpg');</v>
      </c>
      <c r="B461" t="str">
        <f>IF(LEN(categories!G461) &gt; 0, "INSERT INTO `catalog_category_entity_varchar` (attribute_id,store_id,entity_id,value) VALUES (48,0,"&amp;categories!B461&amp;",'"&amp;RIGHT(categories!G461,LEN(categories!G461)-1)&amp;"');","")</f>
        <v>INSERT INTO `catalog_category_entity_varchar` (attribute_id,store_id,entity_id,value) VALUES (48,0,267,'img2/img6198.jpg');</v>
      </c>
      <c r="C461" t="str">
        <f>VLOOKUP(categories!B461,'categories-old'!B:G,6,FALSE)</f>
        <v>/img2/img6198.jpg</v>
      </c>
      <c r="D461" t="str">
        <f>VLOOKUP(categories!B461,'categories-old'!B:H,7,FALSE)</f>
        <v>www.americanretailsupply.com\64725\781063\BARGAIN-In-Stock-Giftwrap\Everyday--Giftwrap-24-x-50-Rolls.html</v>
      </c>
    </row>
    <row r="462" spans="1:4" hidden="1" x14ac:dyDescent="0.25">
      <c r="A462" t="str">
        <f>IF(LEN('categories-old'!G462) &gt; 0, "INSERT INTO `catalog_category_entity_varchar` (attribute_id,store_id,entity_id,value) VALUES (48,0,"&amp;'categories-old'!B462&amp;",'"&amp;RIGHT('categories-old'!G462,LEN('categories-old'!G462)-1)&amp;"');","")</f>
        <v>INSERT INTO `catalog_category_entity_varchar` (attribute_id,store_id,entity_id,value) VALUES (48,0,268,'img2/imgfd78.jpg');</v>
      </c>
      <c r="B462" t="str">
        <f>IF(LEN(categories!G462) &gt; 0, "INSERT INTO `catalog_category_entity_varchar` (attribute_id,store_id,entity_id,value) VALUES (48,0,"&amp;categories!B462&amp;",'"&amp;RIGHT(categories!G462,LEN(categories!G462)-1)&amp;"');","")</f>
        <v>INSERT INTO `catalog_category_entity_varchar` (attribute_id,store_id,entity_id,value) VALUES (48,0,268,'img2/imgfd78.jpg');</v>
      </c>
      <c r="C462" t="str">
        <f>VLOOKUP(categories!B462,'categories-old'!B:G,6,FALSE)</f>
        <v>/img2/imgfd78.jpg</v>
      </c>
      <c r="D462" t="str">
        <f>VLOOKUP(categories!B462,'categories-old'!B:H,7,FALSE)</f>
        <v>www.americanretailsupply.com\64725\781065\BARGAIN-In-Stock-Giftwrap\Christmas-Giftwrap-24-x--50-Rolls.html</v>
      </c>
    </row>
    <row r="463" spans="1:4" hidden="1" x14ac:dyDescent="0.25">
      <c r="A463" t="str">
        <f>IF(LEN('categories-old'!G463) &gt; 0, "INSERT INTO `catalog_category_entity_varchar` (attribute_id,store_id,entity_id,value) VALUES (48,0,"&amp;'categories-old'!B463&amp;",'"&amp;RIGHT('categories-old'!G463,LEN('categories-old'!G463)-1)&amp;"');","")</f>
        <v>INSERT INTO `catalog_category_entity_varchar` (attribute_id,store_id,entity_id,value) VALUES (48,0,271,'img1/img97ba.jpg');</v>
      </c>
      <c r="B463" t="str">
        <f>IF(LEN(categories!G463) &gt; 0, "INSERT INTO `catalog_category_entity_varchar` (attribute_id,store_id,entity_id,value) VALUES (48,0,"&amp;categories!B463&amp;",'"&amp;RIGHT(categories!G463,LEN(categories!G463)-1)&amp;"');","")</f>
        <v>INSERT INTO `catalog_category_entity_varchar` (attribute_id,store_id,entity_id,value) VALUES (48,0,271,'img1/img97ba.jpg');</v>
      </c>
      <c r="C463" t="str">
        <f>VLOOKUP(categories!B463,'categories-old'!B:G,6,FALSE)</f>
        <v>/img1/img97ba.jpg</v>
      </c>
      <c r="D463" t="str">
        <f>VLOOKUP(categories!B463,'categories-old'!B:H,7,FALSE)</f>
        <v>www.americanretailsupply.com\65039\41125\Baskets-BracketsDouble-Hooks\Hooks-for-Pegboard.html</v>
      </c>
    </row>
    <row r="464" spans="1:4" hidden="1" x14ac:dyDescent="0.25">
      <c r="A464" t="str">
        <f>IF(LEN('categories-old'!G464) &gt; 0, "INSERT INTO `catalog_category_entity_varchar` (attribute_id,store_id,entity_id,value) VALUES (48,0,"&amp;'categories-old'!B464&amp;",'"&amp;RIGHT('categories-old'!G464,LEN('categories-old'!G464)-1)&amp;"');","")</f>
        <v>INSERT INTO `catalog_category_entity_varchar` (attribute_id,store_id,entity_id,value) VALUES (48,0,272,'img3/img0488.jpg');</v>
      </c>
      <c r="B464" t="str">
        <f>IF(LEN(categories!G464) &gt; 0, "INSERT INTO `catalog_category_entity_varchar` (attribute_id,store_id,entity_id,value) VALUES (48,0,"&amp;categories!B464&amp;",'"&amp;RIGHT(categories!G464,LEN(categories!G464)-1)&amp;"');","")</f>
        <v>INSERT INTO `catalog_category_entity_varchar` (attribute_id,store_id,entity_id,value) VALUES (48,0,272,'img3/img0488.jpg');</v>
      </c>
      <c r="C464" t="str">
        <f>VLOOKUP(categories!B464,'categories-old'!B:G,6,FALSE)</f>
        <v>/img3/img0488.jpg</v>
      </c>
      <c r="D464" t="str">
        <f>VLOOKUP(categories!B464,'categories-old'!B:H,7,FALSE)</f>
        <v>www.americanretailsupply.com\65039\41126\Baskets-BracketsDouble-Hooks\Molded-Inventory-Control-Clip.html</v>
      </c>
    </row>
    <row r="465" spans="1:4" hidden="1" x14ac:dyDescent="0.25">
      <c r="A465" t="str">
        <f>IF(LEN('categories-old'!G465) &gt; 0, "INSERT INTO `catalog_category_entity_varchar` (attribute_id,store_id,entity_id,value) VALUES (48,0,"&amp;'categories-old'!B465&amp;",'"&amp;RIGHT('categories-old'!G465,LEN('categories-old'!G465)-1)&amp;"');","")</f>
        <v>INSERT INTO `catalog_category_entity_varchar` (attribute_id,store_id,entity_id,value) VALUES (48,0,273,'img1/img2485.jpg');</v>
      </c>
      <c r="B465" t="str">
        <f>IF(LEN(categories!G465) &gt; 0, "INSERT INTO `catalog_category_entity_varchar` (attribute_id,store_id,entity_id,value) VALUES (48,0,"&amp;categories!B465&amp;",'"&amp;RIGHT(categories!G465,LEN(categories!G465)-1)&amp;"');","")</f>
        <v>INSERT INTO `catalog_category_entity_varchar` (attribute_id,store_id,entity_id,value) VALUES (48,0,273,'img1/img2485.jpg');</v>
      </c>
      <c r="C465" t="str">
        <f>VLOOKUP(categories!B465,'categories-old'!B:G,6,FALSE)</f>
        <v>/img1/img2485.jpg</v>
      </c>
      <c r="D465" t="str">
        <f>VLOOKUP(categories!B465,'categories-old'!B:H,7,FALSE)</f>
        <v>www.americanretailsupply.com\65039\41127\Baskets-BracketsDouble-Hooks\Loop-Hooks-Standard-Duty.html</v>
      </c>
    </row>
    <row r="466" spans="1:4" hidden="1" x14ac:dyDescent="0.25">
      <c r="A466" t="str">
        <f>IF(LEN('categories-old'!G466) &gt; 0, "INSERT INTO `catalog_category_entity_varchar` (attribute_id,store_id,entity_id,value) VALUES (48,0,"&amp;'categories-old'!B466&amp;",'"&amp;RIGHT('categories-old'!G466,LEN('categories-old'!G466)-1)&amp;"');","")</f>
        <v>INSERT INTO `catalog_category_entity_varchar` (attribute_id,store_id,entity_id,value) VALUES (48,0,274,'img3/img1263.jpg');</v>
      </c>
      <c r="B466" t="str">
        <f>IF(LEN(categories!G466) &gt; 0, "INSERT INTO `catalog_category_entity_varchar` (attribute_id,store_id,entity_id,value) VALUES (48,0,"&amp;categories!B466&amp;",'"&amp;RIGHT(categories!G466,LEN(categories!G466)-1)&amp;"');","")</f>
        <v>INSERT INTO `catalog_category_entity_varchar` (attribute_id,store_id,entity_id,value) VALUES (48,0,274,'img3/img1263.jpg');</v>
      </c>
      <c r="C466" t="str">
        <f>VLOOKUP(categories!B466,'categories-old'!B:G,6,FALSE)</f>
        <v>/img3/img1263.jpg</v>
      </c>
      <c r="D466" t="str">
        <f>VLOOKUP(categories!B466,'categories-old'!B:H,7,FALSE)</f>
        <v>www.americanretailsupply.com\65039\41135\Baskets-BracketsDouble-Hooks\Multi-Wire-Basket-White.html</v>
      </c>
    </row>
    <row r="467" spans="1:4" hidden="1" x14ac:dyDescent="0.25">
      <c r="A467" t="str">
        <f>IF(LEN('categories-old'!G467) &gt; 0, "INSERT INTO `catalog_category_entity_varchar` (attribute_id,store_id,entity_id,value) VALUES (48,0,"&amp;'categories-old'!B467&amp;",'"&amp;RIGHT('categories-old'!G467,LEN('categories-old'!G467)-1)&amp;"');","")</f>
        <v>INSERT INTO `catalog_category_entity_varchar` (attribute_id,store_id,entity_id,value) VALUES (48,0,275,'img1/img9140.jpg');</v>
      </c>
      <c r="B467" t="str">
        <f>IF(LEN(categories!G467) &gt; 0, "INSERT INTO `catalog_category_entity_varchar` (attribute_id,store_id,entity_id,value) VALUES (48,0,"&amp;categories!B467&amp;",'"&amp;RIGHT(categories!G467,LEN(categories!G467)-1)&amp;"');","")</f>
        <v>INSERT INTO `catalog_category_entity_varchar` (attribute_id,store_id,entity_id,value) VALUES (48,0,275,'img1/img9140.jpg');</v>
      </c>
      <c r="C467" t="str">
        <f>VLOOKUP(categories!B467,'categories-old'!B:G,6,FALSE)</f>
        <v>/img1/img9140.jpg</v>
      </c>
      <c r="D467" t="str">
        <f>VLOOKUP(categories!B467,'categories-old'!B:H,7,FALSE)</f>
        <v>www.americanretailsupply.com\65039\41136\Baskets-BracketsDouble-Hooks\Pegboard-Waterfall-Bracket.html</v>
      </c>
    </row>
    <row r="468" spans="1:4" hidden="1" x14ac:dyDescent="0.25">
      <c r="A468" t="str">
        <f>IF(LEN('categories-old'!G468) &gt; 0, "INSERT INTO `catalog_category_entity_varchar` (attribute_id,store_id,entity_id,value) VALUES (48,0,"&amp;'categories-old'!B468&amp;",'"&amp;RIGHT('categories-old'!G468,LEN('categories-old'!G468)-1)&amp;"');","")</f>
        <v>INSERT INTO `catalog_category_entity_varchar` (attribute_id,store_id,entity_id,value) VALUES (48,0,276,'img1/imgb397.jpg');</v>
      </c>
      <c r="B468" t="str">
        <f>IF(LEN(categories!G468) &gt; 0, "INSERT INTO `catalog_category_entity_varchar` (attribute_id,store_id,entity_id,value) VALUES (48,0,"&amp;categories!B468&amp;",'"&amp;RIGHT(categories!G468,LEN(categories!G468)-1)&amp;"');","")</f>
        <v>INSERT INTO `catalog_category_entity_varchar` (attribute_id,store_id,entity_id,value) VALUES (48,0,276,'img1/imgb397.jpg');</v>
      </c>
      <c r="C468" t="str">
        <f>VLOOKUP(categories!B468,'categories-old'!B:G,6,FALSE)</f>
        <v>/img1/imgb397.jpg</v>
      </c>
      <c r="D468" t="str">
        <f>VLOOKUP(categories!B468,'categories-old'!B:H,7,FALSE)</f>
        <v>www.americanretailsupply.com\65039\41137\Baskets-BracketsDouble-Hooks\Knife-Edge-Brackets.html</v>
      </c>
    </row>
    <row r="469" spans="1:4" hidden="1" x14ac:dyDescent="0.25">
      <c r="A469" t="str">
        <f>IF(LEN('categories-old'!G469) &gt; 0, "INSERT INTO `catalog_category_entity_varchar` (attribute_id,store_id,entity_id,value) VALUES (48,0,"&amp;'categories-old'!B469&amp;",'"&amp;RIGHT('categories-old'!G469,LEN('categories-old'!G469)-1)&amp;"');","")</f>
        <v>INSERT INTO `catalog_category_entity_varchar` (attribute_id,store_id,entity_id,value) VALUES (48,0,279,'img2/imge6f3.jpg');</v>
      </c>
      <c r="B469" t="str">
        <f>IF(LEN(categories!G469) &gt; 0, "INSERT INTO `catalog_category_entity_varchar` (attribute_id,store_id,entity_id,value) VALUES (48,0,"&amp;categories!B469&amp;",'"&amp;RIGHT(categories!G469,LEN(categories!G469)-1)&amp;"');","")</f>
        <v>INSERT INTO `catalog_category_entity_varchar` (attribute_id,store_id,entity_id,value) VALUES (48,0,279,'img2/imge6f3.jpg');</v>
      </c>
      <c r="C469" t="str">
        <f>VLOOKUP(categories!B469,'categories-old'!B:G,6,FALSE)</f>
        <v>/img2/imge6f3.jpg</v>
      </c>
      <c r="D469" t="str">
        <f>VLOOKUP(categories!B469,'categories-old'!B:H,7,FALSE)</f>
        <v>www.americanretailsupply.com\64788\586415\Birch-Jewelry-Displays\Modular-Countertop-Displays.html</v>
      </c>
    </row>
    <row r="470" spans="1:4" hidden="1" x14ac:dyDescent="0.25">
      <c r="A470" t="str">
        <f>IF(LEN('categories-old'!G470) &gt; 0, "INSERT INTO `catalog_category_entity_varchar` (attribute_id,store_id,entity_id,value) VALUES (48,0,"&amp;'categories-old'!B470&amp;",'"&amp;RIGHT('categories-old'!G470,LEN('categories-old'!G470)-1)&amp;"');","")</f>
        <v>INSERT INTO `catalog_category_entity_varchar` (attribute_id,store_id,entity_id,value) VALUES (48,0,282,'img3/img3b74.jpg');</v>
      </c>
      <c r="B470" t="str">
        <f>IF(LEN(categories!G470) &gt; 0, "INSERT INTO `catalog_category_entity_varchar` (attribute_id,store_id,entity_id,value) VALUES (48,0,"&amp;categories!B470&amp;",'"&amp;RIGHT(categories!G470,LEN(categories!G470)-1)&amp;"');","")</f>
        <v>INSERT INTO `catalog_category_entity_varchar` (attribute_id,store_id,entity_id,value) VALUES (48,0,282,'img3/img3b74.jpg');</v>
      </c>
      <c r="C470" t="str">
        <f>VLOOKUP(categories!B470,'categories-old'!B:G,6,FALSE)</f>
        <v>/img3/img3b74.jpg</v>
      </c>
      <c r="D470" t="str">
        <f>VLOOKUP(categories!B470,'categories-old'!B:H,7,FALSE)</f>
        <v>www.americanretailsupply.com\65124\777488\BookHANGERS--Sample-Rings\Sample-Display-Rings.html</v>
      </c>
    </row>
    <row r="471" spans="1:4" hidden="1" x14ac:dyDescent="0.25">
      <c r="A471" t="str">
        <f>IF(LEN('categories-old'!G471) &gt; 0, "INSERT INTO `catalog_category_entity_varchar` (attribute_id,store_id,entity_id,value) VALUES (48,0,"&amp;'categories-old'!B471&amp;",'"&amp;RIGHT('categories-old'!G471,LEN('categories-old'!G471)-1)&amp;"');","")</f>
        <v>INSERT INTO `catalog_category_entity_varchar` (attribute_id,store_id,entity_id,value) VALUES (48,0,283,'img3/imgaa2c.jpg');</v>
      </c>
      <c r="B471" t="str">
        <f>IF(LEN(categories!G471) &gt; 0, "INSERT INTO `catalog_category_entity_varchar` (attribute_id,store_id,entity_id,value) VALUES (48,0,"&amp;categories!B471&amp;",'"&amp;RIGHT(categories!G471,LEN(categories!G471)-1)&amp;"');","")</f>
        <v>INSERT INTO `catalog_category_entity_varchar` (attribute_id,store_id,entity_id,value) VALUES (48,0,283,'img3/imgaa2c.jpg');</v>
      </c>
      <c r="C471" t="str">
        <f>VLOOKUP(categories!B471,'categories-old'!B:G,6,FALSE)</f>
        <v>/img3/imgaa2c.jpg</v>
      </c>
      <c r="D471" t="str">
        <f>VLOOKUP(categories!B471,'categories-old'!B:H,7,FALSE)</f>
        <v>www.americanretailsupply.com\65124\777490\BookHANGERS--Sample-Rings\Book-Hangers.html</v>
      </c>
    </row>
    <row r="472" spans="1:4" hidden="1" x14ac:dyDescent="0.25">
      <c r="A472" t="str">
        <f>IF(LEN('categories-old'!G472) &gt; 0, "INSERT INTO `catalog_category_entity_varchar` (attribute_id,store_id,entity_id,value) VALUES (48,0,"&amp;'categories-old'!B472&amp;",'"&amp;RIGHT('categories-old'!G472,LEN('categories-old'!G472)-1)&amp;"');","")</f>
        <v>INSERT INTO `catalog_category_entity_varchar` (attribute_id,store_id,entity_id,value) VALUES (48,0,285,'img2/img1017.jpg');</v>
      </c>
      <c r="B472" t="str">
        <f>IF(LEN(categories!G472) &gt; 0, "INSERT INTO `catalog_category_entity_varchar` (attribute_id,store_id,entity_id,value) VALUES (48,0,"&amp;categories!B472&amp;",'"&amp;RIGHT(categories!G472,LEN(categories!G472)-1)&amp;"');","")</f>
        <v>INSERT INTO `catalog_category_entity_varchar` (attribute_id,store_id,entity_id,value) VALUES (48,0,285,'img2/img1017.jpg');</v>
      </c>
      <c r="C472" t="str">
        <f>VLOOKUP(categories!B472,'categories-old'!B:G,6,FALSE)</f>
        <v>/img2/img1017.jpg</v>
      </c>
      <c r="D472" t="str">
        <f>VLOOKUP(categories!B472,'categories-old'!B:H,7,FALSE)</f>
        <v>www.americanretailsupply.com\64848\48277\Box-Cutters\Box-Cutters.html</v>
      </c>
    </row>
    <row r="473" spans="1:4" hidden="1" x14ac:dyDescent="0.25">
      <c r="A473" t="str">
        <f>IF(LEN('categories-old'!G473) &gt; 0, "INSERT INTO `catalog_category_entity_varchar` (attribute_id,store_id,entity_id,value) VALUES (48,0,"&amp;'categories-old'!B473&amp;",'"&amp;RIGHT('categories-old'!G473,LEN('categories-old'!G473)-1)&amp;"');","")</f>
        <v>INSERT INTO `catalog_category_entity_varchar` (attribute_id,store_id,entity_id,value) VALUES (48,0,286,'img3/imgcc95.jpg');</v>
      </c>
      <c r="B473" t="str">
        <f>IF(LEN(categories!G473) &gt; 0, "INSERT INTO `catalog_category_entity_varchar` (attribute_id,store_id,entity_id,value) VALUES (48,0,"&amp;categories!B473&amp;",'"&amp;RIGHT(categories!G473,LEN(categories!G473)-1)&amp;"');","")</f>
        <v>INSERT INTO `catalog_category_entity_varchar` (attribute_id,store_id,entity_id,value) VALUES (48,0,286,'img3/imgcc95.jpg');</v>
      </c>
      <c r="C473" t="str">
        <f>VLOOKUP(categories!B473,'categories-old'!B:G,6,FALSE)</f>
        <v>/img3/imgcc95.jpg</v>
      </c>
      <c r="D473" t="str">
        <f>VLOOKUP(categories!B473,'categories-old'!B:H,7,FALSE)</f>
        <v>www.americanretailsupply.com\64848\48278\Box-Cutters\Box-Cutter-Blades.html</v>
      </c>
    </row>
    <row r="474" spans="1:4" hidden="1" x14ac:dyDescent="0.25">
      <c r="A474" t="str">
        <f>IF(LEN('categories-old'!G474) &gt; 0, "INSERT INTO `catalog_category_entity_varchar` (attribute_id,store_id,entity_id,value) VALUES (48,0,"&amp;'categories-old'!B474&amp;",'"&amp;RIGHT('categories-old'!G474,LEN('categories-old'!G474)-1)&amp;"');","")</f>
        <v>INSERT INTO `catalog_category_entity_varchar` (attribute_id,store_id,entity_id,value) VALUES (48,0,288,'img3/img4227.jpg');</v>
      </c>
      <c r="B474" t="str">
        <f>IF(LEN(categories!G474) &gt; 0, "INSERT INTO `catalog_category_entity_varchar` (attribute_id,store_id,entity_id,value) VALUES (48,0,"&amp;categories!B474&amp;",'"&amp;RIGHT(categories!G474,LEN(categories!G474)-1)&amp;"');","")</f>
        <v>INSERT INTO `catalog_category_entity_varchar` (attribute_id,store_id,entity_id,value) VALUES (48,0,288,'img3/img4227.jpg');</v>
      </c>
      <c r="C474" t="str">
        <f>VLOOKUP(categories!B474,'categories-old'!B:G,6,FALSE)</f>
        <v>/img3/img4227.jpg</v>
      </c>
      <c r="D474" t="str">
        <f>VLOOKUP(categories!B474,'categories-old'!B:H,7,FALSE)</f>
        <v>www.americanretailsupply.com\65009\741334\Boxes-in-Animal-Prints\Zebra-Gable-Boxes.html</v>
      </c>
    </row>
    <row r="475" spans="1:4" hidden="1" x14ac:dyDescent="0.25">
      <c r="A475" t="str">
        <f>IF(LEN('categories-old'!G475) &gt; 0, "INSERT INTO `catalog_category_entity_varchar` (attribute_id,store_id,entity_id,value) VALUES (48,0,"&amp;'categories-old'!B475&amp;",'"&amp;RIGHT('categories-old'!G475,LEN('categories-old'!G475)-1)&amp;"');","")</f>
        <v>INSERT INTO `catalog_category_entity_varchar` (attribute_id,store_id,entity_id,value) VALUES (48,0,289,'img1/imge6f8.jpg');</v>
      </c>
      <c r="B475" t="str">
        <f>IF(LEN(categories!G475) &gt; 0, "INSERT INTO `catalog_category_entity_varchar` (attribute_id,store_id,entity_id,value) VALUES (48,0,"&amp;categories!B475&amp;",'"&amp;RIGHT(categories!G475,LEN(categories!G475)-1)&amp;"');","")</f>
        <v>INSERT INTO `catalog_category_entity_varchar` (attribute_id,store_id,entity_id,value) VALUES (48,0,289,'img1/imge6f8.jpg');</v>
      </c>
      <c r="C475" t="str">
        <f>VLOOKUP(categories!B475,'categories-old'!B:G,6,FALSE)</f>
        <v>/img1/imge6f8.jpg</v>
      </c>
      <c r="D475" t="str">
        <f>VLOOKUP(categories!B475,'categories-old'!B:H,7,FALSE)</f>
        <v>www.americanretailsupply.com\65009\742307\Boxes-in-Animal-Prints\Gift-Card-Folders--Holders.html</v>
      </c>
    </row>
    <row r="476" spans="1:4" hidden="1" x14ac:dyDescent="0.25">
      <c r="A476" t="str">
        <f>IF(LEN('categories-old'!G476) &gt; 0, "INSERT INTO `catalog_category_entity_varchar` (attribute_id,store_id,entity_id,value) VALUES (48,0,"&amp;'categories-old'!B476&amp;",'"&amp;RIGHT('categories-old'!G476,LEN('categories-old'!G476)-1)&amp;"');","")</f>
        <v>INSERT INTO `catalog_category_entity_varchar` (attribute_id,store_id,entity_id,value) VALUES (48,0,291,'img2/imgac58-2.jpg');</v>
      </c>
      <c r="B476" t="str">
        <f>IF(LEN(categories!G476) &gt; 0, "INSERT INTO `catalog_category_entity_varchar` (attribute_id,store_id,entity_id,value) VALUES (48,0,"&amp;categories!B476&amp;",'"&amp;RIGHT(categories!G476,LEN(categories!G476)-1)&amp;"');","")</f>
        <v>INSERT INTO `catalog_category_entity_varchar` (attribute_id,store_id,entity_id,value) VALUES (48,0,291,'img2/imgac58-2.jpg');</v>
      </c>
      <c r="C476" t="str">
        <f>VLOOKUP(categories!B476,'categories-old'!B:G,6,FALSE)</f>
        <v>/img2/imgac58-2.jpg</v>
      </c>
      <c r="D476" t="str">
        <f>VLOOKUP(categories!B476,'categories-old'!B:H,7,FALSE)</f>
        <v>www.americanretailsupply.com\64964\47629\CalHANGERS\Molded-Plastic-Clip-on-Hangers.html</v>
      </c>
    </row>
    <row r="477" spans="1:4" hidden="1" x14ac:dyDescent="0.25">
      <c r="A477" t="str">
        <f>IF(LEN('categories-old'!G477) &gt; 0, "INSERT INTO `catalog_category_entity_varchar` (attribute_id,store_id,entity_id,value) VALUES (48,0,"&amp;'categories-old'!B477&amp;",'"&amp;RIGHT('categories-old'!G477,LEN('categories-old'!G477)-1)&amp;"');","")</f>
        <v>INSERT INTO `catalog_category_entity_varchar` (attribute_id,store_id,entity_id,value) VALUES (48,0,292,'img2/img68f9.jpg');</v>
      </c>
      <c r="B477" t="str">
        <f>IF(LEN(categories!G477) &gt; 0, "INSERT INTO `catalog_category_entity_varchar` (attribute_id,store_id,entity_id,value) VALUES (48,0,"&amp;categories!B477&amp;",'"&amp;RIGHT(categories!G477,LEN(categories!G477)-1)&amp;"');","")</f>
        <v>INSERT INTO `catalog_category_entity_varchar` (attribute_id,store_id,entity_id,value) VALUES (48,0,292,'img2/img68f9.jpg');</v>
      </c>
      <c r="C477" t="str">
        <f>VLOOKUP(categories!B477,'categories-old'!B:G,6,FALSE)</f>
        <v>/img2/img68f9.jpg</v>
      </c>
      <c r="D477" t="str">
        <f>VLOOKUP(categories!B477,'categories-old'!B:H,7,FALSE)</f>
        <v>www.americanretailsupply.com\64964\784157\CalHANGERS\CalClips.html</v>
      </c>
    </row>
    <row r="478" spans="1:4" hidden="1" x14ac:dyDescent="0.25">
      <c r="A478" t="str">
        <f>IF(LEN('categories-old'!G478) &gt; 0, "INSERT INTO `catalog_category_entity_varchar` (attribute_id,store_id,entity_id,value) VALUES (48,0,"&amp;'categories-old'!B478&amp;",'"&amp;RIGHT('categories-old'!G478,LEN('categories-old'!G478)-1)&amp;"');","")</f>
        <v>INSERT INTO `catalog_category_entity_varchar` (attribute_id,store_id,entity_id,value) VALUES (48,0,294,'img3/img2d59.jpg');</v>
      </c>
      <c r="B478" t="str">
        <f>IF(LEN(categories!G478) &gt; 0, "INSERT INTO `catalog_category_entity_varchar` (attribute_id,store_id,entity_id,value) VALUES (48,0,"&amp;categories!B478&amp;",'"&amp;RIGHT(categories!G478,LEN(categories!G478)-1)&amp;"');","")</f>
        <v>INSERT INTO `catalog_category_entity_varchar` (attribute_id,store_id,entity_id,value) VALUES (48,0,294,'img3/img2d59.jpg');</v>
      </c>
      <c r="C478" t="str">
        <f>VLOOKUP(categories!B478,'categories-old'!B:G,6,FALSE)</f>
        <v>/img3/img2d59.jpg</v>
      </c>
      <c r="D478" t="str">
        <f>VLOOKUP(categories!B478,'categories-old'!B:H,7,FALSE)</f>
        <v>www.americanretailsupply.com\64962\780196\CalHOOK-Brackets\CalHook-Brackets.html</v>
      </c>
    </row>
    <row r="479" spans="1:4" hidden="1" x14ac:dyDescent="0.25">
      <c r="A479" t="str">
        <f>IF(LEN('categories-old'!G479) &gt; 0, "INSERT INTO `catalog_category_entity_varchar` (attribute_id,store_id,entity_id,value) VALUES (48,0,"&amp;'categories-old'!B479&amp;",'"&amp;RIGHT('categories-old'!G479,LEN('categories-old'!G479)-1)&amp;"');","")</f>
        <v>INSERT INTO `catalog_category_entity_varchar` (attribute_id,store_id,entity_id,value) VALUES (48,0,296,'img1/img9303.jpg');</v>
      </c>
      <c r="B479" t="str">
        <f>IF(LEN(categories!G479) &gt; 0, "INSERT INTO `catalog_category_entity_varchar` (attribute_id,store_id,entity_id,value) VALUES (48,0,"&amp;categories!B479&amp;",'"&amp;RIGHT(categories!G479,LEN(categories!G479)-1)&amp;"');","")</f>
        <v>INSERT INTO `catalog_category_entity_varchar` (attribute_id,store_id,entity_id,value) VALUES (48,0,296,'img1/img9303.jpg');</v>
      </c>
      <c r="C479" t="str">
        <f>VLOOKUP(categories!B479,'categories-old'!B:G,6,FALSE)</f>
        <v>/img1/img9303.jpg</v>
      </c>
      <c r="D479" t="str">
        <f>VLOOKUP(categories!B479,'categories-old'!B:H,7,FALSE)</f>
        <v>www.americanretailsupply.com\64963\781655\CalTRACK--SlatTRACK\Caltrack.html</v>
      </c>
    </row>
    <row r="480" spans="1:4" hidden="1" x14ac:dyDescent="0.25">
      <c r="A480" t="str">
        <f>IF(LEN('categories-old'!G480) &gt; 0, "INSERT INTO `catalog_category_entity_varchar` (attribute_id,store_id,entity_id,value) VALUES (48,0,"&amp;'categories-old'!B480&amp;",'"&amp;RIGHT('categories-old'!G480,LEN('categories-old'!G480)-1)&amp;"');","")</f>
        <v>INSERT INTO `catalog_category_entity_varchar` (attribute_id,store_id,entity_id,value) VALUES (48,0,297,'img3/imgb0d8.jpg');</v>
      </c>
      <c r="B480" t="str">
        <f>IF(LEN(categories!G480) &gt; 0, "INSERT INTO `catalog_category_entity_varchar` (attribute_id,store_id,entity_id,value) VALUES (48,0,"&amp;categories!B480&amp;",'"&amp;RIGHT(categories!G480,LEN(categories!G480)-1)&amp;"');","")</f>
        <v>INSERT INTO `catalog_category_entity_varchar` (attribute_id,store_id,entity_id,value) VALUES (48,0,297,'img3/imgb0d8.jpg');</v>
      </c>
      <c r="C480" t="str">
        <f>VLOOKUP(categories!B480,'categories-old'!B:G,6,FALSE)</f>
        <v>/img3/imgb0d8.jpg</v>
      </c>
      <c r="D480" t="str">
        <f>VLOOKUP(categories!B480,'categories-old'!B:H,7,FALSE)</f>
        <v>www.americanretailsupply.com\64963\784158\CalTRACK--SlatTRACK\SlatTRACK.html</v>
      </c>
    </row>
    <row r="481" spans="1:4" hidden="1" x14ac:dyDescent="0.25">
      <c r="A481" t="str">
        <f>IF(LEN('categories-old'!G481) &gt; 0, "INSERT INTO `catalog_category_entity_varchar` (attribute_id,store_id,entity_id,value) VALUES (48,0,"&amp;'categories-old'!B481&amp;",'"&amp;RIGHT('categories-old'!G481,LEN('categories-old'!G481)-1)&amp;"');","")</f>
        <v>INSERT INTO `catalog_category_entity_varchar` (attribute_id,store_id,entity_id,value) VALUES (48,0,299,'img1/img44c2.jpg');</v>
      </c>
      <c r="B481" t="str">
        <f>IF(LEN(categories!G481) &gt; 0, "INSERT INTO `catalog_category_entity_varchar` (attribute_id,store_id,entity_id,value) VALUES (48,0,"&amp;categories!B481&amp;",'"&amp;RIGHT(categories!G481,LEN(categories!G481)-1)&amp;"');","")</f>
        <v>INSERT INTO `catalog_category_entity_varchar` (attribute_id,store_id,entity_id,value) VALUES (48,0,299,'img1/img44c2.jpg');</v>
      </c>
      <c r="C481" t="str">
        <f>VLOOKUP(categories!B481,'categories-old'!B:G,6,FALSE)</f>
        <v>/img1/img44c2.jpg</v>
      </c>
      <c r="D481" t="str">
        <f>VLOOKUP(categories!B481,'categories-old'!B:H,7,FALSE)</f>
        <v>www.americanretailsupply.com\64850\560207\Carts\EZ-Move-Hand-Truck.html</v>
      </c>
    </row>
    <row r="482" spans="1:4" hidden="1" x14ac:dyDescent="0.25">
      <c r="A482" t="str">
        <f>IF(LEN('categories-old'!G482) &gt; 0, "INSERT INTO `catalog_category_entity_varchar` (attribute_id,store_id,entity_id,value) VALUES (48,0,"&amp;'categories-old'!B482&amp;",'"&amp;RIGHT('categories-old'!G482,LEN('categories-old'!G482)-1)&amp;"');","")</f>
        <v>INSERT INTO `catalog_category_entity_varchar` (attribute_id,store_id,entity_id,value) VALUES (48,0,300,'img3/img1bc1.jpg');</v>
      </c>
      <c r="B482" t="str">
        <f>IF(LEN(categories!G482) &gt; 0, "INSERT INTO `catalog_category_entity_varchar` (attribute_id,store_id,entity_id,value) VALUES (48,0,"&amp;categories!B482&amp;",'"&amp;RIGHT(categories!G482,LEN(categories!G482)-1)&amp;"');","")</f>
        <v>INSERT INTO `catalog_category_entity_varchar` (attribute_id,store_id,entity_id,value) VALUES (48,0,300,'img3/img1bc1.jpg');</v>
      </c>
      <c r="C482" t="str">
        <f>VLOOKUP(categories!B482,'categories-old'!B:G,6,FALSE)</f>
        <v>/img3/img1bc1.jpg</v>
      </c>
      <c r="D482" t="str">
        <f>VLOOKUP(categories!B482,'categories-old'!B:H,7,FALSE)</f>
        <v>www.americanretailsupply.com\64850\560208\Carts\Inventory-Return-Cart.html</v>
      </c>
    </row>
    <row r="483" spans="1:4" hidden="1" x14ac:dyDescent="0.25">
      <c r="A483" t="str">
        <f>IF(LEN('categories-old'!G483) &gt; 0, "INSERT INTO `catalog_category_entity_varchar` (attribute_id,store_id,entity_id,value) VALUES (48,0,"&amp;'categories-old'!B483&amp;",'"&amp;RIGHT('categories-old'!G483,LEN('categories-old'!G483)-1)&amp;"');","")</f>
        <v>INSERT INTO `catalog_category_entity_varchar` (attribute_id,store_id,entity_id,value) VALUES (48,0,301,'img2/img4d3e.jpg');</v>
      </c>
      <c r="B483" t="str">
        <f>IF(LEN(categories!G483) &gt; 0, "INSERT INTO `catalog_category_entity_varchar` (attribute_id,store_id,entity_id,value) VALUES (48,0,"&amp;categories!B483&amp;",'"&amp;RIGHT(categories!G483,LEN(categories!G483)-1)&amp;"');","")</f>
        <v>INSERT INTO `catalog_category_entity_varchar` (attribute_id,store_id,entity_id,value) VALUES (48,0,301,'img2/img4d3e.jpg');</v>
      </c>
      <c r="C483" t="str">
        <f>VLOOKUP(categories!B483,'categories-old'!B:G,6,FALSE)</f>
        <v>/img2/img4d3e.jpg</v>
      </c>
      <c r="D483" t="str">
        <f>VLOOKUP(categories!B483,'categories-old'!B:H,7,FALSE)</f>
        <v>www.americanretailsupply.com\64850\560209\Carts\Two-Level-Gravity-Fed-Truck.html</v>
      </c>
    </row>
    <row r="484" spans="1:4" hidden="1" x14ac:dyDescent="0.25">
      <c r="A484" t="str">
        <f>IF(LEN('categories-old'!G484) &gt; 0, "INSERT INTO `catalog_category_entity_varchar` (attribute_id,store_id,entity_id,value) VALUES (48,0,"&amp;'categories-old'!B484&amp;",'"&amp;RIGHT('categories-old'!G484,LEN('categories-old'!G484)-1)&amp;"');","")</f>
        <v>INSERT INTO `catalog_category_entity_varchar` (attribute_id,store_id,entity_id,value) VALUES (48,0,302,'img2/imgf3ba.jpg');</v>
      </c>
      <c r="B484" t="str">
        <f>IF(LEN(categories!G484) &gt; 0, "INSERT INTO `catalog_category_entity_varchar` (attribute_id,store_id,entity_id,value) VALUES (48,0,"&amp;categories!B484&amp;",'"&amp;RIGHT(categories!G484,LEN(categories!G484)-1)&amp;"');","")</f>
        <v>INSERT INTO `catalog_category_entity_varchar` (attribute_id,store_id,entity_id,value) VALUES (48,0,302,'img2/imgf3ba.jpg');</v>
      </c>
      <c r="C484" t="str">
        <f>VLOOKUP(categories!B484,'categories-old'!B:G,6,FALSE)</f>
        <v>/img2/imgf3ba.jpg</v>
      </c>
      <c r="D484" t="str">
        <f>VLOOKUP(categories!B484,'categories-old'!B:H,7,FALSE)</f>
        <v>www.americanretailsupply.com\64850\560210\Carts\Utility-Cart.html</v>
      </c>
    </row>
    <row r="485" spans="1:4" hidden="1" x14ac:dyDescent="0.25">
      <c r="A485" t="str">
        <f>IF(LEN('categories-old'!G485) &gt; 0, "INSERT INTO `catalog_category_entity_varchar` (attribute_id,store_id,entity_id,value) VALUES (48,0,"&amp;'categories-old'!B485&amp;",'"&amp;RIGHT('categories-old'!G485,LEN('categories-old'!G485)-1)&amp;"');","")</f>
        <v>INSERT INTO `catalog_category_entity_varchar` (attribute_id,store_id,entity_id,value) VALUES (48,0,303,'img3/img964e.jpg');</v>
      </c>
      <c r="B485" t="str">
        <f>IF(LEN(categories!G485) &gt; 0, "INSERT INTO `catalog_category_entity_varchar` (attribute_id,store_id,entity_id,value) VALUES (48,0,"&amp;categories!B485&amp;",'"&amp;RIGHT(categories!G485,LEN(categories!G485)-1)&amp;"');","")</f>
        <v>INSERT INTO `catalog_category_entity_varchar` (attribute_id,store_id,entity_id,value) VALUES (48,0,303,'img3/img964e.jpg');</v>
      </c>
      <c r="C485" t="str">
        <f>VLOOKUP(categories!B485,'categories-old'!B:G,6,FALSE)</f>
        <v>/img3/img964e.jpg</v>
      </c>
      <c r="D485" t="str">
        <f>VLOOKUP(categories!B485,'categories-old'!B:H,7,FALSE)</f>
        <v>www.americanretailsupply.com\64850\560411\Carts\Stack-n-Stock-Hand-Truck.html</v>
      </c>
    </row>
    <row r="486" spans="1:4" hidden="1" x14ac:dyDescent="0.25">
      <c r="A486" t="str">
        <f>IF(LEN('categories-old'!G486) &gt; 0, "INSERT INTO `catalog_category_entity_varchar` (attribute_id,store_id,entity_id,value) VALUES (48,0,"&amp;'categories-old'!B486&amp;",'"&amp;RIGHT('categories-old'!G486,LEN('categories-old'!G486)-1)&amp;"');","")</f>
        <v>INSERT INTO `catalog_category_entity_varchar` (attribute_id,store_id,entity_id,value) VALUES (48,0,304,'img1/imga98c.jpg');</v>
      </c>
      <c r="B486" t="str">
        <f>IF(LEN(categories!G486) &gt; 0, "INSERT INTO `catalog_category_entity_varchar` (attribute_id,store_id,entity_id,value) VALUES (48,0,"&amp;categories!B486&amp;",'"&amp;RIGHT(categories!G486,LEN(categories!G486)-1)&amp;"');","")</f>
        <v>INSERT INTO `catalog_category_entity_varchar` (attribute_id,store_id,entity_id,value) VALUES (48,0,304,'img1/imga98c.jpg');</v>
      </c>
      <c r="C486" t="str">
        <f>VLOOKUP(categories!B486,'categories-old'!B:G,6,FALSE)</f>
        <v>/img1/imga98c.jpg</v>
      </c>
      <c r="D486" t="str">
        <f>VLOOKUP(categories!B486,'categories-old'!B:H,7,FALSE)</f>
        <v>www.americanretailsupply.com\64850\560412\Carts\Sloping-Shelf-Mobile-Cart.html</v>
      </c>
    </row>
    <row r="487" spans="1:4" hidden="1" x14ac:dyDescent="0.25">
      <c r="A487" t="str">
        <f>IF(LEN('categories-old'!G487) &gt; 0, "INSERT INTO `catalog_category_entity_varchar` (attribute_id,store_id,entity_id,value) VALUES (48,0,"&amp;'categories-old'!B487&amp;",'"&amp;RIGHT('categories-old'!G487,LEN('categories-old'!G487)-1)&amp;"');","")</f>
        <v>INSERT INTO `catalog_category_entity_varchar` (attribute_id,store_id,entity_id,value) VALUES (48,0,305,'img3/imgf532.jpg');</v>
      </c>
      <c r="B487" t="str">
        <f>IF(LEN(categories!G487) &gt; 0, "INSERT INTO `catalog_category_entity_varchar` (attribute_id,store_id,entity_id,value) VALUES (48,0,"&amp;categories!B487&amp;",'"&amp;RIGHT(categories!G487,LEN(categories!G487)-1)&amp;"');","")</f>
        <v>INSERT INTO `catalog_category_entity_varchar` (attribute_id,store_id,entity_id,value) VALUES (48,0,305,'img3/imgf532.jpg');</v>
      </c>
      <c r="C487" t="str">
        <f>VLOOKUP(categories!B487,'categories-old'!B:G,6,FALSE)</f>
        <v>/img3/imgf532.jpg</v>
      </c>
      <c r="D487" t="str">
        <f>VLOOKUP(categories!B487,'categories-old'!B:H,7,FALSE)</f>
        <v>www.americanretailsupply.com\64850\560413\Carts\Mobile-Storage-Drawer-Caddy.html</v>
      </c>
    </row>
    <row r="488" spans="1:4" hidden="1" x14ac:dyDescent="0.25">
      <c r="A488" t="str">
        <f>IF(LEN('categories-old'!G488) &gt; 0, "INSERT INTO `catalog_category_entity_varchar` (attribute_id,store_id,entity_id,value) VALUES (48,0,"&amp;'categories-old'!B488&amp;",'"&amp;RIGHT('categories-old'!G488,LEN('categories-old'!G488)-1)&amp;"');","")</f>
        <v>INSERT INTO `catalog_category_entity_varchar` (attribute_id,store_id,entity_id,value) VALUES (48,0,307,'img3/imgcc81.jpg');</v>
      </c>
      <c r="B488" t="str">
        <f>IF(LEN(categories!G488) &gt; 0, "INSERT INTO `catalog_category_entity_varchar` (attribute_id,store_id,entity_id,value) VALUES (48,0,"&amp;categories!B488&amp;",'"&amp;RIGHT(categories!G488,LEN(categories!G488)-1)&amp;"');","")</f>
        <v>INSERT INTO `catalog_category_entity_varchar` (attribute_id,store_id,entity_id,value) VALUES (48,0,307,'img3/imgcc81.jpg');</v>
      </c>
      <c r="C488" t="str">
        <f>VLOOKUP(categories!B488,'categories-old'!B:G,6,FALSE)</f>
        <v>/img3/imgcc81.jpg</v>
      </c>
      <c r="D488" t="str">
        <f>VLOOKUP(categories!B488,'categories-old'!B:H,7,FALSE)</f>
        <v>www.americanretailsupply.com\64857\22350\Cash-Register-Paper\Cash-Register-Paper.html</v>
      </c>
    </row>
    <row r="489" spans="1:4" hidden="1" x14ac:dyDescent="0.25">
      <c r="A489" t="str">
        <f>IF(LEN('categories-old'!G489) &gt; 0, "INSERT INTO `catalog_category_entity_varchar` (attribute_id,store_id,entity_id,value) VALUES (48,0,"&amp;'categories-old'!B489&amp;",'"&amp;RIGHT('categories-old'!G489,LEN('categories-old'!G489)-1)&amp;"');","")</f>
        <v>INSERT INTO `catalog_category_entity_varchar` (attribute_id,store_id,entity_id,value) VALUES (48,0,308,'img3/imgcc81.jpg');</v>
      </c>
      <c r="B489" t="str">
        <f>IF(LEN(categories!G489) &gt; 0, "INSERT INTO `catalog_category_entity_varchar` (attribute_id,store_id,entity_id,value) VALUES (48,0,"&amp;categories!B489&amp;",'"&amp;RIGHT(categories!G489,LEN(categories!G489)-1)&amp;"');","")</f>
        <v>INSERT INTO `catalog_category_entity_varchar` (attribute_id,store_id,entity_id,value) VALUES (48,0,308,'img3/imgcc81.jpg');</v>
      </c>
      <c r="C489" t="str">
        <f>VLOOKUP(categories!B489,'categories-old'!B:G,6,FALSE)</f>
        <v>/img3/imgcc81.jpg</v>
      </c>
      <c r="D489" t="str">
        <f>VLOOKUP(categories!B489,'categories-old'!B:H,7,FALSE)</f>
        <v>www.americanretailsupply.com\64857\48232\Cash-Register-Paper\Adding-Machine-Paper.html</v>
      </c>
    </row>
    <row r="490" spans="1:4" hidden="1" x14ac:dyDescent="0.25">
      <c r="A490" t="str">
        <f>IF(LEN('categories-old'!G490) &gt; 0, "INSERT INTO `catalog_category_entity_varchar` (attribute_id,store_id,entity_id,value) VALUES (48,0,"&amp;'categories-old'!B490&amp;",'"&amp;RIGHT('categories-old'!G490,LEN('categories-old'!G490)-1)&amp;"');","")</f>
        <v>INSERT INTO `catalog_category_entity_varchar` (attribute_id,store_id,entity_id,value) VALUES (48,0,311,'img3/img8204.jpg');</v>
      </c>
      <c r="B490" t="str">
        <f>IF(LEN(categories!G490) &gt; 0, "INSERT INTO `catalog_category_entity_varchar` (attribute_id,store_id,entity_id,value) VALUES (48,0,"&amp;categories!B490&amp;",'"&amp;RIGHT(categories!G490,LEN(categories!G490)-1)&amp;"');","")</f>
        <v>INSERT INTO `catalog_category_entity_varchar` (attribute_id,store_id,entity_id,value) VALUES (48,0,311,'img3/img8204.jpg');</v>
      </c>
      <c r="C490" t="str">
        <f>VLOOKUP(categories!B490,'categories-old'!B:G,6,FALSE)</f>
        <v>/img3/img8204.jpg</v>
      </c>
      <c r="D490" t="str">
        <f>VLOOKUP(categories!B490,'categories-old'!B:H,7,FALSE)</f>
        <v>www.americanretailsupply.com\65182\560539\CD-Video--Eyeware-Displays\74-Pair-Eyewear-Floor-Spinner.html</v>
      </c>
    </row>
    <row r="491" spans="1:4" hidden="1" x14ac:dyDescent="0.25">
      <c r="A491" t="str">
        <f>IF(LEN('categories-old'!G491) &gt; 0, "INSERT INTO `catalog_category_entity_varchar` (attribute_id,store_id,entity_id,value) VALUES (48,0,"&amp;'categories-old'!B491&amp;",'"&amp;RIGHT('categories-old'!G491,LEN('categories-old'!G491)-1)&amp;"');","")</f>
        <v>INSERT INTO `catalog_category_entity_varchar` (attribute_id,store_id,entity_id,value) VALUES (48,0,312,'img1/imgc7bc.jpg');</v>
      </c>
      <c r="B491" t="str">
        <f>IF(LEN(categories!G491) &gt; 0, "INSERT INTO `catalog_category_entity_varchar` (attribute_id,store_id,entity_id,value) VALUES (48,0,"&amp;categories!B491&amp;",'"&amp;RIGHT(categories!G491,LEN(categories!G491)-1)&amp;"');","")</f>
        <v>INSERT INTO `catalog_category_entity_varchar` (attribute_id,store_id,entity_id,value) VALUES (48,0,312,'img1/imgc7bc.jpg');</v>
      </c>
      <c r="C491" t="str">
        <f>VLOOKUP(categories!B491,'categories-old'!B:G,6,FALSE)</f>
        <v>/img1/imgc7bc.jpg</v>
      </c>
      <c r="D491" t="str">
        <f>VLOOKUP(categories!B491,'categories-old'!B:H,7,FALSE)</f>
        <v>www.americanretailsupply.com\65182\560540\CD-Video--Eyeware-Displays\38-Pair-Eyewear-Countertop-Spinner.html</v>
      </c>
    </row>
    <row r="492" spans="1:4" hidden="1" x14ac:dyDescent="0.25">
      <c r="A492" t="str">
        <f>IF(LEN('categories-old'!G492) &gt; 0, "INSERT INTO `catalog_category_entity_varchar` (attribute_id,store_id,entity_id,value) VALUES (48,0,"&amp;'categories-old'!B492&amp;",'"&amp;RIGHT('categories-old'!G492,LEN('categories-old'!G492)-1)&amp;"');","")</f>
        <v>INSERT INTO `catalog_category_entity_varchar` (attribute_id,store_id,entity_id,value) VALUES (48,0,313,'img2/imgda40.jpg');</v>
      </c>
      <c r="B492" t="str">
        <f>IF(LEN(categories!G492) &gt; 0, "INSERT INTO `catalog_category_entity_varchar` (attribute_id,store_id,entity_id,value) VALUES (48,0,"&amp;categories!B492&amp;",'"&amp;RIGHT(categories!G492,LEN(categories!G492)-1)&amp;"');","")</f>
        <v>INSERT INTO `catalog_category_entity_varchar` (attribute_id,store_id,entity_id,value) VALUES (48,0,313,'img2/imgda40.jpg');</v>
      </c>
      <c r="C492" t="str">
        <f>VLOOKUP(categories!B492,'categories-old'!B:G,6,FALSE)</f>
        <v>/img2/imgda40.jpg</v>
      </c>
      <c r="D492" t="str">
        <f>VLOOKUP(categories!B492,'categories-old'!B:H,7,FALSE)</f>
        <v>www.americanretailsupply.com\65182\560543\CD-Video--Eyeware-Displays\CD-Browser-System.html</v>
      </c>
    </row>
    <row r="493" spans="1:4" hidden="1" x14ac:dyDescent="0.25">
      <c r="A493" t="str">
        <f>IF(LEN('categories-old'!G493) &gt; 0, "INSERT INTO `catalog_category_entity_varchar` (attribute_id,store_id,entity_id,value) VALUES (48,0,"&amp;'categories-old'!B493&amp;",'"&amp;RIGHT('categories-old'!G493,LEN('categories-old'!G493)-1)&amp;"');","")</f>
        <v>INSERT INTO `catalog_category_entity_varchar` (attribute_id,store_id,entity_id,value) VALUES (48,0,314,'img1/img53cd.jpg');</v>
      </c>
      <c r="B493" t="str">
        <f>IF(LEN(categories!G493) &gt; 0, "INSERT INTO `catalog_category_entity_varchar` (attribute_id,store_id,entity_id,value) VALUES (48,0,"&amp;categories!B493&amp;",'"&amp;RIGHT(categories!G493,LEN(categories!G493)-1)&amp;"');","")</f>
        <v>INSERT INTO `catalog_category_entity_varchar` (attribute_id,store_id,entity_id,value) VALUES (48,0,314,'img1/img53cd.jpg');</v>
      </c>
      <c r="C493" t="str">
        <f>VLOOKUP(categories!B493,'categories-old'!B:G,6,FALSE)</f>
        <v>/img1/img53cd.jpg</v>
      </c>
      <c r="D493" t="str">
        <f>VLOOKUP(categories!B493,'categories-old'!B:H,7,FALSE)</f>
        <v>www.americanretailsupply.com\65182\561662\CD-Video--Eyeware-Displays\Flip-View-Browser-Bin.html</v>
      </c>
    </row>
    <row r="494" spans="1:4" hidden="1" x14ac:dyDescent="0.25">
      <c r="A494" t="str">
        <f>IF(LEN('categories-old'!G494) &gt; 0, "INSERT INTO `catalog_category_entity_varchar` (attribute_id,store_id,entity_id,value) VALUES (48,0,"&amp;'categories-old'!B494&amp;",'"&amp;RIGHT('categories-old'!G494,LEN('categories-old'!G494)-1)&amp;"');","")</f>
        <v>INSERT INTO `catalog_category_entity_varchar` (attribute_id,store_id,entity_id,value) VALUES (48,0,315,'img3/img57b0.jpg');</v>
      </c>
      <c r="B494" t="str">
        <f>IF(LEN(categories!G494) &gt; 0, "INSERT INTO `catalog_category_entity_varchar` (attribute_id,store_id,entity_id,value) VALUES (48,0,"&amp;categories!B494&amp;",'"&amp;RIGHT(categories!G494,LEN(categories!G494)-1)&amp;"');","")</f>
        <v>INSERT INTO `catalog_category_entity_varchar` (attribute_id,store_id,entity_id,value) VALUES (48,0,315,'img3/img57b0.jpg');</v>
      </c>
      <c r="C494" t="str">
        <f>VLOOKUP(categories!B494,'categories-old'!B:G,6,FALSE)</f>
        <v>/img3/img57b0.jpg</v>
      </c>
      <c r="D494" t="str">
        <f>VLOOKUP(categories!B494,'categories-old'!B:H,7,FALSE)</f>
        <v>www.americanretailsupply.com\65182\561833\CD-Video--Eyeware-Displays\30-Pocket-DVD-Floor-Display.html</v>
      </c>
    </row>
    <row r="495" spans="1:4" hidden="1" x14ac:dyDescent="0.25">
      <c r="A495" t="str">
        <f>IF(LEN('categories-old'!G495) &gt; 0, "INSERT INTO `catalog_category_entity_varchar` (attribute_id,store_id,entity_id,value) VALUES (48,0,"&amp;'categories-old'!B495&amp;",'"&amp;RIGHT('categories-old'!G495,LEN('categories-old'!G495)-1)&amp;"');","")</f>
        <v>INSERT INTO `catalog_category_entity_varchar` (attribute_id,store_id,entity_id,value) VALUES (48,0,318,'img1/img85c3.jpg');</v>
      </c>
      <c r="B495" t="str">
        <f>IF(LEN(categories!G495) &gt; 0, "INSERT INTO `catalog_category_entity_varchar` (attribute_id,store_id,entity_id,value) VALUES (48,0,"&amp;categories!B495&amp;",'"&amp;RIGHT(categories!G495,LEN(categories!G495)-1)&amp;"');","")</f>
        <v>INSERT INTO `catalog_category_entity_varchar` (attribute_id,store_id,entity_id,value) VALUES (48,0,318,'img1/img85c3.jpg');</v>
      </c>
      <c r="C495" t="str">
        <f>VLOOKUP(categories!B495,'categories-old'!B:G,6,FALSE)</f>
        <v>/img1/img85c3.jpg</v>
      </c>
      <c r="D495" t="str">
        <f>VLOOKUP(categories!B495,'categories-old'!B:H,7,FALSE)</f>
        <v>www.americanretailsupply.com\65000\709420\Christmas-Giftwrap\Vantage-Christmas-Giftwrap.html</v>
      </c>
    </row>
    <row r="496" spans="1:4" hidden="1" x14ac:dyDescent="0.25">
      <c r="A496" t="str">
        <f>IF(LEN('categories-old'!G496) &gt; 0, "INSERT INTO `catalog_category_entity_varchar` (attribute_id,store_id,entity_id,value) VALUES (48,0,"&amp;'categories-old'!B496&amp;",'"&amp;RIGHT('categories-old'!G496,LEN('categories-old'!G496)-1)&amp;"');","")</f>
        <v>INSERT INTO `catalog_category_entity_varchar` (attribute_id,store_id,entity_id,value) VALUES (48,0,319,'img1/img2d5f.jpg');</v>
      </c>
      <c r="B496" t="str">
        <f>IF(LEN(categories!G496) &gt; 0, "INSERT INTO `catalog_category_entity_varchar` (attribute_id,store_id,entity_id,value) VALUES (48,0,"&amp;categories!B496&amp;",'"&amp;RIGHT(categories!G496,LEN(categories!G496)-1)&amp;"');","")</f>
        <v>INSERT INTO `catalog_category_entity_varchar` (attribute_id,store_id,entity_id,value) VALUES (48,0,319,'img1/img2d5f.jpg');</v>
      </c>
      <c r="C496" t="str">
        <f>VLOOKUP(categories!B496,'categories-old'!B:G,6,FALSE)</f>
        <v>/img1/img2d5f.jpg</v>
      </c>
      <c r="D496" t="str">
        <f>VLOOKUP(categories!B496,'categories-old'!B:H,7,FALSE)</f>
        <v>www.americanretailsupply.com\65000\780724\Christmas-Giftwrap\JR-Holiday-and-Christmas.html</v>
      </c>
    </row>
    <row r="497" spans="1:5" hidden="1" x14ac:dyDescent="0.25">
      <c r="A497" t="str">
        <f>IF(LEN('categories-old'!G497) &gt; 0, "INSERT INTO `catalog_category_entity_varchar` (attribute_id,store_id,entity_id,value) VALUES (48,0,"&amp;'categories-old'!B497&amp;",'"&amp;RIGHT('categories-old'!G497,LEN('categories-old'!G497)-1)&amp;"');","")</f>
        <v>INSERT INTO `catalog_category_entity_varchar` (attribute_id,store_id,entity_id,value) VALUES (48,0,321,'img2/img39b3.jpg');</v>
      </c>
      <c r="B497" t="str">
        <f>IF(LEN(categories!G497) &gt; 0, "INSERT INTO `catalog_category_entity_varchar` (attribute_id,store_id,entity_id,value) VALUES (48,0,"&amp;categories!B497&amp;",'"&amp;RIGHT(categories!G497,LEN(categories!G497)-1)&amp;"');","")</f>
        <v>INSERT INTO `catalog_category_entity_varchar` (attribute_id,store_id,entity_id,value) VALUES (48,0,321,'img2/img39b3.jpg');</v>
      </c>
      <c r="C497" t="str">
        <f>VLOOKUP(categories!B497,'categories-old'!B:G,6,FALSE)</f>
        <v>/img2/img39b3.jpg</v>
      </c>
      <c r="D497" t="str">
        <f>VLOOKUP(categories!B497,'categories-old'!B:H,7,FALSE)</f>
        <v>www.americanretailsupply.com\64984\782376\Chrome-Sign-Card-Frames\Card-Frame-Components.html</v>
      </c>
    </row>
    <row r="498" spans="1:5" hidden="1" x14ac:dyDescent="0.25">
      <c r="A498" t="str">
        <f>IF(LEN('categories-old'!G498) &gt; 0, "INSERT INTO `catalog_category_entity_varchar` (attribute_id,store_id,entity_id,value) VALUES (48,0,"&amp;'categories-old'!B498&amp;",'"&amp;RIGHT('categories-old'!G498,LEN('categories-old'!G498)-1)&amp;"');","")</f>
        <v>INSERT INTO `catalog_category_entity_varchar` (attribute_id,store_id,entity_id,value) VALUES (48,0,322,'img1/imge454.jpg');</v>
      </c>
      <c r="B498" t="str">
        <f>IF(LEN(categories!G498) &gt; 0, "INSERT INTO `catalog_category_entity_varchar` (attribute_id,store_id,entity_id,value) VALUES (48,0,"&amp;categories!B498&amp;",'"&amp;RIGHT(categories!G498,LEN(categories!G498)-1)&amp;"');","")</f>
        <v>INSERT INTO `catalog_category_entity_varchar` (attribute_id,store_id,entity_id,value) VALUES (48,0,322,'img1/imge454.jpg');</v>
      </c>
      <c r="C498" t="str">
        <f>VLOOKUP(categories!B498,'categories-old'!B:G,6,FALSE)</f>
        <v>/img1/imge454.jpg</v>
      </c>
      <c r="D498" t="str">
        <f>VLOOKUP(categories!B498,'categories-old'!B:H,7,FALSE)</f>
        <v>www.americanretailsupply.com\64984\782377\Chrome-Sign-Card-Frames\Counter-Top-Metal-Card-Frames.html</v>
      </c>
    </row>
    <row r="499" spans="1:5" hidden="1" x14ac:dyDescent="0.25">
      <c r="A499" t="str">
        <f>IF(LEN('categories-old'!G499) &gt; 0, "INSERT INTO `catalog_category_entity_varchar` (attribute_id,store_id,entity_id,value) VALUES (48,0,"&amp;'categories-old'!B499&amp;",'"&amp;RIGHT('categories-old'!G499,LEN('categories-old'!G499)-1)&amp;"');","")</f>
        <v>INSERT INTO `catalog_category_entity_varchar` (attribute_id,store_id,entity_id,value) VALUES (48,0,323,'img2/img21cb.jpg');</v>
      </c>
      <c r="B499" t="str">
        <f>IF(LEN(categories!G499) &gt; 0, "INSERT INTO `catalog_category_entity_varchar` (attribute_id,store_id,entity_id,value) VALUES (48,0,"&amp;categories!B499&amp;",'"&amp;RIGHT(categories!G499,LEN(categories!G499)-1)&amp;"');","")</f>
        <v>INSERT INTO `catalog_category_entity_varchar` (attribute_id,store_id,entity_id,value) VALUES (48,0,323,'img2/img21cb.jpg');</v>
      </c>
      <c r="C499" t="str">
        <f>VLOOKUP(categories!B499,'categories-old'!B:G,6,FALSE)</f>
        <v>/img2/img21cb.jpg</v>
      </c>
      <c r="D499" t="str">
        <f>VLOOKUP(categories!B499,'categories-old'!B:H,7,FALSE)</f>
        <v>www.americanretailsupply.com\64984\782378\Chrome-Sign-Card-Frames\Floor-Standing-Sign-Frame.html</v>
      </c>
    </row>
    <row r="500" spans="1:5" hidden="1" x14ac:dyDescent="0.25">
      <c r="A500" t="str">
        <f>IF(LEN('categories-old'!G500) &gt; 0, "INSERT INTO `catalog_category_entity_varchar` (attribute_id,store_id,entity_id,value) VALUES (48,0,"&amp;'categories-old'!B500&amp;",'"&amp;RIGHT('categories-old'!G500,LEN('categories-old'!G500)-1)&amp;"');","")</f>
        <v>INSERT INTO `catalog_category_entity_varchar` (attribute_id,store_id,entity_id,value) VALUES (48,0,326,'img1/imgb401.jpg');</v>
      </c>
      <c r="B500" t="str">
        <f>IF(LEN(categories!G500) &gt; 0, "INSERT INTO `catalog_category_entity_varchar` (attribute_id,store_id,entity_id,value) VALUES (48,0,"&amp;categories!B500&amp;",'"&amp;RIGHT(categories!G500,LEN(categories!G500)-1)&amp;"');","")</f>
        <v>INSERT INTO `catalog_category_entity_varchar` (attribute_id,store_id,entity_id,value) VALUES (48,0,326,'img1/imgb401.jpg');</v>
      </c>
      <c r="C500" t="str">
        <f>VLOOKUP(categories!B500,'categories-old'!B:G,6,FALSE)</f>
        <v>/img1/imgb401.jpg</v>
      </c>
      <c r="D500" t="str">
        <f>VLOOKUP(categories!B500,'categories-old'!B:H,7,FALSE)</f>
        <v>www.americanretailsupply.com\65080\20583\Clear-Poly-Bags\Clear-Gusseted-15-Mil-Poly-Bags.html</v>
      </c>
    </row>
    <row r="501" spans="1:5" hidden="1" x14ac:dyDescent="0.25">
      <c r="A501" t="str">
        <f>IF(LEN('categories-old'!G501) &gt; 0, "INSERT INTO `catalog_category_entity_varchar` (attribute_id,store_id,entity_id,value) VALUES (48,0,"&amp;'categories-old'!B501&amp;",'"&amp;RIGHT('categories-old'!G501,LEN('categories-old'!G501)-1)&amp;"');","")</f>
        <v>INSERT INTO `catalog_category_entity_varchar` (attribute_id,store_id,entity_id,value) VALUES (48,0,327,'img3/imga511.jpg');</v>
      </c>
      <c r="B501" t="str">
        <f>IF(LEN(categories!G501) &gt; 0, "INSERT INTO `catalog_category_entity_varchar` (attribute_id,store_id,entity_id,value) VALUES (48,0,"&amp;categories!B501&amp;",'"&amp;RIGHT(categories!G501,LEN(categories!G501)-1)&amp;"');","")</f>
        <v>INSERT INTO `catalog_category_entity_varchar` (attribute_id,store_id,entity_id,value) VALUES (48,0,327,'img3/imga511.jpg');</v>
      </c>
      <c r="C501" t="str">
        <f>VLOOKUP(categories!B501,'categories-old'!B:G,6,FALSE)</f>
        <v>/img3/imga511.jpg</v>
      </c>
      <c r="D501" t="str">
        <f>VLOOKUP(categories!B501,'categories-old'!B:H,7,FALSE)</f>
        <v>www.americanretailsupply.com\65080\48815\Clear-Poly-Bags\Clear-Zipper-Reclosable-Poly-Bags.html</v>
      </c>
    </row>
    <row r="502" spans="1:5" hidden="1" x14ac:dyDescent="0.25">
      <c r="A502" t="str">
        <f>IF(LEN('categories-old'!G502) &gt; 0, "INSERT INTO `catalog_category_entity_varchar` (attribute_id,store_id,entity_id,value) VALUES (48,0,"&amp;'categories-old'!B502&amp;",'"&amp;RIGHT('categories-old'!G502,LEN('categories-old'!G502)-1)&amp;"');","")</f>
        <v>INSERT INTO `catalog_category_entity_varchar` (attribute_id,store_id,entity_id,value) VALUES (48,0,328,'img1/img4d60.jpg');</v>
      </c>
      <c r="B502" t="str">
        <f>IF(LEN(categories!G502) &gt; 0, "INSERT INTO `catalog_category_entity_varchar` (attribute_id,store_id,entity_id,value) VALUES (48,0,"&amp;categories!B502&amp;",'"&amp;RIGHT(categories!G502,LEN(categories!G502)-1)&amp;"');","")</f>
        <v>INSERT INTO `catalog_category_entity_varchar` (attribute_id,store_id,entity_id,value) VALUES (48,0,328,'img1/img4d60.jpg');</v>
      </c>
      <c r="C502" t="str">
        <f>VLOOKUP(categories!B502,'categories-old'!B:G,6,FALSE)</f>
        <v>/img1/img4d60.jpg</v>
      </c>
      <c r="D502" t="str">
        <f>VLOOKUP(categories!B502,'categories-old'!B:H,7,FALSE)</f>
        <v>www.americanretailsupply.com\65080\48818\Clear-Poly-Bags\Clear-Poly-Door-Knob-Bags.html</v>
      </c>
    </row>
    <row r="503" spans="1:5" hidden="1" x14ac:dyDescent="0.25">
      <c r="A503" t="str">
        <f>IF(LEN('categories-old'!G503) &gt; 0, "INSERT INTO `catalog_category_entity_varchar` (attribute_id,store_id,entity_id,value) VALUES (48,0,"&amp;'categories-old'!B503&amp;",'"&amp;RIGHT('categories-old'!G503,LEN('categories-old'!G503)-1)&amp;"');","")</f>
        <v>INSERT INTO `catalog_category_entity_varchar` (attribute_id,store_id,entity_id,value) VALUES (48,0,329,'img3/img223e.jpg');</v>
      </c>
      <c r="B503" t="str">
        <f>IF(LEN(categories!G503) &gt; 0, "INSERT INTO `catalog_category_entity_varchar` (attribute_id,store_id,entity_id,value) VALUES (48,0,"&amp;categories!B503&amp;",'"&amp;RIGHT(categories!G503,LEN(categories!G503)-1)&amp;"');","")</f>
        <v>INSERT INTO `catalog_category_entity_varchar` (attribute_id,store_id,entity_id,value) VALUES (48,0,329,'img3/img223e.jpg');</v>
      </c>
      <c r="C503" t="str">
        <f>VLOOKUP(categories!B503,'categories-old'!B:G,6,FALSE)</f>
        <v>/img3/img223e.jpg</v>
      </c>
      <c r="D503" t="str">
        <f>VLOOKUP(categories!B503,'categories-old'!B:H,7,FALSE)</f>
        <v>www.americanretailsupply.com\65080\48819\Clear-Poly-Bags\Clear-Flat-15-Mil-Poly-Bags.html</v>
      </c>
    </row>
    <row r="504" spans="1:5" hidden="1" x14ac:dyDescent="0.25">
      <c r="A504" t="str">
        <f>IF(LEN('categories-old'!G504) &gt; 0, "INSERT INTO `catalog_category_entity_varchar` (attribute_id,store_id,entity_id,value) VALUES (48,0,"&amp;'categories-old'!B504&amp;",'"&amp;RIGHT('categories-old'!G504,LEN('categories-old'!G504)-1)&amp;"');","")</f>
        <v>INSERT INTO `catalog_category_entity_varchar` (attribute_id,store_id,entity_id,value) VALUES (48,0,330,'img1/img4bc7.jpg');</v>
      </c>
      <c r="B504" t="str">
        <f>IF(LEN(categories!G504) &gt; 0, "INSERT INTO `catalog_category_entity_varchar` (attribute_id,store_id,entity_id,value) VALUES (48,0,"&amp;categories!B504&amp;",'"&amp;RIGHT(categories!G504,LEN(categories!G504)-1)&amp;"');","")</f>
        <v>INSERT INTO `catalog_category_entity_varchar` (attribute_id,store_id,entity_id,value) VALUES (48,0,330,'img1/img4bc7.jpg');</v>
      </c>
      <c r="C504" t="str">
        <f>VLOOKUP(categories!B504,'categories-old'!B:G,6,FALSE)</f>
        <v>/img1/img4bc7.jpg</v>
      </c>
      <c r="D504" t="str">
        <f>VLOOKUP(categories!B504,'categories-old'!B:H,7,FALSE)</f>
        <v>www.americanretailsupply.com\65080\778262\Clear-Poly-Bags\Clear-Zipper-2-Mil-Reclosable-Poly-Bags-with-Hanger-Hole.html</v>
      </c>
    </row>
    <row r="505" spans="1:5" hidden="1" x14ac:dyDescent="0.25">
      <c r="A505" t="str">
        <f>IF(LEN('categories-old'!G505) &gt; 0, "INSERT INTO `catalog_category_entity_varchar` (attribute_id,store_id,entity_id,value) VALUES (48,0,"&amp;'categories-old'!B505&amp;",'"&amp;RIGHT('categories-old'!G505,LEN('categories-old'!G505)-1)&amp;"');","")</f>
        <v>INSERT INTO `catalog_category_entity_varchar` (attribute_id,store_id,entity_id,value) VALUES (48,0,331,'img1/imgc8ea.jpg');</v>
      </c>
      <c r="B505" t="str">
        <f>IF(LEN(categories!G505) &gt; 0, "INSERT INTO `catalog_category_entity_varchar` (attribute_id,store_id,entity_id,value) VALUES (48,0,"&amp;categories!B505&amp;",'"&amp;RIGHT(categories!G505,LEN(categories!G505)-1)&amp;"');","")</f>
        <v>INSERT INTO `catalog_category_entity_varchar` (attribute_id,store_id,entity_id,value) VALUES (48,0,331,'img1/imgc8ea.jpg');</v>
      </c>
      <c r="C505" t="str">
        <f>VLOOKUP(categories!B505,'categories-old'!B:G,6,FALSE)</f>
        <v>/img1/imgc8ea.jpg</v>
      </c>
      <c r="D505" t="str">
        <f>VLOOKUP(categories!B505,'categories-old'!B:H,7,FALSE)</f>
        <v>www.americanretailsupply.com\65080\778263\Clear-Poly-Bags\Clear-Zipper-2-Mil-Reclosable-Poly-Bags-with-Writing-Block.html</v>
      </c>
    </row>
    <row r="506" spans="1:5" hidden="1" x14ac:dyDescent="0.25">
      <c r="A506" t="str">
        <f>IF(LEN('categories-old'!G506) &gt; 0, "INSERT INTO `catalog_category_entity_varchar` (attribute_id,store_id,entity_id,value) VALUES (48,0,"&amp;'categories-old'!B506&amp;",'"&amp;RIGHT('categories-old'!G506,LEN('categories-old'!G506)-1)&amp;"');","")</f>
        <v>INSERT INTO `catalog_category_entity_varchar` (attribute_id,store_id,entity_id,value) VALUES (48,0,334,'img2/img163f.jpg');</v>
      </c>
      <c r="B506" t="str">
        <f>IF(LEN(categories!G506) &gt; 0, "INSERT INTO `catalog_category_entity_varchar` (attribute_id,store_id,entity_id,value) VALUES (48,0,"&amp;categories!B506&amp;",'"&amp;RIGHT(categories!G506,LEN(categories!G506)-1)&amp;"');","")</f>
        <v>INSERT INTO `catalog_category_entity_varchar` (attribute_id,store_id,entity_id,value) VALUES (48,0,334,'img2/img163f.jpg');</v>
      </c>
      <c r="C506" t="str">
        <f>VLOOKUP(categories!B506,'categories-old'!B:G,6,FALSE)</f>
        <v>/img2/img163f.jpg</v>
      </c>
      <c r="D506" t="str">
        <f>VLOOKUP(categories!B506,'categories-old'!B:H,7,FALSE)</f>
        <v>www.americanretailsupply.com\64900\241276\Closeout-Acrylic-Glass-Jewelry-Displays\Jewelry-Tray-Liner-Flocked-White-32-compartment.html</v>
      </c>
    </row>
    <row r="507" spans="1:5" hidden="1" x14ac:dyDescent="0.25">
      <c r="A507" t="str">
        <f>IF(LEN('categories-old'!G507) &gt; 0, "INSERT INTO `catalog_category_entity_varchar` (attribute_id,store_id,entity_id,value) VALUES (48,0,"&amp;'categories-old'!B507&amp;",'"&amp;RIGHT('categories-old'!G507,LEN('categories-old'!G507)-1)&amp;"');","")</f>
        <v>INSERT INTO `catalog_category_entity_varchar` (attribute_id,store_id,entity_id,value) VALUES (48,0,335,'img3/img26df.jpg');</v>
      </c>
      <c r="B507" t="str">
        <f>IF(LEN(categories!G507) &gt; 0, "INSERT INTO `catalog_category_entity_varchar` (attribute_id,store_id,entity_id,value) VALUES (48,0,"&amp;categories!B507&amp;",'"&amp;RIGHT(categories!G507,LEN(categories!G507)-1)&amp;"');","")</f>
        <v>INSERT INTO `catalog_category_entity_varchar` (attribute_id,store_id,entity_id,value) VALUES (48,0,335,'img3/img26df.jpg');</v>
      </c>
      <c r="C507" t="str">
        <f>VLOOKUP(categories!B507,'categories-old'!B:G,6,FALSE)</f>
        <v>/img3/img26df.jpg</v>
      </c>
      <c r="D507" t="str">
        <f>VLOOKUP(categories!B507,'categories-old'!B:H,7,FALSE)</f>
        <v>www.americanretailsupply.com\64900\243711\Closeout-Acrylic-Glass-Jewelry-Displays\Tempered-9-x-16-Glass-Shelf.html</v>
      </c>
    </row>
    <row r="508" spans="1:5" hidden="1" x14ac:dyDescent="0.25">
      <c r="A508" t="str">
        <f>IF(LEN('categories-old'!G508) &gt; 0, "INSERT INTO `catalog_category_entity_varchar` (attribute_id,store_id,entity_id,value) VALUES (48,0,"&amp;'categories-old'!B508&amp;",'"&amp;RIGHT('categories-old'!G508,LEN('categories-old'!G508)-1)&amp;"');","")</f>
        <v>INSERT INTO `catalog_category_entity_varchar` (attribute_id,store_id,entity_id,value) VALUES (48,0,336,'img1/img48ea.jpg');</v>
      </c>
      <c r="B508" t="str">
        <f>IF(LEN(categories!G508) &gt; 0, "INSERT INTO `catalog_category_entity_varchar` (attribute_id,store_id,entity_id,value) VALUES (48,0,"&amp;categories!B508&amp;",'"&amp;RIGHT(categories!G508,LEN(categories!G508)-1)&amp;"');","")</f>
        <v>INSERT INTO `catalog_category_entity_varchar` (attribute_id,store_id,entity_id,value) VALUES (48,0,336,'img1/img48ea.jpg');</v>
      </c>
      <c r="C508" t="str">
        <f>VLOOKUP(categories!B508,'categories-old'!B:G,6,FALSE)</f>
        <v>/img1/img48ea.jpg</v>
      </c>
      <c r="D508" t="str">
        <f>VLOOKUP(categories!B508,'categories-old'!B:H,7,FALSE)</f>
        <v>www.americanretailsupply.com\64900\246273\Closeout-Acrylic-Glass-Jewelry-Displays\Jewelry-Pouch-Leatherette-White.html</v>
      </c>
    </row>
    <row r="509" spans="1:5" hidden="1" x14ac:dyDescent="0.25">
      <c r="A509" t="str">
        <f>IF(LEN('categories-old'!G509) &gt; 0, "INSERT INTO `catalog_category_entity_varchar` (attribute_id,store_id,entity_id,value) VALUES (48,0,"&amp;'categories-old'!B509&amp;",'"&amp;RIGHT('categories-old'!G509,LEN('categories-old'!G509)-1)&amp;"');","")</f>
        <v>INSERT INTO `catalog_category_entity_varchar` (attribute_id,store_id,entity_id,value) VALUES (48,0,337,'img1/imge193.jpg');</v>
      </c>
      <c r="B509" t="str">
        <f>IF(LEN(categories!G509) &gt; 0, "INSERT INTO `catalog_category_entity_varchar` (attribute_id,store_id,entity_id,value) VALUES (48,0,"&amp;categories!B509&amp;",'"&amp;RIGHT(categories!G509,LEN(categories!G509)-1)&amp;"');","")</f>
        <v>INSERT INTO `catalog_category_entity_varchar` (attribute_id,store_id,entity_id,value) VALUES (48,0,337,'img1/imge193.jpg');</v>
      </c>
      <c r="C509" t="str">
        <f>VLOOKUP(categories!B509,'categories-old'!B:G,6,FALSE)</f>
        <v>/img1/imge193.jpg</v>
      </c>
      <c r="D509" t="str">
        <f>VLOOKUP(categories!B509,'categories-old'!B:H,7,FALSE)</f>
        <v>www.americanretailsupply.com\64900\246274\Closeout-Acrylic-Glass-Jewelry-Displays\Jewelry-Tray-Liner-Plastic-15-comp.html</v>
      </c>
    </row>
    <row r="510" spans="1:5" hidden="1" x14ac:dyDescent="0.25">
      <c r="A510" t="str">
        <f>IF(LEN('categories-old'!G510) &gt; 0, "INSERT INTO `catalog_category_entity_varchar` (attribute_id,store_id,entity_id,value) VALUES (48,0,"&amp;'categories-old'!B510&amp;",'"&amp;RIGHT('categories-old'!G510,LEN('categories-old'!G510)-1)&amp;"');","")</f>
        <v>INSERT INTO `catalog_category_entity_varchar` (attribute_id,store_id,entity_id,value) VALUES (48,0,338,'img3/img8c47.jpg');</v>
      </c>
      <c r="B510" t="str">
        <f>IF(LEN(categories!G510) &gt; 0, "INSERT INTO `catalog_category_entity_varchar` (attribute_id,store_id,entity_id,value) VALUES (48,0,"&amp;categories!B510&amp;",'"&amp;RIGHT(categories!G510,LEN(categories!G510)-1)&amp;"');","")</f>
        <v>INSERT INTO `catalog_category_entity_varchar` (attribute_id,store_id,entity_id,value) VALUES (48,0,338,'img3/img8c47.jpg');</v>
      </c>
      <c r="C510" t="str">
        <f>VLOOKUP(categories!B510,'categories-old'!B:G,6,FALSE)</f>
        <v>/img3/img8c47.jpg</v>
      </c>
      <c r="D510" t="str">
        <f>VLOOKUP(categories!B510,'categories-old'!B:H,7,FALSE)</f>
        <v>www.americanretailsupply.com\64900\434069\Closeout-Acrylic-Glass-Jewelry-Displays\38-Tempered-Dime-Radius-Corners.html</v>
      </c>
    </row>
    <row r="511" spans="1:5" hidden="1" x14ac:dyDescent="0.25">
      <c r="A511" t="str">
        <f>IF(LEN('categories-old'!G511) &gt; 0, "INSERT INTO `catalog_category_entity_varchar` (attribute_id,store_id,entity_id,value) VALUES (48,0,"&amp;'categories-old'!B511&amp;",'"&amp;RIGHT('categories-old'!G511,LEN('categories-old'!G511)-1)&amp;"');","")</f>
        <v/>
      </c>
      <c r="B511" t="str">
        <f>IF(LEN(categories!G511) &gt; 0, "INSERT INTO `catalog_category_entity_varchar` (attribute_id,store_id,entity_id,value) VALUES (48,0,"&amp;categories!B511&amp;",'"&amp;RIGHT(categories!G511,LEN(categories!G511)-1)&amp;"');","")</f>
        <v/>
      </c>
      <c r="C511">
        <f>VLOOKUP(categories!B511,'categories-old'!B:G,6,FALSE)</f>
        <v>0</v>
      </c>
      <c r="D511" t="str">
        <f>VLOOKUP(categories!B511,'categories-old'!B:H,7,FALSE)</f>
        <v>www.americanretailsupply.com\64900\434650\Closeout-Acrylic-Glass-Jewelry-Displays\3-Way-Glass-Connector-Black-Matte.html</v>
      </c>
      <c r="E511" t="str">
        <f>SUBSTITUTE(SUBSTITUTE(D511,"\","/"),"www.americanretailsupply.com/","")</f>
        <v>64900/434650/Closeout-Acrylic-Glass-Jewelry-Displays/3-Way-Glass-Connector-Black-Matte.html</v>
      </c>
    </row>
    <row r="512" spans="1:5" hidden="1" x14ac:dyDescent="0.25">
      <c r="A512" t="str">
        <f>IF(LEN('categories-old'!G512) &gt; 0, "INSERT INTO `catalog_category_entity_varchar` (attribute_id,store_id,entity_id,value) VALUES (48,0,"&amp;'categories-old'!B512&amp;",'"&amp;RIGHT('categories-old'!G512,LEN('categories-old'!G512)-1)&amp;"');","")</f>
        <v>INSERT INTO `catalog_category_entity_varchar` (attribute_id,store_id,entity_id,value) VALUES (48,0,340,'img3/img26df.jpg');</v>
      </c>
      <c r="B512" t="str">
        <f>IF(LEN(categories!G512) &gt; 0, "INSERT INTO `catalog_category_entity_varchar` (attribute_id,store_id,entity_id,value) VALUES (48,0,"&amp;categories!B512&amp;",'"&amp;RIGHT(categories!G512,LEN(categories!G512)-1)&amp;"');","")</f>
        <v>INSERT INTO `catalog_category_entity_varchar` (attribute_id,store_id,entity_id,value) VALUES (48,0,340,'img3/img26df.jpg');</v>
      </c>
      <c r="C512" t="str">
        <f>VLOOKUP(categories!B512,'categories-old'!B:G,6,FALSE)</f>
        <v>/img3/img26df.jpg</v>
      </c>
      <c r="D512" t="str">
        <f>VLOOKUP(categories!B512,'categories-old'!B:H,7,FALSE)</f>
        <v>www.americanretailsupply.com\64900\477339\Closeout-Acrylic-Glass-Jewelry-Displays\316-Glass-Tempered-12x16-Pencil-Polished-Edges.html</v>
      </c>
    </row>
    <row r="513" spans="1:4" hidden="1" x14ac:dyDescent="0.25">
      <c r="A513" t="str">
        <f>IF(LEN('categories-old'!G513) &gt; 0, "INSERT INTO `catalog_category_entity_varchar` (attribute_id,store_id,entity_id,value) VALUES (48,0,"&amp;'categories-old'!B513&amp;",'"&amp;RIGHT('categories-old'!G513,LEN('categories-old'!G513)-1)&amp;"');","")</f>
        <v>INSERT INTO `catalog_category_entity_varchar` (attribute_id,store_id,entity_id,value) VALUES (48,0,341,'img2/img23da.jpg');</v>
      </c>
      <c r="B513" t="str">
        <f>IF(LEN(categories!G513) &gt; 0, "INSERT INTO `catalog_category_entity_varchar` (attribute_id,store_id,entity_id,value) VALUES (48,0,"&amp;categories!B513&amp;",'"&amp;RIGHT(categories!G513,LEN(categories!G513)-1)&amp;"');","")</f>
        <v>INSERT INTO `catalog_category_entity_varchar` (attribute_id,store_id,entity_id,value) VALUES (48,0,341,'img2/img23da.jpg');</v>
      </c>
      <c r="C513" t="str">
        <f>VLOOKUP(categories!B513,'categories-old'!B:G,6,FALSE)</f>
        <v>/img2/img23da.jpg</v>
      </c>
      <c r="D513" t="str">
        <f>VLOOKUP(categories!B513,'categories-old'!B:H,7,FALSE)</f>
        <v>www.americanretailsupply.com\64900\634210\Closeout-Acrylic-Glass-Jewelry-Displays\Acrylic-Sign-Holders.html</v>
      </c>
    </row>
    <row r="514" spans="1:4" hidden="1" x14ac:dyDescent="0.25">
      <c r="A514" t="str">
        <f>IF(LEN('categories-old'!G514) &gt; 0, "INSERT INTO `catalog_category_entity_varchar` (attribute_id,store_id,entity_id,value) VALUES (48,0,"&amp;'categories-old'!B514&amp;",'"&amp;RIGHT('categories-old'!G514,LEN('categories-old'!G514)-1)&amp;"');","")</f>
        <v>INSERT INTO `catalog_category_entity_varchar` (attribute_id,store_id,entity_id,value) VALUES (48,0,343,'img2/img0e43.jpg');</v>
      </c>
      <c r="B514" t="str">
        <f>IF(LEN(categories!G514) &gt; 0, "INSERT INTO `catalog_category_entity_varchar` (attribute_id,store_id,entity_id,value) VALUES (48,0,"&amp;categories!B514&amp;",'"&amp;RIGHT(categories!G514,LEN(categories!G514)-1)&amp;"');","")</f>
        <v>INSERT INTO `catalog_category_entity_varchar` (attribute_id,store_id,entity_id,value) VALUES (48,0,343,'img2/img0e43.jpg');</v>
      </c>
      <c r="C514" t="str">
        <f>VLOOKUP(categories!B514,'categories-old'!B:G,6,FALSE)</f>
        <v>/img2/img0e43.jpg</v>
      </c>
      <c r="D514" t="str">
        <f>VLOOKUP(categories!B514,'categories-old'!B:H,7,FALSE)</f>
        <v>www.americanretailsupply.com\64904\236826\Closeout-Apparel-Accessories\Sizer-Round-White-and-or-Black.html</v>
      </c>
    </row>
    <row r="515" spans="1:4" hidden="1" x14ac:dyDescent="0.25">
      <c r="A515" t="str">
        <f>IF(LEN('categories-old'!G515) &gt; 0, "INSERT INTO `catalog_category_entity_varchar` (attribute_id,store_id,entity_id,value) VALUES (48,0,"&amp;'categories-old'!B515&amp;",'"&amp;RIGHT('categories-old'!G515,LEN('categories-old'!G515)-1)&amp;"');","")</f>
        <v>INSERT INTO `catalog_category_entity_varchar` (attribute_id,store_id,entity_id,value) VALUES (48,0,344,'img1/img20b6.jpg');</v>
      </c>
      <c r="B515" t="str">
        <f>IF(LEN(categories!G515) &gt; 0, "INSERT INTO `catalog_category_entity_varchar` (attribute_id,store_id,entity_id,value) VALUES (48,0,"&amp;categories!B515&amp;",'"&amp;RIGHT(categories!G515,LEN(categories!G515)-1)&amp;"');","")</f>
        <v>INSERT INTO `catalog_category_entity_varchar` (attribute_id,store_id,entity_id,value) VALUES (48,0,344,'img1/img20b6.jpg');</v>
      </c>
      <c r="C515" t="str">
        <f>VLOOKUP(categories!B515,'categories-old'!B:G,6,FALSE)</f>
        <v>/img1/img20b6.jpg</v>
      </c>
      <c r="D515" t="str">
        <f>VLOOKUP(categories!B515,'categories-old'!B:H,7,FALSE)</f>
        <v>www.americanretailsupply.com\64904\236827\Closeout-Apparel-Accessories\Sizer-Oblong-White-and-or-Gray.html</v>
      </c>
    </row>
    <row r="516" spans="1:4" hidden="1" x14ac:dyDescent="0.25">
      <c r="A516" t="str">
        <f>IF(LEN('categories-old'!G516) &gt; 0, "INSERT INTO `catalog_category_entity_varchar` (attribute_id,store_id,entity_id,value) VALUES (48,0,"&amp;'categories-old'!B516&amp;",'"&amp;RIGHT('categories-old'!G516,LEN('categories-old'!G516)-1)&amp;"');","")</f>
        <v>INSERT INTO `catalog_category_entity_varchar` (attribute_id,store_id,entity_id,value) VALUES (48,0,345,'img1/img48ea.jpg');</v>
      </c>
      <c r="B516" t="str">
        <f>IF(LEN(categories!G516) &gt; 0, "INSERT INTO `catalog_category_entity_varchar` (attribute_id,store_id,entity_id,value) VALUES (48,0,"&amp;categories!B516&amp;",'"&amp;RIGHT(categories!G516,LEN(categories!G516)-1)&amp;"');","")</f>
        <v>INSERT INTO `catalog_category_entity_varchar` (attribute_id,store_id,entity_id,value) VALUES (48,0,345,'img1/img48ea.jpg');</v>
      </c>
      <c r="C516" t="str">
        <f>VLOOKUP(categories!B516,'categories-old'!B:G,6,FALSE)</f>
        <v>/img1/img48ea.jpg</v>
      </c>
      <c r="D516" t="str">
        <f>VLOOKUP(categories!B516,'categories-old'!B:H,7,FALSE)</f>
        <v>www.americanretailsupply.com\64904\239632\Closeout-Apparel-Accessories\Velveteen-Draw-String-Pouches.html</v>
      </c>
    </row>
    <row r="517" spans="1:4" hidden="1" x14ac:dyDescent="0.25">
      <c r="A517" t="str">
        <f>IF(LEN('categories-old'!G517) &gt; 0, "INSERT INTO `catalog_category_entity_varchar` (attribute_id,store_id,entity_id,value) VALUES (48,0,"&amp;'categories-old'!B517&amp;",'"&amp;RIGHT('categories-old'!G517,LEN('categories-old'!G517)-1)&amp;"');","")</f>
        <v>INSERT INTO `catalog_category_entity_varchar` (attribute_id,store_id,entity_id,value) VALUES (48,0,347,'img2/imgbea7.jpg');</v>
      </c>
      <c r="B517" t="str">
        <f>IF(LEN(categories!G517) &gt; 0, "INSERT INTO `catalog_category_entity_varchar` (attribute_id,store_id,entity_id,value) VALUES (48,0,"&amp;categories!B517&amp;",'"&amp;RIGHT(categories!G517,LEN(categories!G517)-1)&amp;"');","")</f>
        <v>INSERT INTO `catalog_category_entity_varchar` (attribute_id,store_id,entity_id,value) VALUES (48,0,347,'img2/imgbea7.jpg');</v>
      </c>
      <c r="C517" t="str">
        <f>VLOOKUP(categories!B517,'categories-old'!B:G,6,FALSE)</f>
        <v>/img2/imgbea7.jpg</v>
      </c>
      <c r="D517" t="str">
        <f>VLOOKUP(categories!B517,'categories-old'!B:H,7,FALSE)</f>
        <v>www.americanretailsupply.com\64901\37820\Closeout-Brackets-Hooks-Standards\Crossbars.html</v>
      </c>
    </row>
    <row r="518" spans="1:4" hidden="1" x14ac:dyDescent="0.25">
      <c r="A518" t="str">
        <f>IF(LEN('categories-old'!G518) &gt; 0, "INSERT INTO `catalog_category_entity_varchar` (attribute_id,store_id,entity_id,value) VALUES (48,0,"&amp;'categories-old'!B518&amp;",'"&amp;RIGHT('categories-old'!G518,LEN('categories-old'!G518)-1)&amp;"');","")</f>
        <v>INSERT INTO `catalog_category_entity_varchar` (attribute_id,store_id,entity_id,value) VALUES (48,0,348,'img3/img0e35.jpg');</v>
      </c>
      <c r="B518" t="str">
        <f>IF(LEN(categories!G518) &gt; 0, "INSERT INTO `catalog_category_entity_varchar` (attribute_id,store_id,entity_id,value) VALUES (48,0,"&amp;categories!B518&amp;",'"&amp;RIGHT(categories!G518,LEN(categories!G518)-1)&amp;"');","")</f>
        <v>INSERT INTO `catalog_category_entity_varchar` (attribute_id,store_id,entity_id,value) VALUES (48,0,348,'img3/img0e35.jpg');</v>
      </c>
      <c r="C518" t="str">
        <f>VLOOKUP(categories!B518,'categories-old'!B:G,6,FALSE)</f>
        <v>/img3/img0e35.jpg</v>
      </c>
      <c r="D518" t="str">
        <f>VLOOKUP(categories!B518,'categories-old'!B:H,7,FALSE)</f>
        <v>www.americanretailsupply.com\64901\37823\Closeout-Brackets-Hooks-Standards\Cross-Bar-Waterfall.html</v>
      </c>
    </row>
    <row r="519" spans="1:4" hidden="1" x14ac:dyDescent="0.25">
      <c r="A519" t="str">
        <f>IF(LEN('categories-old'!G519) &gt; 0, "INSERT INTO `catalog_category_entity_varchar` (attribute_id,store_id,entity_id,value) VALUES (48,0,"&amp;'categories-old'!B519&amp;",'"&amp;RIGHT('categories-old'!G519,LEN('categories-old'!G519)-1)&amp;"');","")</f>
        <v>INSERT INTO `catalog_category_entity_varchar` (attribute_id,store_id,entity_id,value) VALUES (48,0,349,'img1/imge93e.jpg');</v>
      </c>
      <c r="B519" t="str">
        <f>IF(LEN(categories!G519) &gt; 0, "INSERT INTO `catalog_category_entity_varchar` (attribute_id,store_id,entity_id,value) VALUES (48,0,"&amp;categories!B519&amp;",'"&amp;RIGHT(categories!G519,LEN(categories!G519)-1)&amp;"');","")</f>
        <v>INSERT INTO `catalog_category_entity_varchar` (attribute_id,store_id,entity_id,value) VALUES (48,0,349,'img1/imge93e.jpg');</v>
      </c>
      <c r="C519" t="str">
        <f>VLOOKUP(categories!B519,'categories-old'!B:G,6,FALSE)</f>
        <v>/img1/imge93e.jpg</v>
      </c>
      <c r="D519" t="str">
        <f>VLOOKUP(categories!B519,'categories-old'!B:H,7,FALSE)</f>
        <v>www.americanretailsupply.com\64901\37836\Closeout-Brackets-Hooks-Standards\Merchandise-Bar-Round-Faceout.html</v>
      </c>
    </row>
    <row r="520" spans="1:4" hidden="1" x14ac:dyDescent="0.25">
      <c r="A520" t="str">
        <f>IF(LEN('categories-old'!G520) &gt; 0, "INSERT INTO `catalog_category_entity_varchar` (attribute_id,store_id,entity_id,value) VALUES (48,0,"&amp;'categories-old'!B520&amp;",'"&amp;RIGHT('categories-old'!G520,LEN('categories-old'!G520)-1)&amp;"');","")</f>
        <v>INSERT INTO `catalog_category_entity_varchar` (attribute_id,store_id,entity_id,value) VALUES (48,0,350,'img3/img3dc9.jpg');</v>
      </c>
      <c r="B520" t="str">
        <f>IF(LEN(categories!G520) &gt; 0, "INSERT INTO `catalog_category_entity_varchar` (attribute_id,store_id,entity_id,value) VALUES (48,0,"&amp;categories!B520&amp;",'"&amp;RIGHT(categories!G520,LEN(categories!G520)-1)&amp;"');","")</f>
        <v>INSERT INTO `catalog_category_entity_varchar` (attribute_id,store_id,entity_id,value) VALUES (48,0,350,'img3/img3dc9.jpg');</v>
      </c>
      <c r="C520" t="str">
        <f>VLOOKUP(categories!B520,'categories-old'!B:G,6,FALSE)</f>
        <v>/img3/img3dc9.jpg</v>
      </c>
      <c r="D520" t="str">
        <f>VLOOKUP(categories!B520,'categories-old'!B:H,7,FALSE)</f>
        <v>www.americanretailsupply.com\64901\149593\Closeout-Brackets-Hooks-Standards\Hangrod-1-516-x-6.html</v>
      </c>
    </row>
    <row r="521" spans="1:4" hidden="1" x14ac:dyDescent="0.25">
      <c r="A521" t="str">
        <f>IF(LEN('categories-old'!G521) &gt; 0, "INSERT INTO `catalog_category_entity_varchar` (attribute_id,store_id,entity_id,value) VALUES (48,0,"&amp;'categories-old'!B521&amp;",'"&amp;RIGHT('categories-old'!G521,LEN('categories-old'!G521)-1)&amp;"');","")</f>
        <v>INSERT INTO `catalog_category_entity_varchar` (attribute_id,store_id,entity_id,value) VALUES (48,0,351,'img1/img640e.jpg');</v>
      </c>
      <c r="B521" t="str">
        <f>IF(LEN(categories!G521) &gt; 0, "INSERT INTO `catalog_category_entity_varchar` (attribute_id,store_id,entity_id,value) VALUES (48,0,"&amp;categories!B521&amp;",'"&amp;RIGHT(categories!G521,LEN(categories!G521)-1)&amp;"');","")</f>
        <v>INSERT INTO `catalog_category_entity_varchar` (attribute_id,store_id,entity_id,value) VALUES (48,0,351,'img1/img640e.jpg');</v>
      </c>
      <c r="C521" t="str">
        <f>VLOOKUP(categories!B521,'categories-old'!B:G,6,FALSE)</f>
        <v>/img1/img640e.jpg</v>
      </c>
      <c r="D521" t="str">
        <f>VLOOKUP(categories!B521,'categories-old'!B:H,7,FALSE)</f>
        <v>www.americanretailsupply.com\64901\236817\Closeout-Brackets-Hooks-Standards\Peghook-Heavy-8-x-212-dia-Ball-End-Tip.html</v>
      </c>
    </row>
    <row r="522" spans="1:4" hidden="1" x14ac:dyDescent="0.25">
      <c r="A522" t="str">
        <f>IF(LEN('categories-old'!G522) &gt; 0, "INSERT INTO `catalog_category_entity_varchar` (attribute_id,store_id,entity_id,value) VALUES (48,0,"&amp;'categories-old'!B522&amp;",'"&amp;RIGHT('categories-old'!G522,LEN('categories-old'!G522)-1)&amp;"');","")</f>
        <v>INSERT INTO `catalog_category_entity_varchar` (attribute_id,store_id,entity_id,value) VALUES (48,0,352,'img1/imgae39.jpg');</v>
      </c>
      <c r="B522" t="str">
        <f>IF(LEN(categories!G522) &gt; 0, "INSERT INTO `catalog_category_entity_varchar` (attribute_id,store_id,entity_id,value) VALUES (48,0,"&amp;categories!B522&amp;",'"&amp;RIGHT(categories!G522,LEN(categories!G522)-1)&amp;"');","")</f>
        <v>INSERT INTO `catalog_category_entity_varchar` (attribute_id,store_id,entity_id,value) VALUES (48,0,352,'img1/imgae39.jpg');</v>
      </c>
      <c r="C522" t="str">
        <f>VLOOKUP(categories!B522,'categories-old'!B:G,6,FALSE)</f>
        <v>/img1/imgae39.jpg</v>
      </c>
      <c r="D522" t="str">
        <f>VLOOKUP(categories!B522,'categories-old'!B:H,7,FALSE)</f>
        <v>www.americanretailsupply.com\64901\239206\Closeout-Brackets-Hooks-Standards\Quantum-Bracket-14-Adjustable-Knife-Edge.html</v>
      </c>
    </row>
    <row r="523" spans="1:4" hidden="1" x14ac:dyDescent="0.25">
      <c r="A523" t="str">
        <f>IF(LEN('categories-old'!G523) &gt; 0, "INSERT INTO `catalog_category_entity_varchar` (attribute_id,store_id,entity_id,value) VALUES (48,0,"&amp;'categories-old'!B523&amp;",'"&amp;RIGHT('categories-old'!G523,LEN('categories-old'!G523)-1)&amp;"');","")</f>
        <v>INSERT INTO `catalog_category_entity_varchar` (attribute_id,store_id,entity_id,value) VALUES (48,0,353,'img1/img0c14.jpg');</v>
      </c>
      <c r="B523" t="str">
        <f>IF(LEN(categories!G523) &gt; 0, "INSERT INTO `catalog_category_entity_varchar` (attribute_id,store_id,entity_id,value) VALUES (48,0,"&amp;categories!B523&amp;",'"&amp;RIGHT(categories!G523,LEN(categories!G523)-1)&amp;"');","")</f>
        <v>INSERT INTO `catalog_category_entity_varchar` (attribute_id,store_id,entity_id,value) VALUES (48,0,353,'img1/img0c14.jpg');</v>
      </c>
      <c r="C523" t="str">
        <f>VLOOKUP(categories!B523,'categories-old'!B:G,6,FALSE)</f>
        <v>/img1/img0c14.jpg</v>
      </c>
      <c r="D523" t="str">
        <f>VLOOKUP(categories!B523,'categories-old'!B:H,7,FALSE)</f>
        <v>www.americanretailsupply.com\64901\239209\Closeout-Brackets-Hooks-Standards\Aristocrat-Bracket-Knife-Edge-14.html</v>
      </c>
    </row>
    <row r="524" spans="1:4" hidden="1" x14ac:dyDescent="0.25">
      <c r="A524" t="str">
        <f>IF(LEN('categories-old'!G524) &gt; 0, "INSERT INTO `catalog_category_entity_varchar` (attribute_id,store_id,entity_id,value) VALUES (48,0,"&amp;'categories-old'!B524&amp;",'"&amp;RIGHT('categories-old'!G524,LEN('categories-old'!G524)-1)&amp;"');","")</f>
        <v>INSERT INTO `catalog_category_entity_varchar` (attribute_id,store_id,entity_id,value) VALUES (48,0,354,'img3/img7a0d.jpg');</v>
      </c>
      <c r="B524" t="str">
        <f>IF(LEN(categories!G524) &gt; 0, "INSERT INTO `catalog_category_entity_varchar` (attribute_id,store_id,entity_id,value) VALUES (48,0,"&amp;categories!B524&amp;",'"&amp;RIGHT(categories!G524,LEN(categories!G524)-1)&amp;"');","")</f>
        <v>INSERT INTO `catalog_category_entity_varchar` (attribute_id,store_id,entity_id,value) VALUES (48,0,354,'img3/img7a0d.jpg');</v>
      </c>
      <c r="C524" t="str">
        <f>VLOOKUP(categories!B524,'categories-old'!B:G,6,FALSE)</f>
        <v>/img3/img7a0d.jpg</v>
      </c>
      <c r="D524" t="str">
        <f>VLOOKUP(categories!B524,'categories-old'!B:H,7,FALSE)</f>
        <v>www.americanretailsupply.com\64901\239214\Closeout-Brackets-Hooks-Standards\Cross-Bar-Safety-Hook.html</v>
      </c>
    </row>
    <row r="525" spans="1:4" hidden="1" x14ac:dyDescent="0.25">
      <c r="A525" t="str">
        <f>IF(LEN('categories-old'!G525) &gt; 0, "INSERT INTO `catalog_category_entity_varchar` (attribute_id,store_id,entity_id,value) VALUES (48,0,"&amp;'categories-old'!B525&amp;",'"&amp;RIGHT('categories-old'!G525,LEN('categories-old'!G525)-1)&amp;"');","")</f>
        <v>INSERT INTO `catalog_category_entity_varchar` (attribute_id,store_id,entity_id,value) VALUES (48,0,355,'img1/img2462.jpg');</v>
      </c>
      <c r="B525" t="str">
        <f>IF(LEN(categories!G525) &gt; 0, "INSERT INTO `catalog_category_entity_varchar` (attribute_id,store_id,entity_id,value) VALUES (48,0,"&amp;categories!B525&amp;",'"&amp;RIGHT(categories!G525,LEN(categories!G525)-1)&amp;"');","")</f>
        <v>INSERT INTO `catalog_category_entity_varchar` (attribute_id,store_id,entity_id,value) VALUES (48,0,355,'img1/img2462.jpg');</v>
      </c>
      <c r="C525" t="str">
        <f>VLOOKUP(categories!B525,'categories-old'!B:G,6,FALSE)</f>
        <v>/img1/img2462.jpg</v>
      </c>
      <c r="D525" t="str">
        <f>VLOOKUP(categories!B525,'categories-old'!B:H,7,FALSE)</f>
        <v>www.americanretailsupply.com\64901\239216\Closeout-Brackets-Hooks-Standards\Hangrod-Wall-Mount-Brackets-fits-1-or-1-116-U.html</v>
      </c>
    </row>
    <row r="526" spans="1:4" hidden="1" x14ac:dyDescent="0.25">
      <c r="A526" t="str">
        <f>IF(LEN('categories-old'!G526) &gt; 0, "INSERT INTO `catalog_category_entity_varchar` (attribute_id,store_id,entity_id,value) VALUES (48,0,"&amp;'categories-old'!B526&amp;",'"&amp;RIGHT('categories-old'!G526,LEN('categories-old'!G526)-1)&amp;"');","")</f>
        <v>INSERT INTO `catalog_category_entity_varchar` (attribute_id,store_id,entity_id,value) VALUES (48,0,356,'img1/img9140.jpg');</v>
      </c>
      <c r="B526" t="str">
        <f>IF(LEN(categories!G526) &gt; 0, "INSERT INTO `catalog_category_entity_varchar` (attribute_id,store_id,entity_id,value) VALUES (48,0,"&amp;categories!B526&amp;",'"&amp;RIGHT(categories!G526,LEN(categories!G526)-1)&amp;"');","")</f>
        <v>INSERT INTO `catalog_category_entity_varchar` (attribute_id,store_id,entity_id,value) VALUES (48,0,356,'img1/img9140.jpg');</v>
      </c>
      <c r="C526" t="str">
        <f>VLOOKUP(categories!B526,'categories-old'!B:G,6,FALSE)</f>
        <v>/img1/img9140.jpg</v>
      </c>
      <c r="D526" t="str">
        <f>VLOOKUP(categories!B526,'categories-old'!B:H,7,FALSE)</f>
        <v>www.americanretailsupply.com\64901\239220\Closeout-Brackets-Hooks-Standards\Pegboard-17-12-6-Ball-Waterfall-Chrome.html</v>
      </c>
    </row>
    <row r="527" spans="1:4" hidden="1" x14ac:dyDescent="0.25">
      <c r="A527" t="str">
        <f>IF(LEN('categories-old'!G527) &gt; 0, "INSERT INTO `catalog_category_entity_varchar` (attribute_id,store_id,entity_id,value) VALUES (48,0,"&amp;'categories-old'!B527&amp;",'"&amp;RIGHT('categories-old'!G527,LEN('categories-old'!G527)-1)&amp;"');","")</f>
        <v>INSERT INTO `catalog_category_entity_varchar` (attribute_id,store_id,entity_id,value) VALUES (48,0,357,'img1/img6a7a.jpg');</v>
      </c>
      <c r="B527" t="str">
        <f>IF(LEN(categories!G527) &gt; 0, "INSERT INTO `catalog_category_entity_varchar` (attribute_id,store_id,entity_id,value) VALUES (48,0,"&amp;categories!B527&amp;",'"&amp;RIGHT(categories!G527,LEN(categories!G527)-1)&amp;"');","")</f>
        <v>INSERT INTO `catalog_category_entity_varchar` (attribute_id,store_id,entity_id,value) VALUES (48,0,357,'img1/img6a7a.jpg');</v>
      </c>
      <c r="C527" t="str">
        <f>VLOOKUP(categories!B527,'categories-old'!B:G,6,FALSE)</f>
        <v>/img1/img6a7a.jpg</v>
      </c>
      <c r="D527" t="str">
        <f>VLOOKUP(categories!B527,'categories-old'!B:H,7,FALSE)</f>
        <v>www.americanretailsupply.com\64901\239483\Closeout-Brackets-Hooks-Standards\Merchandise-Bar-Waterfall--Ball.html</v>
      </c>
    </row>
    <row r="528" spans="1:4" hidden="1" x14ac:dyDescent="0.25">
      <c r="A528" t="str">
        <f>IF(LEN('categories-old'!G528) &gt; 0, "INSERT INTO `catalog_category_entity_varchar` (attribute_id,store_id,entity_id,value) VALUES (48,0,"&amp;'categories-old'!B528&amp;",'"&amp;RIGHT('categories-old'!G528,LEN('categories-old'!G528)-1)&amp;"');","")</f>
        <v>INSERT INTO `catalog_category_entity_varchar` (attribute_id,store_id,entity_id,value) VALUES (48,0,358,'img2/img848c.jpg');</v>
      </c>
      <c r="B528" t="str">
        <f>IF(LEN(categories!G528) &gt; 0, "INSERT INTO `catalog_category_entity_varchar` (attribute_id,store_id,entity_id,value) VALUES (48,0,"&amp;categories!B528&amp;",'"&amp;RIGHT(categories!G528,LEN(categories!G528)-1)&amp;"');","")</f>
        <v>INSERT INTO `catalog_category_entity_varchar` (attribute_id,store_id,entity_id,value) VALUES (48,0,358,'img2/img848c.jpg');</v>
      </c>
      <c r="C528" t="str">
        <f>VLOOKUP(categories!B528,'categories-old'!B:G,6,FALSE)</f>
        <v>/img2/img848c.jpg</v>
      </c>
      <c r="D528" t="str">
        <f>VLOOKUP(categories!B528,'categories-old'!B:H,7,FALSE)</f>
        <v>www.americanretailsupply.com\64901\245429\Closeout-Brackets-Hooks-Standards\Quantum-18-Left-Bracket-Flange.html</v>
      </c>
    </row>
    <row r="529" spans="1:4" hidden="1" x14ac:dyDescent="0.25">
      <c r="A529" t="str">
        <f>IF(LEN('categories-old'!G529) &gt; 0, "INSERT INTO `catalog_category_entity_varchar` (attribute_id,store_id,entity_id,value) VALUES (48,0,"&amp;'categories-old'!B529&amp;",'"&amp;RIGHT('categories-old'!G529,LEN('categories-old'!G529)-1)&amp;"');","")</f>
        <v>INSERT INTO `catalog_category_entity_varchar` (attribute_id,store_id,entity_id,value) VALUES (48,0,359,'img2/img813f.jpg');</v>
      </c>
      <c r="B529" t="str">
        <f>IF(LEN(categories!G529) &gt; 0, "INSERT INTO `catalog_category_entity_varchar` (attribute_id,store_id,entity_id,value) VALUES (48,0,"&amp;categories!B529&amp;",'"&amp;RIGHT(categories!G529,LEN(categories!G529)-1)&amp;"');","")</f>
        <v>INSERT INTO `catalog_category_entity_varchar` (attribute_id,store_id,entity_id,value) VALUES (48,0,359,'img2/img813f.jpg');</v>
      </c>
      <c r="C529" t="str">
        <f>VLOOKUP(categories!B529,'categories-old'!B:G,6,FALSE)</f>
        <v>/img2/img813f.jpg</v>
      </c>
      <c r="D529" t="str">
        <f>VLOOKUP(categories!B529,'categories-old'!B:H,7,FALSE)</f>
        <v>www.americanretailsupply.com\64901\245432\Closeout-Brackets-Hooks-Standards\Aristocrat-14-Merchandise-Bar-Bracket.html</v>
      </c>
    </row>
    <row r="530" spans="1:4" hidden="1" x14ac:dyDescent="0.25">
      <c r="A530" t="str">
        <f>IF(LEN('categories-old'!G530) &gt; 0, "INSERT INTO `catalog_category_entity_varchar` (attribute_id,store_id,entity_id,value) VALUES (48,0,"&amp;'categories-old'!B530&amp;",'"&amp;RIGHT('categories-old'!G530,LEN('categories-old'!G530)-1)&amp;"');","")</f>
        <v>INSERT INTO `catalog_category_entity_varchar` (attribute_id,store_id,entity_id,value) VALUES (48,0,360,'img1/img4847.jpg');</v>
      </c>
      <c r="B530" t="str">
        <f>IF(LEN(categories!G530) &gt; 0, "INSERT INTO `catalog_category_entity_varchar` (attribute_id,store_id,entity_id,value) VALUES (48,0,"&amp;categories!B530&amp;",'"&amp;RIGHT(categories!G530,LEN(categories!G530)-1)&amp;"');","")</f>
        <v>INSERT INTO `catalog_category_entity_varchar` (attribute_id,store_id,entity_id,value) VALUES (48,0,360,'img1/img4847.jpg');</v>
      </c>
      <c r="C530" t="str">
        <f>VLOOKUP(categories!B530,'categories-old'!B:G,6,FALSE)</f>
        <v>/img1/img4847.jpg</v>
      </c>
      <c r="D530" t="str">
        <f>VLOOKUP(categories!B530,'categories-old'!B:H,7,FALSE)</f>
        <v>www.americanretailsupply.com\64901\245471\Closeout-Brackets-Hooks-Standards\Hangrod-Snap-on-Brackets.html</v>
      </c>
    </row>
    <row r="531" spans="1:4" hidden="1" x14ac:dyDescent="0.25">
      <c r="A531" t="str">
        <f>IF(LEN('categories-old'!G531) &gt; 0, "INSERT INTO `catalog_category_entity_varchar` (attribute_id,store_id,entity_id,value) VALUES (48,0,"&amp;'categories-old'!B531&amp;",'"&amp;RIGHT('categories-old'!G531,LEN('categories-old'!G531)-1)&amp;"');","")</f>
        <v>INSERT INTO `catalog_category_entity_varchar` (attribute_id,store_id,entity_id,value) VALUES (48,0,361,'img3/img90e0.jpg');</v>
      </c>
      <c r="B531" t="str">
        <f>IF(LEN(categories!G531) &gt; 0, "INSERT INTO `catalog_category_entity_varchar` (attribute_id,store_id,entity_id,value) VALUES (48,0,"&amp;categories!B531&amp;",'"&amp;RIGHT(categories!G531,LEN(categories!G531)-1)&amp;"');","")</f>
        <v>INSERT INTO `catalog_category_entity_varchar` (attribute_id,store_id,entity_id,value) VALUES (48,0,361,'img3/img90e0.jpg');</v>
      </c>
      <c r="C531" t="str">
        <f>VLOOKUP(categories!B531,'categories-old'!B:G,6,FALSE)</f>
        <v>/img3/img90e0.jpg</v>
      </c>
      <c r="D531" t="str">
        <f>VLOOKUP(categories!B531,'categories-old'!B:H,7,FALSE)</f>
        <v>www.americanretailsupply.com\64901\245623\Closeout-Brackets-Hooks-Standards\Gridwall-Hook-12-x-316-White-45-Degree-Tip.html</v>
      </c>
    </row>
    <row r="532" spans="1:4" hidden="1" x14ac:dyDescent="0.25">
      <c r="A532" t="str">
        <f>IF(LEN('categories-old'!G532) &gt; 0, "INSERT INTO `catalog_category_entity_varchar` (attribute_id,store_id,entity_id,value) VALUES (48,0,"&amp;'categories-old'!B532&amp;",'"&amp;RIGHT('categories-old'!G532,LEN('categories-old'!G532)-1)&amp;"');","")</f>
        <v>INSERT INTO `catalog_category_entity_varchar` (attribute_id,store_id,entity_id,value) VALUES (48,0,362,'img3/imgfcd3.jpg');</v>
      </c>
      <c r="B532" t="str">
        <f>IF(LEN(categories!G532) &gt; 0, "INSERT INTO `catalog_category_entity_varchar` (attribute_id,store_id,entity_id,value) VALUES (48,0,"&amp;categories!B532&amp;",'"&amp;RIGHT(categories!G532,LEN(categories!G532)-1)&amp;"');","")</f>
        <v>INSERT INTO `catalog_category_entity_varchar` (attribute_id,store_id,entity_id,value) VALUES (48,0,362,'img3/imgfcd3.jpg');</v>
      </c>
      <c r="C532" t="str">
        <f>VLOOKUP(categories!B532,'categories-old'!B:G,6,FALSE)</f>
        <v>/img3/imgfcd3.jpg</v>
      </c>
      <c r="D532" t="str">
        <f>VLOOKUP(categories!B532,'categories-old'!B:H,7,FALSE)</f>
        <v>www.americanretailsupply.com\64901\245625\Closeout-Brackets-Hooks-Standards\Mini-Grid-White-12-WAY-Connector.html</v>
      </c>
    </row>
    <row r="533" spans="1:4" hidden="1" x14ac:dyDescent="0.25">
      <c r="A533" t="str">
        <f>IF(LEN('categories-old'!G533) &gt; 0, "INSERT INTO `catalog_category_entity_varchar` (attribute_id,store_id,entity_id,value) VALUES (48,0,"&amp;'categories-old'!B533&amp;",'"&amp;RIGHT('categories-old'!G533,LEN('categories-old'!G533)-1)&amp;"');","")</f>
        <v>INSERT INTO `catalog_category_entity_varchar` (attribute_id,store_id,entity_id,value) VALUES (48,0,363,'img1/img290e.jpg');</v>
      </c>
      <c r="B533" t="str">
        <f>IF(LEN(categories!G533) &gt; 0, "INSERT INTO `catalog_category_entity_varchar` (attribute_id,store_id,entity_id,value) VALUES (48,0,"&amp;categories!B533&amp;",'"&amp;RIGHT(categories!G533,LEN(categories!G533)-1)&amp;"');","")</f>
        <v>INSERT INTO `catalog_category_entity_varchar` (attribute_id,store_id,entity_id,value) VALUES (48,0,363,'img1/img290e.jpg');</v>
      </c>
      <c r="C533" t="str">
        <f>VLOOKUP(categories!B533,'categories-old'!B:G,6,FALSE)</f>
        <v>/img1/img290e.jpg</v>
      </c>
      <c r="D533" t="str">
        <f>VLOOKUP(categories!B533,'categories-old'!B:H,7,FALSE)</f>
        <v>www.americanretailsupply.com\64901\434814\Closeout-Brackets-Hooks-Standards\Heavy-Duty-Hook-14-Diameter-90-tip-12.html</v>
      </c>
    </row>
    <row r="534" spans="1:4" hidden="1" x14ac:dyDescent="0.25">
      <c r="A534" t="str">
        <f>IF(LEN('categories-old'!G534) &gt; 0, "INSERT INTO `catalog_category_entity_varchar` (attribute_id,store_id,entity_id,value) VALUES (48,0,"&amp;'categories-old'!B534&amp;",'"&amp;RIGHT('categories-old'!G534,LEN('categories-old'!G534)-1)&amp;"');","")</f>
        <v>INSERT INTO `catalog_category_entity_varchar` (attribute_id,store_id,entity_id,value) VALUES (48,0,364,'img2/imgcf5e.jpg');</v>
      </c>
      <c r="B534" t="str">
        <f>IF(LEN(categories!G534) &gt; 0, "INSERT INTO `catalog_category_entity_varchar` (attribute_id,store_id,entity_id,value) VALUES (48,0,"&amp;categories!B534&amp;",'"&amp;RIGHT(categories!G534,LEN(categories!G534)-1)&amp;"');","")</f>
        <v>INSERT INTO `catalog_category_entity_varchar` (attribute_id,store_id,entity_id,value) VALUES (48,0,364,'img2/imgcf5e.jpg');</v>
      </c>
      <c r="C534" t="str">
        <f>VLOOKUP(categories!B534,'categories-old'!B:G,6,FALSE)</f>
        <v>/img2/imgcf5e.jpg</v>
      </c>
      <c r="D534" t="str">
        <f>VLOOKUP(categories!B534,'categories-old'!B:H,7,FALSE)</f>
        <v>www.americanretailsupply.com\64901\785835\Closeout-Brackets-Hooks-Standards\9-Gridwall-Heavy-Duty-Hook.html</v>
      </c>
    </row>
    <row r="535" spans="1:4" hidden="1" x14ac:dyDescent="0.25">
      <c r="A535" t="str">
        <f>IF(LEN('categories-old'!G535) &gt; 0, "INSERT INTO `catalog_category_entity_varchar` (attribute_id,store_id,entity_id,value) VALUES (48,0,"&amp;'categories-old'!B535&amp;",'"&amp;RIGHT('categories-old'!G535,LEN('categories-old'!G535)-1)&amp;"');","")</f>
        <v>INSERT INTO `catalog_category_entity_varchar` (attribute_id,store_id,entity_id,value) VALUES (48,0,366,'img3/img7dd3.jpg');</v>
      </c>
      <c r="B535" t="str">
        <f>IF(LEN(categories!G535) &gt; 0, "INSERT INTO `catalog_category_entity_varchar` (attribute_id,store_id,entity_id,value) VALUES (48,0,"&amp;categories!B535&amp;",'"&amp;RIGHT(categories!G535,LEN(categories!G535)-1)&amp;"');","")</f>
        <v>INSERT INTO `catalog_category_entity_varchar` (attribute_id,store_id,entity_id,value) VALUES (48,0,366,'img3/img7dd3.jpg');</v>
      </c>
      <c r="C535" t="str">
        <f>VLOOKUP(categories!B535,'categories-old'!B:G,6,FALSE)</f>
        <v>/img3/img7dd3.jpg</v>
      </c>
      <c r="D535" t="str">
        <f>VLOOKUP(categories!B535,'categories-old'!B:H,7,FALSE)</f>
        <v>www.americanretailsupply.com\64898\37163\Closeout-Display-Cases-and-Racks\Round-Glass-Cube-Display-Base.html</v>
      </c>
    </row>
    <row r="536" spans="1:4" hidden="1" x14ac:dyDescent="0.25">
      <c r="A536" t="str">
        <f>IF(LEN('categories-old'!G536) &gt; 0, "INSERT INTO `catalog_category_entity_varchar` (attribute_id,store_id,entity_id,value) VALUES (48,0,"&amp;'categories-old'!B536&amp;",'"&amp;RIGHT('categories-old'!G536,LEN('categories-old'!G536)-1)&amp;"');","")</f>
        <v>INSERT INTO `catalog_category_entity_varchar` (attribute_id,store_id,entity_id,value) VALUES (48,0,367,'img2/img6823.jpg');</v>
      </c>
      <c r="B536" t="str">
        <f>IF(LEN(categories!G536) &gt; 0, "INSERT INTO `catalog_category_entity_varchar` (attribute_id,store_id,entity_id,value) VALUES (48,0,"&amp;categories!B536&amp;",'"&amp;RIGHT(categories!G536,LEN(categories!G536)-1)&amp;"');","")</f>
        <v>INSERT INTO `catalog_category_entity_varchar` (attribute_id,store_id,entity_id,value) VALUES (48,0,367,'img2/img6823.jpg');</v>
      </c>
      <c r="C536" t="str">
        <f>VLOOKUP(categories!B536,'categories-old'!B:G,6,FALSE)</f>
        <v>/img2/img6823.jpg</v>
      </c>
      <c r="D536" t="str">
        <f>VLOOKUP(categories!B536,'categories-old'!B:H,7,FALSE)</f>
        <v>www.americanretailsupply.com\64898\37165\Closeout-Display-Cases-and-Racks\Square-Glass-Cube-Display-Base.html</v>
      </c>
    </row>
    <row r="537" spans="1:4" hidden="1" x14ac:dyDescent="0.25">
      <c r="A537" t="str">
        <f>IF(LEN('categories-old'!G537) &gt; 0, "INSERT INTO `catalog_category_entity_varchar` (attribute_id,store_id,entity_id,value) VALUES (48,0,"&amp;'categories-old'!B537&amp;",'"&amp;RIGHT('categories-old'!G537,LEN('categories-old'!G537)-1)&amp;"');","")</f>
        <v>INSERT INTO `catalog_category_entity_varchar` (attribute_id,store_id,entity_id,value) VALUES (48,0,368,'img2/imge092.jpg');</v>
      </c>
      <c r="B537" t="str">
        <f>IF(LEN(categories!G537) &gt; 0, "INSERT INTO `catalog_category_entity_varchar` (attribute_id,store_id,entity_id,value) VALUES (48,0,"&amp;categories!B537&amp;",'"&amp;RIGHT(categories!G537,LEN(categories!G537)-1)&amp;"');","")</f>
        <v>INSERT INTO `catalog_category_entity_varchar` (attribute_id,store_id,entity_id,value) VALUES (48,0,368,'img2/imge092.jpg');</v>
      </c>
      <c r="C537" t="str">
        <f>VLOOKUP(categories!B537,'categories-old'!B:G,6,FALSE)</f>
        <v>/img2/imge092.jpg</v>
      </c>
      <c r="D537" t="str">
        <f>VLOOKUP(categories!B537,'categories-old'!B:H,7,FALSE)</f>
        <v>www.americanretailsupply.com\64898\222067\Closeout-Display-Cases-and-Racks\5-sided-Display-Cube.html</v>
      </c>
    </row>
    <row r="538" spans="1:4" hidden="1" x14ac:dyDescent="0.25">
      <c r="A538" t="str">
        <f>IF(LEN('categories-old'!G538) &gt; 0, "INSERT INTO `catalog_category_entity_varchar` (attribute_id,store_id,entity_id,value) VALUES (48,0,"&amp;'categories-old'!B538&amp;",'"&amp;RIGHT('categories-old'!G538,LEN('categories-old'!G538)-1)&amp;"');","")</f>
        <v>INSERT INTO `catalog_category_entity_varchar` (attribute_id,store_id,entity_id,value) VALUES (48,0,369,'img1/img826b.jpg');</v>
      </c>
      <c r="B538" t="str">
        <f>IF(LEN(categories!G538) &gt; 0, "INSERT INTO `catalog_category_entity_varchar` (attribute_id,store_id,entity_id,value) VALUES (48,0,"&amp;categories!B538&amp;",'"&amp;RIGHT(categories!G538,LEN(categories!G538)-1)&amp;"');","")</f>
        <v>INSERT INTO `catalog_category_entity_varchar` (attribute_id,store_id,entity_id,value) VALUES (48,0,369,'img1/img826b.jpg');</v>
      </c>
      <c r="C538" t="str">
        <f>VLOOKUP(categories!B538,'categories-old'!B:G,6,FALSE)</f>
        <v>/img1/img826b.jpg</v>
      </c>
      <c r="D538" t="str">
        <f>VLOOKUP(categories!B538,'categories-old'!B:H,7,FALSE)</f>
        <v>www.americanretailsupply.com\64898\236989\Closeout-Display-Cases-and-Racks\Etagere-Pine-6.html</v>
      </c>
    </row>
    <row r="539" spans="1:4" hidden="1" x14ac:dyDescent="0.25">
      <c r="A539" t="str">
        <f>IF(LEN('categories-old'!G539) &gt; 0, "INSERT INTO `catalog_category_entity_varchar` (attribute_id,store_id,entity_id,value) VALUES (48,0,"&amp;'categories-old'!B539&amp;",'"&amp;RIGHT('categories-old'!G539,LEN('categories-old'!G539)-1)&amp;"');","")</f>
        <v>INSERT INTO `catalog_category_entity_varchar` (attribute_id,store_id,entity_id,value) VALUES (48,0,370,'img3/img48db.jpg');</v>
      </c>
      <c r="B539" t="str">
        <f>IF(LEN(categories!G539) &gt; 0, "INSERT INTO `catalog_category_entity_varchar` (attribute_id,store_id,entity_id,value) VALUES (48,0,"&amp;categories!B539&amp;",'"&amp;RIGHT(categories!G539,LEN(categories!G539)-1)&amp;"');","")</f>
        <v>INSERT INTO `catalog_category_entity_varchar` (attribute_id,store_id,entity_id,value) VALUES (48,0,370,'img3/img48db.jpg');</v>
      </c>
      <c r="C539" t="str">
        <f>VLOOKUP(categories!B539,'categories-old'!B:G,6,FALSE)</f>
        <v>/img3/img48db.jpg</v>
      </c>
      <c r="D539" t="str">
        <f>VLOOKUP(categories!B539,'categories-old'!B:H,7,FALSE)</f>
        <v>www.americanretailsupply.com\64898\577677\Closeout-Display-Cases-and-Racks\4-Jewelry-Sit-Down-Case-New-World-Style.html</v>
      </c>
    </row>
    <row r="540" spans="1:4" hidden="1" x14ac:dyDescent="0.25">
      <c r="A540" t="str">
        <f>IF(LEN('categories-old'!G540) &gt; 0, "INSERT INTO `catalog_category_entity_varchar` (attribute_id,store_id,entity_id,value) VALUES (48,0,"&amp;'categories-old'!B540&amp;",'"&amp;RIGHT('categories-old'!G540,LEN('categories-old'!G540)-1)&amp;"');","")</f>
        <v>INSERT INTO `catalog_category_entity_varchar` (attribute_id,store_id,entity_id,value) VALUES (48,0,371,'img1/img5ef3.jpg');</v>
      </c>
      <c r="B540" t="str">
        <f>IF(LEN(categories!G540) &gt; 0, "INSERT INTO `catalog_category_entity_varchar` (attribute_id,store_id,entity_id,value) VALUES (48,0,"&amp;categories!B540&amp;",'"&amp;RIGHT(categories!G540,LEN(categories!G540)-1)&amp;"');","")</f>
        <v>INSERT INTO `catalog_category_entity_varchar` (attribute_id,store_id,entity_id,value) VALUES (48,0,371,'img1/img5ef3.jpg');</v>
      </c>
      <c r="C540" t="str">
        <f>VLOOKUP(categories!B540,'categories-old'!B:G,6,FALSE)</f>
        <v>/img1/img5ef3.jpg</v>
      </c>
      <c r="D540" t="str">
        <f>VLOOKUP(categories!B540,'categories-old'!B:H,7,FALSE)</f>
        <v>www.americanretailsupply.com\64898\577681\Closeout-Display-Cases-and-Racks\4-Jewelry-Top-Vision-Case-New-World-Style.html</v>
      </c>
    </row>
    <row r="541" spans="1:4" hidden="1" x14ac:dyDescent="0.25">
      <c r="A541" t="str">
        <f>IF(LEN('categories-old'!G541) &gt; 0, "INSERT INTO `catalog_category_entity_varchar` (attribute_id,store_id,entity_id,value) VALUES (48,0,"&amp;'categories-old'!B541&amp;",'"&amp;RIGHT('categories-old'!G541,LEN('categories-old'!G541)-1)&amp;"');","")</f>
        <v>INSERT INTO `catalog_category_entity_varchar` (attribute_id,store_id,entity_id,value) VALUES (48,0,372,'img1/imgcfb8.jpg');</v>
      </c>
      <c r="B541" t="str">
        <f>IF(LEN(categories!G541) &gt; 0, "INSERT INTO `catalog_category_entity_varchar` (attribute_id,store_id,entity_id,value) VALUES (48,0,"&amp;categories!B541&amp;",'"&amp;RIGHT(categories!G541,LEN(categories!G541)-1)&amp;"');","")</f>
        <v>INSERT INTO `catalog_category_entity_varchar` (attribute_id,store_id,entity_id,value) VALUES (48,0,372,'img1/imgcfb8.jpg');</v>
      </c>
      <c r="C541" t="str">
        <f>VLOOKUP(categories!B541,'categories-old'!B:G,6,FALSE)</f>
        <v>/img1/imgcfb8.jpg</v>
      </c>
      <c r="D541" t="str">
        <f>VLOOKUP(categories!B541,'categories-old'!B:H,7,FALSE)</f>
        <v>www.americanretailsupply.com\64898\739235\Closeout-Display-Cases-and-Racks\Hexagon-Countertop-Case.html</v>
      </c>
    </row>
    <row r="542" spans="1:4" hidden="1" x14ac:dyDescent="0.25">
      <c r="A542" t="str">
        <f>IF(LEN('categories-old'!G542) &gt; 0, "INSERT INTO `catalog_category_entity_varchar` (attribute_id,store_id,entity_id,value) VALUES (48,0,"&amp;'categories-old'!B542&amp;",'"&amp;RIGHT('categories-old'!G542,LEN('categories-old'!G542)-1)&amp;"');","")</f>
        <v>INSERT INTO `catalog_category_entity_varchar` (attribute_id,store_id,entity_id,value) VALUES (48,0,373,'img1/imgb624.jpg');</v>
      </c>
      <c r="B542" t="str">
        <f>IF(LEN(categories!G542) &gt; 0, "INSERT INTO `catalog_category_entity_varchar` (attribute_id,store_id,entity_id,value) VALUES (48,0,"&amp;categories!B542&amp;",'"&amp;RIGHT(categories!G542,LEN(categories!G542)-1)&amp;"');","")</f>
        <v>INSERT INTO `catalog_category_entity_varchar` (attribute_id,store_id,entity_id,value) VALUES (48,0,373,'img1/imgb624.jpg');</v>
      </c>
      <c r="C542" t="str">
        <f>VLOOKUP(categories!B542,'categories-old'!B:G,6,FALSE)</f>
        <v>/img1/imgb624.jpg</v>
      </c>
      <c r="D542" t="str">
        <f>VLOOKUP(categories!B542,'categories-old'!B:H,7,FALSE)</f>
        <v>www.americanretailsupply.com\64898\739776\Closeout-Display-Cases-and-Racks\Custom-Countertop-Case-Cedar-Humidor.html</v>
      </c>
    </row>
    <row r="543" spans="1:4" hidden="1" x14ac:dyDescent="0.25">
      <c r="A543" t="str">
        <f>IF(LEN('categories-old'!G543) &gt; 0, "INSERT INTO `catalog_category_entity_varchar` (attribute_id,store_id,entity_id,value) VALUES (48,0,"&amp;'categories-old'!B543&amp;",'"&amp;RIGHT('categories-old'!G543,LEN('categories-old'!G543)-1)&amp;"');","")</f>
        <v>INSERT INTO `catalog_category_entity_varchar` (attribute_id,store_id,entity_id,value) VALUES (48,0,374,'img2/imgfba5.jpg');</v>
      </c>
      <c r="B543" t="str">
        <f>IF(LEN(categories!G543) &gt; 0, "INSERT INTO `catalog_category_entity_varchar` (attribute_id,store_id,entity_id,value) VALUES (48,0,"&amp;categories!B543&amp;",'"&amp;RIGHT(categories!G543,LEN(categories!G543)-1)&amp;"');","")</f>
        <v>INSERT INTO `catalog_category_entity_varchar` (attribute_id,store_id,entity_id,value) VALUES (48,0,374,'img2/imgfba5.jpg');</v>
      </c>
      <c r="C543" t="str">
        <f>VLOOKUP(categories!B543,'categories-old'!B:G,6,FALSE)</f>
        <v>/img2/imgfba5.jpg</v>
      </c>
      <c r="D543" t="str">
        <f>VLOOKUP(categories!B543,'categories-old'!B:H,7,FALSE)</f>
        <v>www.americanretailsupply.com\64898\739783\Closeout-Display-Cases-and-Racks\Pine-Wall-Case.html</v>
      </c>
    </row>
    <row r="544" spans="1:4" hidden="1" x14ac:dyDescent="0.25">
      <c r="A544" t="str">
        <f>IF(LEN('categories-old'!G544) &gt; 0, "INSERT INTO `catalog_category_entity_varchar` (attribute_id,store_id,entity_id,value) VALUES (48,0,"&amp;'categories-old'!B544&amp;",'"&amp;RIGHT('categories-old'!G544,LEN('categories-old'!G544)-1)&amp;"');","")</f>
        <v>INSERT INTO `catalog_category_entity_varchar` (attribute_id,store_id,entity_id,value) VALUES (48,0,375,'img2/imgd851.jpg');</v>
      </c>
      <c r="B544" t="str">
        <f>IF(LEN(categories!G544) &gt; 0, "INSERT INTO `catalog_category_entity_varchar` (attribute_id,store_id,entity_id,value) VALUES (48,0,"&amp;categories!B544&amp;",'"&amp;RIGHT(categories!G544,LEN(categories!G544)-1)&amp;"');","")</f>
        <v>INSERT INTO `catalog_category_entity_varchar` (attribute_id,store_id,entity_id,value) VALUES (48,0,375,'img2/imgd851.jpg');</v>
      </c>
      <c r="C544" t="str">
        <f>VLOOKUP(categories!B544,'categories-old'!B:G,6,FALSE)</f>
        <v>/img2/imgd851.jpg</v>
      </c>
      <c r="D544" t="str">
        <f>VLOOKUP(categories!B544,'categories-old'!B:H,7,FALSE)</f>
        <v>www.americanretailsupply.com\64898\739798\Closeout-Display-Cases-and-Racks\Hickory-Custom-Wall-Display.html</v>
      </c>
    </row>
    <row r="545" spans="1:4" hidden="1" x14ac:dyDescent="0.25">
      <c r="A545" t="str">
        <f>IF(LEN('categories-old'!G545) &gt; 0, "INSERT INTO `catalog_category_entity_varchar` (attribute_id,store_id,entity_id,value) VALUES (48,0,"&amp;'categories-old'!B545&amp;",'"&amp;RIGHT('categories-old'!G545,LEN('categories-old'!G545)-1)&amp;"');","")</f>
        <v>INSERT INTO `catalog_category_entity_varchar` (attribute_id,store_id,entity_id,value) VALUES (48,0,376,'img1/img3532.jpg');</v>
      </c>
      <c r="B545" t="str">
        <f>IF(LEN(categories!G545) &gt; 0, "INSERT INTO `catalog_category_entity_varchar` (attribute_id,store_id,entity_id,value) VALUES (48,0,"&amp;categories!B545&amp;",'"&amp;RIGHT(categories!G545,LEN(categories!G545)-1)&amp;"');","")</f>
        <v>INSERT INTO `catalog_category_entity_varchar` (attribute_id,store_id,entity_id,value) VALUES (48,0,376,'img1/img3532.jpg');</v>
      </c>
      <c r="C545" t="str">
        <f>VLOOKUP(categories!B545,'categories-old'!B:G,6,FALSE)</f>
        <v>/img1/img3532.jpg</v>
      </c>
      <c r="D545" t="str">
        <f>VLOOKUP(categories!B545,'categories-old'!B:H,7,FALSE)</f>
        <v>www.americanretailsupply.com\64898\763855\Closeout-Display-Cases-and-Racks\Showcase-2-Collectors.html</v>
      </c>
    </row>
    <row r="546" spans="1:4" hidden="1" x14ac:dyDescent="0.25">
      <c r="A546" t="str">
        <f>IF(LEN('categories-old'!G546) &gt; 0, "INSERT INTO `catalog_category_entity_varchar` (attribute_id,store_id,entity_id,value) VALUES (48,0,"&amp;'categories-old'!B546&amp;",'"&amp;RIGHT('categories-old'!G546,LEN('categories-old'!G546)-1)&amp;"');","")</f>
        <v>INSERT INTO `catalog_category_entity_varchar` (attribute_id,store_id,entity_id,value) VALUES (48,0,377,'img3/imgfb81.jpg');</v>
      </c>
      <c r="B546" t="str">
        <f>IF(LEN(categories!G546) &gt; 0, "INSERT INTO `catalog_category_entity_varchar` (attribute_id,store_id,entity_id,value) VALUES (48,0,"&amp;categories!B546&amp;",'"&amp;RIGHT(categories!G546,LEN(categories!G546)-1)&amp;"');","")</f>
        <v>INSERT INTO `catalog_category_entity_varchar` (attribute_id,store_id,entity_id,value) VALUES (48,0,377,'img3/imgfb81.jpg');</v>
      </c>
      <c r="C546" t="str">
        <f>VLOOKUP(categories!B546,'categories-old'!B:G,6,FALSE)</f>
        <v>/img3/imgfb81.jpg</v>
      </c>
      <c r="D546" t="str">
        <f>VLOOKUP(categories!B546,'categories-old'!B:H,7,FALSE)</f>
        <v>www.americanretailsupply.com\64898\785240\Closeout-Display-Cases-and-Racks\18-Straight-Arm-Garment-Rack.html</v>
      </c>
    </row>
    <row r="547" spans="1:4" hidden="1" x14ac:dyDescent="0.25">
      <c r="A547" t="str">
        <f>IF(LEN('categories-old'!G547) &gt; 0, "INSERT INTO `catalog_category_entity_varchar` (attribute_id,store_id,entity_id,value) VALUES (48,0,"&amp;'categories-old'!B547&amp;",'"&amp;RIGHT('categories-old'!G547,LEN('categories-old'!G547)-1)&amp;"');","")</f>
        <v>INSERT INTO `catalog_category_entity_varchar` (attribute_id,store_id,entity_id,value) VALUES (48,0,378,'img1/imgb31a.jpg');</v>
      </c>
      <c r="B547" t="str">
        <f>IF(LEN(categories!G547) &gt; 0, "INSERT INTO `catalog_category_entity_varchar` (attribute_id,store_id,entity_id,value) VALUES (48,0,"&amp;categories!B547&amp;",'"&amp;RIGHT(categories!G547,LEN(categories!G547)-1)&amp;"');","")</f>
        <v>INSERT INTO `catalog_category_entity_varchar` (attribute_id,store_id,entity_id,value) VALUES (48,0,378,'img1/imgb31a.jpg');</v>
      </c>
      <c r="C547" t="str">
        <f>VLOOKUP(categories!B547,'categories-old'!B:G,6,FALSE)</f>
        <v>/img1/imgb31a.jpg</v>
      </c>
      <c r="D547" t="str">
        <f>VLOOKUP(categories!B547,'categories-old'!B:H,7,FALSE)</f>
        <v>www.americanretailsupply.com\64898\785241\Closeout-Display-Cases-and-Racks\22-Straight-Arm-Garment-Rack.html</v>
      </c>
    </row>
    <row r="548" spans="1:4" hidden="1" x14ac:dyDescent="0.25">
      <c r="A548" t="str">
        <f>IF(LEN('categories-old'!G548) &gt; 0, "INSERT INTO `catalog_category_entity_varchar` (attribute_id,store_id,entity_id,value) VALUES (48,0,"&amp;'categories-old'!B548&amp;",'"&amp;RIGHT('categories-old'!G548,LEN('categories-old'!G548)-1)&amp;"');","")</f>
        <v>INSERT INTO `catalog_category_entity_varchar` (attribute_id,store_id,entity_id,value) VALUES (48,0,379,'img3/img4007.jpg');</v>
      </c>
      <c r="B548" t="str">
        <f>IF(LEN(categories!G548) &gt; 0, "INSERT INTO `catalog_category_entity_varchar` (attribute_id,store_id,entity_id,value) VALUES (48,0,"&amp;categories!B548&amp;",'"&amp;RIGHT(categories!G548,LEN(categories!G548)-1)&amp;"');","")</f>
        <v>INSERT INTO `catalog_category_entity_varchar` (attribute_id,store_id,entity_id,value) VALUES (48,0,379,'img3/img4007.jpg');</v>
      </c>
      <c r="C548" t="str">
        <f>VLOOKUP(categories!B548,'categories-old'!B:G,6,FALSE)</f>
        <v>/img3/img4007.jpg</v>
      </c>
      <c r="D548" t="str">
        <f>VLOOKUP(categories!B548,'categories-old'!B:H,7,FALSE)</f>
        <v>www.americanretailsupply.com\64898\785242\Closeout-Display-Cases-and-Racks\2--16-Straight--2--18-Slant-Arms-w8-Ball-Stops.html</v>
      </c>
    </row>
    <row r="549" spans="1:4" hidden="1" x14ac:dyDescent="0.25">
      <c r="A549" t="str">
        <f>IF(LEN('categories-old'!G549) &gt; 0, "INSERT INTO `catalog_category_entity_varchar` (attribute_id,store_id,entity_id,value) VALUES (48,0,"&amp;'categories-old'!B549&amp;",'"&amp;RIGHT('categories-old'!G549,LEN('categories-old'!G549)-1)&amp;"');","")</f>
        <v>INSERT INTO `catalog_category_entity_varchar` (attribute_id,store_id,entity_id,value) VALUES (48,0,380,'img3/imgd775.jpg');</v>
      </c>
      <c r="B549" t="str">
        <f>IF(LEN(categories!G549) &gt; 0, "INSERT INTO `catalog_category_entity_varchar` (attribute_id,store_id,entity_id,value) VALUES (48,0,"&amp;categories!B549&amp;",'"&amp;RIGHT(categories!G549,LEN(categories!G549)-1)&amp;"');","")</f>
        <v>INSERT INTO `catalog_category_entity_varchar` (attribute_id,store_id,entity_id,value) VALUES (48,0,380,'img3/imgd775.jpg');</v>
      </c>
      <c r="C549" t="str">
        <f>VLOOKUP(categories!B549,'categories-old'!B:G,6,FALSE)</f>
        <v>/img3/imgd775.jpg</v>
      </c>
      <c r="D549" t="str">
        <f>VLOOKUP(categories!B549,'categories-old'!B:H,7,FALSE)</f>
        <v>www.americanretailsupply.com\64898\787689\Closeout-Display-Cases-and-Racks\White-Wrap-Counter-48x20x38.html</v>
      </c>
    </row>
    <row r="550" spans="1:4" hidden="1" x14ac:dyDescent="0.25">
      <c r="A550" t="str">
        <f>IF(LEN('categories-old'!G550) &gt; 0, "INSERT INTO `catalog_category_entity_varchar` (attribute_id,store_id,entity_id,value) VALUES (48,0,"&amp;'categories-old'!B550&amp;",'"&amp;RIGHT('categories-old'!G550,LEN('categories-old'!G550)-1)&amp;"');","")</f>
        <v>INSERT INTO `catalog_category_entity_varchar` (attribute_id,store_id,entity_id,value) VALUES (48,0,381,'img3/imgd775.jpg');</v>
      </c>
      <c r="B550" t="str">
        <f>IF(LEN(categories!G550) &gt; 0, "INSERT INTO `catalog_category_entity_varchar` (attribute_id,store_id,entity_id,value) VALUES (48,0,"&amp;categories!B550&amp;",'"&amp;RIGHT(categories!G550,LEN(categories!G550)-1)&amp;"');","")</f>
        <v>INSERT INTO `catalog_category_entity_varchar` (attribute_id,store_id,entity_id,value) VALUES (48,0,381,'img3/imgd775.jpg');</v>
      </c>
      <c r="C550" t="str">
        <f>VLOOKUP(categories!B550,'categories-old'!B:G,6,FALSE)</f>
        <v>/img3/imgd775.jpg</v>
      </c>
      <c r="D550" t="str">
        <f>VLOOKUP(categories!B550,'categories-old'!B:H,7,FALSE)</f>
        <v>www.americanretailsupply.com\64898\787696\Closeout-Display-Cases-and-Racks\White-Wrap-Counter-70x20x38.html</v>
      </c>
    </row>
    <row r="551" spans="1:4" hidden="1" x14ac:dyDescent="0.25">
      <c r="A551" t="str">
        <f>IF(LEN('categories-old'!G551) &gt; 0, "INSERT INTO `catalog_category_entity_varchar` (attribute_id,store_id,entity_id,value) VALUES (48,0,"&amp;'categories-old'!B551&amp;",'"&amp;RIGHT('categories-old'!G551,LEN('categories-old'!G551)-1)&amp;"');","")</f>
        <v>INSERT INTO `catalog_category_entity_varchar` (attribute_id,store_id,entity_id,value) VALUES (48,0,382,'img2/imge395.jpg');</v>
      </c>
      <c r="B551" t="str">
        <f>IF(LEN(categories!G551) &gt; 0, "INSERT INTO `catalog_category_entity_varchar` (attribute_id,store_id,entity_id,value) VALUES (48,0,"&amp;categories!B551&amp;",'"&amp;RIGHT(categories!G551,LEN(categories!G551)-1)&amp;"');","")</f>
        <v>INSERT INTO `catalog_category_entity_varchar` (attribute_id,store_id,entity_id,value) VALUES (48,0,382,'img2/imge395.jpg');</v>
      </c>
      <c r="C551" t="str">
        <f>VLOOKUP(categories!B551,'categories-old'!B:G,6,FALSE)</f>
        <v>/img2/imge395.jpg</v>
      </c>
      <c r="D551" t="str">
        <f>VLOOKUP(categories!B551,'categories-old'!B:H,7,FALSE)</f>
        <v>www.americanretailsupply.com\64898\788051\Closeout-Display-Cases-and-Racks\16-Slant-Arm-Garment-Rack-with-8-Ball-Stops.html</v>
      </c>
    </row>
    <row r="552" spans="1:4" hidden="1" x14ac:dyDescent="0.25">
      <c r="A552" t="str">
        <f>IF(LEN('categories-old'!G552) &gt; 0, "INSERT INTO `catalog_category_entity_varchar` (attribute_id,store_id,entity_id,value) VALUES (48,0,"&amp;'categories-old'!B552&amp;",'"&amp;RIGHT('categories-old'!G552,LEN('categories-old'!G552)-1)&amp;"');","")</f>
        <v>INSERT INTO `catalog_category_entity_varchar` (attribute_id,store_id,entity_id,value) VALUES (48,0,384,'img2/imgad27.jpg');</v>
      </c>
      <c r="B552" t="str">
        <f>IF(LEN(categories!G552) &gt; 0, "INSERT INTO `catalog_category_entity_varchar` (attribute_id,store_id,entity_id,value) VALUES (48,0,"&amp;categories!B552&amp;",'"&amp;RIGHT(categories!G552,LEN(categories!G552)-1)&amp;"');","")</f>
        <v>INSERT INTO `catalog_category_entity_varchar` (attribute_id,store_id,entity_id,value) VALUES (48,0,384,'img2/imgad27.jpg');</v>
      </c>
      <c r="C552" t="str">
        <f>VLOOKUP(categories!B552,'categories-old'!B:G,6,FALSE)</f>
        <v>/img2/imgad27.jpg</v>
      </c>
      <c r="D552" t="str">
        <f>VLOOKUP(categories!B552,'categories-old'!B:H,7,FALSE)</f>
        <v>www.americanretailsupply.com\64899\236742\Closeout-Packaging\Red-Cello-Bags.html</v>
      </c>
    </row>
    <row r="553" spans="1:4" hidden="1" x14ac:dyDescent="0.25">
      <c r="A553" t="str">
        <f>IF(LEN('categories-old'!G553) &gt; 0, "INSERT INTO `catalog_category_entity_varchar` (attribute_id,store_id,entity_id,value) VALUES (48,0,"&amp;'categories-old'!B553&amp;",'"&amp;RIGHT('categories-old'!G553,LEN('categories-old'!G553)-1)&amp;"');","")</f>
        <v>INSERT INTO `catalog_category_entity_varchar` (attribute_id,store_id,entity_id,value) VALUES (48,0,385,'img3/img0c8d.jpg');</v>
      </c>
      <c r="B553" t="str">
        <f>IF(LEN(categories!G553) &gt; 0, "INSERT INTO `catalog_category_entity_varchar` (attribute_id,store_id,entity_id,value) VALUES (48,0,"&amp;categories!B553&amp;",'"&amp;RIGHT(categories!G553,LEN(categories!G553)-1)&amp;"');","")</f>
        <v>INSERT INTO `catalog_category_entity_varchar` (attribute_id,store_id,entity_id,value) VALUES (48,0,385,'img3/img0c8d.jpg');</v>
      </c>
      <c r="C553" t="str">
        <f>VLOOKUP(categories!B553,'categories-old'!B:G,6,FALSE)</f>
        <v>/img3/img0c8d.jpg</v>
      </c>
      <c r="D553" t="str">
        <f>VLOOKUP(categories!B553,'categories-old'!B:H,7,FALSE)</f>
        <v>www.americanretailsupply.com\64899\244696\Closeout-Packaging\Metallic-Tone-Ribbon.html</v>
      </c>
    </row>
    <row r="554" spans="1:4" hidden="1" x14ac:dyDescent="0.25">
      <c r="A554" t="str">
        <f>IF(LEN('categories-old'!G554) &gt; 0, "INSERT INTO `catalog_category_entity_varchar` (attribute_id,store_id,entity_id,value) VALUES (48,0,"&amp;'categories-old'!B554&amp;",'"&amp;RIGHT('categories-old'!G554,LEN('categories-old'!G554)-1)&amp;"');","")</f>
        <v>INSERT INTO `catalog_category_entity_varchar` (attribute_id,store_id,entity_id,value) VALUES (48,0,386,'img2/imgb97b.jpg');</v>
      </c>
      <c r="B554" t="str">
        <f>IF(LEN(categories!G554) &gt; 0, "INSERT INTO `catalog_category_entity_varchar` (attribute_id,store_id,entity_id,value) VALUES (48,0,"&amp;categories!B554&amp;",'"&amp;RIGHT(categories!G554,LEN(categories!G554)-1)&amp;"');","")</f>
        <v>INSERT INTO `catalog_category_entity_varchar` (attribute_id,store_id,entity_id,value) VALUES (48,0,386,'img2/imgb97b.jpg');</v>
      </c>
      <c r="C554" t="str">
        <f>VLOOKUP(categories!B554,'categories-old'!B:G,6,FALSE)</f>
        <v>/img2/imgb97b.jpg</v>
      </c>
      <c r="D554" t="str">
        <f>VLOOKUP(categories!B554,'categories-old'!B:H,7,FALSE)</f>
        <v>www.americanretailsupply.com\64899\244699\Closeout-Packaging\Shreds.html</v>
      </c>
    </row>
    <row r="555" spans="1:4" hidden="1" x14ac:dyDescent="0.25">
      <c r="A555" t="str">
        <f>IF(LEN('categories-old'!G555) &gt; 0, "INSERT INTO `catalog_category_entity_varchar` (attribute_id,store_id,entity_id,value) VALUES (48,0,"&amp;'categories-old'!B555&amp;",'"&amp;RIGHT('categories-old'!G555,LEN('categories-old'!G555)-1)&amp;"');","")</f>
        <v>INSERT INTO `catalog_category_entity_varchar` (attribute_id,store_id,entity_id,value) VALUES (48,0,387,'img1/img9604.jpg');</v>
      </c>
      <c r="B555" t="str">
        <f>IF(LEN(categories!G555) &gt; 0, "INSERT INTO `catalog_category_entity_varchar` (attribute_id,store_id,entity_id,value) VALUES (48,0,"&amp;categories!B555&amp;",'"&amp;RIGHT(categories!G555,LEN(categories!G555)-1)&amp;"');","")</f>
        <v>INSERT INTO `catalog_category_entity_varchar` (attribute_id,store_id,entity_id,value) VALUES (48,0,387,'img1/img9604.jpg');</v>
      </c>
      <c r="C555" t="str">
        <f>VLOOKUP(categories!B555,'categories-old'!B:G,6,FALSE)</f>
        <v>/img1/img9604.jpg</v>
      </c>
      <c r="D555" t="str">
        <f>VLOOKUP(categories!B555,'categories-old'!B:H,7,FALSE)</f>
        <v>www.americanretailsupply.com\64899\244701\Closeout-Packaging\Clearphane-40-X-100-Pink.html</v>
      </c>
    </row>
    <row r="556" spans="1:4" hidden="1" x14ac:dyDescent="0.25">
      <c r="A556" t="str">
        <f>IF(LEN('categories-old'!G556) &gt; 0, "INSERT INTO `catalog_category_entity_varchar` (attribute_id,store_id,entity_id,value) VALUES (48,0,"&amp;'categories-old'!B556&amp;",'"&amp;RIGHT('categories-old'!G556,LEN('categories-old'!G556)-1)&amp;"');","")</f>
        <v>INSERT INTO `catalog_category_entity_varchar` (attribute_id,store_id,entity_id,value) VALUES (48,0,388,'img1/img59aa.jpg');</v>
      </c>
      <c r="B556" t="str">
        <f>IF(LEN(categories!G556) &gt; 0, "INSERT INTO `catalog_category_entity_varchar` (attribute_id,store_id,entity_id,value) VALUES (48,0,"&amp;categories!B556&amp;",'"&amp;RIGHT(categories!G556,LEN(categories!G556)-1)&amp;"');","")</f>
        <v>INSERT INTO `catalog_category_entity_varchar` (attribute_id,store_id,entity_id,value) VALUES (48,0,388,'img1/img59aa.jpg');</v>
      </c>
      <c r="C556" t="str">
        <f>VLOOKUP(categories!B556,'categories-old'!B:G,6,FALSE)</f>
        <v>/img1/img59aa.jpg</v>
      </c>
      <c r="D556" t="str">
        <f>VLOOKUP(categories!B556,'categories-old'!B:H,7,FALSE)</f>
        <v>www.americanretailsupply.com\64899\245001\Closeout-Packaging\Elasti-Loops.html</v>
      </c>
    </row>
    <row r="557" spans="1:4" hidden="1" x14ac:dyDescent="0.25">
      <c r="A557" t="str">
        <f>IF(LEN('categories-old'!G557) &gt; 0, "INSERT INTO `catalog_category_entity_varchar` (attribute_id,store_id,entity_id,value) VALUES (48,0,"&amp;'categories-old'!B557&amp;",'"&amp;RIGHT('categories-old'!G557,LEN('categories-old'!G557)-1)&amp;"');","")</f>
        <v>INSERT INTO `catalog_category_entity_varchar` (attribute_id,store_id,entity_id,value) VALUES (48,0,389,'img2/img445c.jpg');</v>
      </c>
      <c r="B557" t="str">
        <f>IF(LEN(categories!G557) &gt; 0, "INSERT INTO `catalog_category_entity_varchar` (attribute_id,store_id,entity_id,value) VALUES (48,0,"&amp;categories!B557&amp;",'"&amp;RIGHT(categories!G557,LEN(categories!G557)-1)&amp;"');","")</f>
        <v>INSERT INTO `catalog_category_entity_varchar` (attribute_id,store_id,entity_id,value) VALUES (48,0,389,'img2/img445c.jpg');</v>
      </c>
      <c r="C557" t="str">
        <f>VLOOKUP(categories!B557,'categories-old'!B:G,6,FALSE)</f>
        <v>/img2/img445c.jpg</v>
      </c>
      <c r="D557" t="str">
        <f>VLOOKUP(categories!B557,'categories-old'!B:H,7,FALSE)</f>
        <v>www.americanretailsupply.com\64899\245007\Closeout-Packaging\Simply-Sheer-Ribbon.html</v>
      </c>
    </row>
    <row r="558" spans="1:4" hidden="1" x14ac:dyDescent="0.25">
      <c r="A558" t="str">
        <f>IF(LEN('categories-old'!G558) &gt; 0, "INSERT INTO `catalog_category_entity_varchar` (attribute_id,store_id,entity_id,value) VALUES (48,0,"&amp;'categories-old'!B558&amp;",'"&amp;RIGHT('categories-old'!G558,LEN('categories-old'!G558)-1)&amp;"');","")</f>
        <v>INSERT INTO `catalog_category_entity_varchar` (attribute_id,store_id,entity_id,value) VALUES (48,0,390,'img3/imgf2bf.jpg');</v>
      </c>
      <c r="B558" t="str">
        <f>IF(LEN(categories!G558) &gt; 0, "INSERT INTO `catalog_category_entity_varchar` (attribute_id,store_id,entity_id,value) VALUES (48,0,"&amp;categories!B558&amp;",'"&amp;RIGHT(categories!G558,LEN(categories!G558)-1)&amp;"');","")</f>
        <v>INSERT INTO `catalog_category_entity_varchar` (attribute_id,store_id,entity_id,value) VALUES (48,0,390,'img3/imgf2bf.jpg');</v>
      </c>
      <c r="C558" t="str">
        <f>VLOOKUP(categories!B558,'categories-old'!B:G,6,FALSE)</f>
        <v>/img3/imgf2bf.jpg</v>
      </c>
      <c r="D558" t="str">
        <f>VLOOKUP(categories!B558,'categories-old'!B:H,7,FALSE)</f>
        <v>www.americanretailsupply.com\64899\245010\Closeout-Packaging\Ribbon-Slitter-Double-Sided.html</v>
      </c>
    </row>
    <row r="559" spans="1:4" hidden="1" x14ac:dyDescent="0.25">
      <c r="A559" t="str">
        <f>IF(LEN('categories-old'!G559) &gt; 0, "INSERT INTO `catalog_category_entity_varchar` (attribute_id,store_id,entity_id,value) VALUES (48,0,"&amp;'categories-old'!B559&amp;",'"&amp;RIGHT('categories-old'!G559,LEN('categories-old'!G559)-1)&amp;"');","")</f>
        <v>INSERT INTO `catalog_category_entity_varchar` (attribute_id,store_id,entity_id,value) VALUES (48,0,391,'img2/img66ac.jpg');</v>
      </c>
      <c r="B559" t="str">
        <f>IF(LEN(categories!G559) &gt; 0, "INSERT INTO `catalog_category_entity_varchar` (attribute_id,store_id,entity_id,value) VALUES (48,0,"&amp;categories!B559&amp;",'"&amp;RIGHT(categories!G559,LEN(categories!G559)-1)&amp;"');","")</f>
        <v>INSERT INTO `catalog_category_entity_varchar` (attribute_id,store_id,entity_id,value) VALUES (48,0,391,'img2/img66ac.jpg');</v>
      </c>
      <c r="C559" t="str">
        <f>VLOOKUP(categories!B559,'categories-old'!B:G,6,FALSE)</f>
        <v>/img2/img66ac.jpg</v>
      </c>
      <c r="D559" t="str">
        <f>VLOOKUP(categories!B559,'categories-old'!B:H,7,FALSE)</f>
        <v>www.americanretailsupply.com\64899\245425\Closeout-Packaging\Cord-Metallic-Tinsel-100-yds-Silver.html</v>
      </c>
    </row>
    <row r="560" spans="1:4" hidden="1" x14ac:dyDescent="0.25">
      <c r="A560" t="str">
        <f>IF(LEN('categories-old'!G560) &gt; 0, "INSERT INTO `catalog_category_entity_varchar` (attribute_id,store_id,entity_id,value) VALUES (48,0,"&amp;'categories-old'!B560&amp;",'"&amp;RIGHT('categories-old'!G560,LEN('categories-old'!G560)-1)&amp;"');","")</f>
        <v>INSERT INTO `catalog_category_entity_varchar` (attribute_id,store_id,entity_id,value) VALUES (48,0,393,'img1/imgbf28.jpg');</v>
      </c>
      <c r="B560" t="str">
        <f>IF(LEN(categories!G560) &gt; 0, "INSERT INTO `catalog_category_entity_varchar` (attribute_id,store_id,entity_id,value) VALUES (48,0,"&amp;categories!B560&amp;",'"&amp;RIGHT(categories!G560,LEN(categories!G560)-1)&amp;"');","")</f>
        <v>INSERT INTO `catalog_category_entity_varchar` (attribute_id,store_id,entity_id,value) VALUES (48,0,393,'img1/imgbf28.jpg');</v>
      </c>
      <c r="C560" t="str">
        <f>VLOOKUP(categories!B560,'categories-old'!B:G,6,FALSE)</f>
        <v>/img1/imgbf28.jpg</v>
      </c>
      <c r="D560" t="str">
        <f>VLOOKUP(categories!B560,'categories-old'!B:H,7,FALSE)</f>
        <v>www.americanretailsupply.com\64902\243782\Closeout-Price-Marking\TG-Tagger-Needles-Fine.html</v>
      </c>
    </row>
    <row r="561" spans="1:4" hidden="1" x14ac:dyDescent="0.25">
      <c r="A561" t="str">
        <f>IF(LEN('categories-old'!G561) &gt; 0, "INSERT INTO `catalog_category_entity_varchar` (attribute_id,store_id,entity_id,value) VALUES (48,0,"&amp;'categories-old'!B561&amp;",'"&amp;RIGHT('categories-old'!G561,LEN('categories-old'!G561)-1)&amp;"');","")</f>
        <v>INSERT INTO `catalog_category_entity_varchar` (attribute_id,store_id,entity_id,value) VALUES (48,0,394,'img1/img1259.jpg');</v>
      </c>
      <c r="B561" t="str">
        <f>IF(LEN(categories!G561) &gt; 0, "INSERT INTO `catalog_category_entity_varchar` (attribute_id,store_id,entity_id,value) VALUES (48,0,"&amp;categories!B561&amp;",'"&amp;RIGHT(categories!G561,LEN(categories!G561)-1)&amp;"');","")</f>
        <v>INSERT INTO `catalog_category_entity_varchar` (attribute_id,store_id,entity_id,value) VALUES (48,0,394,'img1/img1259.jpg');</v>
      </c>
      <c r="C561" t="str">
        <f>VLOOKUP(categories!B561,'categories-old'!B:G,6,FALSE)</f>
        <v>/img1/img1259.jpg</v>
      </c>
      <c r="D561" t="str">
        <f>VLOOKUP(categories!B561,'categories-old'!B:H,7,FALSE)</f>
        <v>www.americanretailsupply.com\64902\243784\Closeout-Price-Marking\1115-Labels.html</v>
      </c>
    </row>
    <row r="562" spans="1:4" hidden="1" x14ac:dyDescent="0.25">
      <c r="A562" t="str">
        <f>IF(LEN('categories-old'!G562) &gt; 0, "INSERT INTO `catalog_category_entity_varchar` (attribute_id,store_id,entity_id,value) VALUES (48,0,"&amp;'categories-old'!B562&amp;",'"&amp;RIGHT('categories-old'!G562,LEN('categories-old'!G562)-1)&amp;"');","")</f>
        <v>INSERT INTO `catalog_category_entity_varchar` (attribute_id,store_id,entity_id,value) VALUES (48,0,395,'img1/img31d4.jpg');</v>
      </c>
      <c r="B562" t="str">
        <f>IF(LEN(categories!G562) &gt; 0, "INSERT INTO `catalog_category_entity_varchar` (attribute_id,store_id,entity_id,value) VALUES (48,0,"&amp;categories!B562&amp;",'"&amp;RIGHT(categories!G562,LEN(categories!G562)-1)&amp;"');","")</f>
        <v>INSERT INTO `catalog_category_entity_varchar` (attribute_id,store_id,entity_id,value) VALUES (48,0,395,'img1/img31d4.jpg');</v>
      </c>
      <c r="C562" t="str">
        <f>VLOOKUP(categories!B562,'categories-old'!B:G,6,FALSE)</f>
        <v>/img1/img31d4.jpg</v>
      </c>
      <c r="D562" t="str">
        <f>VLOOKUP(categories!B562,'categories-old'!B:H,7,FALSE)</f>
        <v>www.americanretailsupply.com\64902\244583\Closeout-Price-Marking\Labels-2200-2-FL-Red-1125M-per-RL.html</v>
      </c>
    </row>
    <row r="563" spans="1:4" hidden="1" x14ac:dyDescent="0.25">
      <c r="A563" t="str">
        <f>IF(LEN('categories-old'!G563) &gt; 0, "INSERT INTO `catalog_category_entity_varchar` (attribute_id,store_id,entity_id,value) VALUES (48,0,"&amp;'categories-old'!B563&amp;",'"&amp;RIGHT('categories-old'!G563,LEN('categories-old'!G563)-1)&amp;"');","")</f>
        <v>INSERT INTO `catalog_category_entity_varchar` (attribute_id,store_id,entity_id,value) VALUES (48,0,396,'img1/imgc0bb.jpg');</v>
      </c>
      <c r="B563" t="str">
        <f>IF(LEN(categories!G563) &gt; 0, "INSERT INTO `catalog_category_entity_varchar` (attribute_id,store_id,entity_id,value) VALUES (48,0,"&amp;categories!B563&amp;",'"&amp;RIGHT(categories!G563,LEN(categories!G563)-1)&amp;"');","")</f>
        <v>INSERT INTO `catalog_category_entity_varchar` (attribute_id,store_id,entity_id,value) VALUES (48,0,396,'img1/imgc0bb.jpg');</v>
      </c>
      <c r="C563" t="str">
        <f>VLOOKUP(categories!B563,'categories-old'!B:G,6,FALSE)</f>
        <v>/img1/imgc0bb.jpg</v>
      </c>
      <c r="D563" t="str">
        <f>VLOOKUP(categories!B563,'categories-old'!B:H,7,FALSE)</f>
        <v>www.americanretailsupply.com\64902\244586\Closeout-Price-Marking\P-26-Labels-White-1125M-per-RL.html</v>
      </c>
    </row>
    <row r="564" spans="1:4" hidden="1" x14ac:dyDescent="0.25">
      <c r="A564" t="str">
        <f>IF(LEN('categories-old'!G564) &gt; 0, "INSERT INTO `catalog_category_entity_varchar` (attribute_id,store_id,entity_id,value) VALUES (48,0,"&amp;'categories-old'!B564&amp;",'"&amp;RIGHT('categories-old'!G564,LEN('categories-old'!G564)-1)&amp;"');","")</f>
        <v>INSERT INTO `catalog_category_entity_varchar` (attribute_id,store_id,entity_id,value) VALUES (48,0,397,'img3/img5cee.jpg');</v>
      </c>
      <c r="B564" t="str">
        <f>IF(LEN(categories!G564) &gt; 0, "INSERT INTO `catalog_category_entity_varchar` (attribute_id,store_id,entity_id,value) VALUES (48,0,"&amp;categories!B564&amp;",'"&amp;RIGHT(categories!G564,LEN(categories!G564)-1)&amp;"');","")</f>
        <v>INSERT INTO `catalog_category_entity_varchar` (attribute_id,store_id,entity_id,value) VALUES (48,0,397,'img3/img5cee.jpg');</v>
      </c>
      <c r="C564" t="str">
        <f>VLOOKUP(categories!B564,'categories-old'!B:G,6,FALSE)</f>
        <v>/img3/img5cee.jpg</v>
      </c>
      <c r="D564" t="str">
        <f>VLOOKUP(categories!B564,'categories-old'!B:H,7,FALSE)</f>
        <v>www.americanretailsupply.com\64902\244587\Closeout-Price-Marking\Holster-for-Meto-1600-2200-2600.html</v>
      </c>
    </row>
    <row r="565" spans="1:4" hidden="1" x14ac:dyDescent="0.25">
      <c r="A565" t="str">
        <f>IF(LEN('categories-old'!G565) &gt; 0, "INSERT INTO `catalog_category_entity_varchar` (attribute_id,store_id,entity_id,value) VALUES (48,0,"&amp;'categories-old'!B565&amp;",'"&amp;RIGHT('categories-old'!G565,LEN('categories-old'!G565)-1)&amp;"');","")</f>
        <v>INSERT INTO `catalog_category_entity_varchar` (attribute_id,store_id,entity_id,value) VALUES (48,0,398,'img3/imga160.jpg');</v>
      </c>
      <c r="B565" t="str">
        <f>IF(LEN(categories!G565) &gt; 0, "INSERT INTO `catalog_category_entity_varchar` (attribute_id,store_id,entity_id,value) VALUES (48,0,"&amp;categories!B565&amp;",'"&amp;RIGHT(categories!G565,LEN(categories!G565)-1)&amp;"');","")</f>
        <v>INSERT INTO `catalog_category_entity_varchar` (attribute_id,store_id,entity_id,value) VALUES (48,0,398,'img3/imga160.jpg');</v>
      </c>
      <c r="C565" t="str">
        <f>VLOOKUP(categories!B565,'categories-old'!B:G,6,FALSE)</f>
        <v>/img3/imga160.jpg</v>
      </c>
      <c r="D565" t="str">
        <f>VLOOKUP(categories!B565,'categories-old'!B:H,7,FALSE)</f>
        <v>www.americanretailsupply.com\64902\244593\Closeout-Price-Marking\Labels-1170-1155-White-Split-1M-per-RL.html</v>
      </c>
    </row>
    <row r="566" spans="1:4" hidden="1" x14ac:dyDescent="0.25">
      <c r="A566" t="str">
        <f>IF(LEN('categories-old'!G566) &gt; 0, "INSERT INTO `catalog_category_entity_varchar` (attribute_id,store_id,entity_id,value) VALUES (48,0,"&amp;'categories-old'!B566&amp;",'"&amp;RIGHT('categories-old'!G566,LEN('categories-old'!G566)-1)&amp;"');","")</f>
        <v>INSERT INTO `catalog_category_entity_varchar` (attribute_id,store_id,entity_id,value) VALUES (48,0,399,'img3/img06ab.jpg');</v>
      </c>
      <c r="B566" t="str">
        <f>IF(LEN(categories!G566) &gt; 0, "INSERT INTO `catalog_category_entity_varchar` (attribute_id,store_id,entity_id,value) VALUES (48,0,"&amp;categories!B566&amp;",'"&amp;RIGHT(categories!G566,LEN(categories!G566)-1)&amp;"');","")</f>
        <v>INSERT INTO `catalog_category_entity_varchar` (attribute_id,store_id,entity_id,value) VALUES (48,0,399,'img3/img06ab.jpg');</v>
      </c>
      <c r="C566" t="str">
        <f>VLOOKUP(categories!B566,'categories-old'!B:G,6,FALSE)</f>
        <v>/img3/img06ab.jpg</v>
      </c>
      <c r="D566" t="str">
        <f>VLOOKUP(categories!B566,'categories-old'!B:H,7,FALSE)</f>
        <v>www.americanretailsupply.com\64902\244594\Closeout-Price-Marking\Labels-1175-1153-White-Rem-1M-per-RL.html</v>
      </c>
    </row>
    <row r="567" spans="1:4" hidden="1" x14ac:dyDescent="0.25">
      <c r="A567" t="str">
        <f>IF(LEN('categories-old'!G567) &gt; 0, "INSERT INTO `catalog_category_entity_varchar` (attribute_id,store_id,entity_id,value) VALUES (48,0,"&amp;'categories-old'!B567&amp;",'"&amp;RIGHT('categories-old'!G567,LEN('categories-old'!G567)-1)&amp;"');","")</f>
        <v>INSERT INTO `catalog_category_entity_varchar` (attribute_id,store_id,entity_id,value) VALUES (48,0,400,'img3/imga2f5.jpg');</v>
      </c>
      <c r="B567" t="str">
        <f>IF(LEN(categories!G567) &gt; 0, "INSERT INTO `catalog_category_entity_varchar` (attribute_id,store_id,entity_id,value) VALUES (48,0,"&amp;categories!B567&amp;",'"&amp;RIGHT(categories!G567,LEN(categories!G567)-1)&amp;"');","")</f>
        <v>INSERT INTO `catalog_category_entity_varchar` (attribute_id,store_id,entity_id,value) VALUES (48,0,400,'img3/imga2f5.jpg');</v>
      </c>
      <c r="C567" t="str">
        <f>VLOOKUP(categories!B567,'categories-old'!B:G,6,FALSE)</f>
        <v>/img3/imga2f5.jpg</v>
      </c>
      <c r="D567" t="str">
        <f>VLOOKUP(categories!B567,'categories-old'!B:H,7,FALSE)</f>
        <v>www.americanretailsupply.com\64902\244596\Closeout-Price-Marking\Monarch-Labelers-for-Resale.html</v>
      </c>
    </row>
    <row r="568" spans="1:4" hidden="1" x14ac:dyDescent="0.25">
      <c r="A568" t="str">
        <f>IF(LEN('categories-old'!G568) &gt; 0, "INSERT INTO `catalog_category_entity_varchar` (attribute_id,store_id,entity_id,value) VALUES (48,0,"&amp;'categories-old'!B568&amp;",'"&amp;RIGHT('categories-old'!G568,LEN('categories-old'!G568)-1)&amp;"');","")</f>
        <v>INSERT INTO `catalog_category_entity_varchar` (attribute_id,store_id,entity_id,value) VALUES (48,0,401,'img3/img6e1e.jpg');</v>
      </c>
      <c r="B568" t="str">
        <f>IF(LEN(categories!G568) &gt; 0, "INSERT INTO `catalog_category_entity_varchar` (attribute_id,store_id,entity_id,value) VALUES (48,0,"&amp;categories!B568&amp;",'"&amp;RIGHT(categories!G568,LEN(categories!G568)-1)&amp;"');","")</f>
        <v>INSERT INTO `catalog_category_entity_varchar` (attribute_id,store_id,entity_id,value) VALUES (48,0,401,'img3/img6e1e.jpg');</v>
      </c>
      <c r="C568" t="str">
        <f>VLOOKUP(categories!B568,'categories-old'!B:G,6,FALSE)</f>
        <v>/img3/img6e1e.jpg</v>
      </c>
      <c r="D568" t="str">
        <f>VLOOKUP(categories!B568,'categories-old'!B:H,7,FALSE)</f>
        <v>www.americanretailsupply.com\64902\244698\Closeout-Price-Marking\Tach-It-Reinforced-Needles-3.html</v>
      </c>
    </row>
    <row r="569" spans="1:4" hidden="1" x14ac:dyDescent="0.25">
      <c r="A569" t="str">
        <f>IF(LEN('categories-old'!G569) &gt; 0, "INSERT INTO `catalog_category_entity_varchar` (attribute_id,store_id,entity_id,value) VALUES (48,0,"&amp;'categories-old'!B569&amp;",'"&amp;RIGHT('categories-old'!G569,LEN('categories-old'!G569)-1)&amp;"');","")</f>
        <v>INSERT INTO `catalog_category_entity_varchar` (attribute_id,store_id,entity_id,value) VALUES (48,0,402,'img1/imgf0e3.jpg');</v>
      </c>
      <c r="B569" t="str">
        <f>IF(LEN(categories!G569) &gt; 0, "INSERT INTO `catalog_category_entity_varchar` (attribute_id,store_id,entity_id,value) VALUES (48,0,"&amp;categories!B569&amp;",'"&amp;RIGHT(categories!G569,LEN(categories!G569)-1)&amp;"');","")</f>
        <v>INSERT INTO `catalog_category_entity_varchar` (attribute_id,store_id,entity_id,value) VALUES (48,0,402,'img1/imgf0e3.jpg');</v>
      </c>
      <c r="C569" t="str">
        <f>VLOOKUP(categories!B569,'categories-old'!B:G,6,FALSE)</f>
        <v>/img1/imgf0e3.jpg</v>
      </c>
      <c r="D569" t="str">
        <f>VLOOKUP(categories!B569,'categories-old'!B:H,7,FALSE)</f>
        <v>www.americanretailsupply.com\64902\252070\Closeout-Price-Marking\Meto-Inker-L14-L24-L12.html</v>
      </c>
    </row>
    <row r="570" spans="1:4" hidden="1" x14ac:dyDescent="0.25">
      <c r="A570" t="str">
        <f>IF(LEN('categories-old'!G570) &gt; 0, "INSERT INTO `catalog_category_entity_varchar` (attribute_id,store_id,entity_id,value) VALUES (48,0,"&amp;'categories-old'!B570&amp;",'"&amp;RIGHT('categories-old'!G570,LEN('categories-old'!G570)-1)&amp;"');","")</f>
        <v>INSERT INTO `catalog_category_entity_varchar` (attribute_id,store_id,entity_id,value) VALUES (48,0,403,'img1/img8d46.jpg');</v>
      </c>
      <c r="B570" t="str">
        <f>IF(LEN(categories!G570) &gt; 0, "INSERT INTO `catalog_category_entity_varchar` (attribute_id,store_id,entity_id,value) VALUES (48,0,"&amp;categories!B570&amp;",'"&amp;RIGHT(categories!G570,LEN(categories!G570)-1)&amp;"');","")</f>
        <v>INSERT INTO `catalog_category_entity_varchar` (attribute_id,store_id,entity_id,value) VALUES (48,0,403,'img1/img8d46.jpg');</v>
      </c>
      <c r="C570" t="str">
        <f>VLOOKUP(categories!B570,'categories-old'!B:G,6,FALSE)</f>
        <v>/img1/img8d46.jpg</v>
      </c>
      <c r="D570" t="str">
        <f>VLOOKUP(categories!B570,'categories-old'!B:H,7,FALSE)</f>
        <v>www.americanretailsupply.com\64902\434811\Closeout-Price-Marking\Standard-Fasteners-1-12-Inch-Loop.html</v>
      </c>
    </row>
    <row r="571" spans="1:4" hidden="1" x14ac:dyDescent="0.25">
      <c r="A571" t="str">
        <f>IF(LEN('categories-old'!G571) &gt; 0, "INSERT INTO `catalog_category_entity_varchar` (attribute_id,store_id,entity_id,value) VALUES (48,0,"&amp;'categories-old'!B571&amp;",'"&amp;RIGHT('categories-old'!G571,LEN('categories-old'!G571)-1)&amp;"');","")</f>
        <v>INSERT INTO `catalog_category_entity_varchar` (attribute_id,store_id,entity_id,value) VALUES (48,0,404,'img2/imgf6b4.jpg');</v>
      </c>
      <c r="B571" t="str">
        <f>IF(LEN(categories!G571) &gt; 0, "INSERT INTO `catalog_category_entity_varchar` (attribute_id,store_id,entity_id,value) VALUES (48,0,"&amp;categories!B571&amp;",'"&amp;RIGHT(categories!G571,LEN(categories!G571)-1)&amp;"');","")</f>
        <v>INSERT INTO `catalog_category_entity_varchar` (attribute_id,store_id,entity_id,value) VALUES (48,0,404,'img2/imgf6b4.jpg');</v>
      </c>
      <c r="C571" t="str">
        <f>VLOOKUP(categories!B571,'categories-old'!B:G,6,FALSE)</f>
        <v>/img2/imgf6b4.jpg</v>
      </c>
      <c r="D571" t="str">
        <f>VLOOKUP(categories!B571,'categories-old'!B:H,7,FALSE)</f>
        <v>www.americanretailsupply.com\64902\788048\Closeout-Price-Marking\Monarch-1110-White-Labels.html</v>
      </c>
    </row>
    <row r="572" spans="1:4" hidden="1" x14ac:dyDescent="0.25">
      <c r="A572" t="str">
        <f>IF(LEN('categories-old'!G572) &gt; 0, "INSERT INTO `catalog_category_entity_varchar` (attribute_id,store_id,entity_id,value) VALUES (48,0,"&amp;'categories-old'!B572&amp;",'"&amp;RIGHT('categories-old'!G572,LEN('categories-old'!G572)-1)&amp;"');","")</f>
        <v>INSERT INTO `catalog_category_entity_varchar` (attribute_id,store_id,entity_id,value) VALUES (48,0,405,'img3/img50f3.jpg');</v>
      </c>
      <c r="B572" t="str">
        <f>IF(LEN(categories!G572) &gt; 0, "INSERT INTO `catalog_category_entity_varchar` (attribute_id,store_id,entity_id,value) VALUES (48,0,"&amp;categories!B572&amp;",'"&amp;RIGHT(categories!G572,LEN(categories!G572)-1)&amp;"');","")</f>
        <v>INSERT INTO `catalog_category_entity_varchar` (attribute_id,store_id,entity_id,value) VALUES (48,0,405,'img3/img50f3.jpg');</v>
      </c>
      <c r="C572" t="str">
        <f>VLOOKUP(categories!B572,'categories-old'!B:G,6,FALSE)</f>
        <v>/img3/img50f3.jpg</v>
      </c>
      <c r="D572" t="str">
        <f>VLOOKUP(categories!B572,'categories-old'!B:H,7,FALSE)</f>
        <v>www.americanretailsupply.com\64902\788049\Closeout-Price-Marking\Rainbow-Fluorescent-Sign-Cards.html</v>
      </c>
    </row>
    <row r="573" spans="1:4" hidden="1" x14ac:dyDescent="0.25">
      <c r="A573" t="str">
        <f>IF(LEN('categories-old'!G573) &gt; 0, "INSERT INTO `catalog_category_entity_varchar` (attribute_id,store_id,entity_id,value) VALUES (48,0,"&amp;'categories-old'!B573&amp;",'"&amp;RIGHT('categories-old'!G573,LEN('categories-old'!G573)-1)&amp;"');","")</f>
        <v>INSERT INTO `catalog_category_entity_varchar` (attribute_id,store_id,entity_id,value) VALUES (48,0,406,'img3/img2ac8.jpg');</v>
      </c>
      <c r="B573" t="str">
        <f>IF(LEN(categories!G573) &gt; 0, "INSERT INTO `catalog_category_entity_varchar` (attribute_id,store_id,entity_id,value) VALUES (48,0,"&amp;categories!B573&amp;",'"&amp;RIGHT(categories!G573,LEN(categories!G573)-1)&amp;"');","")</f>
        <v>INSERT INTO `catalog_category_entity_varchar` (attribute_id,store_id,entity_id,value) VALUES (48,0,406,'img3/img2ac8.jpg');</v>
      </c>
      <c r="C573" t="str">
        <f>VLOOKUP(categories!B573,'categories-old'!B:G,6,FALSE)</f>
        <v>/img3/img2ac8.jpg</v>
      </c>
      <c r="D573" t="str">
        <f>VLOOKUP(categories!B573,'categories-old'!B:H,7,FALSE)</f>
        <v>www.americanretailsupply.com\64902\788050\Closeout-Price-Marking\Avery-Dennison-1160-Labels.html</v>
      </c>
    </row>
    <row r="574" spans="1:4" hidden="1" x14ac:dyDescent="0.25">
      <c r="A574" t="str">
        <f>IF(LEN('categories-old'!G574) &gt; 0, "INSERT INTO `catalog_category_entity_varchar` (attribute_id,store_id,entity_id,value) VALUES (48,0,"&amp;'categories-old'!B574&amp;",'"&amp;RIGHT('categories-old'!G574,LEN('categories-old'!G574)-1)&amp;"');","")</f>
        <v>INSERT INTO `catalog_category_entity_varchar` (attribute_id,store_id,entity_id,value) VALUES (48,0,407,'img3/imgbe53.jpg');</v>
      </c>
      <c r="B574" t="str">
        <f>IF(LEN(categories!G574) &gt; 0, "INSERT INTO `catalog_category_entity_varchar` (attribute_id,store_id,entity_id,value) VALUES (48,0,"&amp;categories!B574&amp;",'"&amp;RIGHT(categories!G574,LEN(categories!G574)-1)&amp;"');","")</f>
        <v>INSERT INTO `catalog_category_entity_varchar` (attribute_id,store_id,entity_id,value) VALUES (48,0,407,'img3/imgbe53.jpg');</v>
      </c>
      <c r="C574" t="str">
        <f>VLOOKUP(categories!B574,'categories-old'!B:G,6,FALSE)</f>
        <v>/img3/imgbe53.jpg</v>
      </c>
      <c r="D574" t="str">
        <f>VLOOKUP(categories!B574,'categories-old'!B:H,7,FALSE)</f>
        <v>www.americanretailsupply.com\64902\788054\Closeout-Price-Marking\Loop-Fasteners.html</v>
      </c>
    </row>
    <row r="575" spans="1:4" hidden="1" x14ac:dyDescent="0.25">
      <c r="A575" t="str">
        <f>IF(LEN('categories-old'!G575) &gt; 0, "INSERT INTO `catalog_category_entity_varchar` (attribute_id,store_id,entity_id,value) VALUES (48,0,"&amp;'categories-old'!B575&amp;",'"&amp;RIGHT('categories-old'!G575,LEN('categories-old'!G575)-1)&amp;"');","")</f>
        <v>INSERT INTO `catalog_category_entity_varchar` (attribute_id,store_id,entity_id,value) VALUES (48,0,408,'img2/img2933.jpg');</v>
      </c>
      <c r="B575" t="str">
        <f>IF(LEN(categories!G575) &gt; 0, "INSERT INTO `catalog_category_entity_varchar` (attribute_id,store_id,entity_id,value) VALUES (48,0,"&amp;categories!B575&amp;",'"&amp;RIGHT(categories!G575,LEN(categories!G575)-1)&amp;"');","")</f>
        <v>INSERT INTO `catalog_category_entity_varchar` (attribute_id,store_id,entity_id,value) VALUES (48,0,408,'img2/img2933.jpg');</v>
      </c>
      <c r="C575" t="str">
        <f>VLOOKUP(categories!B575,'categories-old'!B:G,6,FALSE)</f>
        <v>/img2/img2933.jpg</v>
      </c>
      <c r="D575" t="str">
        <f>VLOOKUP(categories!B575,'categories-old'!B:H,7,FALSE)</f>
        <v>www.americanretailsupply.com\64902\788055\Closeout-Price-Marking\Standard-Pink-Fasteners.html</v>
      </c>
    </row>
    <row r="576" spans="1:4" hidden="1" x14ac:dyDescent="0.25">
      <c r="A576" t="str">
        <f>IF(LEN('categories-old'!G576) &gt; 0, "INSERT INTO `catalog_category_entity_varchar` (attribute_id,store_id,entity_id,value) VALUES (48,0,"&amp;'categories-old'!B576&amp;",'"&amp;RIGHT('categories-old'!G576,LEN('categories-old'!G576)-1)&amp;"');","")</f>
        <v>INSERT INTO `catalog_category_entity_varchar` (attribute_id,store_id,entity_id,value) VALUES (48,0,410,'img2/imge588.jpg');</v>
      </c>
      <c r="B576" t="str">
        <f>IF(LEN(categories!G576) &gt; 0, "INSERT INTO `catalog_category_entity_varchar` (attribute_id,store_id,entity_id,value) VALUES (48,0,"&amp;categories!B576&amp;",'"&amp;RIGHT(categories!G576,LEN(categories!G576)-1)&amp;"');","")</f>
        <v>INSERT INTO `catalog_category_entity_varchar` (attribute_id,store_id,entity_id,value) VALUES (48,0,410,'img2/imge588.jpg');</v>
      </c>
      <c r="C576" t="str">
        <f>VLOOKUP(categories!B576,'categories-old'!B:G,6,FALSE)</f>
        <v>/img2/imge588.jpg</v>
      </c>
      <c r="D576" t="str">
        <f>VLOOKUP(categories!B576,'categories-old'!B:H,7,FALSE)</f>
        <v>www.americanretailsupply.com\65211\44190\Contemporary-Raw-Steel-Displays\6-Pair-Earring-Display.html</v>
      </c>
    </row>
    <row r="577" spans="1:4" hidden="1" x14ac:dyDescent="0.25">
      <c r="A577" t="str">
        <f>IF(LEN('categories-old'!G577) &gt; 0, "INSERT INTO `catalog_category_entity_varchar` (attribute_id,store_id,entity_id,value) VALUES (48,0,"&amp;'categories-old'!B577&amp;",'"&amp;RIGHT('categories-old'!G577,LEN('categories-old'!G577)-1)&amp;"');","")</f>
        <v>INSERT INTO `catalog_category_entity_varchar` (attribute_id,store_id,entity_id,value) VALUES (48,0,411,'img3/imgd063.jpg');</v>
      </c>
      <c r="B577" t="str">
        <f>IF(LEN(categories!G577) &gt; 0, "INSERT INTO `catalog_category_entity_varchar` (attribute_id,store_id,entity_id,value) VALUES (48,0,"&amp;categories!B577&amp;",'"&amp;RIGHT(categories!G577,LEN(categories!G577)-1)&amp;"');","")</f>
        <v>INSERT INTO `catalog_category_entity_varchar` (attribute_id,store_id,entity_id,value) VALUES (48,0,411,'img3/imgd063.jpg');</v>
      </c>
      <c r="C577" t="str">
        <f>VLOOKUP(categories!B577,'categories-old'!B:G,6,FALSE)</f>
        <v>/img3/imgd063.jpg</v>
      </c>
      <c r="D577" t="str">
        <f>VLOOKUP(categories!B577,'categories-old'!B:H,7,FALSE)</f>
        <v>www.americanretailsupply.com\65211\44194\Contemporary-Raw-Steel-Displays\Hat-Stand.html</v>
      </c>
    </row>
    <row r="578" spans="1:4" hidden="1" x14ac:dyDescent="0.25">
      <c r="A578" t="str">
        <f>IF(LEN('categories-old'!G578) &gt; 0, "INSERT INTO `catalog_category_entity_varchar` (attribute_id,store_id,entity_id,value) VALUES (48,0,"&amp;'categories-old'!B578&amp;",'"&amp;RIGHT('categories-old'!G578,LEN('categories-old'!G578)-1)&amp;"');","")</f>
        <v>INSERT INTO `catalog_category_entity_varchar` (attribute_id,store_id,entity_id,value) VALUES (48,0,412,'img2/img5bb1.jpg');</v>
      </c>
      <c r="B578" t="str">
        <f>IF(LEN(categories!G578) &gt; 0, "INSERT INTO `catalog_category_entity_varchar` (attribute_id,store_id,entity_id,value) VALUES (48,0,"&amp;categories!B578&amp;",'"&amp;RIGHT(categories!G578,LEN(categories!G578)-1)&amp;"');","")</f>
        <v>INSERT INTO `catalog_category_entity_varchar` (attribute_id,store_id,entity_id,value) VALUES (48,0,412,'img2/img5bb1.jpg');</v>
      </c>
      <c r="C578" t="str">
        <f>VLOOKUP(categories!B578,'categories-old'!B:G,6,FALSE)</f>
        <v>/img2/img5bb1.jpg</v>
      </c>
      <c r="D578" t="str">
        <f>VLOOKUP(categories!B578,'categories-old'!B:H,7,FALSE)</f>
        <v>www.americanretailsupply.com\65211\44195\Contemporary-Raw-Steel-Displays\2-Tier-Watch-Display.html</v>
      </c>
    </row>
    <row r="579" spans="1:4" hidden="1" x14ac:dyDescent="0.25">
      <c r="A579" t="str">
        <f>IF(LEN('categories-old'!G579) &gt; 0, "INSERT INTO `catalog_category_entity_varchar` (attribute_id,store_id,entity_id,value) VALUES (48,0,"&amp;'categories-old'!B579&amp;",'"&amp;RIGHT('categories-old'!G579,LEN('categories-old'!G579)-1)&amp;"');","")</f>
        <v>INSERT INTO `catalog_category_entity_varchar` (attribute_id,store_id,entity_id,value) VALUES (48,0,413,'img2/img9066.jpg');</v>
      </c>
      <c r="B579" t="str">
        <f>IF(LEN(categories!G579) &gt; 0, "INSERT INTO `catalog_category_entity_varchar` (attribute_id,store_id,entity_id,value) VALUES (48,0,"&amp;categories!B579&amp;",'"&amp;RIGHT(categories!G579,LEN(categories!G579)-1)&amp;"');","")</f>
        <v>INSERT INTO `catalog_category_entity_varchar` (attribute_id,store_id,entity_id,value) VALUES (48,0,413,'img2/img9066.jpg');</v>
      </c>
      <c r="C579" t="str">
        <f>VLOOKUP(categories!B579,'categories-old'!B:G,6,FALSE)</f>
        <v>/img2/img9066.jpg</v>
      </c>
      <c r="D579" t="str">
        <f>VLOOKUP(categories!B579,'categories-old'!B:H,7,FALSE)</f>
        <v>www.americanretailsupply.com\65211\44197\Contemporary-Raw-Steel-Displays\Blouse-Displayer.html</v>
      </c>
    </row>
    <row r="580" spans="1:4" hidden="1" x14ac:dyDescent="0.25">
      <c r="A580" t="str">
        <f>IF(LEN('categories-old'!G580) &gt; 0, "INSERT INTO `catalog_category_entity_varchar` (attribute_id,store_id,entity_id,value) VALUES (48,0,"&amp;'categories-old'!B580&amp;",'"&amp;RIGHT('categories-old'!G580,LEN('categories-old'!G580)-1)&amp;"');","")</f>
        <v>INSERT INTO `catalog_category_entity_varchar` (attribute_id,store_id,entity_id,value) VALUES (48,0,414,'img2/img8c5d.jpg');</v>
      </c>
      <c r="B580" t="str">
        <f>IF(LEN(categories!G580) &gt; 0, "INSERT INTO `catalog_category_entity_varchar` (attribute_id,store_id,entity_id,value) VALUES (48,0,"&amp;categories!B580&amp;",'"&amp;RIGHT(categories!G580,LEN(categories!G580)-1)&amp;"');","")</f>
        <v>INSERT INTO `catalog_category_entity_varchar` (attribute_id,store_id,entity_id,value) VALUES (48,0,414,'img2/img8c5d.jpg');</v>
      </c>
      <c r="C580" t="str">
        <f>VLOOKUP(categories!B580,'categories-old'!B:G,6,FALSE)</f>
        <v>/img2/img8c5d.jpg</v>
      </c>
      <c r="D580" t="str">
        <f>VLOOKUP(categories!B580,'categories-old'!B:H,7,FALSE)</f>
        <v>www.americanretailsupply.com\65211\44199\Contemporary-Raw-Steel-Displays\Glass-Top-Displays.html</v>
      </c>
    </row>
    <row r="581" spans="1:4" hidden="1" x14ac:dyDescent="0.25">
      <c r="A581" t="str">
        <f>IF(LEN('categories-old'!G581) &gt; 0, "INSERT INTO `catalog_category_entity_varchar` (attribute_id,store_id,entity_id,value) VALUES (48,0,"&amp;'categories-old'!B581&amp;",'"&amp;RIGHT('categories-old'!G581,LEN('categories-old'!G581)-1)&amp;"');","")</f>
        <v>INSERT INTO `catalog_category_entity_varchar` (attribute_id,store_id,entity_id,value) VALUES (48,0,415,'img1/imgddec.jpg');</v>
      </c>
      <c r="B581" t="str">
        <f>IF(LEN(categories!G581) &gt; 0, "INSERT INTO `catalog_category_entity_varchar` (attribute_id,store_id,entity_id,value) VALUES (48,0,"&amp;categories!B581&amp;",'"&amp;RIGHT(categories!G581,LEN(categories!G581)-1)&amp;"');","")</f>
        <v>INSERT INTO `catalog_category_entity_varchar` (attribute_id,store_id,entity_id,value) VALUES (48,0,415,'img1/imgddec.jpg');</v>
      </c>
      <c r="C581" t="str">
        <f>VLOOKUP(categories!B581,'categories-old'!B:G,6,FALSE)</f>
        <v>/img1/imgddec.jpg</v>
      </c>
      <c r="D581" t="str">
        <f>VLOOKUP(categories!B581,'categories-old'!B:H,7,FALSE)</f>
        <v>www.americanretailsupply.com\65211\44207\Contemporary-Raw-Steel-Displays\2-Sided-Floor-Mirror-for-Shoes.html</v>
      </c>
    </row>
    <row r="582" spans="1:4" hidden="1" x14ac:dyDescent="0.25">
      <c r="A582" t="str">
        <f>IF(LEN('categories-old'!G582) &gt; 0, "INSERT INTO `catalog_category_entity_varchar` (attribute_id,store_id,entity_id,value) VALUES (48,0,"&amp;'categories-old'!B582&amp;",'"&amp;RIGHT('categories-old'!G582,LEN('categories-old'!G582)-1)&amp;"');","")</f>
        <v>INSERT INTO `catalog_category_entity_varchar` (attribute_id,store_id,entity_id,value) VALUES (48,0,416,'img3/img0d1f.jpg');</v>
      </c>
      <c r="B582" t="str">
        <f>IF(LEN(categories!G582) &gt; 0, "INSERT INTO `catalog_category_entity_varchar` (attribute_id,store_id,entity_id,value) VALUES (48,0,"&amp;categories!B582&amp;",'"&amp;RIGHT(categories!G582,LEN(categories!G582)-1)&amp;"');","")</f>
        <v>INSERT INTO `catalog_category_entity_varchar` (attribute_id,store_id,entity_id,value) VALUES (48,0,416,'img3/img0d1f.jpg');</v>
      </c>
      <c r="C582" t="str">
        <f>VLOOKUP(categories!B582,'categories-old'!B:G,6,FALSE)</f>
        <v>/img3/img0d1f.jpg</v>
      </c>
      <c r="D582" t="str">
        <f>VLOOKUP(categories!B582,'categories-old'!B:H,7,FALSE)</f>
        <v>www.americanretailsupply.com\65211\44208\Contemporary-Raw-Steel-Displays\Hanging-Wall-Mirror.html</v>
      </c>
    </row>
    <row r="583" spans="1:4" hidden="1" x14ac:dyDescent="0.25">
      <c r="A583" t="str">
        <f>IF(LEN('categories-old'!G583) &gt; 0, "INSERT INTO `catalog_category_entity_varchar` (attribute_id,store_id,entity_id,value) VALUES (48,0,"&amp;'categories-old'!B583&amp;",'"&amp;RIGHT('categories-old'!G583,LEN('categories-old'!G583)-1)&amp;"');","")</f>
        <v>INSERT INTO `catalog_category_entity_varchar` (attribute_id,store_id,entity_id,value) VALUES (48,0,417,'img1/img5089.jpg');</v>
      </c>
      <c r="B583" t="str">
        <f>IF(LEN(categories!G583) &gt; 0, "INSERT INTO `catalog_category_entity_varchar` (attribute_id,store_id,entity_id,value) VALUES (48,0,"&amp;categories!B583&amp;",'"&amp;RIGHT(categories!G583,LEN(categories!G583)-1)&amp;"');","")</f>
        <v>INSERT INTO `catalog_category_entity_varchar` (attribute_id,store_id,entity_id,value) VALUES (48,0,417,'img1/img5089.jpg');</v>
      </c>
      <c r="C583" t="str">
        <f>VLOOKUP(categories!B583,'categories-old'!B:G,6,FALSE)</f>
        <v>/img1/img5089.jpg</v>
      </c>
      <c r="D583" t="str">
        <f>VLOOKUP(categories!B583,'categories-old'!B:H,7,FALSE)</f>
        <v>www.americanretailsupply.com\65211\47155\Contemporary-Raw-Steel-Displays\Earring-Card-Display.html</v>
      </c>
    </row>
    <row r="584" spans="1:4" hidden="1" x14ac:dyDescent="0.25">
      <c r="A584" t="str">
        <f>IF(LEN('categories-old'!G584) &gt; 0, "INSERT INTO `catalog_category_entity_varchar` (attribute_id,store_id,entity_id,value) VALUES (48,0,"&amp;'categories-old'!B584&amp;",'"&amp;RIGHT('categories-old'!G584,LEN('categories-old'!G584)-1)&amp;"');","")</f>
        <v>INSERT INTO `catalog_category_entity_varchar` (attribute_id,store_id,entity_id,value) VALUES (48,0,418,'img3/img7eb9.jpg');</v>
      </c>
      <c r="B584" t="str">
        <f>IF(LEN(categories!G584) &gt; 0, "INSERT INTO `catalog_category_entity_varchar` (attribute_id,store_id,entity_id,value) VALUES (48,0,"&amp;categories!B584&amp;",'"&amp;RIGHT(categories!G584,LEN(categories!G584)-1)&amp;"');","")</f>
        <v>INSERT INTO `catalog_category_entity_varchar` (attribute_id,store_id,entity_id,value) VALUES (48,0,418,'img3/img7eb9.jpg');</v>
      </c>
      <c r="C584" t="str">
        <f>VLOOKUP(categories!B584,'categories-old'!B:G,6,FALSE)</f>
        <v>/img3/img7eb9.jpg</v>
      </c>
      <c r="D584" t="str">
        <f>VLOOKUP(categories!B584,'categories-old'!B:H,7,FALSE)</f>
        <v>www.americanretailsupply.com\65211\47156\Contemporary-Raw-Steel-Displays\24-Pair-Earring-Display.html</v>
      </c>
    </row>
    <row r="585" spans="1:4" hidden="1" x14ac:dyDescent="0.25">
      <c r="A585" t="str">
        <f>IF(LEN('categories-old'!G585) &gt; 0, "INSERT INTO `catalog_category_entity_varchar` (attribute_id,store_id,entity_id,value) VALUES (48,0,"&amp;'categories-old'!B585&amp;",'"&amp;RIGHT('categories-old'!G585,LEN('categories-old'!G585)-1)&amp;"');","")</f>
        <v>INSERT INTO `catalog_category_entity_varchar` (attribute_id,store_id,entity_id,value) VALUES (48,0,419,'img1/imgfc92.jpg');</v>
      </c>
      <c r="B585" t="str">
        <f>IF(LEN(categories!G585) &gt; 0, "INSERT INTO `catalog_category_entity_varchar` (attribute_id,store_id,entity_id,value) VALUES (48,0,"&amp;categories!B585&amp;",'"&amp;RIGHT(categories!G585,LEN(categories!G585)-1)&amp;"');","")</f>
        <v>INSERT INTO `catalog_category_entity_varchar` (attribute_id,store_id,entity_id,value) VALUES (48,0,419,'img1/imgfc92.jpg');</v>
      </c>
      <c r="C585" t="str">
        <f>VLOOKUP(categories!B585,'categories-old'!B:G,6,FALSE)</f>
        <v>/img1/imgfc92.jpg</v>
      </c>
      <c r="D585" t="str">
        <f>VLOOKUP(categories!B585,'categories-old'!B:H,7,FALSE)</f>
        <v>www.americanretailsupply.com\65211\47157\Contemporary-Raw-Steel-Displays\2-Tier-Jewelry-Display-Stand.html</v>
      </c>
    </row>
    <row r="586" spans="1:4" hidden="1" x14ac:dyDescent="0.25">
      <c r="A586" t="str">
        <f>IF(LEN('categories-old'!G586) &gt; 0, "INSERT INTO `catalog_category_entity_varchar` (attribute_id,store_id,entity_id,value) VALUES (48,0,"&amp;'categories-old'!B586&amp;",'"&amp;RIGHT('categories-old'!G586,LEN('categories-old'!G586)-1)&amp;"');","")</f>
        <v>INSERT INTO `catalog_category_entity_varchar` (attribute_id,store_id,entity_id,value) VALUES (48,0,420,'img2/imgb06c.jpg');</v>
      </c>
      <c r="B586" t="str">
        <f>IF(LEN(categories!G586) &gt; 0, "INSERT INTO `catalog_category_entity_varchar` (attribute_id,store_id,entity_id,value) VALUES (48,0,"&amp;categories!B586&amp;",'"&amp;RIGHT(categories!G586,LEN(categories!G586)-1)&amp;"');","")</f>
        <v>INSERT INTO `catalog_category_entity_varchar` (attribute_id,store_id,entity_id,value) VALUES (48,0,420,'img2/imgb06c.jpg');</v>
      </c>
      <c r="C586" t="str">
        <f>VLOOKUP(categories!B586,'categories-old'!B:G,6,FALSE)</f>
        <v>/img2/imgb06c.jpg</v>
      </c>
      <c r="D586" t="str">
        <f>VLOOKUP(categories!B586,'categories-old'!B:H,7,FALSE)</f>
        <v>www.americanretailsupply.com\65211\47158\Contemporary-Raw-Steel-Displays\1-Tier-Jewelry-Display-Stand.html</v>
      </c>
    </row>
    <row r="587" spans="1:4" hidden="1" x14ac:dyDescent="0.25">
      <c r="A587" t="str">
        <f>IF(LEN('categories-old'!G587) &gt; 0, "INSERT INTO `catalog_category_entity_varchar` (attribute_id,store_id,entity_id,value) VALUES (48,0,"&amp;'categories-old'!B587&amp;",'"&amp;RIGHT('categories-old'!G587,LEN('categories-old'!G587)-1)&amp;"');","")</f>
        <v>INSERT INTO `catalog_category_entity_varchar` (attribute_id,store_id,entity_id,value) VALUES (48,0,421,'img3/imgc4b0.jpg');</v>
      </c>
      <c r="B587" t="str">
        <f>IF(LEN(categories!G587) &gt; 0, "INSERT INTO `catalog_category_entity_varchar` (attribute_id,store_id,entity_id,value) VALUES (48,0,"&amp;categories!B587&amp;",'"&amp;RIGHT(categories!G587,LEN(categories!G587)-1)&amp;"');","")</f>
        <v>INSERT INTO `catalog_category_entity_varchar` (attribute_id,store_id,entity_id,value) VALUES (48,0,421,'img3/imgc4b0.jpg');</v>
      </c>
      <c r="C587" t="str">
        <f>VLOOKUP(categories!B587,'categories-old'!B:G,6,FALSE)</f>
        <v>/img3/imgc4b0.jpg</v>
      </c>
      <c r="D587" t="str">
        <f>VLOOKUP(categories!B587,'categories-old'!B:H,7,FALSE)</f>
        <v>www.americanretailsupply.com\65211\47207\Contemporary-Raw-Steel-Displays\Free-Standing-Jewelry-Display-Case.html</v>
      </c>
    </row>
    <row r="588" spans="1:4" hidden="1" x14ac:dyDescent="0.25">
      <c r="A588" t="str">
        <f>IF(LEN('categories-old'!G588) &gt; 0, "INSERT INTO `catalog_category_entity_varchar` (attribute_id,store_id,entity_id,value) VALUES (48,0,"&amp;'categories-old'!B588&amp;",'"&amp;RIGHT('categories-old'!G588,LEN('categories-old'!G588)-1)&amp;"');","")</f>
        <v>INSERT INTO `catalog_category_entity_varchar` (attribute_id,store_id,entity_id,value) VALUES (48,0,422,'img2/img27ea.jpg');</v>
      </c>
      <c r="B588" t="str">
        <f>IF(LEN(categories!G588) &gt; 0, "INSERT INTO `catalog_category_entity_varchar` (attribute_id,store_id,entity_id,value) VALUES (48,0,"&amp;categories!B588&amp;",'"&amp;RIGHT(categories!G588,LEN(categories!G588)-1)&amp;"');","")</f>
        <v>INSERT INTO `catalog_category_entity_varchar` (attribute_id,store_id,entity_id,value) VALUES (48,0,422,'img2/img27ea.jpg');</v>
      </c>
      <c r="C588" t="str">
        <f>VLOOKUP(categories!B588,'categories-old'!B:G,6,FALSE)</f>
        <v>/img2/img27ea.jpg</v>
      </c>
      <c r="D588" t="str">
        <f>VLOOKUP(categories!B588,'categories-old'!B:H,7,FALSE)</f>
        <v>www.americanretailsupply.com\65211\253859\Contemporary-Raw-Steel-Displays\Contemporary-Design-Display-Racks.html</v>
      </c>
    </row>
    <row r="589" spans="1:4" hidden="1" x14ac:dyDescent="0.25">
      <c r="A589" t="str">
        <f>IF(LEN('categories-old'!G589) &gt; 0, "INSERT INTO `catalog_category_entity_varchar` (attribute_id,store_id,entity_id,value) VALUES (48,0,"&amp;'categories-old'!B589&amp;",'"&amp;RIGHT('categories-old'!G589,LEN('categories-old'!G589)-1)&amp;"');","")</f>
        <v>INSERT INTO `catalog_category_entity_varchar` (attribute_id,store_id,entity_id,value) VALUES (48,0,423,'img2/img7062.jpg');</v>
      </c>
      <c r="B589" t="str">
        <f>IF(LEN(categories!G589) &gt; 0, "INSERT INTO `catalog_category_entity_varchar` (attribute_id,store_id,entity_id,value) VALUES (48,0,"&amp;categories!B589&amp;",'"&amp;RIGHT(categories!G589,LEN(categories!G589)-1)&amp;"');","")</f>
        <v>INSERT INTO `catalog_category_entity_varchar` (attribute_id,store_id,entity_id,value) VALUES (48,0,423,'img2/img7062.jpg');</v>
      </c>
      <c r="C589" t="str">
        <f>VLOOKUP(categories!B589,'categories-old'!B:G,6,FALSE)</f>
        <v>/img2/img7062.jpg</v>
      </c>
      <c r="D589" t="str">
        <f>VLOOKUP(categories!B589,'categories-old'!B:H,7,FALSE)</f>
        <v>www.americanretailsupply.com\65211\447141\Contemporary-Raw-Steel-Displays\T-Type-Earring-Display.html</v>
      </c>
    </row>
    <row r="590" spans="1:4" hidden="1" x14ac:dyDescent="0.25">
      <c r="A590" t="str">
        <f>IF(LEN('categories-old'!G590) &gt; 0, "INSERT INTO `catalog_category_entity_varchar` (attribute_id,store_id,entity_id,value) VALUES (48,0,"&amp;'categories-old'!B590&amp;",'"&amp;RIGHT('categories-old'!G590,LEN('categories-old'!G590)-1)&amp;"');","")</f>
        <v>INSERT INTO `catalog_category_entity_varchar` (attribute_id,store_id,entity_id,value) VALUES (48,0,424,'img3/img753c.jpg');</v>
      </c>
      <c r="B590" t="str">
        <f>IF(LEN(categories!G590) &gt; 0, "INSERT INTO `catalog_category_entity_varchar` (attribute_id,store_id,entity_id,value) VALUES (48,0,"&amp;categories!B590&amp;",'"&amp;RIGHT(categories!G590,LEN(categories!G590)-1)&amp;"');","")</f>
        <v>INSERT INTO `catalog_category_entity_varchar` (attribute_id,store_id,entity_id,value) VALUES (48,0,424,'img3/img753c.jpg');</v>
      </c>
      <c r="C590" t="str">
        <f>VLOOKUP(categories!B590,'categories-old'!B:G,6,FALSE)</f>
        <v>/img3/img753c.jpg</v>
      </c>
      <c r="D590" t="str">
        <f>VLOOKUP(categories!B590,'categories-old'!B:H,7,FALSE)</f>
        <v>www.americanretailsupply.com\65211\447143\Contemporary-Raw-Steel-Displays\12-Pair-Earring-Display.html</v>
      </c>
    </row>
    <row r="591" spans="1:4" hidden="1" x14ac:dyDescent="0.25">
      <c r="A591" t="str">
        <f>IF(LEN('categories-old'!G591) &gt; 0, "INSERT INTO `catalog_category_entity_varchar` (attribute_id,store_id,entity_id,value) VALUES (48,0,"&amp;'categories-old'!B591&amp;",'"&amp;RIGHT('categories-old'!G591,LEN('categories-old'!G591)-1)&amp;"');","")</f>
        <v>INSERT INTO `catalog_category_entity_varchar` (attribute_id,store_id,entity_id,value) VALUES (48,0,425,'img2/imgbe3b.jpg');</v>
      </c>
      <c r="B591" t="str">
        <f>IF(LEN(categories!G591) &gt; 0, "INSERT INTO `catalog_category_entity_varchar` (attribute_id,store_id,entity_id,value) VALUES (48,0,"&amp;categories!B591&amp;",'"&amp;RIGHT(categories!G591,LEN(categories!G591)-1)&amp;"');","")</f>
        <v>INSERT INTO `catalog_category_entity_varchar` (attribute_id,store_id,entity_id,value) VALUES (48,0,425,'img2/imgbe3b.jpg');</v>
      </c>
      <c r="C591" t="str">
        <f>VLOOKUP(categories!B591,'categories-old'!B:G,6,FALSE)</f>
        <v>/img2/imgbe3b.jpg</v>
      </c>
      <c r="D591" t="str">
        <f>VLOOKUP(categories!B591,'categories-old'!B:H,7,FALSE)</f>
        <v>www.americanretailsupply.com\65211\447145\Contemporary-Raw-Steel-Displays\3-Tier-Jewelry-Display.html</v>
      </c>
    </row>
    <row r="592" spans="1:4" hidden="1" x14ac:dyDescent="0.25">
      <c r="A592" t="str">
        <f>IF(LEN('categories-old'!G592) &gt; 0, "INSERT INTO `catalog_category_entity_varchar` (attribute_id,store_id,entity_id,value) VALUES (48,0,"&amp;'categories-old'!B592&amp;",'"&amp;RIGHT('categories-old'!G592,LEN('categories-old'!G592)-1)&amp;"');","")</f>
        <v>INSERT INTO `catalog_category_entity_varchar` (attribute_id,store_id,entity_id,value) VALUES (48,0,426,'img1/imgb80f.jpg');</v>
      </c>
      <c r="B592" t="str">
        <f>IF(LEN(categories!G592) &gt; 0, "INSERT INTO `catalog_category_entity_varchar` (attribute_id,store_id,entity_id,value) VALUES (48,0,"&amp;categories!B592&amp;",'"&amp;RIGHT(categories!G592,LEN(categories!G592)-1)&amp;"');","")</f>
        <v>INSERT INTO `catalog_category_entity_varchar` (attribute_id,store_id,entity_id,value) VALUES (48,0,426,'img1/imgb80f.jpg');</v>
      </c>
      <c r="C592" t="str">
        <f>VLOOKUP(categories!B592,'categories-old'!B:G,6,FALSE)</f>
        <v>/img1/imgb80f.jpg</v>
      </c>
      <c r="D592" t="str">
        <f>VLOOKUP(categories!B592,'categories-old'!B:H,7,FALSE)</f>
        <v>www.americanretailsupply.com\65211\447147\Contemporary-Raw-Steel-Displays\Collapsible-Easel.html</v>
      </c>
    </row>
    <row r="593" spans="1:4" hidden="1" x14ac:dyDescent="0.25">
      <c r="A593" t="str">
        <f>IF(LEN('categories-old'!G593) &gt; 0, "INSERT INTO `catalog_category_entity_varchar` (attribute_id,store_id,entity_id,value) VALUES (48,0,"&amp;'categories-old'!B593&amp;",'"&amp;RIGHT('categories-old'!G593,LEN('categories-old'!G593)-1)&amp;"');","")</f>
        <v>INSERT INTO `catalog_category_entity_varchar` (attribute_id,store_id,entity_id,value) VALUES (48,0,427,'img3/img8c35.jpg');</v>
      </c>
      <c r="B593" t="str">
        <f>IF(LEN(categories!G593) &gt; 0, "INSERT INTO `catalog_category_entity_varchar` (attribute_id,store_id,entity_id,value) VALUES (48,0,"&amp;categories!B593&amp;",'"&amp;RIGHT(categories!G593,LEN(categories!G593)-1)&amp;"');","")</f>
        <v>INSERT INTO `catalog_category_entity_varchar` (attribute_id,store_id,entity_id,value) VALUES (48,0,427,'img3/img8c35.jpg');</v>
      </c>
      <c r="C593" t="str">
        <f>VLOOKUP(categories!B593,'categories-old'!B:G,6,FALSE)</f>
        <v>/img3/img8c35.jpg</v>
      </c>
      <c r="D593" t="str">
        <f>VLOOKUP(categories!B593,'categories-old'!B:H,7,FALSE)</f>
        <v>www.americanretailsupply.com\65211\447148\Contemporary-Raw-Steel-Displays\Belt-Ladder-Attachments.html</v>
      </c>
    </row>
    <row r="594" spans="1:4" hidden="1" x14ac:dyDescent="0.25">
      <c r="A594" t="str">
        <f>IF(LEN('categories-old'!G594) &gt; 0, "INSERT INTO `catalog_category_entity_varchar` (attribute_id,store_id,entity_id,value) VALUES (48,0,"&amp;'categories-old'!B594&amp;",'"&amp;RIGHT('categories-old'!G594,LEN('categories-old'!G594)-1)&amp;"');","")</f>
        <v>INSERT INTO `catalog_category_entity_varchar` (attribute_id,store_id,entity_id,value) VALUES (48,0,429,'img1/imgc95d.jpg');</v>
      </c>
      <c r="B594" t="str">
        <f>IF(LEN(categories!G594) &gt; 0, "INSERT INTO `catalog_category_entity_varchar` (attribute_id,store_id,entity_id,value) VALUES (48,0,"&amp;categories!B594&amp;",'"&amp;RIGHT(categories!G594,LEN(categories!G594)-1)&amp;"');","")</f>
        <v>INSERT INTO `catalog_category_entity_varchar` (attribute_id,store_id,entity_id,value) VALUES (48,0,429,'img1/imgc95d.jpg');</v>
      </c>
      <c r="C594" t="str">
        <f>VLOOKUP(categories!B594,'categories-old'!B:G,6,FALSE)</f>
        <v>/img1/imgc95d.jpg</v>
      </c>
      <c r="D594" t="str">
        <f>VLOOKUP(categories!B594,'categories-old'!B:H,7,FALSE)</f>
        <v>www.americanretailsupply.com\64695\1755\Contest-Boxes\Million-Dollar-Bill.html</v>
      </c>
    </row>
    <row r="595" spans="1:4" hidden="1" x14ac:dyDescent="0.25">
      <c r="A595" t="str">
        <f>IF(LEN('categories-old'!G595) &gt; 0, "INSERT INTO `catalog_category_entity_varchar` (attribute_id,store_id,entity_id,value) VALUES (48,0,"&amp;'categories-old'!B595&amp;",'"&amp;RIGHT('categories-old'!G595,LEN('categories-old'!G595)-1)&amp;"');","")</f>
        <v>INSERT INTO `catalog_category_entity_varchar` (attribute_id,store_id,entity_id,value) VALUES (48,0,430,'img3/imgbb9f.jpg');</v>
      </c>
      <c r="B595" t="str">
        <f>IF(LEN(categories!G595) &gt; 0, "INSERT INTO `catalog_category_entity_varchar` (attribute_id,store_id,entity_id,value) VALUES (48,0,"&amp;categories!B595&amp;",'"&amp;RIGHT(categories!G595,LEN(categories!G595)-1)&amp;"');","")</f>
        <v>INSERT INTO `catalog_category_entity_varchar` (attribute_id,store_id,entity_id,value) VALUES (48,0,430,'img3/imgbb9f.jpg');</v>
      </c>
      <c r="C595" t="str">
        <f>VLOOKUP(categories!B595,'categories-old'!B:G,6,FALSE)</f>
        <v>/img3/imgbb9f.jpg</v>
      </c>
      <c r="D595" t="str">
        <f>VLOOKUP(categories!B595,'categories-old'!B:H,7,FALSE)</f>
        <v>www.americanretailsupply.com\64695\173651\Contest-Boxes\Corrugated-Contest-Box.html</v>
      </c>
    </row>
    <row r="596" spans="1:4" hidden="1" x14ac:dyDescent="0.25">
      <c r="A596" t="str">
        <f>IF(LEN('categories-old'!G596) &gt; 0, "INSERT INTO `catalog_category_entity_varchar` (attribute_id,store_id,entity_id,value) VALUES (48,0,"&amp;'categories-old'!B596&amp;",'"&amp;RIGHT('categories-old'!G596,LEN('categories-old'!G596)-1)&amp;"');","")</f>
        <v>INSERT INTO `catalog_category_entity_varchar` (attribute_id,store_id,entity_id,value) VALUES (48,0,432,'img3/imgb906.jpg');</v>
      </c>
      <c r="B596" t="str">
        <f>IF(LEN(categories!G596) &gt; 0, "INSERT INTO `catalog_category_entity_varchar` (attribute_id,store_id,entity_id,value) VALUES (48,0,"&amp;categories!B596&amp;",'"&amp;RIGHT(categories!G596,LEN(categories!G596)-1)&amp;"');","")</f>
        <v>INSERT INTO `catalog_category_entity_varchar` (attribute_id,store_id,entity_id,value) VALUES (48,0,432,'img3/imgb906.jpg');</v>
      </c>
      <c r="C596" t="str">
        <f>VLOOKUP(categories!B596,'categories-old'!B:G,6,FALSE)</f>
        <v>/img3/imgb906.jpg</v>
      </c>
      <c r="D596" t="str">
        <f>VLOOKUP(categories!B596,'categories-old'!B:H,7,FALSE)</f>
        <v>www.americanretailsupply.com\65154\37073\Costumers\Goose-Neck-Blouse-Display.html</v>
      </c>
    </row>
    <row r="597" spans="1:4" hidden="1" x14ac:dyDescent="0.25">
      <c r="A597" t="str">
        <f>IF(LEN('categories-old'!G597) &gt; 0, "INSERT INTO `catalog_category_entity_varchar` (attribute_id,store_id,entity_id,value) VALUES (48,0,"&amp;'categories-old'!B597&amp;",'"&amp;RIGHT('categories-old'!G597,LEN('categories-old'!G597)-1)&amp;"');","")</f>
        <v>INSERT INTO `catalog_category_entity_varchar` (attribute_id,store_id,entity_id,value) VALUES (48,0,433,'img3/imgaa38.jpg');</v>
      </c>
      <c r="B597" t="str">
        <f>IF(LEN(categories!G597) &gt; 0, "INSERT INTO `catalog_category_entity_varchar` (attribute_id,store_id,entity_id,value) VALUES (48,0,"&amp;categories!B597&amp;",'"&amp;RIGHT(categories!G597,LEN(categories!G597)-1)&amp;"');","")</f>
        <v>INSERT INTO `catalog_category_entity_varchar` (attribute_id,store_id,entity_id,value) VALUES (48,0,433,'img3/imgaa38.jpg');</v>
      </c>
      <c r="C597" t="str">
        <f>VLOOKUP(categories!B597,'categories-old'!B:G,6,FALSE)</f>
        <v>/img3/imgaa38.jpg</v>
      </c>
      <c r="D597" t="str">
        <f>VLOOKUP(categories!B597,'categories-old'!B:H,7,FALSE)</f>
        <v>www.americanretailsupply.com\65154\156021\Costumers\Child-Flex-Form-Plush-Black.html</v>
      </c>
    </row>
    <row r="598" spans="1:4" hidden="1" x14ac:dyDescent="0.25">
      <c r="A598" t="str">
        <f>IF(LEN('categories-old'!G598) &gt; 0, "INSERT INTO `catalog_category_entity_varchar` (attribute_id,store_id,entity_id,value) VALUES (48,0,"&amp;'categories-old'!B598&amp;",'"&amp;RIGHT('categories-old'!G598,LEN('categories-old'!G598)-1)&amp;"');","")</f>
        <v>INSERT INTO `catalog_category_entity_varchar` (attribute_id,store_id,entity_id,value) VALUES (48,0,434,'img3/imgaa38.jpg');</v>
      </c>
      <c r="B598" t="str">
        <f>IF(LEN(categories!G598) &gt; 0, "INSERT INTO `catalog_category_entity_varchar` (attribute_id,store_id,entity_id,value) VALUES (48,0,"&amp;categories!B598&amp;",'"&amp;RIGHT(categories!G598,LEN(categories!G598)-1)&amp;"');","")</f>
        <v>INSERT INTO `catalog_category_entity_varchar` (attribute_id,store_id,entity_id,value) VALUES (48,0,434,'img3/imgaa38.jpg');</v>
      </c>
      <c r="C598" t="str">
        <f>VLOOKUP(categories!B598,'categories-old'!B:G,6,FALSE)</f>
        <v>/img3/imgaa38.jpg</v>
      </c>
      <c r="D598" t="str">
        <f>VLOOKUP(categories!B598,'categories-old'!B:H,7,FALSE)</f>
        <v>www.americanretailsupply.com\65154\156022\Costumers\Adult-Flex-Form-Plush-Black.html</v>
      </c>
    </row>
    <row r="599" spans="1:4" hidden="1" x14ac:dyDescent="0.25">
      <c r="A599" t="str">
        <f>IF(LEN('categories-old'!G599) &gt; 0, "INSERT INTO `catalog_category_entity_varchar` (attribute_id,store_id,entity_id,value) VALUES (48,0,"&amp;'categories-old'!B599&amp;",'"&amp;RIGHT('categories-old'!G599,LEN('categories-old'!G599)-1)&amp;"');","")</f>
        <v>INSERT INTO `catalog_category_entity_varchar` (attribute_id,store_id,entity_id,value) VALUES (48,0,435,'img2/img71ca.jpg');</v>
      </c>
      <c r="B599" t="str">
        <f>IF(LEN(categories!G599) &gt; 0, "INSERT INTO `catalog_category_entity_varchar` (attribute_id,store_id,entity_id,value) VALUES (48,0,"&amp;categories!B599&amp;",'"&amp;RIGHT(categories!G599,LEN(categories!G599)-1)&amp;"');","")</f>
        <v>INSERT INTO `catalog_category_entity_varchar` (attribute_id,store_id,entity_id,value) VALUES (48,0,435,'img2/img71ca.jpg');</v>
      </c>
      <c r="C599" t="str">
        <f>VLOOKUP(categories!B599,'categories-old'!B:G,6,FALSE)</f>
        <v>/img2/img71ca.jpg</v>
      </c>
      <c r="D599" t="str">
        <f>VLOOKUP(categories!B599,'categories-old'!B:H,7,FALSE)</f>
        <v>www.americanretailsupply.com\65154\156029\Costumers\Adj-Notched-Costumer.html</v>
      </c>
    </row>
    <row r="600" spans="1:4" hidden="1" x14ac:dyDescent="0.25">
      <c r="A600" t="str">
        <f>IF(LEN('categories-old'!G600) &gt; 0, "INSERT INTO `catalog_category_entity_varchar` (attribute_id,store_id,entity_id,value) VALUES (48,0,"&amp;'categories-old'!B600&amp;",'"&amp;RIGHT('categories-old'!G600,LEN('categories-old'!G600)-1)&amp;"');","")</f>
        <v>INSERT INTO `catalog_category_entity_varchar` (attribute_id,store_id,entity_id,value) VALUES (48,0,436,'img3/img3114.jpg');</v>
      </c>
      <c r="B600" t="str">
        <f>IF(LEN(categories!G600) &gt; 0, "INSERT INTO `catalog_category_entity_varchar` (attribute_id,store_id,entity_id,value) VALUES (48,0,"&amp;categories!B600&amp;",'"&amp;RIGHT(categories!G600,LEN(categories!G600)-1)&amp;"');","")</f>
        <v>INSERT INTO `catalog_category_entity_varchar` (attribute_id,store_id,entity_id,value) VALUES (48,0,436,'img3/img3114.jpg');</v>
      </c>
      <c r="C600" t="str">
        <f>VLOOKUP(categories!B600,'categories-old'!B:G,6,FALSE)</f>
        <v>/img3/img3114.jpg</v>
      </c>
      <c r="D600" t="str">
        <f>VLOOKUP(categories!B600,'categories-old'!B:H,7,FALSE)</f>
        <v>www.americanretailsupply.com\65154\156071\Costumers\Countertop-with-Shoulder-Bar-Black.html</v>
      </c>
    </row>
    <row r="601" spans="1:4" hidden="1" x14ac:dyDescent="0.25">
      <c r="A601" t="str">
        <f>IF(LEN('categories-old'!G601) &gt; 0, "INSERT INTO `catalog_category_entity_varchar` (attribute_id,store_id,entity_id,value) VALUES (48,0,"&amp;'categories-old'!B601&amp;",'"&amp;RIGHT('categories-old'!G601,LEN('categories-old'!G601)-1)&amp;"');","")</f>
        <v>INSERT INTO `catalog_category_entity_varchar` (attribute_id,store_id,entity_id,value) VALUES (48,0,437,'img1/img3bff.jpg');</v>
      </c>
      <c r="B601" t="str">
        <f>IF(LEN(categories!G601) &gt; 0, "INSERT INTO `catalog_category_entity_varchar` (attribute_id,store_id,entity_id,value) VALUES (48,0,"&amp;categories!B601&amp;",'"&amp;RIGHT(categories!G601,LEN(categories!G601)-1)&amp;"');","")</f>
        <v>INSERT INTO `catalog_category_entity_varchar` (attribute_id,store_id,entity_id,value) VALUES (48,0,437,'img1/img3bff.jpg');</v>
      </c>
      <c r="C601" t="str">
        <f>VLOOKUP(categories!B601,'categories-old'!B:G,6,FALSE)</f>
        <v>/img1/img3bff.jpg</v>
      </c>
      <c r="D601" t="str">
        <f>VLOOKUP(categories!B601,'categories-old'!B:H,7,FALSE)</f>
        <v>www.americanretailsupply.com\65154\156072\Costumers\Floor-Stand-with-Shoulder-Bar-Black.html</v>
      </c>
    </row>
    <row r="602" spans="1:4" hidden="1" x14ac:dyDescent="0.25">
      <c r="A602" t="str">
        <f>IF(LEN('categories-old'!G602) &gt; 0, "INSERT INTO `catalog_category_entity_varchar` (attribute_id,store_id,entity_id,value) VALUES (48,0,"&amp;'categories-old'!B602&amp;",'"&amp;RIGHT('categories-old'!G602,LEN('categories-old'!G602)-1)&amp;"');","")</f>
        <v>INSERT INTO `catalog_category_entity_varchar` (attribute_id,store_id,entity_id,value) VALUES (48,0,438,'img1/img6416.jpg');</v>
      </c>
      <c r="B602" t="str">
        <f>IF(LEN(categories!G602) &gt; 0, "INSERT INTO `catalog_category_entity_varchar` (attribute_id,store_id,entity_id,value) VALUES (48,0,"&amp;categories!B602&amp;",'"&amp;RIGHT(categories!G602,LEN(categories!G602)-1)&amp;"');","")</f>
        <v>INSERT INTO `catalog_category_entity_varchar` (attribute_id,store_id,entity_id,value) VALUES (48,0,438,'img1/img6416.jpg');</v>
      </c>
      <c r="C602" t="str">
        <f>VLOOKUP(categories!B602,'categories-old'!B:G,6,FALSE)</f>
        <v>/img1/img6416.jpg</v>
      </c>
      <c r="D602" t="str">
        <f>VLOOKUP(categories!B602,'categories-old'!B:H,7,FALSE)</f>
        <v>www.americanretailsupply.com\65154\156073\Costumers\Child-Floor-Stand.html</v>
      </c>
    </row>
    <row r="603" spans="1:4" hidden="1" x14ac:dyDescent="0.25">
      <c r="A603" t="str">
        <f>IF(LEN('categories-old'!G603) &gt; 0, "INSERT INTO `catalog_category_entity_varchar` (attribute_id,store_id,entity_id,value) VALUES (48,0,"&amp;'categories-old'!B603&amp;",'"&amp;RIGHT('categories-old'!G603,LEN('categories-old'!G603)-1)&amp;"');","")</f>
        <v>INSERT INTO `catalog_category_entity_varchar` (attribute_id,store_id,entity_id,value) VALUES (48,0,439,'img1/img6416.jpg');</v>
      </c>
      <c r="B603" t="str">
        <f>IF(LEN(categories!G603) &gt; 0, "INSERT INTO `catalog_category_entity_varchar` (attribute_id,store_id,entity_id,value) VALUES (48,0,"&amp;categories!B603&amp;",'"&amp;RIGHT(categories!G603,LEN(categories!G603)-1)&amp;"');","")</f>
        <v>INSERT INTO `catalog_category_entity_varchar` (attribute_id,store_id,entity_id,value) VALUES (48,0,439,'img1/img6416.jpg');</v>
      </c>
      <c r="C603" t="str">
        <f>VLOOKUP(categories!B603,'categories-old'!B:G,6,FALSE)</f>
        <v>/img1/img6416.jpg</v>
      </c>
      <c r="D603" t="str">
        <f>VLOOKUP(categories!B603,'categories-old'!B:H,7,FALSE)</f>
        <v>www.americanretailsupply.com\65154\156074\Costumers\Mens-Floor-Stand.html</v>
      </c>
    </row>
    <row r="604" spans="1:4" hidden="1" x14ac:dyDescent="0.25">
      <c r="A604" t="str">
        <f>IF(LEN('categories-old'!G604) &gt; 0, "INSERT INTO `catalog_category_entity_varchar` (attribute_id,store_id,entity_id,value) VALUES (48,0,"&amp;'categories-old'!B604&amp;",'"&amp;RIGHT('categories-old'!G604,LEN('categories-old'!G604)-1)&amp;"');","")</f>
        <v>INSERT INTO `catalog_category_entity_varchar` (attribute_id,store_id,entity_id,value) VALUES (48,0,440,'img2/img06f3.jpg');</v>
      </c>
      <c r="B604" t="str">
        <f>IF(LEN(categories!G604) &gt; 0, "INSERT INTO `catalog_category_entity_varchar` (attribute_id,store_id,entity_id,value) VALUES (48,0,"&amp;categories!B604&amp;",'"&amp;RIGHT(categories!G604,LEN(categories!G604)-1)&amp;"');","")</f>
        <v>INSERT INTO `catalog_category_entity_varchar` (attribute_id,store_id,entity_id,value) VALUES (48,0,440,'img2/img06f3.jpg');</v>
      </c>
      <c r="C604" t="str">
        <f>VLOOKUP(categories!B604,'categories-old'!B:G,6,FALSE)</f>
        <v>/img2/img06f3.jpg</v>
      </c>
      <c r="D604" t="str">
        <f>VLOOKUP(categories!B604,'categories-old'!B:H,7,FALSE)</f>
        <v>www.americanretailsupply.com\65154\156079\Costumers\Mens-Countertop.html</v>
      </c>
    </row>
    <row r="605" spans="1:4" hidden="1" x14ac:dyDescent="0.25">
      <c r="A605" t="str">
        <f>IF(LEN('categories-old'!G605) &gt; 0, "INSERT INTO `catalog_category_entity_varchar` (attribute_id,store_id,entity_id,value) VALUES (48,0,"&amp;'categories-old'!B605&amp;",'"&amp;RIGHT('categories-old'!G605,LEN('categories-old'!G605)-1)&amp;"');","")</f>
        <v>INSERT INTO `catalog_category_entity_varchar` (attribute_id,store_id,entity_id,value) VALUES (48,0,442,'img1/img4245.jpg');</v>
      </c>
      <c r="B605" t="str">
        <f>IF(LEN(categories!G605) &gt; 0, "INSERT INTO `catalog_category_entity_varchar` (attribute_id,store_id,entity_id,value) VALUES (48,0,"&amp;categories!B605&amp;",'"&amp;RIGHT(categories!G605,LEN(categories!G605)-1)&amp;"');","")</f>
        <v>INSERT INTO `catalog_category_entity_varchar` (attribute_id,store_id,entity_id,value) VALUES (48,0,442,'img1/img4245.jpg');</v>
      </c>
      <c r="C605" t="str">
        <f>VLOOKUP(categories!B605,'categories-old'!B:G,6,FALSE)</f>
        <v>/img1/img4245.jpg</v>
      </c>
      <c r="D605" t="str">
        <f>VLOOKUP(categories!B605,'categories-old'!B:H,7,FALSE)</f>
        <v>www.americanretailsupply.com\64797\734990\Counter-Top-Racks\2-Tier-Counter-Spinner-Display-with-12-Pegs.html</v>
      </c>
    </row>
    <row r="606" spans="1:4" hidden="1" x14ac:dyDescent="0.25">
      <c r="A606" t="str">
        <f>IF(LEN('categories-old'!G606) &gt; 0, "INSERT INTO `catalog_category_entity_varchar` (attribute_id,store_id,entity_id,value) VALUES (48,0,"&amp;'categories-old'!B606&amp;",'"&amp;RIGHT('categories-old'!G606,LEN('categories-old'!G606)-1)&amp;"');","")</f>
        <v>INSERT INTO `catalog_category_entity_varchar` (attribute_id,store_id,entity_id,value) VALUES (48,0,443,'img2/img7a61.jpg');</v>
      </c>
      <c r="B606" t="str">
        <f>IF(LEN(categories!G606) &gt; 0, "INSERT INTO `catalog_category_entity_varchar` (attribute_id,store_id,entity_id,value) VALUES (48,0,"&amp;categories!B606&amp;",'"&amp;RIGHT(categories!G606,LEN(categories!G606)-1)&amp;"');","")</f>
        <v>INSERT INTO `catalog_category_entity_varchar` (attribute_id,store_id,entity_id,value) VALUES (48,0,443,'img2/img7a61.jpg');</v>
      </c>
      <c r="C606" t="str">
        <f>VLOOKUP(categories!B606,'categories-old'!B:G,6,FALSE)</f>
        <v>/img2/img7a61.jpg</v>
      </c>
      <c r="D606" t="str">
        <f>VLOOKUP(categories!B606,'categories-old'!B:H,7,FALSE)</f>
        <v>www.americanretailsupply.com\64797\734991\Counter-Top-Racks\White-18-Pocket-Countertop-Card-Spinner.html</v>
      </c>
    </row>
    <row r="607" spans="1:4" hidden="1" x14ac:dyDescent="0.25">
      <c r="A607" t="str">
        <f>IF(LEN('categories-old'!G607) &gt; 0, "INSERT INTO `catalog_category_entity_varchar` (attribute_id,store_id,entity_id,value) VALUES (48,0,"&amp;'categories-old'!B607&amp;",'"&amp;RIGHT('categories-old'!G607,LEN('categories-old'!G607)-1)&amp;"');","")</f>
        <v>INSERT INTO `catalog_category_entity_varchar` (attribute_id,store_id,entity_id,value) VALUES (48,0,444,'img2/imgdf17.jpg');</v>
      </c>
      <c r="B607" t="str">
        <f>IF(LEN(categories!G607) &gt; 0, "INSERT INTO `catalog_category_entity_varchar` (attribute_id,store_id,entity_id,value) VALUES (48,0,"&amp;categories!B607&amp;",'"&amp;RIGHT(categories!G607,LEN(categories!G607)-1)&amp;"');","")</f>
        <v>INSERT INTO `catalog_category_entity_varchar` (attribute_id,store_id,entity_id,value) VALUES (48,0,444,'img2/imgdf17.jpg');</v>
      </c>
      <c r="C607" t="str">
        <f>VLOOKUP(categories!B607,'categories-old'!B:G,6,FALSE)</f>
        <v>/img2/imgdf17.jpg</v>
      </c>
      <c r="D607" t="str">
        <f>VLOOKUP(categories!B607,'categories-old'!B:H,7,FALSE)</f>
        <v>www.americanretailsupply.com\64797\735010\Counter-Top-Racks\White-Linear-Counter-Display.html</v>
      </c>
    </row>
    <row r="608" spans="1:4" hidden="1" x14ac:dyDescent="0.25">
      <c r="A608" t="str">
        <f>IF(LEN('categories-old'!G608) &gt; 0, "INSERT INTO `catalog_category_entity_varchar` (attribute_id,store_id,entity_id,value) VALUES (48,0,"&amp;'categories-old'!B608&amp;",'"&amp;RIGHT('categories-old'!G608,LEN('categories-old'!G608)-1)&amp;"');","")</f>
        <v>INSERT INTO `catalog_category_entity_varchar` (attribute_id,store_id,entity_id,value) VALUES (48,0,445,'img3/img1ef6.jpg');</v>
      </c>
      <c r="B608" t="str">
        <f>IF(LEN(categories!G608) &gt; 0, "INSERT INTO `catalog_category_entity_varchar` (attribute_id,store_id,entity_id,value) VALUES (48,0,"&amp;categories!B608&amp;",'"&amp;RIGHT(categories!G608,LEN(categories!G608)-1)&amp;"');","")</f>
        <v>INSERT INTO `catalog_category_entity_varchar` (attribute_id,store_id,entity_id,value) VALUES (48,0,445,'img3/img1ef6.jpg');</v>
      </c>
      <c r="C608" t="str">
        <f>VLOOKUP(categories!B608,'categories-old'!B:G,6,FALSE)</f>
        <v>/img3/img1ef6.jpg</v>
      </c>
      <c r="D608" t="str">
        <f>VLOOKUP(categories!B608,'categories-old'!B:H,7,FALSE)</f>
        <v>www.americanretailsupply.com\64797\735011\Counter-Top-Racks\Black-5-Tier-Merchandiser-Counter-Rack.html</v>
      </c>
    </row>
    <row r="609" spans="1:4" hidden="1" x14ac:dyDescent="0.25">
      <c r="A609" t="str">
        <f>IF(LEN('categories-old'!G609) &gt; 0, "INSERT INTO `catalog_category_entity_varchar` (attribute_id,store_id,entity_id,value) VALUES (48,0,"&amp;'categories-old'!B609&amp;",'"&amp;RIGHT('categories-old'!G609,LEN('categories-old'!G609)-1)&amp;"');","")</f>
        <v>INSERT INTO `catalog_category_entity_varchar` (attribute_id,store_id,entity_id,value) VALUES (48,0,448,'img2/img52c0.jpg');</v>
      </c>
      <c r="B609" t="str">
        <f>IF(LEN(categories!G609) &gt; 0, "INSERT INTO `catalog_category_entity_varchar` (attribute_id,store_id,entity_id,value) VALUES (48,0,"&amp;categories!B609&amp;",'"&amp;RIGHT(categories!G609,LEN(categories!G609)-1)&amp;"');","")</f>
        <v>INSERT INTO `catalog_category_entity_varchar` (attribute_id,store_id,entity_id,value) VALUES (48,0,448,'img2/img52c0.jpg');</v>
      </c>
      <c r="C609" t="str">
        <f>VLOOKUP(categories!B609,'categories-old'!B:G,6,FALSE)</f>
        <v>/img2/img52c0.jpg</v>
      </c>
      <c r="D609" t="str">
        <f>VLOOKUP(categories!B609,'categories-old'!B:H,7,FALSE)</f>
        <v>www.americanretailsupply.com\64960\37818\Cross-Bars\Crossbar-Accessories.html</v>
      </c>
    </row>
    <row r="610" spans="1:4" hidden="1" x14ac:dyDescent="0.25">
      <c r="A610" t="str">
        <f>IF(LEN('categories-old'!G610) &gt; 0, "INSERT INTO `catalog_category_entity_varchar` (attribute_id,store_id,entity_id,value) VALUES (48,0,"&amp;'categories-old'!B610&amp;",'"&amp;RIGHT('categories-old'!G610,LEN('categories-old'!G610)-1)&amp;"');","")</f>
        <v>INSERT INTO `catalog_category_entity_varchar` (attribute_id,store_id,entity_id,value) VALUES (48,0,450,'img1/img4749.jpg');</v>
      </c>
      <c r="B610" t="str">
        <f>IF(LEN(categories!G610) &gt; 0, "INSERT INTO `catalog_category_entity_varchar` (attribute_id,store_id,entity_id,value) VALUES (48,0,"&amp;categories!B610&amp;",'"&amp;RIGHT(categories!G610,LEN(categories!G610)-1)&amp;"');","")</f>
        <v>INSERT INTO `catalog_category_entity_varchar` (attribute_id,store_id,entity_id,value) VALUES (48,0,450,'img1/img4749.jpg');</v>
      </c>
      <c r="C610" t="str">
        <f>VLOOKUP(categories!B610,'categories-old'!B:G,6,FALSE)</f>
        <v>/img1/img4749.jpg</v>
      </c>
      <c r="D610" t="str">
        <f>VLOOKUP(categories!B610,'categories-old'!B:H,7,FALSE)</f>
        <v>www.americanretailsupply.com\65156\740886\Crystalline-Series-Mannequins\White-Translucent-Female.html</v>
      </c>
    </row>
    <row r="611" spans="1:4" hidden="1" x14ac:dyDescent="0.25">
      <c r="A611" t="str">
        <f>IF(LEN('categories-old'!G611) &gt; 0, "INSERT INTO `catalog_category_entity_varchar` (attribute_id,store_id,entity_id,value) VALUES (48,0,"&amp;'categories-old'!B611&amp;",'"&amp;RIGHT('categories-old'!G611,LEN('categories-old'!G611)-1)&amp;"');","")</f>
        <v>INSERT INTO `catalog_category_entity_varchar` (attribute_id,store_id,entity_id,value) VALUES (48,0,451,'img1/imgffa4.jpg');</v>
      </c>
      <c r="B611" t="str">
        <f>IF(LEN(categories!G611) &gt; 0, "INSERT INTO `catalog_category_entity_varchar` (attribute_id,store_id,entity_id,value) VALUES (48,0,"&amp;categories!B611&amp;",'"&amp;RIGHT(categories!G611,LEN(categories!G611)-1)&amp;"');","")</f>
        <v>INSERT INTO `catalog_category_entity_varchar` (attribute_id,store_id,entity_id,value) VALUES (48,0,451,'img1/imgffa4.jpg');</v>
      </c>
      <c r="C611" t="str">
        <f>VLOOKUP(categories!B611,'categories-old'!B:G,6,FALSE)</f>
        <v>/img1/imgffa4.jpg</v>
      </c>
      <c r="D611" t="str">
        <f>VLOOKUP(categories!B611,'categories-old'!B:H,7,FALSE)</f>
        <v>www.americanretailsupply.com\65156\740887\Crystalline-Series-Mannequins\White-Translucent-Male.html</v>
      </c>
    </row>
    <row r="612" spans="1:4" hidden="1" x14ac:dyDescent="0.25">
      <c r="A612" t="str">
        <f>IF(LEN('categories-old'!G612) &gt; 0, "INSERT INTO `catalog_category_entity_varchar` (attribute_id,store_id,entity_id,value) VALUES (48,0,"&amp;'categories-old'!B612&amp;",'"&amp;RIGHT('categories-old'!G612,LEN('categories-old'!G612)-1)&amp;"');","")</f>
        <v>INSERT INTO `catalog_category_entity_varchar` (attribute_id,store_id,entity_id,value) VALUES (48,0,454,'img2/img79b5.jpg');</v>
      </c>
      <c r="B612" t="str">
        <f>IF(LEN(categories!G612) &gt; 0, "INSERT INTO `catalog_category_entity_varchar` (attribute_id,store_id,entity_id,value) VALUES (48,0,"&amp;categories!B612&amp;",'"&amp;RIGHT(categories!G612,LEN(categories!G612)-1)&amp;"');","")</f>
        <v>INSERT INTO `catalog_category_entity_varchar` (attribute_id,store_id,entity_id,value) VALUES (48,0,454,'img2/img79b5.jpg');</v>
      </c>
      <c r="C612" t="str">
        <f>VLOOKUP(categories!B612,'categories-old'!B:G,6,FALSE)</f>
        <v>/img2/img79b5.jpg</v>
      </c>
      <c r="D612" t="str">
        <f>VLOOKUP(categories!B612,'categories-old'!B:H,7,FALSE)</f>
        <v>www.americanretailsupply.com\64735\19865\Curling-Ribbon\Curling-Ribbon.html</v>
      </c>
    </row>
    <row r="613" spans="1:4" hidden="1" x14ac:dyDescent="0.25">
      <c r="A613" t="str">
        <f>IF(LEN('categories-old'!G613) &gt; 0, "INSERT INTO `catalog_category_entity_varchar` (attribute_id,store_id,entity_id,value) VALUES (48,0,"&amp;'categories-old'!B613&amp;",'"&amp;RIGHT('categories-old'!G613,LEN('categories-old'!G613)-1)&amp;"');","")</f>
        <v>INSERT INTO `catalog_category_entity_varchar` (attribute_id,store_id,entity_id,value) VALUES (48,0,455,'img1/img453d.jpg');</v>
      </c>
      <c r="B613" t="str">
        <f>IF(LEN(categories!G613) &gt; 0, "INSERT INTO `catalog_category_entity_varchar` (attribute_id,store_id,entity_id,value) VALUES (48,0,"&amp;categories!B613&amp;",'"&amp;RIGHT(categories!G613,LEN(categories!G613)-1)&amp;"');","")</f>
        <v>INSERT INTO `catalog_category_entity_varchar` (attribute_id,store_id,entity_id,value) VALUES (48,0,455,'img1/img453d.jpg');</v>
      </c>
      <c r="C613" t="str">
        <f>VLOOKUP(categories!B613,'categories-old'!B:G,6,FALSE)</f>
        <v>/img1/img453d.jpg</v>
      </c>
      <c r="D613" t="str">
        <f>VLOOKUP(categories!B613,'categories-old'!B:H,7,FALSE)</f>
        <v>www.americanretailsupply.com\64735\19866\Curling-Ribbon\Crimped-Metallic-Tone-Curling-Ribbon.html</v>
      </c>
    </row>
    <row r="614" spans="1:4" hidden="1" x14ac:dyDescent="0.25">
      <c r="A614" t="str">
        <f>IF(LEN('categories-old'!G614) &gt; 0, "INSERT INTO `catalog_category_entity_varchar` (attribute_id,store_id,entity_id,value) VALUES (48,0,"&amp;'categories-old'!B614&amp;",'"&amp;RIGHT('categories-old'!G614,LEN('categories-old'!G614)-1)&amp;"');","")</f>
        <v>INSERT INTO `catalog_category_entity_varchar` (attribute_id,store_id,entity_id,value) VALUES (48,0,456,'img2/img1fb7.jpg');</v>
      </c>
      <c r="B614" t="str">
        <f>IF(LEN(categories!G614) &gt; 0, "INSERT INTO `catalog_category_entity_varchar` (attribute_id,store_id,entity_id,value) VALUES (48,0,"&amp;categories!B614&amp;",'"&amp;RIGHT(categories!G614,LEN(categories!G614)-1)&amp;"');","")</f>
        <v>INSERT INTO `catalog_category_entity_varchar` (attribute_id,store_id,entity_id,value) VALUES (48,0,456,'img2/img1fb7.jpg');</v>
      </c>
      <c r="C614" t="str">
        <f>VLOOKUP(categories!B614,'categories-old'!B:G,6,FALSE)</f>
        <v>/img2/img1fb7.jpg</v>
      </c>
      <c r="D614" t="str">
        <f>VLOOKUP(categories!B614,'categories-old'!B:H,7,FALSE)</f>
        <v>www.americanretailsupply.com\64735\746204\Curling-Ribbon\Printed-Curling-Ribbon.html</v>
      </c>
    </row>
    <row r="615" spans="1:4" hidden="1" x14ac:dyDescent="0.25">
      <c r="A615" t="str">
        <f>IF(LEN('categories-old'!G615) &gt; 0, "INSERT INTO `catalog_category_entity_varchar` (attribute_id,store_id,entity_id,value) VALUES (48,0,"&amp;'categories-old'!B615&amp;",'"&amp;RIGHT('categories-old'!G615,LEN('categories-old'!G615)-1)&amp;"');","")</f>
        <v>INSERT INTO `catalog_category_entity_varchar` (attribute_id,store_id,entity_id,value) VALUES (48,0,459,'img2/img906c.jpg');</v>
      </c>
      <c r="B615" t="str">
        <f>IF(LEN(categories!G615) &gt; 0, "INSERT INTO `catalog_category_entity_varchar` (attribute_id,store_id,entity_id,value) VALUES (48,0,"&amp;categories!B615&amp;",'"&amp;RIGHT(categories!G615,LEN(categories!G615)-1)&amp;"');","")</f>
        <v>INSERT INTO `catalog_category_entity_varchar` (attribute_id,store_id,entity_id,value) VALUES (48,0,459,'img2/img906c.jpg');</v>
      </c>
      <c r="C615" t="str">
        <f>VLOOKUP(categories!B615,'categories-old'!B:G,6,FALSE)</f>
        <v>/img2/img906c.jpg</v>
      </c>
      <c r="D615" t="str">
        <f>VLOOKUP(categories!B615,'categories-old'!B:H,7,FALSE)</f>
        <v>www.americanretailsupply.com\64703\19958\Custom-Tissue-Paper--Custom-Gift-Wrapping\Solid-Color-Tissue-Paper.html</v>
      </c>
    </row>
    <row r="616" spans="1:4" hidden="1" x14ac:dyDescent="0.25">
      <c r="A616" t="str">
        <f>IF(LEN('categories-old'!G616) &gt; 0, "INSERT INTO `catalog_category_entity_varchar` (attribute_id,store_id,entity_id,value) VALUES (48,0,"&amp;'categories-old'!B616&amp;",'"&amp;RIGHT('categories-old'!G616,LEN('categories-old'!G616)-1)&amp;"');","")</f>
        <v>INSERT INTO `catalog_category_entity_varchar` (attribute_id,store_id,entity_id,value) VALUES (48,0,461,'img2/img1efc.jpg');</v>
      </c>
      <c r="B616" t="str">
        <f>IF(LEN(categories!G616) &gt; 0, "INSERT INTO `catalog_category_entity_varchar` (attribute_id,store_id,entity_id,value) VALUES (48,0,"&amp;categories!B616&amp;",'"&amp;RIGHT(categories!G616,LEN(categories!G616)-1)&amp;"');","")</f>
        <v>INSERT INTO `catalog_category_entity_varchar` (attribute_id,store_id,entity_id,value) VALUES (48,0,461,'img2/img1efc.jpg');</v>
      </c>
      <c r="C616" t="str">
        <f>VLOOKUP(categories!B616,'categories-old'!B:G,6,FALSE)</f>
        <v>/img2/img1efc.jpg</v>
      </c>
      <c r="D616" t="str">
        <f>VLOOKUP(categories!B616,'categories-old'!B:H,7,FALSE)</f>
        <v>www.americanretailsupply.com\65084\18449\Decorative-Corrugated-Boxes\Folding-Candy-Boxes.html</v>
      </c>
    </row>
    <row r="617" spans="1:4" hidden="1" x14ac:dyDescent="0.25">
      <c r="A617" t="str">
        <f>IF(LEN('categories-old'!G617) &gt; 0, "INSERT INTO `catalog_category_entity_varchar` (attribute_id,store_id,entity_id,value) VALUES (48,0,"&amp;'categories-old'!B617&amp;",'"&amp;RIGHT('categories-old'!G617,LEN('categories-old'!G617)-1)&amp;"');","")</f>
        <v>INSERT INTO `catalog_category_entity_varchar` (attribute_id,store_id,entity_id,value) VALUES (48,0,463,'img3/img730b.jpg');</v>
      </c>
      <c r="B617" t="str">
        <f>IF(LEN(categories!G617) &gt; 0, "INSERT INTO `catalog_category_entity_varchar` (attribute_id,store_id,entity_id,value) VALUES (48,0,"&amp;categories!B617&amp;",'"&amp;RIGHT(categories!G617,LEN(categories!G617)-1)&amp;"');","")</f>
        <v>INSERT INTO `catalog_category_entity_varchar` (attribute_id,store_id,entity_id,value) VALUES (48,0,463,'img3/img730b.jpg');</v>
      </c>
      <c r="C617" t="str">
        <f>VLOOKUP(categories!B617,'categories-old'!B:G,6,FALSE)</f>
        <v>/img3/img730b.jpg</v>
      </c>
      <c r="D617" t="str">
        <f>VLOOKUP(categories!B617,'categories-old'!B:H,7,FALSE)</f>
        <v>www.americanretailsupply.com\64709\226749\Decorative-Corrugated-Boxes\Red-Satin-Gift-Boxes.html</v>
      </c>
    </row>
    <row r="618" spans="1:4" hidden="1" x14ac:dyDescent="0.25">
      <c r="A618" t="str">
        <f>IF(LEN('categories-old'!G618) &gt; 0, "INSERT INTO `catalog_category_entity_varchar` (attribute_id,store_id,entity_id,value) VALUES (48,0,"&amp;'categories-old'!B618&amp;",'"&amp;RIGHT('categories-old'!G618,LEN('categories-old'!G618)-1)&amp;"');","")</f>
        <v>INSERT INTO `catalog_category_entity_varchar` (attribute_id,store_id,entity_id,value) VALUES (48,0,464,'img1/img1f69.jpg');</v>
      </c>
      <c r="B618" t="str">
        <f>IF(LEN(categories!G618) &gt; 0, "INSERT INTO `catalog_category_entity_varchar` (attribute_id,store_id,entity_id,value) VALUES (48,0,"&amp;categories!B618&amp;",'"&amp;RIGHT(categories!G618,LEN(categories!G618)-1)&amp;"');","")</f>
        <v>INSERT INTO `catalog_category_entity_varchar` (attribute_id,store_id,entity_id,value) VALUES (48,0,464,'img1/img1f69.jpg');</v>
      </c>
      <c r="C618" t="str">
        <f>VLOOKUP(categories!B618,'categories-old'!B:G,6,FALSE)</f>
        <v>/img1/img1f69.jpg</v>
      </c>
      <c r="D618" t="str">
        <f>VLOOKUP(categories!B618,'categories-old'!B:H,7,FALSE)</f>
        <v>www.americanretailsupply.com\64709\226750\Decorative-Corrugated-Boxes\Christmas--Holiday-Gift-Boxes.html</v>
      </c>
    </row>
    <row r="619" spans="1:4" hidden="1" x14ac:dyDescent="0.25">
      <c r="A619" t="str">
        <f>IF(LEN('categories-old'!G619) &gt; 0, "INSERT INTO `catalog_category_entity_varchar` (attribute_id,store_id,entity_id,value) VALUES (48,0,"&amp;'categories-old'!B619&amp;",'"&amp;RIGHT('categories-old'!G619,LEN('categories-old'!G619)-1)&amp;"');","")</f>
        <v>INSERT INTO `catalog_category_entity_varchar` (attribute_id,store_id,entity_id,value) VALUES (48,0,465,'img1/img408b.jpg');</v>
      </c>
      <c r="B619" t="str">
        <f>IF(LEN(categories!G619) &gt; 0, "INSERT INTO `catalog_category_entity_varchar` (attribute_id,store_id,entity_id,value) VALUES (48,0,"&amp;categories!B619&amp;",'"&amp;RIGHT(categories!G619,LEN(categories!G619)-1)&amp;"');","")</f>
        <v>INSERT INTO `catalog_category_entity_varchar` (attribute_id,store_id,entity_id,value) VALUES (48,0,465,'img1/img408b.jpg');</v>
      </c>
      <c r="C619" t="str">
        <f>VLOOKUP(categories!B619,'categories-old'!B:G,6,FALSE)</f>
        <v>/img1/img408b.jpg</v>
      </c>
      <c r="D619" t="str">
        <f>VLOOKUP(categories!B619,'categories-old'!B:H,7,FALSE)</f>
        <v>www.americanretailsupply.com\64709\226751\Decorative-Corrugated-Boxes\Red--Hunter-Green-Bows-Gift-Boxes.html</v>
      </c>
    </row>
    <row r="620" spans="1:4" hidden="1" x14ac:dyDescent="0.25">
      <c r="A620" t="str">
        <f>IF(LEN('categories-old'!G620) &gt; 0, "INSERT INTO `catalog_category_entity_varchar` (attribute_id,store_id,entity_id,value) VALUES (48,0,"&amp;'categories-old'!B620&amp;",'"&amp;RIGHT('categories-old'!G620,LEN('categories-old'!G620)-1)&amp;"');","")</f>
        <v>INSERT INTO `catalog_category_entity_varchar` (attribute_id,store_id,entity_id,value) VALUES (48,0,466,'img2/imgb4a0.jpg');</v>
      </c>
      <c r="B620" t="str">
        <f>IF(LEN(categories!G620) &gt; 0, "INSERT INTO `catalog_category_entity_varchar` (attribute_id,store_id,entity_id,value) VALUES (48,0,"&amp;categories!B620&amp;",'"&amp;RIGHT(categories!G620,LEN(categories!G620)-1)&amp;"');","")</f>
        <v>INSERT INTO `catalog_category_entity_varchar` (attribute_id,store_id,entity_id,value) VALUES (48,0,466,'img2/imgb4a0.jpg');</v>
      </c>
      <c r="C620" t="str">
        <f>VLOOKUP(categories!B620,'categories-old'!B:G,6,FALSE)</f>
        <v>/img2/imgb4a0.jpg</v>
      </c>
      <c r="D620" t="str">
        <f>VLOOKUP(categories!B620,'categories-old'!B:H,7,FALSE)</f>
        <v>www.americanretailsupply.com\64709\226758\Decorative-Corrugated-Boxes\Burnished-Gold.html</v>
      </c>
    </row>
    <row r="621" spans="1:4" hidden="1" x14ac:dyDescent="0.25">
      <c r="A621" t="str">
        <f>IF(LEN('categories-old'!G621) &gt; 0, "INSERT INTO `catalog_category_entity_varchar` (attribute_id,store_id,entity_id,value) VALUES (48,0,"&amp;'categories-old'!B621&amp;",'"&amp;RIGHT('categories-old'!G621,LEN('categories-old'!G621)-1)&amp;"');","")</f>
        <v>INSERT INTO `catalog_category_entity_varchar` (attribute_id,store_id,entity_id,value) VALUES (48,0,467,'img3/img0020.jpg');</v>
      </c>
      <c r="B621" t="str">
        <f>IF(LEN(categories!G621) &gt; 0, "INSERT INTO `catalog_category_entity_varchar` (attribute_id,store_id,entity_id,value) VALUES (48,0,"&amp;categories!B621&amp;",'"&amp;RIGHT(categories!G621,LEN(categories!G621)-1)&amp;"');","")</f>
        <v>INSERT INTO `catalog_category_entity_varchar` (attribute_id,store_id,entity_id,value) VALUES (48,0,467,'img3/img0020.jpg');</v>
      </c>
      <c r="C621" t="str">
        <f>VLOOKUP(categories!B621,'categories-old'!B:G,6,FALSE)</f>
        <v>/img3/img0020.jpg</v>
      </c>
      <c r="D621" t="str">
        <f>VLOOKUP(categories!B621,'categories-old'!B:H,7,FALSE)</f>
        <v>www.americanretailsupply.com\64709\226769\Decorative-Corrugated-Boxes\Spruce-Green-Brushstroke-Gift-Boxes.html</v>
      </c>
    </row>
    <row r="622" spans="1:4" hidden="1" x14ac:dyDescent="0.25">
      <c r="A622" t="str">
        <f>IF(LEN('categories-old'!G622) &gt; 0, "INSERT INTO `catalog_category_entity_varchar` (attribute_id,store_id,entity_id,value) VALUES (48,0,"&amp;'categories-old'!B622&amp;",'"&amp;RIGHT('categories-old'!G622,LEN('categories-old'!G622)-1)&amp;"');","")</f>
        <v>INSERT INTO `catalog_category_entity_varchar` (attribute_id,store_id,entity_id,value) VALUES (48,0,468,'img1/img84e3.jpg');</v>
      </c>
      <c r="B622" t="str">
        <f>IF(LEN(categories!G622) &gt; 0, "INSERT INTO `catalog_category_entity_varchar` (attribute_id,store_id,entity_id,value) VALUES (48,0,"&amp;categories!B622&amp;",'"&amp;RIGHT(categories!G622,LEN(categories!G622)-1)&amp;"');","")</f>
        <v>INSERT INTO `catalog_category_entity_varchar` (attribute_id,store_id,entity_id,value) VALUES (48,0,468,'img1/img84e3.jpg');</v>
      </c>
      <c r="C622" t="str">
        <f>VLOOKUP(categories!B622,'categories-old'!B:G,6,FALSE)</f>
        <v>/img1/img84e3.jpg</v>
      </c>
      <c r="D622" t="str">
        <f>VLOOKUP(categories!B622,'categories-old'!B:H,7,FALSE)</f>
        <v>www.americanretailsupply.com\64709\226770\Decorative-Corrugated-Boxes\Silver-Plated.html</v>
      </c>
    </row>
    <row r="623" spans="1:4" hidden="1" x14ac:dyDescent="0.25">
      <c r="A623" t="str">
        <f>IF(LEN('categories-old'!G623) &gt; 0, "INSERT INTO `catalog_category_entity_varchar` (attribute_id,store_id,entity_id,value) VALUES (48,0,"&amp;'categories-old'!B623&amp;",'"&amp;RIGHT('categories-old'!G623,LEN('categories-old'!G623)-1)&amp;"');","")</f>
        <v>INSERT INTO `catalog_category_entity_varchar` (attribute_id,store_id,entity_id,value) VALUES (48,0,469,'img2/img5a93.jpg');</v>
      </c>
      <c r="B623" t="str">
        <f>IF(LEN(categories!G623) &gt; 0, "INSERT INTO `catalog_category_entity_varchar` (attribute_id,store_id,entity_id,value) VALUES (48,0,"&amp;categories!B623&amp;",'"&amp;RIGHT(categories!G623,LEN(categories!G623)-1)&amp;"');","")</f>
        <v>INSERT INTO `catalog_category_entity_varchar` (attribute_id,store_id,entity_id,value) VALUES (48,0,469,'img2/img5a93.jpg');</v>
      </c>
      <c r="C623" t="str">
        <f>VLOOKUP(categories!B623,'categories-old'!B:G,6,FALSE)</f>
        <v>/img2/img5a93.jpg</v>
      </c>
      <c r="D623" t="str">
        <f>VLOOKUP(categories!B623,'categories-old'!B:H,7,FALSE)</f>
        <v>www.americanretailsupply.com\64709\226776\Decorative-Corrugated-Boxes\Holstein.html</v>
      </c>
    </row>
    <row r="624" spans="1:4" hidden="1" x14ac:dyDescent="0.25">
      <c r="A624" t="str">
        <f>IF(LEN('categories-old'!G624) &gt; 0, "INSERT INTO `catalog_category_entity_varchar` (attribute_id,store_id,entity_id,value) VALUES (48,0,"&amp;'categories-old'!B624&amp;",'"&amp;RIGHT('categories-old'!G624,LEN('categories-old'!G624)-1)&amp;"');","")</f>
        <v>INSERT INTO `catalog_category_entity_varchar` (attribute_id,store_id,entity_id,value) VALUES (48,0,470,'img2/imgc203.jpg');</v>
      </c>
      <c r="B624" t="str">
        <f>IF(LEN(categories!G624) &gt; 0, "INSERT INTO `catalog_category_entity_varchar` (attribute_id,store_id,entity_id,value) VALUES (48,0,"&amp;categories!B624&amp;",'"&amp;RIGHT(categories!G624,LEN(categories!G624)-1)&amp;"');","")</f>
        <v>INSERT INTO `catalog_category_entity_varchar` (attribute_id,store_id,entity_id,value) VALUES (48,0,470,'img2/imgc203.jpg');</v>
      </c>
      <c r="C624" t="str">
        <f>VLOOKUP(categories!B624,'categories-old'!B:G,6,FALSE)</f>
        <v>/img2/imgc203.jpg</v>
      </c>
      <c r="D624" t="str">
        <f>VLOOKUP(categories!B624,'categories-old'!B:H,7,FALSE)</f>
        <v>www.americanretailsupply.com\64709\226778\Decorative-Corrugated-Boxes\Kraft.html</v>
      </c>
    </row>
    <row r="625" spans="1:4" hidden="1" x14ac:dyDescent="0.25">
      <c r="A625" t="str">
        <f>IF(LEN('categories-old'!G625) &gt; 0, "INSERT INTO `catalog_category_entity_varchar` (attribute_id,store_id,entity_id,value) VALUES (48,0,"&amp;'categories-old'!B625&amp;",'"&amp;RIGHT('categories-old'!G625,LEN('categories-old'!G625)-1)&amp;"');","")</f>
        <v>INSERT INTO `catalog_category_entity_varchar` (attribute_id,store_id,entity_id,value) VALUES (48,0,471,'img2/imgf4d8.jpg');</v>
      </c>
      <c r="B625" t="str">
        <f>IF(LEN(categories!G625) &gt; 0, "INSERT INTO `catalog_category_entity_varchar` (attribute_id,store_id,entity_id,value) VALUES (48,0,"&amp;categories!B625&amp;",'"&amp;RIGHT(categories!G625,LEN(categories!G625)-1)&amp;"');","")</f>
        <v>INSERT INTO `catalog_category_entity_varchar` (attribute_id,store_id,entity_id,value) VALUES (48,0,471,'img2/imgf4d8.jpg');</v>
      </c>
      <c r="C625" t="str">
        <f>VLOOKUP(categories!B625,'categories-old'!B:G,6,FALSE)</f>
        <v>/img2/imgf4d8.jpg</v>
      </c>
      <c r="D625" t="str">
        <f>VLOOKUP(categories!B625,'categories-old'!B:H,7,FALSE)</f>
        <v>www.americanretailsupply.com\64709\226780\Decorative-Corrugated-Boxes\White-Kraft.html</v>
      </c>
    </row>
    <row r="626" spans="1:4" hidden="1" x14ac:dyDescent="0.25">
      <c r="A626" t="str">
        <f>IF(LEN('categories-old'!G626) &gt; 0, "INSERT INTO `catalog_category_entity_varchar` (attribute_id,store_id,entity_id,value) VALUES (48,0,"&amp;'categories-old'!B626&amp;",'"&amp;RIGHT('categories-old'!G626,LEN('categories-old'!G626)-1)&amp;"');","")</f>
        <v>INSERT INTO `catalog_category_entity_varchar` (attribute_id,store_id,entity_id,value) VALUES (48,0,472,'img3/img3d40.jpg');</v>
      </c>
      <c r="B626" t="str">
        <f>IF(LEN(categories!G626) &gt; 0, "INSERT INTO `catalog_category_entity_varchar` (attribute_id,store_id,entity_id,value) VALUES (48,0,"&amp;categories!B626&amp;",'"&amp;RIGHT(categories!G626,LEN(categories!G626)-1)&amp;"');","")</f>
        <v>INSERT INTO `catalog_category_entity_varchar` (attribute_id,store_id,entity_id,value) VALUES (48,0,472,'img3/img3d40.jpg');</v>
      </c>
      <c r="C626" t="str">
        <f>VLOOKUP(categories!B626,'categories-old'!B:G,6,FALSE)</f>
        <v>/img3/img3d40.jpg</v>
      </c>
      <c r="D626" t="str">
        <f>VLOOKUP(categories!B626,'categories-old'!B:H,7,FALSE)</f>
        <v>www.americanretailsupply.com\64709\226911\Decorative-Corrugated-Boxes\Hunter-Green-Kraft-Gift-Boxes.html</v>
      </c>
    </row>
    <row r="627" spans="1:4" hidden="1" x14ac:dyDescent="0.25">
      <c r="A627" t="str">
        <f>IF(LEN('categories-old'!G627) &gt; 0, "INSERT INTO `catalog_category_entity_varchar` (attribute_id,store_id,entity_id,value) VALUES (48,0,"&amp;'categories-old'!B627&amp;",'"&amp;RIGHT('categories-old'!G627,LEN('categories-old'!G627)-1)&amp;"');","")</f>
        <v>INSERT INTO `catalog_category_entity_varchar` (attribute_id,store_id,entity_id,value) VALUES (48,0,473,'img3/imgace2.jpg');</v>
      </c>
      <c r="B627" t="str">
        <f>IF(LEN(categories!G627) &gt; 0, "INSERT INTO `catalog_category_entity_varchar` (attribute_id,store_id,entity_id,value) VALUES (48,0,"&amp;categories!B627&amp;",'"&amp;RIGHT(categories!G627,LEN(categories!G627)-1)&amp;"');","")</f>
        <v>INSERT INTO `catalog_category_entity_varchar` (attribute_id,store_id,entity_id,value) VALUES (48,0,473,'img3/imgace2.jpg');</v>
      </c>
      <c r="C627" t="str">
        <f>VLOOKUP(categories!B627,'categories-old'!B:G,6,FALSE)</f>
        <v>/img3/imgace2.jpg</v>
      </c>
      <c r="D627" t="str">
        <f>VLOOKUP(categories!B627,'categories-old'!B:H,7,FALSE)</f>
        <v>www.americanretailsupply.com\64709\226912\Decorative-Corrugated-Boxes\Black-Kraft-Boxes.html</v>
      </c>
    </row>
    <row r="628" spans="1:4" hidden="1" x14ac:dyDescent="0.25">
      <c r="A628" t="str">
        <f>IF(LEN('categories-old'!G628) &gt; 0, "INSERT INTO `catalog_category_entity_varchar` (attribute_id,store_id,entity_id,value) VALUES (48,0,"&amp;'categories-old'!B628&amp;",'"&amp;RIGHT('categories-old'!G628,LEN('categories-old'!G628)-1)&amp;"');","")</f>
        <v>INSERT INTO `catalog_category_entity_varchar` (attribute_id,store_id,entity_id,value) VALUES (48,0,474,'img2/img6c29.jpg');</v>
      </c>
      <c r="B628" t="str">
        <f>IF(LEN(categories!G628) &gt; 0, "INSERT INTO `catalog_category_entity_varchar` (attribute_id,store_id,entity_id,value) VALUES (48,0,"&amp;categories!B628&amp;",'"&amp;RIGHT(categories!G628,LEN(categories!G628)-1)&amp;"');","")</f>
        <v>INSERT INTO `catalog_category_entity_varchar` (attribute_id,store_id,entity_id,value) VALUES (48,0,474,'img2/img6c29.jpg');</v>
      </c>
      <c r="C628" t="str">
        <f>VLOOKUP(categories!B628,'categories-old'!B:G,6,FALSE)</f>
        <v>/img2/img6c29.jpg</v>
      </c>
      <c r="D628" t="str">
        <f>VLOOKUP(categories!B628,'categories-old'!B:H,7,FALSE)</f>
        <v>www.americanretailsupply.com\64709\437364\Decorative-Corrugated-Boxes\Chocolate.html</v>
      </c>
    </row>
    <row r="629" spans="1:4" hidden="1" x14ac:dyDescent="0.25">
      <c r="A629" t="str">
        <f>IF(LEN('categories-old'!G629) &gt; 0, "INSERT INTO `catalog_category_entity_varchar` (attribute_id,store_id,entity_id,value) VALUES (48,0,"&amp;'categories-old'!B629&amp;",'"&amp;RIGHT('categories-old'!G629,LEN('categories-old'!G629)-1)&amp;"');","")</f>
        <v>INSERT INTO `catalog_category_entity_varchar` (attribute_id,store_id,entity_id,value) VALUES (48,0,475,'img2/img2e8d.jpg');</v>
      </c>
      <c r="B629" t="str">
        <f>IF(LEN(categories!G629) &gt; 0, "INSERT INTO `catalog_category_entity_varchar` (attribute_id,store_id,entity_id,value) VALUES (48,0,"&amp;categories!B629&amp;",'"&amp;RIGHT(categories!G629,LEN(categories!G629)-1)&amp;"');","")</f>
        <v>INSERT INTO `catalog_category_entity_varchar` (attribute_id,store_id,entity_id,value) VALUES (48,0,475,'img2/img2e8d.jpg');</v>
      </c>
      <c r="C629" t="str">
        <f>VLOOKUP(categories!B629,'categories-old'!B:G,6,FALSE)</f>
        <v>/img2/img2e8d.jpg</v>
      </c>
      <c r="D629" t="str">
        <f>VLOOKUP(categories!B629,'categories-old'!B:H,7,FALSE)</f>
        <v>www.americanretailsupply.com\64709\476533\Decorative-Corrugated-Boxes\White-Pine.html</v>
      </c>
    </row>
    <row r="630" spans="1:4" hidden="1" x14ac:dyDescent="0.25">
      <c r="A630" t="str">
        <f>IF(LEN('categories-old'!G630) &gt; 0, "INSERT INTO `catalog_category_entity_varchar` (attribute_id,store_id,entity_id,value) VALUES (48,0,"&amp;'categories-old'!B630&amp;",'"&amp;RIGHT('categories-old'!G630,LEN('categories-old'!G630)-1)&amp;"');","")</f>
        <v>INSERT INTO `catalog_category_entity_varchar` (attribute_id,store_id,entity_id,value) VALUES (48,0,476,'img3/img4ebf.jpg');</v>
      </c>
      <c r="B630" t="str">
        <f>IF(LEN(categories!G630) &gt; 0, "INSERT INTO `catalog_category_entity_varchar` (attribute_id,store_id,entity_id,value) VALUES (48,0,"&amp;categories!B630&amp;",'"&amp;RIGHT(categories!G630,LEN(categories!G630)-1)&amp;"');","")</f>
        <v>INSERT INTO `catalog_category_entity_varchar` (attribute_id,store_id,entity_id,value) VALUES (48,0,476,'img3/img4ebf.jpg');</v>
      </c>
      <c r="C630" t="str">
        <f>VLOOKUP(categories!B630,'categories-old'!B:G,6,FALSE)</f>
        <v>/img3/img4ebf.jpg</v>
      </c>
      <c r="D630" t="str">
        <f>VLOOKUP(categories!B630,'categories-old'!B:H,7,FALSE)</f>
        <v>www.americanretailsupply.com\64709\476534\Decorative-Corrugated-Boxes\Damask-Black--White.html</v>
      </c>
    </row>
    <row r="631" spans="1:4" hidden="1" x14ac:dyDescent="0.25">
      <c r="A631" t="str">
        <f>IF(LEN('categories-old'!G631) &gt; 0, "INSERT INTO `catalog_category_entity_varchar` (attribute_id,store_id,entity_id,value) VALUES (48,0,"&amp;'categories-old'!B631&amp;",'"&amp;RIGHT('categories-old'!G631,LEN('categories-old'!G631)-1)&amp;"');","")</f>
        <v>INSERT INTO `catalog_category_entity_varchar` (attribute_id,store_id,entity_id,value) VALUES (48,0,477,'img1/img8268.jpg');</v>
      </c>
      <c r="B631" t="str">
        <f>IF(LEN(categories!G631) &gt; 0, "INSERT INTO `catalog_category_entity_varchar` (attribute_id,store_id,entity_id,value) VALUES (48,0,"&amp;categories!B631&amp;",'"&amp;RIGHT(categories!G631,LEN(categories!G631)-1)&amp;"');","")</f>
        <v>INSERT INTO `catalog_category_entity_varchar` (attribute_id,store_id,entity_id,value) VALUES (48,0,477,'img1/img8268.jpg');</v>
      </c>
      <c r="C631" t="str">
        <f>VLOOKUP(categories!B631,'categories-old'!B:G,6,FALSE)</f>
        <v>/img1/img8268.jpg</v>
      </c>
      <c r="D631" t="str">
        <f>VLOOKUP(categories!B631,'categories-old'!B:H,7,FALSE)</f>
        <v>www.americanretailsupply.com\64709\732233\Decorative-Corrugated-Boxes\Inserts-and-Dividers.html</v>
      </c>
    </row>
    <row r="632" spans="1:4" hidden="1" x14ac:dyDescent="0.25">
      <c r="A632" t="str">
        <f>IF(LEN('categories-old'!G632) &gt; 0, "INSERT INTO `catalog_category_entity_varchar` (attribute_id,store_id,entity_id,value) VALUES (48,0,"&amp;'categories-old'!B632&amp;",'"&amp;RIGHT('categories-old'!G632,LEN('categories-old'!G632)-1)&amp;"');","")</f>
        <v>INSERT INTO `catalog_category_entity_varchar` (attribute_id,store_id,entity_id,value) VALUES (48,0,478,'img3/img1c75.jpg');</v>
      </c>
      <c r="B632" t="str">
        <f>IF(LEN(categories!G632) &gt; 0, "INSERT INTO `catalog_category_entity_varchar` (attribute_id,store_id,entity_id,value) VALUES (48,0,"&amp;categories!B632&amp;",'"&amp;RIGHT(categories!G632,LEN(categories!G632)-1)&amp;"');","")</f>
        <v>INSERT INTO `catalog_category_entity_varchar` (attribute_id,store_id,entity_id,value) VALUES (48,0,478,'img3/img1c75.jpg');</v>
      </c>
      <c r="C632" t="str">
        <f>VLOOKUP(categories!B632,'categories-old'!B:G,6,FALSE)</f>
        <v>/img3/img1c75.jpg</v>
      </c>
      <c r="D632" t="str">
        <f>VLOOKUP(categories!B632,'categories-old'!B:H,7,FALSE)</f>
        <v>www.americanretailsupply.com\64709\734396\Decorative-Corrugated-Boxes\Stripes.html</v>
      </c>
    </row>
    <row r="633" spans="1:4" hidden="1" x14ac:dyDescent="0.25">
      <c r="A633" t="str">
        <f>IF(LEN('categories-old'!G633) &gt; 0, "INSERT INTO `catalog_category_entity_varchar` (attribute_id,store_id,entity_id,value) VALUES (48,0,"&amp;'categories-old'!B633&amp;",'"&amp;RIGHT('categories-old'!G633,LEN('categories-old'!G633)-1)&amp;"');","")</f>
        <v>INSERT INTO `catalog_category_entity_varchar` (attribute_id,store_id,entity_id,value) VALUES (48,0,479,'img2/img2020.jpg');</v>
      </c>
      <c r="B633" t="str">
        <f>IF(LEN(categories!G633) &gt; 0, "INSERT INTO `catalog_category_entity_varchar` (attribute_id,store_id,entity_id,value) VALUES (48,0,"&amp;categories!B633&amp;",'"&amp;RIGHT(categories!G633,LEN(categories!G633)-1)&amp;"');","")</f>
        <v>INSERT INTO `catalog_category_entity_varchar` (attribute_id,store_id,entity_id,value) VALUES (48,0,479,'img2/img2020.jpg');</v>
      </c>
      <c r="C633" t="str">
        <f>VLOOKUP(categories!B633,'categories-old'!B:G,6,FALSE)</f>
        <v>/img2/img2020.jpg</v>
      </c>
      <c r="D633" t="str">
        <f>VLOOKUP(categories!B633,'categories-old'!B:H,7,FALSE)</f>
        <v>www.americanretailsupply.com\64709\734550\Decorative-Corrugated-Boxes\Poinsettia.html</v>
      </c>
    </row>
    <row r="634" spans="1:4" hidden="1" x14ac:dyDescent="0.25">
      <c r="A634" t="str">
        <f>IF(LEN('categories-old'!G634) &gt; 0, "INSERT INTO `catalog_category_entity_varchar` (attribute_id,store_id,entity_id,value) VALUES (48,0,"&amp;'categories-old'!B634&amp;",'"&amp;RIGHT('categories-old'!G634,LEN('categories-old'!G634)-1)&amp;"');","")</f>
        <v>INSERT INTO `catalog_category_entity_varchar` (attribute_id,store_id,entity_id,value) VALUES (48,0,480,'img3/img36ff.jpg');</v>
      </c>
      <c r="B634" t="str">
        <f>IF(LEN(categories!G634) &gt; 0, "INSERT INTO `catalog_category_entity_varchar` (attribute_id,store_id,entity_id,value) VALUES (48,0,"&amp;categories!B634&amp;",'"&amp;RIGHT(categories!G634,LEN(categories!G634)-1)&amp;"');","")</f>
        <v>INSERT INTO `catalog_category_entity_varchar` (attribute_id,store_id,entity_id,value) VALUES (48,0,480,'img3/img36ff.jpg');</v>
      </c>
      <c r="C634" t="str">
        <f>VLOOKUP(categories!B634,'categories-old'!B:G,6,FALSE)</f>
        <v>/img3/img36ff.jpg</v>
      </c>
      <c r="D634" t="str">
        <f>VLOOKUP(categories!B634,'categories-old'!B:H,7,FALSE)</f>
        <v>www.americanretailsupply.com\64709\782111\Decorative-Corrugated-Boxes\Brilliant-Stripe.html</v>
      </c>
    </row>
    <row r="635" spans="1:4" hidden="1" x14ac:dyDescent="0.25">
      <c r="A635" t="str">
        <f>IF(LEN('categories-old'!G635) &gt; 0, "INSERT INTO `catalog_category_entity_varchar` (attribute_id,store_id,entity_id,value) VALUES (48,0,"&amp;'categories-old'!B635&amp;",'"&amp;RIGHT('categories-old'!G635,LEN('categories-old'!G635)-1)&amp;"');","")</f>
        <v>INSERT INTO `catalog_category_entity_varchar` (attribute_id,store_id,entity_id,value) VALUES (48,0,481,'img3/img98cd.jpg');</v>
      </c>
      <c r="B635" t="str">
        <f>IF(LEN(categories!G635) &gt; 0, "INSERT INTO `catalog_category_entity_varchar` (attribute_id,store_id,entity_id,value) VALUES (48,0,"&amp;categories!B635&amp;",'"&amp;RIGHT(categories!G635,LEN(categories!G635)-1)&amp;"');","")</f>
        <v>INSERT INTO `catalog_category_entity_varchar` (attribute_id,store_id,entity_id,value) VALUES (48,0,481,'img3/img98cd.jpg');</v>
      </c>
      <c r="C635" t="str">
        <f>VLOOKUP(categories!B635,'categories-old'!B:G,6,FALSE)</f>
        <v>/img3/img98cd.jpg</v>
      </c>
      <c r="D635" t="str">
        <f>VLOOKUP(categories!B635,'categories-old'!B:H,7,FALSE)</f>
        <v>www.americanretailsupply.com\64709\782112\Decorative-Corrugated-Boxes\Bright-Solids.html</v>
      </c>
    </row>
    <row r="636" spans="1:4" hidden="1" x14ac:dyDescent="0.25">
      <c r="A636" t="str">
        <f>IF(LEN('categories-old'!G636) &gt; 0, "INSERT INTO `catalog_category_entity_varchar` (attribute_id,store_id,entity_id,value) VALUES (48,0,"&amp;'categories-old'!B636&amp;",'"&amp;RIGHT('categories-old'!G636,LEN('categories-old'!G636)-1)&amp;"');","")</f>
        <v>INSERT INTO `catalog_category_entity_varchar` (attribute_id,store_id,entity_id,value) VALUES (48,0,482,'img1/img6e55.jpg');</v>
      </c>
      <c r="B636" t="str">
        <f>IF(LEN(categories!G636) &gt; 0, "INSERT INTO `catalog_category_entity_varchar` (attribute_id,store_id,entity_id,value) VALUES (48,0,"&amp;categories!B636&amp;",'"&amp;RIGHT(categories!G636,LEN(categories!G636)-1)&amp;"');","")</f>
        <v>INSERT INTO `catalog_category_entity_varchar` (attribute_id,store_id,entity_id,value) VALUES (48,0,482,'img1/img6e55.jpg');</v>
      </c>
      <c r="C636" t="str">
        <f>VLOOKUP(categories!B636,'categories-old'!B:G,6,FALSE)</f>
        <v>/img1/img6e55.jpg</v>
      </c>
      <c r="D636" t="str">
        <f>VLOOKUP(categories!B636,'categories-old'!B:H,7,FALSE)</f>
        <v>www.americanretailsupply.com\64709\782114\Decorative-Corrugated-Boxes\Streaming-Lights.html</v>
      </c>
    </row>
    <row r="637" spans="1:4" hidden="1" x14ac:dyDescent="0.25">
      <c r="A637" t="str">
        <f>IF(LEN('categories-old'!G637) &gt; 0, "INSERT INTO `catalog_category_entity_varchar` (attribute_id,store_id,entity_id,value) VALUES (48,0,"&amp;'categories-old'!B637&amp;",'"&amp;RIGHT('categories-old'!G637,LEN('categories-old'!G637)-1)&amp;"');","")</f>
        <v>INSERT INTO `catalog_category_entity_varchar` (attribute_id,store_id,entity_id,value) VALUES (48,0,484,'img3/imgc86c.jpg');</v>
      </c>
      <c r="B637" t="str">
        <f>IF(LEN(categories!G637) &gt; 0, "INSERT INTO `catalog_category_entity_varchar` (attribute_id,store_id,entity_id,value) VALUES (48,0,"&amp;categories!B637&amp;",'"&amp;RIGHT(categories!G637,LEN(categories!G637)-1)&amp;"');","")</f>
        <v>INSERT INTO `catalog_category_entity_varchar` (attribute_id,store_id,entity_id,value) VALUES (48,0,484,'img3/imgc86c.jpg');</v>
      </c>
      <c r="C637" t="str">
        <f>VLOOKUP(categories!B637,'categories-old'!B:G,6,FALSE)</f>
        <v>/img3/imgc86c.jpg</v>
      </c>
      <c r="D637" t="str">
        <f>VLOOKUP(categories!B637,'categories-old'!B:H,7,FALSE)</f>
        <v>www.americanretailsupply.com\65753\787808\Decorative-Holiday-Packaging\Presents-Please-Collection.html</v>
      </c>
    </row>
    <row r="638" spans="1:4" hidden="1" x14ac:dyDescent="0.25">
      <c r="A638" t="str">
        <f>IF(LEN('categories-old'!G638) &gt; 0, "INSERT INTO `catalog_category_entity_varchar` (attribute_id,store_id,entity_id,value) VALUES (48,0,"&amp;'categories-old'!B638&amp;",'"&amp;RIGHT('categories-old'!G638,LEN('categories-old'!G638)-1)&amp;"');","")</f>
        <v>INSERT INTO `catalog_category_entity_varchar` (attribute_id,store_id,entity_id,value) VALUES (48,0,485,'img2/imgb690.jpg');</v>
      </c>
      <c r="B638" t="str">
        <f>IF(LEN(categories!G638) &gt; 0, "INSERT INTO `catalog_category_entity_varchar` (attribute_id,store_id,entity_id,value) VALUES (48,0,"&amp;categories!B638&amp;",'"&amp;RIGHT(categories!G638,LEN(categories!G638)-1)&amp;"');","")</f>
        <v>INSERT INTO `catalog_category_entity_varchar` (attribute_id,store_id,entity_id,value) VALUES (48,0,485,'img2/imgb690.jpg');</v>
      </c>
      <c r="C638" t="str">
        <f>VLOOKUP(categories!B638,'categories-old'!B:G,6,FALSE)</f>
        <v>/img2/imgb690.jpg</v>
      </c>
      <c r="D638" t="str">
        <f>VLOOKUP(categories!B638,'categories-old'!B:H,7,FALSE)</f>
        <v>www.americanretailsupply.com\65753\787809\Decorative-Holiday-Packaging\Sophie-Holiday-Greeting--Ornaments.html</v>
      </c>
    </row>
    <row r="639" spans="1:4" hidden="1" x14ac:dyDescent="0.25">
      <c r="A639" t="str">
        <f>IF(LEN('categories-old'!G639) &gt; 0, "INSERT INTO `catalog_category_entity_varchar` (attribute_id,store_id,entity_id,value) VALUES (48,0,"&amp;'categories-old'!B639&amp;",'"&amp;RIGHT('categories-old'!G639,LEN('categories-old'!G639)-1)&amp;"');","")</f>
        <v>INSERT INTO `catalog_category_entity_varchar` (attribute_id,store_id,entity_id,value) VALUES (48,0,486,'img2/img08f4.jpg');</v>
      </c>
      <c r="B639" t="str">
        <f>IF(LEN(categories!G639) &gt; 0, "INSERT INTO `catalog_category_entity_varchar` (attribute_id,store_id,entity_id,value) VALUES (48,0,"&amp;categories!B639&amp;",'"&amp;RIGHT(categories!G639,LEN(categories!G639)-1)&amp;"');","")</f>
        <v>INSERT INTO `catalog_category_entity_varchar` (attribute_id,store_id,entity_id,value) VALUES (48,0,486,'img2/img08f4.jpg');</v>
      </c>
      <c r="C639" t="str">
        <f>VLOOKUP(categories!B639,'categories-old'!B:G,6,FALSE)</f>
        <v>/img2/img08f4.jpg</v>
      </c>
      <c r="D639" t="str">
        <f>VLOOKUP(categories!B639,'categories-old'!B:H,7,FALSE)</f>
        <v>www.americanretailsupply.com\65753\787810\Decorative-Holiday-Packaging\Retro-Gift-Collection.html</v>
      </c>
    </row>
    <row r="640" spans="1:4" hidden="1" x14ac:dyDescent="0.25">
      <c r="A640" t="str">
        <f>IF(LEN('categories-old'!G640) &gt; 0, "INSERT INTO `catalog_category_entity_varchar` (attribute_id,store_id,entity_id,value) VALUES (48,0,"&amp;'categories-old'!B640&amp;",'"&amp;RIGHT('categories-old'!G640,LEN('categories-old'!G640)-1)&amp;"');","")</f>
        <v>INSERT INTO `catalog_category_entity_varchar` (attribute_id,store_id,entity_id,value) VALUES (48,0,487,'img2/img6f16.jpg');</v>
      </c>
      <c r="B640" t="str">
        <f>IF(LEN(categories!G640) &gt; 0, "INSERT INTO `catalog_category_entity_varchar` (attribute_id,store_id,entity_id,value) VALUES (48,0,"&amp;categories!B640&amp;",'"&amp;RIGHT(categories!G640,LEN(categories!G640)-1)&amp;"');","")</f>
        <v>INSERT INTO `catalog_category_entity_varchar` (attribute_id,store_id,entity_id,value) VALUES (48,0,487,'img2/img6f16.jpg');</v>
      </c>
      <c r="C640" t="str">
        <f>VLOOKUP(categories!B640,'categories-old'!B:G,6,FALSE)</f>
        <v>/img2/img6f16.jpg</v>
      </c>
      <c r="D640" t="str">
        <f>VLOOKUP(categories!B640,'categories-old'!B:H,7,FALSE)</f>
        <v>www.americanretailsupply.com\65753\787812\Decorative-Holiday-Packaging\Poinsettia-Collection.html</v>
      </c>
    </row>
    <row r="641" spans="1:4" hidden="1" x14ac:dyDescent="0.25">
      <c r="A641" t="str">
        <f>IF(LEN('categories-old'!G641) &gt; 0, "INSERT INTO `catalog_category_entity_varchar` (attribute_id,store_id,entity_id,value) VALUES (48,0,"&amp;'categories-old'!B641&amp;",'"&amp;RIGHT('categories-old'!G641,LEN('categories-old'!G641)-1)&amp;"');","")</f>
        <v>INSERT INTO `catalog_category_entity_varchar` (attribute_id,store_id,entity_id,value) VALUES (48,0,488,'img1/img8eac.jpg');</v>
      </c>
      <c r="B641" t="str">
        <f>IF(LEN(categories!G641) &gt; 0, "INSERT INTO `catalog_category_entity_varchar` (attribute_id,store_id,entity_id,value) VALUES (48,0,"&amp;categories!B641&amp;",'"&amp;RIGHT(categories!G641,LEN(categories!G641)-1)&amp;"');","")</f>
        <v>INSERT INTO `catalog_category_entity_varchar` (attribute_id,store_id,entity_id,value) VALUES (48,0,488,'img1/img8eac.jpg');</v>
      </c>
      <c r="C641" t="str">
        <f>VLOOKUP(categories!B641,'categories-old'!B:G,6,FALSE)</f>
        <v>/img1/img8eac.jpg</v>
      </c>
      <c r="D641" t="str">
        <f>VLOOKUP(categories!B641,'categories-old'!B:H,7,FALSE)</f>
        <v>www.americanretailsupply.com\65753\787813\Decorative-Holiday-Packaging\Nicolas-Collection.html</v>
      </c>
    </row>
    <row r="642" spans="1:4" hidden="1" x14ac:dyDescent="0.25">
      <c r="A642" t="str">
        <f>IF(LEN('categories-old'!G642) &gt; 0, "INSERT INTO `catalog_category_entity_varchar` (attribute_id,store_id,entity_id,value) VALUES (48,0,"&amp;'categories-old'!B642&amp;",'"&amp;RIGHT('categories-old'!G642,LEN('categories-old'!G642)-1)&amp;"');","")</f>
        <v>INSERT INTO `catalog_category_entity_varchar` (attribute_id,store_id,entity_id,value) VALUES (48,0,489,'img1/img1f1e.jpg');</v>
      </c>
      <c r="B642" t="str">
        <f>IF(LEN(categories!G642) &gt; 0, "INSERT INTO `catalog_category_entity_varchar` (attribute_id,store_id,entity_id,value) VALUES (48,0,"&amp;categories!B642&amp;",'"&amp;RIGHT(categories!G642,LEN(categories!G642)-1)&amp;"');","")</f>
        <v>INSERT INTO `catalog_category_entity_varchar` (attribute_id,store_id,entity_id,value) VALUES (48,0,489,'img1/img1f1e.jpg');</v>
      </c>
      <c r="C642" t="str">
        <f>VLOOKUP(categories!B642,'categories-old'!B:G,6,FALSE)</f>
        <v>/img1/img1f1e.jpg</v>
      </c>
      <c r="D642" t="str">
        <f>VLOOKUP(categories!B642,'categories-old'!B:H,7,FALSE)</f>
        <v>www.americanretailsupply.com\65753\787814\Decorative-Holiday-Packaging\Shimmering-Snowflake-Collection.html</v>
      </c>
    </row>
    <row r="643" spans="1:4" hidden="1" x14ac:dyDescent="0.25">
      <c r="A643" t="str">
        <f>IF(LEN('categories-old'!G643) &gt; 0, "INSERT INTO `catalog_category_entity_varchar` (attribute_id,store_id,entity_id,value) VALUES (48,0,"&amp;'categories-old'!B643&amp;",'"&amp;RIGHT('categories-old'!G643,LEN('categories-old'!G643)-1)&amp;"');","")</f>
        <v>INSERT INTO `catalog_category_entity_varchar` (attribute_id,store_id,entity_id,value) VALUES (48,0,490,'img1/imga6ab.jpg');</v>
      </c>
      <c r="B643" t="str">
        <f>IF(LEN(categories!G643) &gt; 0, "INSERT INTO `catalog_category_entity_varchar` (attribute_id,store_id,entity_id,value) VALUES (48,0,"&amp;categories!B643&amp;",'"&amp;RIGHT(categories!G643,LEN(categories!G643)-1)&amp;"');","")</f>
        <v>INSERT INTO `catalog_category_entity_varchar` (attribute_id,store_id,entity_id,value) VALUES (48,0,490,'img1/imga6ab.jpg');</v>
      </c>
      <c r="C643" t="str">
        <f>VLOOKUP(categories!B643,'categories-old'!B:G,6,FALSE)</f>
        <v>/img1/imga6ab.jpg</v>
      </c>
      <c r="D643" t="str">
        <f>VLOOKUP(categories!B643,'categories-old'!B:H,7,FALSE)</f>
        <v>www.americanretailsupply.com\65753\787815\Decorative-Holiday-Packaging\Winter-City-Collection.html</v>
      </c>
    </row>
    <row r="644" spans="1:4" hidden="1" x14ac:dyDescent="0.25">
      <c r="A644" t="str">
        <f>IF(LEN('categories-old'!G644) &gt; 0, "INSERT INTO `catalog_category_entity_varchar` (attribute_id,store_id,entity_id,value) VALUES (48,0,"&amp;'categories-old'!B644&amp;",'"&amp;RIGHT('categories-old'!G644,LEN('categories-old'!G644)-1)&amp;"');","")</f>
        <v>INSERT INTO `catalog_category_entity_varchar` (attribute_id,store_id,entity_id,value) VALUES (48,0,492,'img1/img80c5.jpg');</v>
      </c>
      <c r="B644" t="str">
        <f>IF(LEN(categories!G644) &gt; 0, "INSERT INTO `catalog_category_entity_varchar` (attribute_id,store_id,entity_id,value) VALUES (48,0,"&amp;categories!B644&amp;",'"&amp;RIGHT(categories!G644,LEN(categories!G644)-1)&amp;"');","")</f>
        <v>INSERT INTO `catalog_category_entity_varchar` (attribute_id,store_id,entity_id,value) VALUES (48,0,492,'img1/img80c5.jpg');</v>
      </c>
      <c r="C644" t="str">
        <f>VLOOKUP(categories!B644,'categories-old'!B:G,6,FALSE)</f>
        <v>/img1/img80c5.jpg</v>
      </c>
      <c r="D644" t="str">
        <f>VLOOKUP(categories!B644,'categories-old'!B:H,7,FALSE)</f>
        <v>www.americanretailsupply.com\64715\172944\E--Flute-Decorative-Boxes\Solid-Bags.html</v>
      </c>
    </row>
    <row r="645" spans="1:4" hidden="1" x14ac:dyDescent="0.25">
      <c r="A645" t="str">
        <f>IF(LEN('categories-old'!G645) &gt; 0, "INSERT INTO `catalog_category_entity_varchar` (attribute_id,store_id,entity_id,value) VALUES (48,0,"&amp;'categories-old'!B645&amp;",'"&amp;RIGHT('categories-old'!G645,LEN('categories-old'!G645)-1)&amp;"');","")</f>
        <v>INSERT INTO `catalog_category_entity_varchar` (attribute_id,store_id,entity_id,value) VALUES (48,0,493,'img2/img49e1.jpg');</v>
      </c>
      <c r="B645" t="str">
        <f>IF(LEN(categories!G645) &gt; 0, "INSERT INTO `catalog_category_entity_varchar` (attribute_id,store_id,entity_id,value) VALUES (48,0,"&amp;categories!B645&amp;",'"&amp;RIGHT(categories!G645,LEN(categories!G645)-1)&amp;"');","")</f>
        <v>INSERT INTO `catalog_category_entity_varchar` (attribute_id,store_id,entity_id,value) VALUES (48,0,493,'img2/img49e1.jpg');</v>
      </c>
      <c r="C645" t="str">
        <f>VLOOKUP(categories!B645,'categories-old'!B:G,6,FALSE)</f>
        <v>/img2/img49e1.jpg</v>
      </c>
      <c r="D645" t="str">
        <f>VLOOKUP(categories!B645,'categories-old'!B:H,7,FALSE)</f>
        <v>www.americanretailsupply.com\64715\172946\E--Flute-Decorative-Boxes\Heart-Window-Bag.html</v>
      </c>
    </row>
    <row r="646" spans="1:4" hidden="1" x14ac:dyDescent="0.25">
      <c r="A646" t="str">
        <f>IF(LEN('categories-old'!G646) &gt; 0, "INSERT INTO `catalog_category_entity_varchar` (attribute_id,store_id,entity_id,value) VALUES (48,0,"&amp;'categories-old'!B646&amp;",'"&amp;RIGHT('categories-old'!G646,LEN('categories-old'!G646)-1)&amp;"');","")</f>
        <v>INSERT INTO `catalog_category_entity_varchar` (attribute_id,store_id,entity_id,value) VALUES (48,0,494,'img3/img2b4d.jpg');</v>
      </c>
      <c r="B646" t="str">
        <f>IF(LEN(categories!G646) &gt; 0, "INSERT INTO `catalog_category_entity_varchar` (attribute_id,store_id,entity_id,value) VALUES (48,0,"&amp;categories!B646&amp;",'"&amp;RIGHT(categories!G646,LEN(categories!G646)-1)&amp;"');","")</f>
        <v>INSERT INTO `catalog_category_entity_varchar` (attribute_id,store_id,entity_id,value) VALUES (48,0,494,'img3/img2b4d.jpg');</v>
      </c>
      <c r="C646" t="str">
        <f>VLOOKUP(categories!B646,'categories-old'!B:G,6,FALSE)</f>
        <v>/img3/img2b4d.jpg</v>
      </c>
      <c r="D646" t="str">
        <f>VLOOKUP(categories!B646,'categories-old'!B:H,7,FALSE)</f>
        <v>www.americanretailsupply.com\64715\172947\E--Flute-Decorative-Boxes\Bunny-Window-Bag.html</v>
      </c>
    </row>
    <row r="647" spans="1:4" hidden="1" x14ac:dyDescent="0.25">
      <c r="A647" t="str">
        <f>IF(LEN('categories-old'!G647) &gt; 0, "INSERT INTO `catalog_category_entity_varchar` (attribute_id,store_id,entity_id,value) VALUES (48,0,"&amp;'categories-old'!B647&amp;",'"&amp;RIGHT('categories-old'!G647,LEN('categories-old'!G647)-1)&amp;"');","")</f>
        <v>INSERT INTO `catalog_category_entity_varchar` (attribute_id,store_id,entity_id,value) VALUES (48,0,495,'img1/imgad0b.jpg');</v>
      </c>
      <c r="B647" t="str">
        <f>IF(LEN(categories!G647) &gt; 0, "INSERT INTO `catalog_category_entity_varchar` (attribute_id,store_id,entity_id,value) VALUES (48,0,"&amp;categories!B647&amp;",'"&amp;RIGHT(categories!G647,LEN(categories!G647)-1)&amp;"');","")</f>
        <v>INSERT INTO `catalog_category_entity_varchar` (attribute_id,store_id,entity_id,value) VALUES (48,0,495,'img1/imgad0b.jpg');</v>
      </c>
      <c r="C647" t="str">
        <f>VLOOKUP(categories!B647,'categories-old'!B:G,6,FALSE)</f>
        <v>/img1/imgad0b.jpg</v>
      </c>
      <c r="D647" t="str">
        <f>VLOOKUP(categories!B647,'categories-old'!B:H,7,FALSE)</f>
        <v>www.americanretailsupply.com\64715\227247\E--Flute-Decorative-Boxes\Diamond-Window-Bag.html</v>
      </c>
    </row>
    <row r="648" spans="1:4" hidden="1" x14ac:dyDescent="0.25">
      <c r="A648" t="str">
        <f>IF(LEN('categories-old'!G648) &gt; 0, "INSERT INTO `catalog_category_entity_varchar` (attribute_id,store_id,entity_id,value) VALUES (48,0,"&amp;'categories-old'!B648&amp;",'"&amp;RIGHT('categories-old'!G648,LEN('categories-old'!G648)-1)&amp;"');","")</f>
        <v>INSERT INTO `catalog_category_entity_varchar` (attribute_id,store_id,entity_id,value) VALUES (48,0,496,'img2/img01c3.jpg');</v>
      </c>
      <c r="B648" t="str">
        <f>IF(LEN(categories!G648) &gt; 0, "INSERT INTO `catalog_category_entity_varchar` (attribute_id,store_id,entity_id,value) VALUES (48,0,"&amp;categories!B648&amp;",'"&amp;RIGHT(categories!G648,LEN(categories!G648)-1)&amp;"');","")</f>
        <v>INSERT INTO `catalog_category_entity_varchar` (attribute_id,store_id,entity_id,value) VALUES (48,0,496,'img2/img01c3.jpg');</v>
      </c>
      <c r="C648" t="str">
        <f>VLOOKUP(categories!B648,'categories-old'!B:G,6,FALSE)</f>
        <v>/img2/img01c3.jpg</v>
      </c>
      <c r="D648" t="str">
        <f>VLOOKUP(categories!B648,'categories-old'!B:H,7,FALSE)</f>
        <v>www.americanretailsupply.com\64715\227248\E--Flute-Decorative-Boxes\Star-Window-Bag.html</v>
      </c>
    </row>
    <row r="649" spans="1:4" hidden="1" x14ac:dyDescent="0.25">
      <c r="A649" t="str">
        <f>IF(LEN('categories-old'!G649) &gt; 0, "INSERT INTO `catalog_category_entity_varchar` (attribute_id,store_id,entity_id,value) VALUES (48,0,"&amp;'categories-old'!B649&amp;",'"&amp;RIGHT('categories-old'!G649,LEN('categories-old'!G649)-1)&amp;"');","")</f>
        <v>INSERT INTO `catalog_category_entity_varchar` (attribute_id,store_id,entity_id,value) VALUES (48,0,497,'img3/imge5a9.jpg');</v>
      </c>
      <c r="B649" t="str">
        <f>IF(LEN(categories!G649) &gt; 0, "INSERT INTO `catalog_category_entity_varchar` (attribute_id,store_id,entity_id,value) VALUES (48,0,"&amp;categories!B649&amp;",'"&amp;RIGHT(categories!G649,LEN(categories!G649)-1)&amp;"');","")</f>
        <v>INSERT INTO `catalog_category_entity_varchar` (attribute_id,store_id,entity_id,value) VALUES (48,0,497,'img3/imge5a9.jpg');</v>
      </c>
      <c r="C649" t="str">
        <f>VLOOKUP(categories!B649,'categories-old'!B:G,6,FALSE)</f>
        <v>/img3/imge5a9.jpg</v>
      </c>
      <c r="D649" t="str">
        <f>VLOOKUP(categories!B649,'categories-old'!B:H,7,FALSE)</f>
        <v>www.americanretailsupply.com\64715\227249\E--Flute-Decorative-Boxes\Tree-Window-Bag.html</v>
      </c>
    </row>
    <row r="650" spans="1:4" hidden="1" x14ac:dyDescent="0.25">
      <c r="A650" t="str">
        <f>IF(LEN('categories-old'!G650) &gt; 0, "INSERT INTO `catalog_category_entity_varchar` (attribute_id,store_id,entity_id,value) VALUES (48,0,"&amp;'categories-old'!B650&amp;",'"&amp;RIGHT('categories-old'!G650,LEN('categories-old'!G650)-1)&amp;"');","")</f>
        <v>INSERT INTO `catalog_category_entity_varchar` (attribute_id,store_id,entity_id,value) VALUES (48,0,500,'img2/imgc329.jpg');</v>
      </c>
      <c r="B650" t="str">
        <f>IF(LEN(categories!G650) &gt; 0, "INSERT INTO `catalog_category_entity_varchar` (attribute_id,store_id,entity_id,value) VALUES (48,0,"&amp;categories!B650&amp;",'"&amp;RIGHT(categories!G650,LEN(categories!G650)-1)&amp;"');","")</f>
        <v>INSERT INTO `catalog_category_entity_varchar` (attribute_id,store_id,entity_id,value) VALUES (48,0,500,'img2/imgc329.jpg');</v>
      </c>
      <c r="C650" t="str">
        <f>VLOOKUP(categories!B650,'categories-old'!B:G,6,FALSE)</f>
        <v>/img2/imgc329.jpg</v>
      </c>
      <c r="D650" t="str">
        <f>VLOOKUP(categories!B650,'categories-old'!B:H,7,FALSE)</f>
        <v>www.americanretailsupply.com\64895\228942\EAS-Electronic-Article-Surveillance\EAS-Labels.html</v>
      </c>
    </row>
    <row r="651" spans="1:4" hidden="1" x14ac:dyDescent="0.25">
      <c r="A651" t="str">
        <f>IF(LEN('categories-old'!G651) &gt; 0, "INSERT INTO `catalog_category_entity_varchar` (attribute_id,store_id,entity_id,value) VALUES (48,0,"&amp;'categories-old'!B651&amp;",'"&amp;RIGHT('categories-old'!G651,LEN('categories-old'!G651)-1)&amp;"');","")</f>
        <v>INSERT INTO `catalog_category_entity_varchar` (attribute_id,store_id,entity_id,value) VALUES (48,0,501,'img1/img5884.jpg');</v>
      </c>
      <c r="B651" t="str">
        <f>IF(LEN(categories!G651) &gt; 0, "INSERT INTO `catalog_category_entity_varchar` (attribute_id,store_id,entity_id,value) VALUES (48,0,"&amp;categories!B651&amp;",'"&amp;RIGHT(categories!G651,LEN(categories!G651)-1)&amp;"');","")</f>
        <v>INSERT INTO `catalog_category_entity_varchar` (attribute_id,store_id,entity_id,value) VALUES (48,0,501,'img1/img5884.jpg');</v>
      </c>
      <c r="C651" t="str">
        <f>VLOOKUP(categories!B651,'categories-old'!B:G,6,FALSE)</f>
        <v>/img1/img5884.jpg</v>
      </c>
      <c r="D651" t="str">
        <f>VLOOKUP(categories!B651,'categories-old'!B:H,7,FALSE)</f>
        <v>www.americanretailsupply.com\64895\228943\EAS-Electronic-Article-Surveillance\EAS-Hard-Tags.html</v>
      </c>
    </row>
    <row r="652" spans="1:4" hidden="1" x14ac:dyDescent="0.25">
      <c r="A652" t="str">
        <f>IF(LEN('categories-old'!G652) &gt; 0, "INSERT INTO `catalog_category_entity_varchar` (attribute_id,store_id,entity_id,value) VALUES (48,0,"&amp;'categories-old'!B652&amp;",'"&amp;RIGHT('categories-old'!G652,LEN('categories-old'!G652)-1)&amp;"');","")</f>
        <v>INSERT INTO `catalog_category_entity_varchar` (attribute_id,store_id,entity_id,value) VALUES (48,0,503,'img1/imgebad.jpg');</v>
      </c>
      <c r="B652" t="str">
        <f>IF(LEN(categories!G652) &gt; 0, "INSERT INTO `catalog_category_entity_varchar` (attribute_id,store_id,entity_id,value) VALUES (48,0,"&amp;categories!B652&amp;",'"&amp;RIGHT(categories!G652,LEN(categories!G652)-1)&amp;"');","")</f>
        <v>INSERT INTO `catalog_category_entity_varchar` (attribute_id,store_id,entity_id,value) VALUES (48,0,503,'img1/imgebad.jpg');</v>
      </c>
      <c r="C652" t="str">
        <f>VLOOKUP(categories!B652,'categories-old'!B:G,6,FALSE)</f>
        <v>/img1/imgebad.jpg</v>
      </c>
      <c r="D652" t="str">
        <f>VLOOKUP(categories!B652,'categories-old'!B:H,7,FALSE)</f>
        <v>www.americanretailsupply.com\66198\20276\Eco-Friendly-Plastic-Bags\Patch-Handle-Plastic-Merchandise-Bags.html</v>
      </c>
    </row>
    <row r="653" spans="1:4" hidden="1" x14ac:dyDescent="0.25">
      <c r="A653" t="str">
        <f>IF(LEN('categories-old'!G653) &gt; 0, "INSERT INTO `catalog_category_entity_varchar` (attribute_id,store_id,entity_id,value) VALUES (48,0,"&amp;'categories-old'!B653&amp;",'"&amp;RIGHT('categories-old'!G653,LEN('categories-old'!G653)-1)&amp;"');","")</f>
        <v>INSERT INTO `catalog_category_entity_varchar` (attribute_id,store_id,entity_id,value) VALUES (48,0,504,'img2/img6bfa.jpg');</v>
      </c>
      <c r="B653" t="str">
        <f>IF(LEN(categories!G653) &gt; 0, "INSERT INTO `catalog_category_entity_varchar` (attribute_id,store_id,entity_id,value) VALUES (48,0,"&amp;categories!B653&amp;",'"&amp;RIGHT(categories!G653,LEN(categories!G653)-1)&amp;"');","")</f>
        <v>INSERT INTO `catalog_category_entity_varchar` (attribute_id,store_id,entity_id,value) VALUES (48,0,504,'img2/img6bfa.jpg');</v>
      </c>
      <c r="C653" t="str">
        <f>VLOOKUP(categories!B653,'categories-old'!B:G,6,FALSE)</f>
        <v>/img2/img6bfa.jpg</v>
      </c>
      <c r="D653" t="str">
        <f>VLOOKUP(categories!B653,'categories-old'!B:H,7,FALSE)</f>
        <v>www.americanretailsupply.com\66198\49187\Eco-Friendly-Plastic-Bags\Frosted-SOS-Gift-Bags.html</v>
      </c>
    </row>
    <row r="654" spans="1:4" hidden="1" x14ac:dyDescent="0.25">
      <c r="A654" t="str">
        <f>IF(LEN('categories-old'!G654) &gt; 0, "INSERT INTO `catalog_category_entity_varchar` (attribute_id,store_id,entity_id,value) VALUES (48,0,"&amp;'categories-old'!B654&amp;",'"&amp;RIGHT('categories-old'!G654,LEN('categories-old'!G654)-1)&amp;"');","")</f>
        <v>INSERT INTO `catalog_category_entity_varchar` (attribute_id,store_id,entity_id,value) VALUES (48,0,505,'img3/imga641.jpg');</v>
      </c>
      <c r="B654" t="str">
        <f>IF(LEN(categories!G654) &gt; 0, "INSERT INTO `catalog_category_entity_varchar` (attribute_id,store_id,entity_id,value) VALUES (48,0,"&amp;categories!B654&amp;",'"&amp;RIGHT(categories!G654,LEN(categories!G654)-1)&amp;"');","")</f>
        <v>INSERT INTO `catalog_category_entity_varchar` (attribute_id,store_id,entity_id,value) VALUES (48,0,505,'img3/imga641.jpg');</v>
      </c>
      <c r="C654" t="str">
        <f>VLOOKUP(categories!B654,'categories-old'!B:G,6,FALSE)</f>
        <v>/img3/imga641.jpg</v>
      </c>
      <c r="D654" t="str">
        <f>VLOOKUP(categories!B654,'categories-old'!B:H,7,FALSE)</f>
        <v>www.americanretailsupply.com\66198\50114\Eco-Friendly-Plastic-Bags\Frosted-Shoppers-with-Tri-Folded-Loop-Handles.html</v>
      </c>
    </row>
    <row r="655" spans="1:4" hidden="1" x14ac:dyDescent="0.25">
      <c r="A655" t="str">
        <f>IF(LEN('categories-old'!G655) &gt; 0, "INSERT INTO `catalog_category_entity_varchar` (attribute_id,store_id,entity_id,value) VALUES (48,0,"&amp;'categories-old'!B655&amp;",'"&amp;RIGHT('categories-old'!G655,LEN('categories-old'!G655)-1)&amp;"');","")</f>
        <v>INSERT INTO `catalog_category_entity_varchar` (attribute_id,store_id,entity_id,value) VALUES (48,0,507,'img1/img8969.jpg');</v>
      </c>
      <c r="B655" t="str">
        <f>IF(LEN(categories!G655) &gt; 0, "INSERT INTO `catalog_category_entity_varchar` (attribute_id,store_id,entity_id,value) VALUES (48,0,"&amp;categories!B655&amp;",'"&amp;RIGHT(categories!G655,LEN(categories!G655)-1)&amp;"');","")</f>
        <v>INSERT INTO `catalog_category_entity_varchar` (attribute_id,store_id,entity_id,value) VALUES (48,0,507,'img1/img8969.jpg');</v>
      </c>
      <c r="C655" t="str">
        <f>VLOOKUP(categories!B655,'categories-old'!B:G,6,FALSE)</f>
        <v>/img1/img8969.jpg</v>
      </c>
      <c r="D655" t="str">
        <f>VLOOKUP(categories!B655,'categories-old'!B:H,7,FALSE)</f>
        <v>www.americanretailsupply.com\66199\437246\Eco-Friendly-Recycled-Paper-Bags\Recycled-Natural-Kraft-Paper-Shopping-Bags.html</v>
      </c>
    </row>
    <row r="656" spans="1:4" hidden="1" x14ac:dyDescent="0.25">
      <c r="A656" t="str">
        <f>IF(LEN('categories-old'!G656) &gt; 0, "INSERT INTO `catalog_category_entity_varchar` (attribute_id,store_id,entity_id,value) VALUES (48,0,"&amp;'categories-old'!B656&amp;",'"&amp;RIGHT('categories-old'!G656,LEN('categories-old'!G656)-1)&amp;"');","")</f>
        <v>INSERT INTO `catalog_category_entity_varchar` (attribute_id,store_id,entity_id,value) VALUES (48,0,508,'img3/img2724.jpg');</v>
      </c>
      <c r="B656" t="str">
        <f>IF(LEN(categories!G656) &gt; 0, "INSERT INTO `catalog_category_entity_varchar` (attribute_id,store_id,entity_id,value) VALUES (48,0,"&amp;categories!B656&amp;",'"&amp;RIGHT(categories!G656,LEN(categories!G656)-1)&amp;"');","")</f>
        <v>INSERT INTO `catalog_category_entity_varchar` (attribute_id,store_id,entity_id,value) VALUES (48,0,508,'img3/img2724.jpg');</v>
      </c>
      <c r="C656" t="str">
        <f>VLOOKUP(categories!B656,'categories-old'!B:G,6,FALSE)</f>
        <v>/img3/img2724.jpg</v>
      </c>
      <c r="D656" t="str">
        <f>VLOOKUP(categories!B656,'categories-old'!B:H,7,FALSE)</f>
        <v>www.americanretailsupply.com\66199\739028\Eco-Friendly-Recycled-Paper-Bags\Recycled-White-Kraft-Paper-Shopping-Bags.html</v>
      </c>
    </row>
    <row r="657" spans="1:4" hidden="1" x14ac:dyDescent="0.25">
      <c r="A657" t="str">
        <f>IF(LEN('categories-old'!G657) &gt; 0, "INSERT INTO `catalog_category_entity_varchar` (attribute_id,store_id,entity_id,value) VALUES (48,0,"&amp;'categories-old'!B657&amp;",'"&amp;RIGHT('categories-old'!G657,LEN('categories-old'!G657)-1)&amp;"');","")</f>
        <v>INSERT INTO `catalog_category_entity_varchar` (attribute_id,store_id,entity_id,value) VALUES (48,0,510,'img3/img0a4d.jpg');</v>
      </c>
      <c r="B657" t="str">
        <f>IF(LEN(categories!G657) &gt; 0, "INSERT INTO `catalog_category_entity_varchar` (attribute_id,store_id,entity_id,value) VALUES (48,0,"&amp;categories!B657&amp;",'"&amp;RIGHT(categories!G657,LEN(categories!G657)-1)&amp;"');","")</f>
        <v>INSERT INTO `catalog_category_entity_varchar` (attribute_id,store_id,entity_id,value) VALUES (48,0,510,'img3/img0a4d.jpg');</v>
      </c>
      <c r="C657" t="str">
        <f>VLOOKUP(categories!B657,'categories-old'!B:G,6,FALSE)</f>
        <v>/img3/img0a4d.jpg</v>
      </c>
      <c r="D657" t="str">
        <f>VLOOKUP(categories!B657,'categories-old'!B:H,7,FALSE)</f>
        <v>www.americanretailsupply.com\66200\435281\Eco-Friendly-Reusable-Bags\Personalized-Silk-Screened-Non-Woven-Reusable-Shopping-Bags.html</v>
      </c>
    </row>
    <row r="658" spans="1:4" hidden="1" x14ac:dyDescent="0.25">
      <c r="A658" t="str">
        <f>IF(LEN('categories-old'!G658) &gt; 0, "INSERT INTO `catalog_category_entity_varchar` (attribute_id,store_id,entity_id,value) VALUES (48,0,"&amp;'categories-old'!B658&amp;",'"&amp;RIGHT('categories-old'!G658,LEN('categories-old'!G658)-1)&amp;"');","")</f>
        <v>INSERT INTO `catalog_category_entity_varchar` (attribute_id,store_id,entity_id,value) VALUES (48,0,511,'img2/imgbd49.jpg');</v>
      </c>
      <c r="B658" t="str">
        <f>IF(LEN(categories!G658) &gt; 0, "INSERT INTO `catalog_category_entity_varchar` (attribute_id,store_id,entity_id,value) VALUES (48,0,"&amp;categories!B658&amp;",'"&amp;RIGHT(categories!G658,LEN(categories!G658)-1)&amp;"');","")</f>
        <v>INSERT INTO `catalog_category_entity_varchar` (attribute_id,store_id,entity_id,value) VALUES (48,0,512,'img1/img12db.jpg');</v>
      </c>
      <c r="C658" t="str">
        <f>VLOOKUP(categories!B658,'categories-old'!B:G,6,FALSE)</f>
        <v>/img1/img12db.jpg</v>
      </c>
      <c r="D658" t="str">
        <f>VLOOKUP(categories!B658,'categories-old'!B:H,7,FALSE)</f>
        <v>www.americanretailsupply.com\66200\640298\Eco-Friendly-Reusable-Bags\Personalized-Color-Magic-Non-Woven-Reusable-Shopping-Bags.html</v>
      </c>
    </row>
    <row r="659" spans="1:4" hidden="1" x14ac:dyDescent="0.25">
      <c r="A659" t="str">
        <f>IF(LEN('categories-old'!G659) &gt; 0, "INSERT INTO `catalog_category_entity_varchar` (attribute_id,store_id,entity_id,value) VALUES (48,0,"&amp;'categories-old'!B659&amp;",'"&amp;RIGHT('categories-old'!G659,LEN('categories-old'!G659)-1)&amp;"');","")</f>
        <v>INSERT INTO `catalog_category_entity_varchar` (attribute_id,store_id,entity_id,value) VALUES (48,0,512,'img1/img12db.jpg');</v>
      </c>
      <c r="B659" t="str">
        <f>IF(LEN(categories!G659) &gt; 0, "INSERT INTO `catalog_category_entity_varchar` (attribute_id,store_id,entity_id,value) VALUES (48,0,"&amp;categories!B659&amp;",'"&amp;RIGHT(categories!G659,LEN(categories!G659)-1)&amp;"');","")</f>
        <v>INSERT INTO `catalog_category_entity_varchar` (attribute_id,store_id,entity_id,value) VALUES (48,0,515,'img1/imgeb61.jpg');</v>
      </c>
      <c r="C659" t="str">
        <f>VLOOKUP(categories!B659,'categories-old'!B:G,6,FALSE)</f>
        <v>/img1/imgeb61.jpg</v>
      </c>
      <c r="D659" t="str">
        <f>VLOOKUP(categories!B659,'categories-old'!B:H,7,FALSE)</f>
        <v>www.americanretailsupply.com\65072\29145\European-Tote-Style-Bags\Gloss-Laminated-EuroTotes.html</v>
      </c>
    </row>
    <row r="660" spans="1:4" hidden="1" x14ac:dyDescent="0.25">
      <c r="A660" t="str">
        <f>IF(LEN('categories-old'!G660) &gt; 0, "INSERT INTO `catalog_category_entity_varchar` (attribute_id,store_id,entity_id,value) VALUES (48,0,"&amp;'categories-old'!B660&amp;",'"&amp;RIGHT('categories-old'!G660,LEN('categories-old'!G660)-1)&amp;"');","")</f>
        <v>INSERT INTO `catalog_category_entity_varchar` (attribute_id,store_id,entity_id,value) VALUES (48,0,515,'img1/imgeb61.jpg');</v>
      </c>
      <c r="B660" t="str">
        <f>IF(LEN(categories!G660) &gt; 0, "INSERT INTO `catalog_category_entity_varchar` (attribute_id,store_id,entity_id,value) VALUES (48,0,"&amp;categories!B660&amp;",'"&amp;RIGHT(categories!G660,LEN(categories!G660)-1)&amp;"');","")</f>
        <v>INSERT INTO `catalog_category_entity_varchar` (attribute_id,store_id,entity_id,value) VALUES (48,0,516,'img3/img0bfa.jpg');</v>
      </c>
      <c r="C660" t="str">
        <f>VLOOKUP(categories!B660,'categories-old'!B:G,6,FALSE)</f>
        <v>/img3/img0bfa.jpg</v>
      </c>
      <c r="D660" t="str">
        <f>VLOOKUP(categories!B660,'categories-old'!B:H,7,FALSE)</f>
        <v>www.americanretailsupply.com\65072\445458\European-Tote-Style-Bags\Tinted-Paper-EuroTotes.html</v>
      </c>
    </row>
    <row r="661" spans="1:4" hidden="1" x14ac:dyDescent="0.25">
      <c r="A661" t="str">
        <f>IF(LEN('categories-old'!G661) &gt; 0, "INSERT INTO `catalog_category_entity_varchar` (attribute_id,store_id,entity_id,value) VALUES (48,0,"&amp;'categories-old'!B661&amp;",'"&amp;RIGHT('categories-old'!G661,LEN('categories-old'!G661)-1)&amp;"');","")</f>
        <v>INSERT INTO `catalog_category_entity_varchar` (attribute_id,store_id,entity_id,value) VALUES (48,0,516,'img3/img0bfa.jpg');</v>
      </c>
      <c r="B661" t="str">
        <f>IF(LEN(categories!G661) &gt; 0, "INSERT INTO `catalog_category_entity_varchar` (attribute_id,store_id,entity_id,value) VALUES (48,0,"&amp;categories!B661&amp;",'"&amp;RIGHT(categories!G661,LEN(categories!G661)-1)&amp;"');","")</f>
        <v>INSERT INTO `catalog_category_entity_varchar` (attribute_id,store_id,entity_id,value) VALUES (48,0,517,'img1/img6406.jpg');</v>
      </c>
      <c r="C661" t="str">
        <f>VLOOKUP(categories!B661,'categories-old'!B:G,6,FALSE)</f>
        <v>/img1/img6406.jpg</v>
      </c>
      <c r="D661" t="str">
        <f>VLOOKUP(categories!B661,'categories-old'!B:H,7,FALSE)</f>
        <v>www.americanretailsupply.com\65072\445789\European-Tote-Style-Bags\Matte-Laminated-EuroTotes.html</v>
      </c>
    </row>
    <row r="662" spans="1:4" hidden="1" x14ac:dyDescent="0.25">
      <c r="A662" t="str">
        <f>IF(LEN('categories-old'!G662) &gt; 0, "INSERT INTO `catalog_category_entity_varchar` (attribute_id,store_id,entity_id,value) VALUES (48,0,"&amp;'categories-old'!B662&amp;",'"&amp;RIGHT('categories-old'!G662,LEN('categories-old'!G662)-1)&amp;"');","")</f>
        <v>INSERT INTO `catalog_category_entity_varchar` (attribute_id,store_id,entity_id,value) VALUES (48,0,517,'img1/img6406.jpg');</v>
      </c>
      <c r="B662" t="str">
        <f>IF(LEN(categories!G662) &gt; 0, "INSERT INTO `catalog_category_entity_varchar` (attribute_id,store_id,entity_id,value) VALUES (48,0,"&amp;categories!B662&amp;",'"&amp;RIGHT(categories!G662,LEN(categories!G662)-1)&amp;"');","")</f>
        <v>INSERT INTO `catalog_category_entity_varchar` (attribute_id,store_id,entity_id,value) VALUES (48,0,518,'img2/img2f43.jpg');</v>
      </c>
      <c r="C662" t="str">
        <f>VLOOKUP(categories!B662,'categories-old'!B:G,6,FALSE)</f>
        <v>/img2/img2f43.jpg</v>
      </c>
      <c r="D662" t="str">
        <f>VLOOKUP(categories!B662,'categories-old'!B:H,7,FALSE)</f>
        <v>www.americanretailsupply.com\65072\777847\European-Tote-Style-Bags\Natural-and-White-Kraft-Paper-Eurototes.html</v>
      </c>
    </row>
    <row r="663" spans="1:4" hidden="1" x14ac:dyDescent="0.25">
      <c r="A663" t="str">
        <f>IF(LEN('categories-old'!G663) &gt; 0, "INSERT INTO `catalog_category_entity_varchar` (attribute_id,store_id,entity_id,value) VALUES (48,0,"&amp;'categories-old'!B663&amp;",'"&amp;RIGHT('categories-old'!G663,LEN('categories-old'!G663)-1)&amp;"');","")</f>
        <v>INSERT INTO `catalog_category_entity_varchar` (attribute_id,store_id,entity_id,value) VALUES (48,0,518,'img2/img2f43.jpg');</v>
      </c>
      <c r="B663" t="str">
        <f>IF(LEN(categories!G663) &gt; 0, "INSERT INTO `catalog_category_entity_varchar` (attribute_id,store_id,entity_id,value) VALUES (48,0,"&amp;categories!B663&amp;",'"&amp;RIGHT(categories!G663,LEN(categories!G663)-1)&amp;"');","")</f>
        <v>INSERT INTO `catalog_category_entity_varchar` (attribute_id,store_id,entity_id,value) VALUES (48,0,519,'img3/img1fcd.jpg');</v>
      </c>
      <c r="C663" t="str">
        <f>VLOOKUP(categories!B663,'categories-old'!B:G,6,FALSE)</f>
        <v>/img3/img1fcd.jpg</v>
      </c>
      <c r="D663" t="str">
        <f>VLOOKUP(categories!B663,'categories-old'!B:H,7,FALSE)</f>
        <v>www.americanretailsupply.com\65072\788394\European-Tote-Style-Bags\Purse-Totes.html</v>
      </c>
    </row>
    <row r="664" spans="1:4" hidden="1" x14ac:dyDescent="0.25">
      <c r="A664" t="str">
        <f>IF(LEN('categories-old'!G664) &gt; 0, "INSERT INTO `catalog_category_entity_varchar` (attribute_id,store_id,entity_id,value) VALUES (48,0,"&amp;'categories-old'!B664&amp;",'"&amp;RIGHT('categories-old'!G664,LEN('categories-old'!G664)-1)&amp;"');","")</f>
        <v>INSERT INTO `catalog_category_entity_varchar` (attribute_id,store_id,entity_id,value) VALUES (48,0,519,'img3/img1fcd.jpg');</v>
      </c>
      <c r="B664" t="str">
        <f>IF(LEN(categories!G664) &gt; 0, "INSERT INTO `catalog_category_entity_varchar` (attribute_id,store_id,entity_id,value) VALUES (48,0,"&amp;categories!B664&amp;",'"&amp;RIGHT(categories!G664,LEN(categories!G664)-1)&amp;"');","")</f>
        <v>INSERT INTO `catalog_category_entity_varchar` (attribute_id,store_id,entity_id,value) VALUES (48,0,521,'img3/img27a1.jpg');</v>
      </c>
      <c r="C664" t="str">
        <f>VLOOKUP(categories!B664,'categories-old'!B:G,6,FALSE)</f>
        <v>/img3/img27a1.jpg</v>
      </c>
      <c r="D664" t="str">
        <f>VLOOKUP(categories!B664,'categories-old'!B:H,7,FALSE)</f>
        <v>www.americanretailsupply.com\64738\19674\Fabric-Ribbon\Simply-Sheer-Asiana-Fabric-Ribbon.html</v>
      </c>
    </row>
    <row r="665" spans="1:4" hidden="1" x14ac:dyDescent="0.25">
      <c r="A665" t="str">
        <f>IF(LEN('categories-old'!G665) &gt; 0, "INSERT INTO `catalog_category_entity_varchar` (attribute_id,store_id,entity_id,value) VALUES (48,0,"&amp;'categories-old'!B665&amp;",'"&amp;RIGHT('categories-old'!G665,LEN('categories-old'!G665)-1)&amp;"');","")</f>
        <v>INSERT INTO `catalog_category_entity_varchar` (attribute_id,store_id,entity_id,value) VALUES (48,0,521,'img3/img27a1.jpg');</v>
      </c>
      <c r="B665" t="str">
        <f>IF(LEN(categories!G665) &gt; 0, "INSERT INTO `catalog_category_entity_varchar` (attribute_id,store_id,entity_id,value) VALUES (48,0,"&amp;categories!B665&amp;",'"&amp;RIGHT(categories!G665,LEN(categories!G665)-1)&amp;"');","")</f>
        <v>INSERT INTO `catalog_category_entity_varchar` (attribute_id,store_id,entity_id,value) VALUES (48,0,522,'img2/img1688.jpg');</v>
      </c>
      <c r="C665" t="str">
        <f>VLOOKUP(categories!B665,'categories-old'!B:G,6,FALSE)</f>
        <v>/img2/img1688.jpg</v>
      </c>
      <c r="D665" t="str">
        <f>VLOOKUP(categories!B665,'categories-old'!B:H,7,FALSE)</f>
        <v>www.americanretailsupply.com\64738\28871\Fabric-Ribbon\Dyna-Satin-Acetate-Ribbon.html</v>
      </c>
    </row>
    <row r="666" spans="1:4" hidden="1" x14ac:dyDescent="0.25">
      <c r="A666" t="str">
        <f>IF(LEN('categories-old'!G666) &gt; 0, "INSERT INTO `catalog_category_entity_varchar` (attribute_id,store_id,entity_id,value) VALUES (48,0,"&amp;'categories-old'!B666&amp;",'"&amp;RIGHT('categories-old'!G666,LEN('categories-old'!G666)-1)&amp;"');","")</f>
        <v>INSERT INTO `catalog_category_entity_varchar` (attribute_id,store_id,entity_id,value) VALUES (48,0,522,'img2/img1688.jpg');</v>
      </c>
      <c r="B666" t="str">
        <f>IF(LEN(categories!G666) &gt; 0, "INSERT INTO `catalog_category_entity_varchar` (attribute_id,store_id,entity_id,value) VALUES (48,0,"&amp;categories!B666&amp;",'"&amp;RIGHT(categories!G666,LEN(categories!G666)-1)&amp;"');","")</f>
        <v>INSERT INTO `catalog_category_entity_varchar` (attribute_id,store_id,entity_id,value) VALUES (48,0,523,'img1/imgabdf.jpg');</v>
      </c>
      <c r="C666" t="str">
        <f>VLOOKUP(categories!B666,'categories-old'!B:G,6,FALSE)</f>
        <v>/img1/imgabdf.jpg</v>
      </c>
      <c r="D666" t="str">
        <f>VLOOKUP(categories!B666,'categories-old'!B:H,7,FALSE)</f>
        <v>www.americanretailsupply.com\64738\241280\Fabric-Ribbon\Grosgrain-Ribbon.html</v>
      </c>
    </row>
    <row r="667" spans="1:4" hidden="1" x14ac:dyDescent="0.25">
      <c r="A667" t="str">
        <f>IF(LEN('categories-old'!G667) &gt; 0, "INSERT INTO `catalog_category_entity_varchar` (attribute_id,store_id,entity_id,value) VALUES (48,0,"&amp;'categories-old'!B667&amp;",'"&amp;RIGHT('categories-old'!G667,LEN('categories-old'!G667)-1)&amp;"');","")</f>
        <v>INSERT INTO `catalog_category_entity_varchar` (attribute_id,store_id,entity_id,value) VALUES (48,0,523,'img1/imgabdf.jpg');</v>
      </c>
      <c r="B667" t="str">
        <f>IF(LEN(categories!G667) &gt; 0, "INSERT INTO `catalog_category_entity_varchar` (attribute_id,store_id,entity_id,value) VALUES (48,0,"&amp;categories!B667&amp;",'"&amp;RIGHT(categories!G667,LEN(categories!G667)-1)&amp;"');","")</f>
        <v>INSERT INTO `catalog_category_entity_varchar` (attribute_id,store_id,entity_id,value) VALUES (48,0,524,'img2/img03a3.jpg');</v>
      </c>
      <c r="C667" t="str">
        <f>VLOOKUP(categories!B667,'categories-old'!B:G,6,FALSE)</f>
        <v>/img2/img03a3.jpg</v>
      </c>
      <c r="D667" t="str">
        <f>VLOOKUP(categories!B667,'categories-old'!B:H,7,FALSE)</f>
        <v>www.americanretailsupply.com\64738\241281\Fabric-Ribbon\Single-Faced-Satin-Ribbon.html</v>
      </c>
    </row>
    <row r="668" spans="1:4" hidden="1" x14ac:dyDescent="0.25">
      <c r="A668" t="str">
        <f>IF(LEN('categories-old'!G668) &gt; 0, "INSERT INTO `catalog_category_entity_varchar` (attribute_id,store_id,entity_id,value) VALUES (48,0,"&amp;'categories-old'!B668&amp;",'"&amp;RIGHT('categories-old'!G668,LEN('categories-old'!G668)-1)&amp;"');","")</f>
        <v>INSERT INTO `catalog_category_entity_varchar` (attribute_id,store_id,entity_id,value) VALUES (48,0,524,'img2/img03a3.jpg');</v>
      </c>
      <c r="B668" t="str">
        <f>IF(LEN(categories!G668) &gt; 0, "INSERT INTO `catalog_category_entity_varchar` (attribute_id,store_id,entity_id,value) VALUES (48,0,"&amp;categories!B668&amp;",'"&amp;RIGHT(categories!G668,LEN(categories!G668)-1)&amp;"');","")</f>
        <v>INSERT INTO `catalog_category_entity_varchar` (attribute_id,store_id,entity_id,value) VALUES (48,0,525,'img3/img5d1c.jpg');</v>
      </c>
      <c r="C668" t="str">
        <f>VLOOKUP(categories!B668,'categories-old'!B:G,6,FALSE)</f>
        <v>/img3/img5d1c.jpg</v>
      </c>
      <c r="D668" t="str">
        <f>VLOOKUP(categories!B668,'categories-old'!B:H,7,FALSE)</f>
        <v>www.americanretailsupply.com\64738\254981\Fabric-Ribbon\Wired-Encore-Ribbon.html</v>
      </c>
    </row>
    <row r="669" spans="1:4" hidden="1" x14ac:dyDescent="0.25">
      <c r="A669" t="str">
        <f>IF(LEN('categories-old'!G669) &gt; 0, "INSERT INTO `catalog_category_entity_varchar` (attribute_id,store_id,entity_id,value) VALUES (48,0,"&amp;'categories-old'!B669&amp;",'"&amp;RIGHT('categories-old'!G669,LEN('categories-old'!G669)-1)&amp;"');","")</f>
        <v>INSERT INTO `catalog_category_entity_varchar` (attribute_id,store_id,entity_id,value) VALUES (48,0,525,'img3/img5d1c.jpg');</v>
      </c>
      <c r="B669" t="str">
        <f>IF(LEN(categories!G669) &gt; 0, "INSERT INTO `catalog_category_entity_varchar` (attribute_id,store_id,entity_id,value) VALUES (48,0,"&amp;categories!B669&amp;",'"&amp;RIGHT(categories!G669,LEN(categories!G669)-1)&amp;"');","")</f>
        <v>INSERT INTO `catalog_category_entity_varchar` (attribute_id,store_id,entity_id,value) VALUES (48,0,526,'img2/img3200.jpg');</v>
      </c>
      <c r="C669" t="str">
        <f>VLOOKUP(categories!B669,'categories-old'!B:G,6,FALSE)</f>
        <v>/img2/img3200.jpg</v>
      </c>
      <c r="D669" t="str">
        <f>VLOOKUP(categories!B669,'categories-old'!B:H,7,FALSE)</f>
        <v>www.americanretailsupply.com\64738\641888\Fabric-Ribbon\Jungle-Print-Polyester-Ribbon.html</v>
      </c>
    </row>
    <row r="670" spans="1:4" hidden="1" x14ac:dyDescent="0.25">
      <c r="A670" t="str">
        <f>IF(LEN('categories-old'!G670) &gt; 0, "INSERT INTO `catalog_category_entity_varchar` (attribute_id,store_id,entity_id,value) VALUES (48,0,"&amp;'categories-old'!B670&amp;",'"&amp;RIGHT('categories-old'!G670,LEN('categories-old'!G670)-1)&amp;"');","")</f>
        <v>INSERT INTO `catalog_category_entity_varchar` (attribute_id,store_id,entity_id,value) VALUES (48,0,526,'img2/img3200.jpg');</v>
      </c>
      <c r="B670" t="str">
        <f>IF(LEN(categories!G670) &gt; 0, "INSERT INTO `catalog_category_entity_varchar` (attribute_id,store_id,entity_id,value) VALUES (48,0,"&amp;categories!B670&amp;",'"&amp;RIGHT(categories!G670,LEN(categories!G670)-1)&amp;"');","")</f>
        <v>INSERT INTO `catalog_category_entity_varchar` (attribute_id,store_id,entity_id,value) VALUES (48,0,527,'img1/imgfd54.jpg');</v>
      </c>
      <c r="C670" t="str">
        <f>VLOOKUP(categories!B670,'categories-old'!B:G,6,FALSE)</f>
        <v>/img1/imgfd54.jpg</v>
      </c>
      <c r="D670" t="str">
        <f>VLOOKUP(categories!B670,'categories-old'!B:H,7,FALSE)</f>
        <v>www.americanretailsupply.com\64738\773564\Fabric-Ribbon\Double-Faced-Satin-Ribbon.html</v>
      </c>
    </row>
    <row r="671" spans="1:4" hidden="1" x14ac:dyDescent="0.25">
      <c r="A671" t="str">
        <f>IF(LEN('categories-old'!G671) &gt; 0, "INSERT INTO `catalog_category_entity_varchar` (attribute_id,store_id,entity_id,value) VALUES (48,0,"&amp;'categories-old'!B671&amp;",'"&amp;RIGHT('categories-old'!G671,LEN('categories-old'!G671)-1)&amp;"');","")</f>
        <v>INSERT INTO `catalog_category_entity_varchar` (attribute_id,store_id,entity_id,value) VALUES (48,0,527,'img1/imgfd54.jpg');</v>
      </c>
      <c r="B671" t="str">
        <f>IF(LEN(categories!G671) &gt; 0, "INSERT INTO `catalog_category_entity_varchar` (attribute_id,store_id,entity_id,value) VALUES (48,0,"&amp;categories!B671&amp;",'"&amp;RIGHT(categories!G671,LEN(categories!G671)-1)&amp;"');","")</f>
        <v>INSERT INTO `catalog_category_entity_varchar` (attribute_id,store_id,entity_id,value) VALUES (48,0,529,'img3/imgdf9b.jpg');</v>
      </c>
      <c r="C671" t="str">
        <f>VLOOKUP(categories!B671,'categories-old'!B:G,6,FALSE)</f>
        <v>/img3/imgdf9b.jpg</v>
      </c>
      <c r="D671" t="str">
        <f>VLOOKUP(categories!B671,'categories-old'!B:H,7,FALSE)</f>
        <v>www.americanretailsupply.com\64692\741538\Fluorescent-Labels\Fluorescent-Rectangle-Labels.html</v>
      </c>
    </row>
    <row r="672" spans="1:4" hidden="1" x14ac:dyDescent="0.25">
      <c r="A672" t="str">
        <f>IF(LEN('categories-old'!G672) &gt; 0, "INSERT INTO `catalog_category_entity_varchar` (attribute_id,store_id,entity_id,value) VALUES (48,0,"&amp;'categories-old'!B672&amp;",'"&amp;RIGHT('categories-old'!G672,LEN('categories-old'!G672)-1)&amp;"');","")</f>
        <v>INSERT INTO `catalog_category_entity_varchar` (attribute_id,store_id,entity_id,value) VALUES (48,0,529,'img3/imgdf9b.jpg');</v>
      </c>
      <c r="B672" t="str">
        <f>IF(LEN(categories!G672) &gt; 0, "INSERT INTO `catalog_category_entity_varchar` (attribute_id,store_id,entity_id,value) VALUES (48,0,"&amp;categories!B672&amp;",'"&amp;RIGHT(categories!G672,LEN(categories!G672)-1)&amp;"');","")</f>
        <v>INSERT INTO `catalog_category_entity_varchar` (attribute_id,store_id,entity_id,value) VALUES (48,0,530,'img3/img7d7f.jpg');</v>
      </c>
      <c r="C672" t="str">
        <f>VLOOKUP(categories!B672,'categories-old'!B:G,6,FALSE)</f>
        <v>/img3/img7d7f.jpg</v>
      </c>
      <c r="D672" t="str">
        <f>VLOOKUP(categories!B672,'categories-old'!B:H,7,FALSE)</f>
        <v>www.americanretailsupply.com\64692\741539\Fluorescent-Labels\Fluorescent-Circle-Labels.html</v>
      </c>
    </row>
    <row r="673" spans="1:4" hidden="1" x14ac:dyDescent="0.25">
      <c r="A673" t="str">
        <f>IF(LEN('categories-old'!G673) &gt; 0, "INSERT INTO `catalog_category_entity_varchar` (attribute_id,store_id,entity_id,value) VALUES (48,0,"&amp;'categories-old'!B673&amp;",'"&amp;RIGHT('categories-old'!G673,LEN('categories-old'!G673)-1)&amp;"');","")</f>
        <v>INSERT INTO `catalog_category_entity_varchar` (attribute_id,store_id,entity_id,value) VALUES (48,0,530,'img3/img7d7f.jpg');</v>
      </c>
      <c r="B673" t="str">
        <f>IF(LEN(categories!G673) &gt; 0, "INSERT INTO `catalog_category_entity_varchar` (attribute_id,store_id,entity_id,value) VALUES (48,0,"&amp;categories!B673&amp;",'"&amp;RIGHT(categories!G673,LEN(categories!G673)-1)&amp;"');","")</f>
        <v>INSERT INTO `catalog_category_entity_varchar` (attribute_id,store_id,entity_id,value) VALUES (48,0,531,'img1/img1616.jpg');</v>
      </c>
      <c r="C673" t="str">
        <f>VLOOKUP(categories!B673,'categories-old'!B:G,6,FALSE)</f>
        <v>/img1/img1616.jpg</v>
      </c>
      <c r="D673" t="str">
        <f>VLOOKUP(categories!B673,'categories-old'!B:H,7,FALSE)</f>
        <v>www.americanretailsupply.com\64692\741540\Fluorescent-Labels\Fluorescent-Starburst-Labels.html</v>
      </c>
    </row>
    <row r="674" spans="1:4" hidden="1" x14ac:dyDescent="0.25">
      <c r="A674" t="str">
        <f>IF(LEN('categories-old'!G674) &gt; 0, "INSERT INTO `catalog_category_entity_varchar` (attribute_id,store_id,entity_id,value) VALUES (48,0,"&amp;'categories-old'!B674&amp;",'"&amp;RIGHT('categories-old'!G674,LEN('categories-old'!G674)-1)&amp;"');","")</f>
        <v>INSERT INTO `catalog_category_entity_varchar` (attribute_id,store_id,entity_id,value) VALUES (48,0,531,'img1/img1616.jpg');</v>
      </c>
      <c r="B674" t="str">
        <f>IF(LEN(categories!G674) &gt; 0, "INSERT INTO `catalog_category_entity_varchar` (attribute_id,store_id,entity_id,value) VALUES (48,0,"&amp;categories!B674&amp;",'"&amp;RIGHT(categories!G674,LEN(categories!G674)-1)&amp;"');","")</f>
        <v>INSERT INTO `catalog_category_entity_varchar` (attribute_id,store_id,entity_id,value) VALUES (48,0,532,'img3/img015a.jpg');</v>
      </c>
      <c r="C674" t="str">
        <f>VLOOKUP(categories!B674,'categories-old'!B:G,6,FALSE)</f>
        <v>/img3/img015a.jpg</v>
      </c>
      <c r="D674" t="str">
        <f>VLOOKUP(categories!B674,'categories-old'!B:H,7,FALSE)</f>
        <v>www.americanretailsupply.com\64692\742032\Fluorescent-Labels\Made-In-USA-Label.html</v>
      </c>
    </row>
    <row r="675" spans="1:4" hidden="1" x14ac:dyDescent="0.25">
      <c r="A675" t="str">
        <f>IF(LEN('categories-old'!G675) &gt; 0, "INSERT INTO `catalog_category_entity_varchar` (attribute_id,store_id,entity_id,value) VALUES (48,0,"&amp;'categories-old'!B675&amp;",'"&amp;RIGHT('categories-old'!G675,LEN('categories-old'!G675)-1)&amp;"');","")</f>
        <v>INSERT INTO `catalog_category_entity_varchar` (attribute_id,store_id,entity_id,value) VALUES (48,0,532,'img3/img015a.jpg');</v>
      </c>
      <c r="B675" t="str">
        <f>IF(LEN(categories!G675) &gt; 0, "INSERT INTO `catalog_category_entity_varchar` (attribute_id,store_id,entity_id,value) VALUES (48,0,"&amp;categories!B675&amp;",'"&amp;RIGHT(categories!G675,LEN(categories!G675)-1)&amp;"');","")</f>
        <v>INSERT INTO `catalog_category_entity_varchar` (attribute_id,store_id,entity_id,value) VALUES (48,0,534,'img3/img31bf.jpg');</v>
      </c>
      <c r="C675" t="str">
        <f>VLOOKUP(categories!B675,'categories-old'!B:G,6,FALSE)</f>
        <v>/img3/img31bf.jpg</v>
      </c>
      <c r="D675" t="str">
        <f>VLOOKUP(categories!B675,'categories-old'!B:H,7,FALSE)</f>
        <v>www.americanretailsupply.com\65085\235454\Food-Grade-Tissue\Hi-Performance-Dry-Wax-Food-Service-Tissue-Paper.html</v>
      </c>
    </row>
    <row r="676" spans="1:4" hidden="1" x14ac:dyDescent="0.25">
      <c r="A676" t="str">
        <f>IF(LEN('categories-old'!G676) &gt; 0, "INSERT INTO `catalog_category_entity_varchar` (attribute_id,store_id,entity_id,value) VALUES (48,0,"&amp;'categories-old'!B676&amp;",'"&amp;RIGHT('categories-old'!G676,LEN('categories-old'!G676)-1)&amp;"');","")</f>
        <v>INSERT INTO `catalog_category_entity_varchar` (attribute_id,store_id,entity_id,value) VALUES (48,0,534,'img3/img31bf.jpg');</v>
      </c>
      <c r="B676" t="str">
        <f>IF(LEN(categories!G676) &gt; 0, "INSERT INTO `catalog_category_entity_varchar` (attribute_id,store_id,entity_id,value) VALUES (48,0,"&amp;categories!B676&amp;",'"&amp;RIGHT(categories!G676,LEN(categories!G676)-1)&amp;"');","")</f>
        <v>INSERT INTO `catalog_category_entity_varchar` (attribute_id,store_id,entity_id,value) VALUES (48,0,535,'img3/imgc8a1.jpg');</v>
      </c>
      <c r="C676" t="str">
        <f>VLOOKUP(categories!B676,'categories-old'!B:G,6,FALSE)</f>
        <v>/img3/imgc8a1.jpg</v>
      </c>
      <c r="D676" t="str">
        <f>VLOOKUP(categories!B676,'categories-old'!B:H,7,FALSE)</f>
        <v>www.americanretailsupply.com\65085\235455\Food-Grade-Tissue\Menu-Tissue-Paper.html</v>
      </c>
    </row>
    <row r="677" spans="1:4" hidden="1" x14ac:dyDescent="0.25">
      <c r="A677" t="str">
        <f>IF(LEN('categories-old'!G677) &gt; 0, "INSERT INTO `catalog_category_entity_varchar` (attribute_id,store_id,entity_id,value) VALUES (48,0,"&amp;'categories-old'!B677&amp;",'"&amp;RIGHT('categories-old'!G677,LEN('categories-old'!G677)-1)&amp;"');","")</f>
        <v>INSERT INTO `catalog_category_entity_varchar` (attribute_id,store_id,entity_id,value) VALUES (48,0,535,'img3/imgc8a1.jpg');</v>
      </c>
      <c r="B677" t="str">
        <f>IF(LEN(categories!G677) &gt; 0, "INSERT INTO `catalog_category_entity_varchar` (attribute_id,store_id,entity_id,value) VALUES (48,0,"&amp;categories!B677&amp;",'"&amp;RIGHT(categories!G677,LEN(categories!G677)-1)&amp;"');","")</f>
        <v>INSERT INTO `catalog_category_entity_varchar` (attribute_id,store_id,entity_id,value) VALUES (48,0,536,'img2/img40ef.jpg');</v>
      </c>
      <c r="C677" t="str">
        <f>VLOOKUP(categories!B677,'categories-old'!B:G,6,FALSE)</f>
        <v>/img2/img40ef.jpg</v>
      </c>
      <c r="D677" t="str">
        <f>VLOOKUP(categories!B677,'categories-old'!B:H,7,FALSE)</f>
        <v>www.americanretailsupply.com\65085\649537\Food-Grade-Tissue\Ultra-Performance-20-Grease-Resistant-Tissue-Paper.html</v>
      </c>
    </row>
    <row r="678" spans="1:4" hidden="1" x14ac:dyDescent="0.25">
      <c r="A678" t="str">
        <f>IF(LEN('categories-old'!G678) &gt; 0, "INSERT INTO `catalog_category_entity_varchar` (attribute_id,store_id,entity_id,value) VALUES (48,0,"&amp;'categories-old'!B678&amp;",'"&amp;RIGHT('categories-old'!G678,LEN('categories-old'!G678)-1)&amp;"');","")</f>
        <v>INSERT INTO `catalog_category_entity_varchar` (attribute_id,store_id,entity_id,value) VALUES (48,0,536,'img2/img40ef.jpg');</v>
      </c>
      <c r="B678" t="str">
        <f>IF(LEN(categories!G678) &gt; 0, "INSERT INTO `catalog_category_entity_varchar` (attribute_id,store_id,entity_id,value) VALUES (48,0,"&amp;categories!B678&amp;",'"&amp;RIGHT(categories!G678,LEN(categories!G678)-1)&amp;"');","")</f>
        <v>INSERT INTO `catalog_category_entity_varchar` (attribute_id,store_id,entity_id,value) VALUES (48,0,538,'img3/imgedd5.jpg');</v>
      </c>
      <c r="C678" t="str">
        <f>VLOOKUP(categories!B678,'categories-old'!B:G,6,FALSE)</f>
        <v>/img3/imgedd5.jpg</v>
      </c>
      <c r="D678" t="str">
        <f>VLOOKUP(categories!B678,'categories-old'!B:H,7,FALSE)</f>
        <v>www.americanretailsupply.com\65123\746708\Food-Service-Boxes\Bakery-Boxes-Lock-Corner-1-Piece-White.html</v>
      </c>
    </row>
    <row r="679" spans="1:4" hidden="1" x14ac:dyDescent="0.25">
      <c r="A679" t="str">
        <f>IF(LEN('categories-old'!G679) &gt; 0, "INSERT INTO `catalog_category_entity_varchar` (attribute_id,store_id,entity_id,value) VALUES (48,0,"&amp;'categories-old'!B679&amp;",'"&amp;RIGHT('categories-old'!G679,LEN('categories-old'!G679)-1)&amp;"');","")</f>
        <v>INSERT INTO `catalog_category_entity_varchar` (attribute_id,store_id,entity_id,value) VALUES (48,0,538,'img3/imgedd5.jpg');</v>
      </c>
      <c r="B679" t="str">
        <f>IF(LEN(categories!G679) &gt; 0, "INSERT INTO `catalog_category_entity_varchar` (attribute_id,store_id,entity_id,value) VALUES (48,0,"&amp;categories!B679&amp;",'"&amp;RIGHT(categories!G679,LEN(categories!G679)-1)&amp;"');","")</f>
        <v>INSERT INTO `catalog_category_entity_varchar` (attribute_id,store_id,entity_id,value) VALUES (48,0,539,'img2/img2e7b.jpg');</v>
      </c>
      <c r="C679" t="str">
        <f>VLOOKUP(categories!B679,'categories-old'!B:G,6,FALSE)</f>
        <v>/img2/img2e7b.jpg</v>
      </c>
      <c r="D679" t="str">
        <f>VLOOKUP(categories!B679,'categories-old'!B:H,7,FALSE)</f>
        <v>www.americanretailsupply.com\65123\749626\Food-Service-Boxes\Bakery-Boxes-2-Piece-Lock-Corner.html</v>
      </c>
    </row>
    <row r="680" spans="1:4" hidden="1" x14ac:dyDescent="0.25">
      <c r="A680" t="str">
        <f>IF(LEN('categories-old'!G680) &gt; 0, "INSERT INTO `catalog_category_entity_varchar` (attribute_id,store_id,entity_id,value) VALUES (48,0,"&amp;'categories-old'!B680&amp;",'"&amp;RIGHT('categories-old'!G680,LEN('categories-old'!G680)-1)&amp;"');","")</f>
        <v>INSERT INTO `catalog_category_entity_varchar` (attribute_id,store_id,entity_id,value) VALUES (48,0,539,'img2/img2e7b.jpg');</v>
      </c>
      <c r="B680" t="str">
        <f>IF(LEN(categories!G680) &gt; 0, "INSERT INTO `catalog_category_entity_varchar` (attribute_id,store_id,entity_id,value) VALUES (48,0,"&amp;categories!B680&amp;",'"&amp;RIGHT(categories!G680,LEN(categories!G680)-1)&amp;"');","")</f>
        <v>INSERT INTO `catalog_category_entity_varchar` (attribute_id,store_id,entity_id,value) VALUES (48,0,540,'img1/img1f4b.jpg');</v>
      </c>
      <c r="C680" t="str">
        <f>VLOOKUP(categories!B680,'categories-old'!B:G,6,FALSE)</f>
        <v>/img1/img1f4b.jpg</v>
      </c>
      <c r="D680" t="str">
        <f>VLOOKUP(categories!B680,'categories-old'!B:H,7,FALSE)</f>
        <v>www.americanretailsupply.com\65123\754507\Food-Service-Boxes\Donut-Carry-Out-Boxes.html</v>
      </c>
    </row>
    <row r="681" spans="1:4" hidden="1" x14ac:dyDescent="0.25">
      <c r="A681" t="str">
        <f>IF(LEN('categories-old'!G681) &gt; 0, "INSERT INTO `catalog_category_entity_varchar` (attribute_id,store_id,entity_id,value) VALUES (48,0,"&amp;'categories-old'!B681&amp;",'"&amp;RIGHT('categories-old'!G681,LEN('categories-old'!G681)-1)&amp;"');","")</f>
        <v>INSERT INTO `catalog_category_entity_varchar` (attribute_id,store_id,entity_id,value) VALUES (48,0,540,'img1/img1f4b.jpg');</v>
      </c>
      <c r="B681" t="str">
        <f>IF(LEN(categories!G681) &gt; 0, "INSERT INTO `catalog_category_entity_varchar` (attribute_id,store_id,entity_id,value) VALUES (48,0,"&amp;categories!B681&amp;",'"&amp;RIGHT(categories!G681,LEN(categories!G681)-1)&amp;"');","")</f>
        <v>INSERT INTO `catalog_category_entity_varchar` (attribute_id,store_id,entity_id,value) VALUES (48,0,541,'img1/imga951.jpg');</v>
      </c>
      <c r="C681" t="str">
        <f>VLOOKUP(categories!B681,'categories-old'!B:G,6,FALSE)</f>
        <v>/img1/imga951.jpg</v>
      </c>
      <c r="D681" t="str">
        <f>VLOOKUP(categories!B681,'categories-old'!B:H,7,FALSE)</f>
        <v>www.americanretailsupply.com\65123\754628\Food-Service-Boxes\Cake-Pads-Rectangle.html</v>
      </c>
    </row>
    <row r="682" spans="1:4" hidden="1" x14ac:dyDescent="0.25">
      <c r="A682" t="str">
        <f>IF(LEN('categories-old'!G682) &gt; 0, "INSERT INTO `catalog_category_entity_varchar` (attribute_id,store_id,entity_id,value) VALUES (48,0,"&amp;'categories-old'!B682&amp;",'"&amp;RIGHT('categories-old'!G682,LEN('categories-old'!G682)-1)&amp;"');","")</f>
        <v>INSERT INTO `catalog_category_entity_varchar` (attribute_id,store_id,entity_id,value) VALUES (48,0,541,'img1/imga951.jpg');</v>
      </c>
      <c r="B682" t="str">
        <f>IF(LEN(categories!G682) &gt; 0, "INSERT INTO `catalog_category_entity_varchar` (attribute_id,store_id,entity_id,value) VALUES (48,0,"&amp;categories!B682&amp;",'"&amp;RIGHT(categories!G682,LEN(categories!G682)-1)&amp;"');","")</f>
        <v>INSERT INTO `catalog_category_entity_varchar` (attribute_id,store_id,entity_id,value) VALUES (48,0,542,'img3/imgf012.jpg');</v>
      </c>
      <c r="C682" t="str">
        <f>VLOOKUP(categories!B682,'categories-old'!B:G,6,FALSE)</f>
        <v>/img3/imgf012.jpg</v>
      </c>
      <c r="D682" t="str">
        <f>VLOOKUP(categories!B682,'categories-old'!B:H,7,FALSE)</f>
        <v>www.americanretailsupply.com\65123\758132\Food-Service-Boxes\Window-Cup-Cake-Boxes.html</v>
      </c>
    </row>
    <row r="683" spans="1:4" hidden="1" x14ac:dyDescent="0.25">
      <c r="A683" t="str">
        <f>IF(LEN('categories-old'!G683) &gt; 0, "INSERT INTO `catalog_category_entity_varchar` (attribute_id,store_id,entity_id,value) VALUES (48,0,"&amp;'categories-old'!B683&amp;",'"&amp;RIGHT('categories-old'!G683,LEN('categories-old'!G683)-1)&amp;"');","")</f>
        <v>INSERT INTO `catalog_category_entity_varchar` (attribute_id,store_id,entity_id,value) VALUES (48,0,542,'img3/imgf012.jpg');</v>
      </c>
      <c r="B683" t="str">
        <f>IF(LEN(categories!G683) &gt; 0, "INSERT INTO `catalog_category_entity_varchar` (attribute_id,store_id,entity_id,value) VALUES (48,0,"&amp;categories!B683&amp;",'"&amp;RIGHT(categories!G683,LEN(categories!G683)-1)&amp;"');","")</f>
        <v>INSERT INTO `catalog_category_entity_varchar` (attribute_id,store_id,entity_id,value) VALUES (48,0,543,'img3/img7317.jpg');</v>
      </c>
      <c r="C683" t="str">
        <f>VLOOKUP(categories!B683,'categories-old'!B:G,6,FALSE)</f>
        <v>/img3/img7317.jpg</v>
      </c>
      <c r="D683" t="str">
        <f>VLOOKUP(categories!B683,'categories-old'!B:H,7,FALSE)</f>
        <v>www.americanretailsupply.com\65123\758209\Food-Service-Boxes\Cupcake-Inserts.html</v>
      </c>
    </row>
    <row r="684" spans="1:4" hidden="1" x14ac:dyDescent="0.25">
      <c r="A684" t="str">
        <f>IF(LEN('categories-old'!G684) &gt; 0, "INSERT INTO `catalog_category_entity_varchar` (attribute_id,store_id,entity_id,value) VALUES (48,0,"&amp;'categories-old'!B684&amp;",'"&amp;RIGHT('categories-old'!G684,LEN('categories-old'!G684)-1)&amp;"');","")</f>
        <v>INSERT INTO `catalog_category_entity_varchar` (attribute_id,store_id,entity_id,value) VALUES (48,0,543,'img3/img7317.jpg');</v>
      </c>
      <c r="B684" t="str">
        <f>IF(LEN(categories!G684) &gt; 0, "INSERT INTO `catalog_category_entity_varchar` (attribute_id,store_id,entity_id,value) VALUES (48,0,"&amp;categories!B684&amp;",'"&amp;RIGHT(categories!G684,LEN(categories!G684)-1)&amp;"');","")</f>
        <v>INSERT INTO `catalog_category_entity_varchar` (attribute_id,store_id,entity_id,value) VALUES (48,0,544,'img2/imgda76.jpg');</v>
      </c>
      <c r="C684" t="str">
        <f>VLOOKUP(categories!B684,'categories-old'!B:G,6,FALSE)</f>
        <v>/img2/imgda76.jpg</v>
      </c>
      <c r="D684" t="str">
        <f>VLOOKUP(categories!B684,'categories-old'!B:H,7,FALSE)</f>
        <v>www.americanretailsupply.com\65123\758261\Food-Service-Boxes\Pizza-Take-Out-Boxes.html</v>
      </c>
    </row>
    <row r="685" spans="1:4" hidden="1" x14ac:dyDescent="0.25">
      <c r="A685" t="str">
        <f>IF(LEN('categories-old'!G685) &gt; 0, "INSERT INTO `catalog_category_entity_varchar` (attribute_id,store_id,entity_id,value) VALUES (48,0,"&amp;'categories-old'!B685&amp;",'"&amp;RIGHT('categories-old'!G685,LEN('categories-old'!G685)-1)&amp;"');","")</f>
        <v>INSERT INTO `catalog_category_entity_varchar` (attribute_id,store_id,entity_id,value) VALUES (48,0,544,'img2/imgda76.jpg');</v>
      </c>
      <c r="B685" t="str">
        <f>IF(LEN(categories!G685) &gt; 0, "INSERT INTO `catalog_category_entity_varchar` (attribute_id,store_id,entity_id,value) VALUES (48,0,"&amp;categories!B685&amp;",'"&amp;RIGHT(categories!G685,LEN(categories!G685)-1)&amp;"');","")</f>
        <v>INSERT INTO `catalog_category_entity_varchar` (attribute_id,store_id,entity_id,value) VALUES (48,0,545,'img3/img9282.jpg');</v>
      </c>
      <c r="C685" t="str">
        <f>VLOOKUP(categories!B685,'categories-old'!B:G,6,FALSE)</f>
        <v>/img3/img9282.jpg</v>
      </c>
      <c r="D685" t="str">
        <f>VLOOKUP(categories!B685,'categories-old'!B:H,7,FALSE)</f>
        <v>www.americanretailsupply.com\65123\758392\Food-Service-Boxes\Take-and-Bake-Pizza-Trays.html</v>
      </c>
    </row>
    <row r="686" spans="1:4" hidden="1" x14ac:dyDescent="0.25">
      <c r="A686" t="str">
        <f>IF(LEN('categories-old'!G686) &gt; 0, "INSERT INTO `catalog_category_entity_varchar` (attribute_id,store_id,entity_id,value) VALUES (48,0,"&amp;'categories-old'!B686&amp;",'"&amp;RIGHT('categories-old'!G686,LEN('categories-old'!G686)-1)&amp;"');","")</f>
        <v>INSERT INTO `catalog_category_entity_varchar` (attribute_id,store_id,entity_id,value) VALUES (48,0,545,'img3/img9282.jpg');</v>
      </c>
      <c r="B686" t="str">
        <f>IF(LEN(categories!G686) &gt; 0, "INSERT INTO `catalog_category_entity_varchar` (attribute_id,store_id,entity_id,value) VALUES (48,0,"&amp;categories!B686&amp;",'"&amp;RIGHT(categories!G686,LEN(categories!G686)-1)&amp;"');","")</f>
        <v>INSERT INTO `catalog_category_entity_varchar` (attribute_id,store_id,entity_id,value) VALUES (48,0,546,'img2/img7ad7.jpg');</v>
      </c>
      <c r="C686" t="str">
        <f>VLOOKUP(categories!B686,'categories-old'!B:G,6,FALSE)</f>
        <v>/img2/img7ad7.jpg</v>
      </c>
      <c r="D686" t="str">
        <f>VLOOKUP(categories!B686,'categories-old'!B:H,7,FALSE)</f>
        <v>www.americanretailsupply.com\65123\758699\Food-Service-Boxes\White-and-Brown-Kraft-Gable-Boxes.html</v>
      </c>
    </row>
    <row r="687" spans="1:4" hidden="1" x14ac:dyDescent="0.25">
      <c r="A687" t="str">
        <f>IF(LEN('categories-old'!G687) &gt; 0, "INSERT INTO `catalog_category_entity_varchar` (attribute_id,store_id,entity_id,value) VALUES (48,0,"&amp;'categories-old'!B687&amp;",'"&amp;RIGHT('categories-old'!G687,LEN('categories-old'!G687)-1)&amp;"');","")</f>
        <v>INSERT INTO `catalog_category_entity_varchar` (attribute_id,store_id,entity_id,value) VALUES (48,0,546,'img2/img7ad7.jpg');</v>
      </c>
      <c r="B687" t="str">
        <f>IF(LEN(categories!G687) &gt; 0, "INSERT INTO `catalog_category_entity_varchar` (attribute_id,store_id,entity_id,value) VALUES (48,0,"&amp;categories!B687&amp;",'"&amp;RIGHT(categories!G687,LEN(categories!G687)-1)&amp;"');","")</f>
        <v>INSERT INTO `catalog_category_entity_varchar` (attribute_id,store_id,entity_id,value) VALUES (48,0,547,'img3/img2542.jpg');</v>
      </c>
      <c r="C687" t="str">
        <f>VLOOKUP(categories!B687,'categories-old'!B:G,6,FALSE)</f>
        <v>/img3/img2542.jpg</v>
      </c>
      <c r="D687" t="str">
        <f>VLOOKUP(categories!B687,'categories-old'!B:H,7,FALSE)</f>
        <v>www.americanretailsupply.com\65123\758700\Food-Service-Boxes\Drink-Take-Out-Carriers.html</v>
      </c>
    </row>
    <row r="688" spans="1:4" hidden="1" x14ac:dyDescent="0.25">
      <c r="A688" t="str">
        <f>IF(LEN('categories-old'!G688) &gt; 0, "INSERT INTO `catalog_category_entity_varchar` (attribute_id,store_id,entity_id,value) VALUES (48,0,"&amp;'categories-old'!B688&amp;",'"&amp;RIGHT('categories-old'!G688,LEN('categories-old'!G688)-1)&amp;"');","")</f>
        <v>INSERT INTO `catalog_category_entity_varchar` (attribute_id,store_id,entity_id,value) VALUES (48,0,547,'img3/img2542.jpg');</v>
      </c>
      <c r="B688" t="str">
        <f>IF(LEN(categories!G688) &gt; 0, "INSERT INTO `catalog_category_entity_varchar` (attribute_id,store_id,entity_id,value) VALUES (48,0,"&amp;categories!B688&amp;",'"&amp;RIGHT(categories!G688,LEN(categories!G688)-1)&amp;"');","")</f>
        <v>INSERT INTO `catalog_category_entity_varchar` (attribute_id,store_id,entity_id,value) VALUES (48,0,548,'img3/img0910.jpg');</v>
      </c>
      <c r="C688" t="str">
        <f>VLOOKUP(categories!B688,'categories-old'!B:G,6,FALSE)</f>
        <v>/img3/img0910.jpg</v>
      </c>
      <c r="D688" t="str">
        <f>VLOOKUP(categories!B688,'categories-old'!B:H,7,FALSE)</f>
        <v>www.americanretailsupply.com\65123\758701\Food-Service-Boxes\Snack-Pak-Open-Trays.html</v>
      </c>
    </row>
    <row r="689" spans="1:4" hidden="1" x14ac:dyDescent="0.25">
      <c r="A689" t="str">
        <f>IF(LEN('categories-old'!G689) &gt; 0, "INSERT INTO `catalog_category_entity_varchar` (attribute_id,store_id,entity_id,value) VALUES (48,0,"&amp;'categories-old'!B689&amp;",'"&amp;RIGHT('categories-old'!G689,LEN('categories-old'!G689)-1)&amp;"');","")</f>
        <v>INSERT INTO `catalog_category_entity_varchar` (attribute_id,store_id,entity_id,value) VALUES (48,0,548,'img3/img0910.jpg');</v>
      </c>
      <c r="B689" t="str">
        <f>IF(LEN(categories!G689) &gt; 0, "INSERT INTO `catalog_category_entity_varchar` (attribute_id,store_id,entity_id,value) VALUES (48,0,"&amp;categories!B689&amp;",'"&amp;RIGHT(categories!G689,LEN(categories!G689)-1)&amp;"');","")</f>
        <v>INSERT INTO `catalog_category_entity_varchar` (attribute_id,store_id,entity_id,value) VALUES (48,0,549,'img3/img4683.jpg');</v>
      </c>
      <c r="C689" t="str">
        <f>VLOOKUP(categories!B689,'categories-old'!B:G,6,FALSE)</f>
        <v>/img3/img4683.jpg</v>
      </c>
      <c r="D689" t="str">
        <f>VLOOKUP(categories!B689,'categories-old'!B:H,7,FALSE)</f>
        <v>www.americanretailsupply.com\65123\758702\Food-Service-Boxes\Deli-Boxes.html</v>
      </c>
    </row>
    <row r="690" spans="1:4" hidden="1" x14ac:dyDescent="0.25">
      <c r="A690" t="str">
        <f>IF(LEN('categories-old'!G690) &gt; 0, "INSERT INTO `catalog_category_entity_varchar` (attribute_id,store_id,entity_id,value) VALUES (48,0,"&amp;'categories-old'!B690&amp;",'"&amp;RIGHT('categories-old'!G690,LEN('categories-old'!G690)-1)&amp;"');","")</f>
        <v>INSERT INTO `catalog_category_entity_varchar` (attribute_id,store_id,entity_id,value) VALUES (48,0,549,'img3/img4683.jpg');</v>
      </c>
      <c r="B690" t="str">
        <f>IF(LEN(categories!G690) &gt; 0, "INSERT INTO `catalog_category_entity_varchar` (attribute_id,store_id,entity_id,value) VALUES (48,0,"&amp;categories!B690&amp;",'"&amp;RIGHT(categories!G690,LEN(categories!G690)-1)&amp;"');","")</f>
        <v>INSERT INTO `catalog_category_entity_varchar` (attribute_id,store_id,entity_id,value) VALUES (48,0,550,'img1/img1626.jpg');</v>
      </c>
      <c r="C690" t="str">
        <f>VLOOKUP(categories!B690,'categories-old'!B:G,6,FALSE)</f>
        <v>/img1/img1626.jpg</v>
      </c>
      <c r="D690" t="str">
        <f>VLOOKUP(categories!B690,'categories-old'!B:H,7,FALSE)</f>
        <v>www.americanretailsupply.com\65123\758703\Food-Service-Boxes\Meat-Boxes.html</v>
      </c>
    </row>
    <row r="691" spans="1:4" hidden="1" x14ac:dyDescent="0.25">
      <c r="A691" t="str">
        <f>IF(LEN('categories-old'!G691) &gt; 0, "INSERT INTO `catalog_category_entity_varchar` (attribute_id,store_id,entity_id,value) VALUES (48,0,"&amp;'categories-old'!B691&amp;",'"&amp;RIGHT('categories-old'!G691,LEN('categories-old'!G691)-1)&amp;"');","")</f>
        <v>INSERT INTO `catalog_category_entity_varchar` (attribute_id,store_id,entity_id,value) VALUES (48,0,550,'img1/img1626.jpg');</v>
      </c>
      <c r="B691" t="str">
        <f>IF(LEN(categories!G691) &gt; 0, "INSERT INTO `catalog_category_entity_varchar` (attribute_id,store_id,entity_id,value) VALUES (48,0,"&amp;categories!B691&amp;",'"&amp;RIGHT(categories!G691,LEN(categories!G691)-1)&amp;"');","")</f>
        <v>INSERT INTO `catalog_category_entity_varchar` (attribute_id,store_id,entity_id,value) VALUES (48,0,551,'img3/img4d42.jpg');</v>
      </c>
      <c r="C691" t="str">
        <f>VLOOKUP(categories!B691,'categories-old'!B:G,6,FALSE)</f>
        <v>/img3/img4d42.jpg</v>
      </c>
      <c r="D691" t="str">
        <f>VLOOKUP(categories!B691,'categories-old'!B:H,7,FALSE)</f>
        <v>www.americanretailsupply.com\65123\758707\Food-Service-Boxes\Window-Bakery-Boxes.html</v>
      </c>
    </row>
    <row r="692" spans="1:4" hidden="1" x14ac:dyDescent="0.25">
      <c r="A692" t="str">
        <f>IF(LEN('categories-old'!G692) &gt; 0, "INSERT INTO `catalog_category_entity_varchar` (attribute_id,store_id,entity_id,value) VALUES (48,0,"&amp;'categories-old'!B692&amp;",'"&amp;RIGHT('categories-old'!G692,LEN('categories-old'!G692)-1)&amp;"');","")</f>
        <v>INSERT INTO `catalog_category_entity_varchar` (attribute_id,store_id,entity_id,value) VALUES (48,0,551,'img3/img4d42.jpg');</v>
      </c>
      <c r="B692" t="str">
        <f>IF(LEN(categories!G692) &gt; 0, "INSERT INTO `catalog_category_entity_varchar` (attribute_id,store_id,entity_id,value) VALUES (48,0,"&amp;categories!B692&amp;",'"&amp;RIGHT(categories!G692,LEN(categories!G692)-1)&amp;"');","")</f>
        <v>INSERT INTO `catalog_category_entity_varchar` (attribute_id,store_id,entity_id,value) VALUES (48,0,552,'img1/imge9b7.jpg');</v>
      </c>
      <c r="C692" t="str">
        <f>VLOOKUP(categories!B692,'categories-old'!B:G,6,FALSE)</f>
        <v>/img1/imge9b7.jpg</v>
      </c>
      <c r="D692" t="str">
        <f>VLOOKUP(categories!B692,'categories-old'!B:H,7,FALSE)</f>
        <v>www.americanretailsupply.com\65123\759338\Food-Service-Boxes\Bakers-Choice-Window-Bakery-Boxes.html</v>
      </c>
    </row>
    <row r="693" spans="1:4" hidden="1" x14ac:dyDescent="0.25">
      <c r="A693" t="str">
        <f>IF(LEN('categories-old'!G693) &gt; 0, "INSERT INTO `catalog_category_entity_varchar` (attribute_id,store_id,entity_id,value) VALUES (48,0,"&amp;'categories-old'!B693&amp;",'"&amp;RIGHT('categories-old'!G693,LEN('categories-old'!G693)-1)&amp;"');","")</f>
        <v>INSERT INTO `catalog_category_entity_varchar` (attribute_id,store_id,entity_id,value) VALUES (48,0,552,'img1/imge9b7.jpg');</v>
      </c>
      <c r="B693" t="str">
        <f>IF(LEN(categories!G693) &gt; 0, "INSERT INTO `catalog_category_entity_varchar` (attribute_id,store_id,entity_id,value) VALUES (48,0,"&amp;categories!B693&amp;",'"&amp;RIGHT(categories!G693,LEN(categories!G693)-1)&amp;"');","")</f>
        <v>INSERT INTO `catalog_category_entity_varchar` (attribute_id,store_id,entity_id,value) VALUES (48,0,553,'img2/img8bd2.jpg');</v>
      </c>
      <c r="C693" t="str">
        <f>VLOOKUP(categories!B693,'categories-old'!B:G,6,FALSE)</f>
        <v>/img2/img8bd2.jpg</v>
      </c>
      <c r="D693" t="str">
        <f>VLOOKUP(categories!B693,'categories-old'!B:H,7,FALSE)</f>
        <v>www.americanretailsupply.com\65123\759339\Food-Service-Boxes\Printed-Kraft-Boxes-with-Windows.html</v>
      </c>
    </row>
    <row r="694" spans="1:4" hidden="1" x14ac:dyDescent="0.25">
      <c r="A694" t="str">
        <f>IF(LEN('categories-old'!G694) &gt; 0, "INSERT INTO `catalog_category_entity_varchar` (attribute_id,store_id,entity_id,value) VALUES (48,0,"&amp;'categories-old'!B694&amp;",'"&amp;RIGHT('categories-old'!G694,LEN('categories-old'!G694)-1)&amp;"');","")</f>
        <v>INSERT INTO `catalog_category_entity_varchar` (attribute_id,store_id,entity_id,value) VALUES (48,0,553,'img2/img8bd2.jpg');</v>
      </c>
      <c r="B694" t="str">
        <f>IF(LEN(categories!G694) &gt; 0, "INSERT INTO `catalog_category_entity_varchar` (attribute_id,store_id,entity_id,value) VALUES (48,0,"&amp;categories!B694&amp;",'"&amp;RIGHT(categories!G694,LEN(categories!G694)-1)&amp;"');","")</f>
        <v>INSERT INTO `catalog_category_entity_varchar` (attribute_id,store_id,entity_id,value) VALUES (48,0,555,'img3/imgebb0.jpg');</v>
      </c>
      <c r="C694" t="str">
        <f>VLOOKUP(categories!B694,'categories-old'!B:G,6,FALSE)</f>
        <v>/img3/imgebb0.jpg</v>
      </c>
      <c r="D694" t="str">
        <f>VLOOKUP(categories!B694,'categories-old'!B:H,7,FALSE)</f>
        <v>www.americanretailsupply.com\65075\49188\Frosted-Plastic-Bags\Frosted-Shoppers-with-Soft-Flexi-Loop-Handles.html</v>
      </c>
    </row>
    <row r="695" spans="1:4" hidden="1" x14ac:dyDescent="0.25">
      <c r="A695" t="str">
        <f>IF(LEN('categories-old'!G695) &gt; 0, "INSERT INTO `catalog_category_entity_varchar` (attribute_id,store_id,entity_id,value) VALUES (48,0,"&amp;'categories-old'!B695&amp;",'"&amp;RIGHT('categories-old'!G695,LEN('categories-old'!G695)-1)&amp;"');","")</f>
        <v>INSERT INTO `catalog_category_entity_varchar` (attribute_id,store_id,entity_id,value) VALUES (48,0,555,'img3/imgebb0.jpg');</v>
      </c>
      <c r="B695" t="str">
        <f>IF(LEN(categories!G695) &gt; 0, "INSERT INTO `catalog_category_entity_varchar` (attribute_id,store_id,entity_id,value) VALUES (48,0,"&amp;categories!B695&amp;",'"&amp;RIGHT(categories!G695,LEN(categories!G695)-1)&amp;"');","")</f>
        <v>INSERT INTO `catalog_category_entity_varchar` (attribute_id,store_id,entity_id,value) VALUES (48,0,556,'img2/img1996.jpg');</v>
      </c>
      <c r="C695" t="str">
        <f>VLOOKUP(categories!B695,'categories-old'!B:G,6,FALSE)</f>
        <v>/img2/img1996.jpg</v>
      </c>
      <c r="D695" t="str">
        <f>VLOOKUP(categories!B695,'categories-old'!B:H,7,FALSE)</f>
        <v>www.americanretailsupply.com\65075\172651\Frosted-Plastic-Bags\Super-Wave-Frosted-Bags.html</v>
      </c>
    </row>
    <row r="696" spans="1:4" hidden="1" x14ac:dyDescent="0.25">
      <c r="A696" t="str">
        <f>IF(LEN('categories-old'!G696) &gt; 0, "INSERT INTO `catalog_category_entity_varchar` (attribute_id,store_id,entity_id,value) VALUES (48,0,"&amp;'categories-old'!B696&amp;",'"&amp;RIGHT('categories-old'!G696,LEN('categories-old'!G696)-1)&amp;"');","")</f>
        <v>INSERT INTO `catalog_category_entity_varchar` (attribute_id,store_id,entity_id,value) VALUES (48,0,556,'img2/img1996.jpg');</v>
      </c>
      <c r="B696" t="str">
        <f>IF(LEN(categories!G696) &gt; 0, "INSERT INTO `catalog_category_entity_varchar` (attribute_id,store_id,entity_id,value) VALUES (48,0,"&amp;categories!B696&amp;",'"&amp;RIGHT(categories!G696,LEN(categories!G696)-1)&amp;"');","")</f>
        <v>INSERT INTO `catalog_category_entity_varchar` (attribute_id,store_id,entity_id,value) VALUES (48,0,557,'img1/img4f00.jpg');</v>
      </c>
      <c r="C696" t="str">
        <f>VLOOKUP(categories!B696,'categories-old'!B:G,6,FALSE)</f>
        <v>/img1/img4f00.jpg</v>
      </c>
      <c r="D696" t="str">
        <f>VLOOKUP(categories!B696,'categories-old'!B:H,7,FALSE)</f>
        <v>www.americanretailsupply.com\65075\641041\Frosted-Plastic-Bags\Frosted-Trapezoid-Shaped-Bags.html</v>
      </c>
    </row>
    <row r="697" spans="1:4" hidden="1" x14ac:dyDescent="0.25">
      <c r="A697" t="str">
        <f>IF(LEN('categories-old'!G697) &gt; 0, "INSERT INTO `catalog_category_entity_varchar` (attribute_id,store_id,entity_id,value) VALUES (48,0,"&amp;'categories-old'!B697&amp;",'"&amp;RIGHT('categories-old'!G697,LEN('categories-old'!G697)-1)&amp;"');","")</f>
        <v>INSERT INTO `catalog_category_entity_varchar` (attribute_id,store_id,entity_id,value) VALUES (48,0,557,'img1/img4f00.jpg');</v>
      </c>
      <c r="B697" t="str">
        <f>IF(LEN(categories!G697) &gt; 0, "INSERT INTO `catalog_category_entity_varchar` (attribute_id,store_id,entity_id,value) VALUES (48,0,"&amp;categories!B697&amp;",'"&amp;RIGHT(categories!G697,LEN(categories!G697)-1)&amp;"');","")</f>
        <v>INSERT INTO `catalog_category_entity_varchar` (attribute_id,store_id,entity_id,value) VALUES (48,0,558,'img2/img0386.jpg');</v>
      </c>
      <c r="C697" t="str">
        <f>VLOOKUP(categories!B697,'categories-old'!B:G,6,FALSE)</f>
        <v>/img2/img0386.jpg</v>
      </c>
      <c r="D697" t="str">
        <f>VLOOKUP(categories!B697,'categories-old'!B:H,7,FALSE)</f>
        <v>www.americanretailsupply.com\65075\641049\Frosted-Plastic-Bags\Pattern-Frosted-Shoppers-with-Tri-Fold-Handles.html</v>
      </c>
    </row>
    <row r="698" spans="1:4" hidden="1" x14ac:dyDescent="0.25">
      <c r="A698" t="str">
        <f>IF(LEN('categories-old'!G698) &gt; 0, "INSERT INTO `catalog_category_entity_varchar` (attribute_id,store_id,entity_id,value) VALUES (48,0,"&amp;'categories-old'!B698&amp;",'"&amp;RIGHT('categories-old'!G698,LEN('categories-old'!G698)-1)&amp;"');","")</f>
        <v>INSERT INTO `catalog_category_entity_varchar` (attribute_id,store_id,entity_id,value) VALUES (48,0,558,'img2/img0386.jpg');</v>
      </c>
      <c r="B698" t="str">
        <f>IF(LEN(categories!G698) &gt; 0, "INSERT INTO `catalog_category_entity_varchar` (attribute_id,store_id,entity_id,value) VALUES (48,0,"&amp;categories!B698&amp;",'"&amp;RIGHT(categories!G698,LEN(categories!G698)-1)&amp;"');","")</f>
        <v>INSERT INTO `catalog_category_entity_varchar` (attribute_id,store_id,entity_id,value) VALUES (48,0,559,'img2/imgf974.jpg');</v>
      </c>
      <c r="C698" t="str">
        <f>VLOOKUP(categories!B698,'categories-old'!B:G,6,FALSE)</f>
        <v>/img2/imgf974.jpg</v>
      </c>
      <c r="D698" t="str">
        <f>VLOOKUP(categories!B698,'categories-old'!B:H,7,FALSE)</f>
        <v>www.americanretailsupply.com\65075\744869\Frosted-Plastic-Bags\Frosted-Merchandise-Bags.html</v>
      </c>
    </row>
    <row r="699" spans="1:4" hidden="1" x14ac:dyDescent="0.25">
      <c r="A699" t="str">
        <f>IF(LEN('categories-old'!G699) &gt; 0, "INSERT INTO `catalog_category_entity_varchar` (attribute_id,store_id,entity_id,value) VALUES (48,0,"&amp;'categories-old'!B699&amp;",'"&amp;RIGHT('categories-old'!G699,LEN('categories-old'!G699)-1)&amp;"');","")</f>
        <v>INSERT INTO `catalog_category_entity_varchar` (attribute_id,store_id,entity_id,value) VALUES (48,0,559,'img2/imgf974.jpg');</v>
      </c>
      <c r="B699" t="str">
        <f>IF(LEN(categories!G699) &gt; 0, "INSERT INTO `catalog_category_entity_varchar` (attribute_id,store_id,entity_id,value) VALUES (48,0,"&amp;categories!B699&amp;",'"&amp;RIGHT(categories!G699,LEN(categories!G699)-1)&amp;"');","")</f>
        <v>INSERT INTO `catalog_category_entity_varchar` (attribute_id,store_id,entity_id,value) VALUES (48,0,560,'img3/imgaca7.jpg');</v>
      </c>
      <c r="C699" t="str">
        <f>VLOOKUP(categories!B699,'categories-old'!B:G,6,FALSE)</f>
        <v>/img3/imgaca7.jpg</v>
      </c>
      <c r="D699" t="str">
        <f>VLOOKUP(categories!B699,'categories-old'!B:H,7,FALSE)</f>
        <v>www.americanretailsupply.com\65075\773375\Frosted-Plastic-Bags\Precious-Metal-Shoppers-with-Tri-Fold-Handles.html</v>
      </c>
    </row>
    <row r="700" spans="1:4" hidden="1" x14ac:dyDescent="0.25">
      <c r="A700" t="str">
        <f>IF(LEN('categories-old'!G700) &gt; 0, "INSERT INTO `catalog_category_entity_varchar` (attribute_id,store_id,entity_id,value) VALUES (48,0,"&amp;'categories-old'!B700&amp;",'"&amp;RIGHT('categories-old'!G700,LEN('categories-old'!G700)-1)&amp;"');","")</f>
        <v>INSERT INTO `catalog_category_entity_varchar` (attribute_id,store_id,entity_id,value) VALUES (48,0,560,'img3/imgaca7.jpg');</v>
      </c>
      <c r="B700" t="str">
        <f>IF(LEN(categories!G700) &gt; 0, "INSERT INTO `catalog_category_entity_varchar` (attribute_id,store_id,entity_id,value) VALUES (48,0,"&amp;categories!B700&amp;",'"&amp;RIGHT(categories!G700,LEN(categories!G700)-1)&amp;"');","")</f>
        <v>INSERT INTO `catalog_category_entity_varchar` (attribute_id,store_id,entity_id,value) VALUES (48,0,562,'img2/img6c6c.jpg');</v>
      </c>
      <c r="C700" t="str">
        <f>VLOOKUP(categories!B700,'categories-old'!B:G,6,FALSE)</f>
        <v>/img2/img6c6c.jpg</v>
      </c>
      <c r="D700" t="str">
        <f>VLOOKUP(categories!B700,'categories-old'!B:H,7,FALSE)</f>
        <v>www.americanretailsupply.com\64711\715928\Gable-Boxes\Gable-Boxes-with-Stock-Prints.html</v>
      </c>
    </row>
    <row r="701" spans="1:4" hidden="1" x14ac:dyDescent="0.25">
      <c r="A701" t="str">
        <f>IF(LEN('categories-old'!G701) &gt; 0, "INSERT INTO `catalog_category_entity_varchar` (attribute_id,store_id,entity_id,value) VALUES (48,0,"&amp;'categories-old'!B701&amp;",'"&amp;RIGHT('categories-old'!G701,LEN('categories-old'!G701)-1)&amp;"');","")</f>
        <v>INSERT INTO `catalog_category_entity_varchar` (attribute_id,store_id,entity_id,value) VALUES (48,0,562,'img2/img6c6c.jpg');</v>
      </c>
      <c r="B701" t="str">
        <f>IF(LEN(categories!G701) &gt; 0, "INSERT INTO `catalog_category_entity_varchar` (attribute_id,store_id,entity_id,value) VALUES (48,0,"&amp;categories!B701&amp;",'"&amp;RIGHT(categories!G701,LEN(categories!G701)-1)&amp;"');","")</f>
        <v>INSERT INTO `catalog_category_entity_varchar` (attribute_id,store_id,entity_id,value) VALUES (48,0,564,'img1/img640e.jpg');</v>
      </c>
      <c r="C701" t="str">
        <f>VLOOKUP(categories!B701,'categories-old'!B:G,6,FALSE)</f>
        <v>/img1/img640e.jpg</v>
      </c>
      <c r="D701" t="str">
        <f>VLOOKUP(categories!B701,'categories-old'!B:H,7,FALSE)</f>
        <v>www.americanretailsupply.com\65038\41130\Galvanized-Ball-Tip-PegHooks\Galvanized-Ball-Tip-Standard-Duty-Peg-Hook.html</v>
      </c>
    </row>
    <row r="702" spans="1:4" hidden="1" x14ac:dyDescent="0.25">
      <c r="A702" t="str">
        <f>IF(LEN('categories-old'!G702) &gt; 0, "INSERT INTO `catalog_category_entity_varchar` (attribute_id,store_id,entity_id,value) VALUES (48,0,"&amp;'categories-old'!B702&amp;",'"&amp;RIGHT('categories-old'!G702,LEN('categories-old'!G702)-1)&amp;"');","")</f>
        <v>INSERT INTO `catalog_category_entity_varchar` (attribute_id,store_id,entity_id,value) VALUES (48,0,564,'img1/img640e.jpg');</v>
      </c>
      <c r="B702" t="str">
        <f>IF(LEN(categories!G702) &gt; 0, "INSERT INTO `catalog_category_entity_varchar` (attribute_id,store_id,entity_id,value) VALUES (48,0,"&amp;categories!B702&amp;",'"&amp;RIGHT(categories!G702,LEN(categories!G702)-1)&amp;"');","")</f>
        <v>INSERT INTO `catalog_category_entity_varchar` (attribute_id,store_id,entity_id,value) VALUES (48,0,565,'img1/img640e.jpg');</v>
      </c>
      <c r="C702" t="str">
        <f>VLOOKUP(categories!B702,'categories-old'!B:G,6,FALSE)</f>
        <v>/img1/img640e.jpg</v>
      </c>
      <c r="D702" t="str">
        <f>VLOOKUP(categories!B702,'categories-old'!B:H,7,FALSE)</f>
        <v>www.americanretailsupply.com\65038\41131\Galvanized-Ball-Tip-PegHooks\Galvanized-Ball-Tip-Medium-Duty-Peg-Hook.html</v>
      </c>
    </row>
    <row r="703" spans="1:4" hidden="1" x14ac:dyDescent="0.25">
      <c r="A703" t="str">
        <f>IF(LEN('categories-old'!G703) &gt; 0, "INSERT INTO `catalog_category_entity_varchar` (attribute_id,store_id,entity_id,value) VALUES (48,0,"&amp;'categories-old'!B703&amp;",'"&amp;RIGHT('categories-old'!G703,LEN('categories-old'!G703)-1)&amp;"');","")</f>
        <v>INSERT INTO `catalog_category_entity_varchar` (attribute_id,store_id,entity_id,value) VALUES (48,0,565,'img1/img640e.jpg');</v>
      </c>
      <c r="B703" t="str">
        <f>IF(LEN(categories!G703) &gt; 0, "INSERT INTO `catalog_category_entity_varchar` (attribute_id,store_id,entity_id,value) VALUES (48,0,"&amp;categories!B703&amp;",'"&amp;RIGHT(categories!G703,LEN(categories!G703)-1)&amp;"');","")</f>
        <v>INSERT INTO `catalog_category_entity_varchar` (attribute_id,store_id,entity_id,value) VALUES (48,0,566,'img1/img640e.jpg');</v>
      </c>
      <c r="C703" t="str">
        <f>VLOOKUP(categories!B703,'categories-old'!B:G,6,FALSE)</f>
        <v>/img1/img640e.jpg</v>
      </c>
      <c r="D703" t="str">
        <f>VLOOKUP(categories!B703,'categories-old'!B:H,7,FALSE)</f>
        <v>www.americanretailsupply.com\65038\41133\Galvanized-Ball-Tip-PegHooks\Galvanized-Ball-Tip-Heavy-Duty-Peg-Hook.html</v>
      </c>
    </row>
    <row r="704" spans="1:4" hidden="1" x14ac:dyDescent="0.25">
      <c r="A704" t="str">
        <f>IF(LEN('categories-old'!G704) &gt; 0, "INSERT INTO `catalog_category_entity_varchar` (attribute_id,store_id,entity_id,value) VALUES (48,0,"&amp;'categories-old'!B704&amp;",'"&amp;RIGHT('categories-old'!G704,LEN('categories-old'!G704)-1)&amp;"');","")</f>
        <v>INSERT INTO `catalog_category_entity_varchar` (attribute_id,store_id,entity_id,value) VALUES (48,0,566,'img1/img640e.jpg');</v>
      </c>
      <c r="B704" t="str">
        <f>IF(LEN(categories!G704) &gt; 0, "INSERT INTO `catalog_category_entity_varchar` (attribute_id,store_id,entity_id,value) VALUES (48,0,"&amp;categories!B704&amp;",'"&amp;RIGHT(categories!G704,LEN(categories!G704)-1)&amp;"');","")</f>
        <v>INSERT INTO `catalog_category_entity_varchar` (attribute_id,store_id,entity_id,value) VALUES (48,0,568,'img3/img7ea3.jpg');</v>
      </c>
      <c r="C704" t="str">
        <f>VLOOKUP(categories!B704,'categories-old'!B:G,6,FALSE)</f>
        <v>/img3/img7ea3.jpg</v>
      </c>
      <c r="D704" t="str">
        <f>VLOOKUP(categories!B704,'categories-old'!B:H,7,FALSE)</f>
        <v>www.americanretailsupply.com\65194\36804\Garment--Hat-Racks\2-Arm-Garment-Racks.html</v>
      </c>
    </row>
    <row r="705" spans="1:4" hidden="1" x14ac:dyDescent="0.25">
      <c r="A705" t="str">
        <f>IF(LEN('categories-old'!G705) &gt; 0, "INSERT INTO `catalog_category_entity_varchar` (attribute_id,store_id,entity_id,value) VALUES (48,0,"&amp;'categories-old'!B705&amp;",'"&amp;RIGHT('categories-old'!G705,LEN('categories-old'!G705)-1)&amp;"');","")</f>
        <v>INSERT INTO `catalog_category_entity_varchar` (attribute_id,store_id,entity_id,value) VALUES (48,0,568,'img3/img7ea3.jpg');</v>
      </c>
      <c r="B705" t="str">
        <f>IF(LEN(categories!G705) &gt; 0, "INSERT INTO `catalog_category_entity_varchar` (attribute_id,store_id,entity_id,value) VALUES (48,0,"&amp;categories!B705&amp;",'"&amp;RIGHT(categories!G705,LEN(categories!G705)-1)&amp;"');","")</f>
        <v>INSERT INTO `catalog_category_entity_varchar` (attribute_id,store_id,entity_id,value) VALUES (48,0,569,'img2/img4518.jpg');</v>
      </c>
      <c r="C705" t="str">
        <f>VLOOKUP(categories!B705,'categories-old'!B:G,6,FALSE)</f>
        <v>/img2/img4518.jpg</v>
      </c>
      <c r="D705" t="str">
        <f>VLOOKUP(categories!B705,'categories-old'!B:H,7,FALSE)</f>
        <v>www.americanretailsupply.com\65194\36811\Garment--Hat-Racks\4-Arm-Garment-Racks.html</v>
      </c>
    </row>
    <row r="706" spans="1:4" hidden="1" x14ac:dyDescent="0.25">
      <c r="A706" t="str">
        <f>IF(LEN('categories-old'!G706) &gt; 0, "INSERT INTO `catalog_category_entity_varchar` (attribute_id,store_id,entity_id,value) VALUES (48,0,"&amp;'categories-old'!B706&amp;",'"&amp;RIGHT('categories-old'!G706,LEN('categories-old'!G706)-1)&amp;"');","")</f>
        <v>INSERT INTO `catalog_category_entity_varchar` (attribute_id,store_id,entity_id,value) VALUES (48,0,569,'img2/img4518.jpg');</v>
      </c>
      <c r="B706" t="str">
        <f>IF(LEN(categories!G706) &gt; 0, "INSERT INTO `catalog_category_entity_varchar` (attribute_id,store_id,entity_id,value) VALUES (48,0,"&amp;categories!B706&amp;",'"&amp;RIGHT(categories!G706,LEN(categories!G706)-1)&amp;"');","")</f>
        <v>INSERT INTO `catalog_category_entity_varchar` (attribute_id,store_id,entity_id,value) VALUES (48,0,570,'img2/imgc186.jpg');</v>
      </c>
      <c r="C706" t="str">
        <f>VLOOKUP(categories!B706,'categories-old'!B:G,6,FALSE)</f>
        <v>/img2/imgc186.jpg</v>
      </c>
      <c r="D706" t="str">
        <f>VLOOKUP(categories!B706,'categories-old'!B:H,7,FALSE)</f>
        <v>www.americanretailsupply.com\65194\37060\Garment--Hat-Racks\Rolling-Racks.html</v>
      </c>
    </row>
    <row r="707" spans="1:4" hidden="1" x14ac:dyDescent="0.25">
      <c r="A707" t="str">
        <f>IF(LEN('categories-old'!G707) &gt; 0, "INSERT INTO `catalog_category_entity_varchar` (attribute_id,store_id,entity_id,value) VALUES (48,0,"&amp;'categories-old'!B707&amp;",'"&amp;RIGHT('categories-old'!G707,LEN('categories-old'!G707)-1)&amp;"');","")</f>
        <v>INSERT INTO `catalog_category_entity_varchar` (attribute_id,store_id,entity_id,value) VALUES (48,0,570,'img2/imgc186.jpg');</v>
      </c>
      <c r="B707" t="str">
        <f>IF(LEN(categories!G707) &gt; 0, "INSERT INTO `catalog_category_entity_varchar` (attribute_id,store_id,entity_id,value) VALUES (48,0,"&amp;categories!B707&amp;",'"&amp;RIGHT(categories!G707,LEN(categories!G707)-1)&amp;"');","")</f>
        <v>INSERT INTO `catalog_category_entity_varchar` (attribute_id,store_id,entity_id,value) VALUES (48,0,571,'img1/img9b33.jpg');</v>
      </c>
      <c r="C707" t="str">
        <f>VLOOKUP(categories!B707,'categories-old'!B:G,6,FALSE)</f>
        <v>/img1/img9b33.jpg</v>
      </c>
      <c r="D707" t="str">
        <f>VLOOKUP(categories!B707,'categories-old'!B:H,7,FALSE)</f>
        <v>www.americanretailsupply.com\65194\37069\Garment--Hat-Racks\Round-Racks-and-Accessories.html</v>
      </c>
    </row>
    <row r="708" spans="1:4" hidden="1" x14ac:dyDescent="0.25">
      <c r="A708" t="str">
        <f>IF(LEN('categories-old'!G708) &gt; 0, "INSERT INTO `catalog_category_entity_varchar` (attribute_id,store_id,entity_id,value) VALUES (48,0,"&amp;'categories-old'!B708&amp;",'"&amp;RIGHT('categories-old'!G708,LEN('categories-old'!G708)-1)&amp;"');","")</f>
        <v>INSERT INTO `catalog_category_entity_varchar` (attribute_id,store_id,entity_id,value) VALUES (48,0,571,'img1/img9b33.jpg');</v>
      </c>
      <c r="B708" t="str">
        <f>IF(LEN(categories!G708) &gt; 0, "INSERT INTO `catalog_category_entity_varchar` (attribute_id,store_id,entity_id,value) VALUES (48,0,"&amp;categories!B708&amp;",'"&amp;RIGHT(categories!G708,LEN(categories!G708)-1)&amp;"');","")</f>
        <v>INSERT INTO `catalog_category_entity_varchar` (attribute_id,store_id,entity_id,value) VALUES (48,0,572,'img1/img7227.jpg');</v>
      </c>
      <c r="C708" t="str">
        <f>VLOOKUP(categories!B708,'categories-old'!B:G,6,FALSE)</f>
        <v>/img1/img7227.jpg</v>
      </c>
      <c r="D708" t="str">
        <f>VLOOKUP(categories!B708,'categories-old'!B:H,7,FALSE)</f>
        <v>www.americanretailsupply.com\65194\37071\Garment--Hat-Racks\Specialty-Racks.html</v>
      </c>
    </row>
    <row r="709" spans="1:4" hidden="1" x14ac:dyDescent="0.25">
      <c r="A709" t="str">
        <f>IF(LEN('categories-old'!G709) &gt; 0, "INSERT INTO `catalog_category_entity_varchar` (attribute_id,store_id,entity_id,value) VALUES (48,0,"&amp;'categories-old'!B709&amp;",'"&amp;RIGHT('categories-old'!G709,LEN('categories-old'!G709)-1)&amp;"');","")</f>
        <v>INSERT INTO `catalog_category_entity_varchar` (attribute_id,store_id,entity_id,value) VALUES (48,0,572,'img1/img7227.jpg');</v>
      </c>
      <c r="B709" t="str">
        <f>IF(LEN(categories!G709) &gt; 0, "INSERT INTO `catalog_category_entity_varchar` (attribute_id,store_id,entity_id,value) VALUES (48,0,"&amp;categories!B709&amp;",'"&amp;RIGHT(categories!G709,LEN(categories!G709)-1)&amp;"');","")</f>
        <v>INSERT INTO `catalog_category_entity_varchar` (attribute_id,store_id,entity_id,value) VALUES (48,0,573,'img1/img6f4a.jpg');</v>
      </c>
      <c r="C709" t="str">
        <f>VLOOKUP(categories!B709,'categories-old'!B:G,6,FALSE)</f>
        <v>/img1/img6f4a.jpg</v>
      </c>
      <c r="D709" t="str">
        <f>VLOOKUP(categories!B709,'categories-old'!B:H,7,FALSE)</f>
        <v>www.americanretailsupply.com\65194\708556\Garment--Hat-Racks\Floor-Display-Hat-Racks.html</v>
      </c>
    </row>
    <row r="710" spans="1:4" hidden="1" x14ac:dyDescent="0.25">
      <c r="A710" t="str">
        <f>IF(LEN('categories-old'!G710) &gt; 0, "INSERT INTO `catalog_category_entity_varchar` (attribute_id,store_id,entity_id,value) VALUES (48,0,"&amp;'categories-old'!B710&amp;",'"&amp;RIGHT('categories-old'!G710,LEN('categories-old'!G710)-1)&amp;"');","")</f>
        <v>INSERT INTO `catalog_category_entity_varchar` (attribute_id,store_id,entity_id,value) VALUES (48,0,573,'img1/img6f4a.jpg');</v>
      </c>
      <c r="B710" t="str">
        <f>IF(LEN(categories!G710) &gt; 0, "INSERT INTO `catalog_category_entity_varchar` (attribute_id,store_id,entity_id,value) VALUES (48,0,"&amp;categories!B710&amp;",'"&amp;RIGHT(categories!G710,LEN(categories!G710)-1)&amp;"');","")</f>
        <v>INSERT INTO `catalog_category_entity_varchar` (attribute_id,store_id,entity_id,value) VALUES (48,0,574,'img2/img1a1f.jpg');</v>
      </c>
      <c r="C710" t="str">
        <f>VLOOKUP(categories!B710,'categories-old'!B:G,6,FALSE)</f>
        <v>/img2/img1a1f.jpg</v>
      </c>
      <c r="D710" t="str">
        <f>VLOOKUP(categories!B710,'categories-old'!B:H,7,FALSE)</f>
        <v>www.americanretailsupply.com\65194\708557\Garment--Hat-Racks\Countertop-Hat-Racks.html</v>
      </c>
    </row>
    <row r="711" spans="1:4" hidden="1" x14ac:dyDescent="0.25">
      <c r="A711" t="str">
        <f>IF(LEN('categories-old'!G711) &gt; 0, "INSERT INTO `catalog_category_entity_varchar` (attribute_id,store_id,entity_id,value) VALUES (48,0,"&amp;'categories-old'!B711&amp;",'"&amp;RIGHT('categories-old'!G711,LEN('categories-old'!G711)-1)&amp;"');","")</f>
        <v>INSERT INTO `catalog_category_entity_varchar` (attribute_id,store_id,entity_id,value) VALUES (48,0,574,'img2/img1a1f.jpg');</v>
      </c>
      <c r="B711" t="str">
        <f>IF(LEN(categories!G711) &gt; 0, "INSERT INTO `catalog_category_entity_varchar` (attribute_id,store_id,entity_id,value) VALUES (48,0,"&amp;categories!B711&amp;",'"&amp;RIGHT(categories!G711,LEN(categories!G711)-1)&amp;"');","")</f>
        <v>INSERT INTO `catalog_category_entity_varchar` (attribute_id,store_id,entity_id,value) VALUES (48,0,575,'img1/imgbd67.jpg');</v>
      </c>
      <c r="C711" t="str">
        <f>VLOOKUP(categories!B711,'categories-old'!B:G,6,FALSE)</f>
        <v>/img1/imgbd67.jpg</v>
      </c>
      <c r="D711" t="str">
        <f>VLOOKUP(categories!B711,'categories-old'!B:H,7,FALSE)</f>
        <v>www.americanretailsupply.com\65194\784083\Garment--Hat-Racks\Garment-Rack-Replacement-Arms-and-Casters.html</v>
      </c>
    </row>
    <row r="712" spans="1:4" hidden="1" x14ac:dyDescent="0.25">
      <c r="A712" t="str">
        <f>IF(LEN('categories-old'!G712) &gt; 0, "INSERT INTO `catalog_category_entity_varchar` (attribute_id,store_id,entity_id,value) VALUES (48,0,"&amp;'categories-old'!B712&amp;",'"&amp;RIGHT('categories-old'!G712,LEN('categories-old'!G712)-1)&amp;"');","")</f>
        <v>INSERT INTO `catalog_category_entity_varchar` (attribute_id,store_id,entity_id,value) VALUES (48,0,575,'img1/imgbd67.jpg');</v>
      </c>
      <c r="B712" t="str">
        <f>IF(LEN(categories!G712) &gt; 0, "INSERT INTO `catalog_category_entity_varchar` (attribute_id,store_id,entity_id,value) VALUES (48,0,"&amp;categories!B712&amp;",'"&amp;RIGHT(categories!G712,LEN(categories!G712)-1)&amp;"');","")</f>
        <v>INSERT INTO `catalog_category_entity_varchar` (attribute_id,store_id,entity_id,value) VALUES (48,0,577,'img1/imgfb86.jpg');</v>
      </c>
      <c r="C712" t="str">
        <f>VLOOKUP(categories!B712,'categories-old'!B:G,6,FALSE)</f>
        <v>/img1/imgfb86.jpg</v>
      </c>
      <c r="D712" t="str">
        <f>VLOOKUP(categories!B712,'categories-old'!B:H,7,FALSE)</f>
        <v>www.americanretailsupply.com\65198\20277\Garment-Rolls--Bags\Lo-Density-Plastic-Garment-Rolls.html</v>
      </c>
    </row>
    <row r="713" spans="1:4" hidden="1" x14ac:dyDescent="0.25">
      <c r="A713" t="str">
        <f>IF(LEN('categories-old'!G713) &gt; 0, "INSERT INTO `catalog_category_entity_varchar` (attribute_id,store_id,entity_id,value) VALUES (48,0,"&amp;'categories-old'!B713&amp;",'"&amp;RIGHT('categories-old'!G713,LEN('categories-old'!G713)-1)&amp;"');","")</f>
        <v>INSERT INTO `catalog_category_entity_varchar` (attribute_id,store_id,entity_id,value) VALUES (48,0,577,'img1/imgfb86.jpg');</v>
      </c>
      <c r="B713" t="str">
        <f>IF(LEN(categories!G713) &gt; 0, "INSERT INTO `catalog_category_entity_varchar` (attribute_id,store_id,entity_id,value) VALUES (48,0,"&amp;categories!B713&amp;",'"&amp;RIGHT(categories!G713,LEN(categories!G713)-1)&amp;"');","")</f>
        <v>INSERT INTO `catalog_category_entity_varchar` (attribute_id,store_id,entity_id,value) VALUES (48,0,578,'img1/img5e31.jpg');</v>
      </c>
      <c r="C713" t="str">
        <f>VLOOKUP(categories!B713,'categories-old'!B:G,6,FALSE)</f>
        <v>/img1/img5e31.jpg</v>
      </c>
      <c r="D713" t="str">
        <f>VLOOKUP(categories!B713,'categories-old'!B:H,7,FALSE)</f>
        <v>www.americanretailsupply.com\65198\36802\Garment-Rolls--Bags\Salesmans-Garment-Bag-in-Navy-Blue.html</v>
      </c>
    </row>
    <row r="714" spans="1:4" hidden="1" x14ac:dyDescent="0.25">
      <c r="A714" t="str">
        <f>IF(LEN('categories-old'!G714) &gt; 0, "INSERT INTO `catalog_category_entity_varchar` (attribute_id,store_id,entity_id,value) VALUES (48,0,"&amp;'categories-old'!B714&amp;",'"&amp;RIGHT('categories-old'!G714,LEN('categories-old'!G714)-1)&amp;"');","")</f>
        <v>INSERT INTO `catalog_category_entity_varchar` (attribute_id,store_id,entity_id,value) VALUES (48,0,578,'img1/img5e31.jpg');</v>
      </c>
      <c r="B714" t="str">
        <f>IF(LEN(categories!G714) &gt; 0, "INSERT INTO `catalog_category_entity_varchar` (attribute_id,store_id,entity_id,value) VALUES (48,0,"&amp;categories!B714&amp;",'"&amp;RIGHT(categories!G714,LEN(categories!G714)-1)&amp;"');","")</f>
        <v>INSERT INTO `catalog_category_entity_varchar` (attribute_id,store_id,entity_id,value) VALUES (48,0,581,'img2/img0071.jpg');</v>
      </c>
      <c r="C714" t="str">
        <f>VLOOKUP(categories!B714,'categories-old'!B:G,6,FALSE)</f>
        <v>/img2/img0071.jpg</v>
      </c>
      <c r="D714" t="str">
        <f>VLOOKUP(categories!B714,'categories-old'!B:H,7,FALSE)</f>
        <v>www.americanretailsupply.com\64931\173737\Garvey-1-Line-Price-Guns\Garvey-22-1-Line-Labelers.html</v>
      </c>
    </row>
    <row r="715" spans="1:4" hidden="1" x14ac:dyDescent="0.25">
      <c r="A715" t="str">
        <f>IF(LEN('categories-old'!G715) &gt; 0, "INSERT INTO `catalog_category_entity_varchar` (attribute_id,store_id,entity_id,value) VALUES (48,0,"&amp;'categories-old'!B715&amp;",'"&amp;RIGHT('categories-old'!G715,LEN('categories-old'!G715)-1)&amp;"');","")</f>
        <v>INSERT INTO `catalog_category_entity_varchar` (attribute_id,store_id,entity_id,value) VALUES (48,0,581,'img2/img0071.jpg');</v>
      </c>
      <c r="B715" t="str">
        <f>IF(LEN(categories!G715) &gt; 0, "INSERT INTO `catalog_category_entity_varchar` (attribute_id,store_id,entity_id,value) VALUES (48,0,"&amp;categories!B715&amp;",'"&amp;RIGHT(categories!G715,LEN(categories!G715)-1)&amp;"');","")</f>
        <v>INSERT INTO `catalog_category_entity_varchar` (attribute_id,store_id,entity_id,value) VALUES (48,0,582,'img3/img359c.jpg');</v>
      </c>
      <c r="C715" t="str">
        <f>VLOOKUP(categories!B715,'categories-old'!B:G,6,FALSE)</f>
        <v>/img3/img359c.jpg</v>
      </c>
      <c r="D715" t="str">
        <f>VLOOKUP(categories!B715,'categories-old'!B:H,7,FALSE)</f>
        <v>www.americanretailsupply.com\64931\173738\Garvey-1-Line-Price-Guns\Garvey-Ink-Roller-for-the-Garvey-25.html</v>
      </c>
    </row>
    <row r="716" spans="1:4" hidden="1" x14ac:dyDescent="0.25">
      <c r="A716" t="str">
        <f>IF(LEN('categories-old'!G716) &gt; 0, "INSERT INTO `catalog_category_entity_varchar` (attribute_id,store_id,entity_id,value) VALUES (48,0,"&amp;'categories-old'!B716&amp;",'"&amp;RIGHT('categories-old'!G716,LEN('categories-old'!G716)-1)&amp;"');","")</f>
        <v>INSERT INTO `catalog_category_entity_varchar` (attribute_id,store_id,entity_id,value) VALUES (48,0,582,'img3/img359c.jpg');</v>
      </c>
      <c r="B716" t="str">
        <f>IF(LEN(categories!G716) &gt; 0, "INSERT INTO `catalog_category_entity_varchar` (attribute_id,store_id,entity_id,value) VALUES (48,0,"&amp;categories!B716&amp;",'"&amp;RIGHT(categories!G716,LEN(categories!G716)-1)&amp;"');","")</f>
        <v>INSERT INTO `catalog_category_entity_varchar` (attribute_id,store_id,entity_id,value) VALUES (48,0,583,'img2/img3feb.jpg');</v>
      </c>
      <c r="C716" t="str">
        <f>VLOOKUP(categories!B716,'categories-old'!B:G,6,FALSE)</f>
        <v>/img2/img3feb.jpg</v>
      </c>
      <c r="D716" t="str">
        <f>VLOOKUP(categories!B716,'categories-old'!B:H,7,FALSE)</f>
        <v>www.americanretailsupply.com\64931\173739\Garvey-1-Line-Price-Guns\Garvey-22-1-Line-Labels.html</v>
      </c>
    </row>
    <row r="717" spans="1:4" hidden="1" x14ac:dyDescent="0.25">
      <c r="A717" t="str">
        <f>IF(LEN('categories-old'!G717) &gt; 0, "INSERT INTO `catalog_category_entity_varchar` (attribute_id,store_id,entity_id,value) VALUES (48,0,"&amp;'categories-old'!B717&amp;",'"&amp;RIGHT('categories-old'!G717,LEN('categories-old'!G717)-1)&amp;"');","")</f>
        <v>INSERT INTO `catalog_category_entity_varchar` (attribute_id,store_id,entity_id,value) VALUES (48,0,583,'img2/img3feb.jpg');</v>
      </c>
      <c r="B717" t="str">
        <f>IF(LEN(categories!G717) &gt; 0, "INSERT INTO `catalog_category_entity_varchar` (attribute_id,store_id,entity_id,value) VALUES (48,0,"&amp;categories!B717&amp;",'"&amp;RIGHT(categories!G717,LEN(categories!G717)-1)&amp;"');","")</f>
        <v>INSERT INTO `catalog_category_entity_varchar` (attribute_id,store_id,entity_id,value) VALUES (48,0,584,'img3/img0b74.jpg');</v>
      </c>
      <c r="C717" t="str">
        <f>VLOOKUP(categories!B717,'categories-old'!B:G,6,FALSE)</f>
        <v>/img3/img0b74.jpg</v>
      </c>
      <c r="D717" t="str">
        <f>VLOOKUP(categories!B717,'categories-old'!B:H,7,FALSE)</f>
        <v>www.americanretailsupply.com\64931\173742\Garvey-1-Line-Price-Guns\Garvey-22-Starter-Kit.html</v>
      </c>
    </row>
    <row r="718" spans="1:4" hidden="1" x14ac:dyDescent="0.25">
      <c r="A718" t="str">
        <f>IF(LEN('categories-old'!G718) &gt; 0, "INSERT INTO `catalog_category_entity_varchar` (attribute_id,store_id,entity_id,value) VALUES (48,0,"&amp;'categories-old'!B718&amp;",'"&amp;RIGHT('categories-old'!G718,LEN('categories-old'!G718)-1)&amp;"');","")</f>
        <v>INSERT INTO `catalog_category_entity_varchar` (attribute_id,store_id,entity_id,value) VALUES (48,0,584,'img3/img0b74.jpg');</v>
      </c>
      <c r="B718" t="str">
        <f>IF(LEN(categories!G718) &gt; 0, "INSERT INTO `catalog_category_entity_varchar` (attribute_id,store_id,entity_id,value) VALUES (48,0,"&amp;categories!B718&amp;",'"&amp;RIGHT(categories!G718,LEN(categories!G718)-1)&amp;"');","")</f>
        <v>INSERT INTO `catalog_category_entity_varchar` (attribute_id,store_id,entity_id,value) VALUES (48,0,585,'img2/img9c4a.jpg');</v>
      </c>
      <c r="C718" t="str">
        <f>VLOOKUP(categories!B718,'categories-old'!B:G,6,FALSE)</f>
        <v>/img2/img9c4a.jpg</v>
      </c>
      <c r="D718" t="str">
        <f>VLOOKUP(categories!B718,'categories-old'!B:H,7,FALSE)</f>
        <v>www.americanretailsupply.com\64931\173745\Garvey-1-Line-Price-Guns\Garvey-25-1-Line-Labels.html</v>
      </c>
    </row>
    <row r="719" spans="1:4" hidden="1" x14ac:dyDescent="0.25">
      <c r="A719" t="str">
        <f>IF(LEN('categories-old'!G719) &gt; 0, "INSERT INTO `catalog_category_entity_varchar` (attribute_id,store_id,entity_id,value) VALUES (48,0,"&amp;'categories-old'!B719&amp;",'"&amp;RIGHT('categories-old'!G719,LEN('categories-old'!G719)-1)&amp;"');","")</f>
        <v>INSERT INTO `catalog_category_entity_varchar` (attribute_id,store_id,entity_id,value) VALUES (48,0,585,'img2/img9c4a.jpg');</v>
      </c>
      <c r="B719" t="str">
        <f>IF(LEN(categories!G719) &gt; 0, "INSERT INTO `catalog_category_entity_varchar` (attribute_id,store_id,entity_id,value) VALUES (48,0,"&amp;categories!B719&amp;",'"&amp;RIGHT(categories!G719,LEN(categories!G719)-1)&amp;"');","")</f>
        <v>INSERT INTO `catalog_category_entity_varchar` (attribute_id,store_id,entity_id,value) VALUES (48,0,586,'img3/img2ae2.jpg');</v>
      </c>
      <c r="C719" t="str">
        <f>VLOOKUP(categories!B719,'categories-old'!B:G,6,FALSE)</f>
        <v>/img3/img2ae2.jpg</v>
      </c>
      <c r="D719" t="str">
        <f>VLOOKUP(categories!B719,'categories-old'!B:H,7,FALSE)</f>
        <v>www.americanretailsupply.com\64931\173747\Garvey-1-Line-Price-Guns\Garvey-18-1-Line-Labels.html</v>
      </c>
    </row>
    <row r="720" spans="1:4" hidden="1" x14ac:dyDescent="0.25">
      <c r="A720" t="str">
        <f>IF(LEN('categories-old'!G720) &gt; 0, "INSERT INTO `catalog_category_entity_varchar` (attribute_id,store_id,entity_id,value) VALUES (48,0,"&amp;'categories-old'!B720&amp;",'"&amp;RIGHT('categories-old'!G720,LEN('categories-old'!G720)-1)&amp;"');","")</f>
        <v>INSERT INTO `catalog_category_entity_varchar` (attribute_id,store_id,entity_id,value) VALUES (48,0,586,'img3/img2ae2.jpg');</v>
      </c>
      <c r="B720" t="str">
        <f>IF(LEN(categories!G720) &gt; 0, "INSERT INTO `catalog_category_entity_varchar` (attribute_id,store_id,entity_id,value) VALUES (48,0,"&amp;categories!B720&amp;",'"&amp;RIGHT(categories!G720,LEN(categories!G720)-1)&amp;"');","")</f>
        <v>INSERT INTO `catalog_category_entity_varchar` (attribute_id,store_id,entity_id,value) VALUES (48,0,587,'img3/img8d60.jpg');</v>
      </c>
      <c r="C720" t="str">
        <f>VLOOKUP(categories!B720,'categories-old'!B:G,6,FALSE)</f>
        <v>/img3/img8d60.jpg</v>
      </c>
      <c r="D720" t="str">
        <f>VLOOKUP(categories!B720,'categories-old'!B:H,7,FALSE)</f>
        <v>www.americanretailsupply.com\64931\445664\Garvey-1-Line-Price-Guns\Garvey-25-1-Line-Promotional-Price-Gun.html</v>
      </c>
    </row>
    <row r="721" spans="1:4" hidden="1" x14ac:dyDescent="0.25">
      <c r="A721" t="str">
        <f>IF(LEN('categories-old'!G721) &gt; 0, "INSERT INTO `catalog_category_entity_varchar` (attribute_id,store_id,entity_id,value) VALUES (48,0,"&amp;'categories-old'!B721&amp;",'"&amp;RIGHT('categories-old'!G721,LEN('categories-old'!G721)-1)&amp;"');","")</f>
        <v>INSERT INTO `catalog_category_entity_varchar` (attribute_id,store_id,entity_id,value) VALUES (48,0,587,'img3/img8d60.jpg');</v>
      </c>
      <c r="B721" t="str">
        <f>IF(LEN(categories!G721) &gt; 0, "INSERT INTO `catalog_category_entity_varchar` (attribute_id,store_id,entity_id,value) VALUES (48,0,"&amp;categories!B721&amp;",'"&amp;RIGHT(categories!G721,LEN(categories!G721)-1)&amp;"');","")</f>
        <v>INSERT INTO `catalog_category_entity_varchar` (attribute_id,store_id,entity_id,value) VALUES (48,0,588,'img2/imgb741.jpg');</v>
      </c>
      <c r="C721" t="str">
        <f>VLOOKUP(categories!B721,'categories-old'!B:G,6,FALSE)</f>
        <v>/img2/imgb741.jpg</v>
      </c>
      <c r="D721" t="str">
        <f>VLOOKUP(categories!B721,'categories-old'!B:H,7,FALSE)</f>
        <v>www.americanretailsupply.com\64931\445665\Garvey-1-Line-Price-Guns\Garvey-25-Labels.html</v>
      </c>
    </row>
    <row r="722" spans="1:4" hidden="1" x14ac:dyDescent="0.25">
      <c r="A722" t="str">
        <f>IF(LEN('categories-old'!G722) &gt; 0, "INSERT INTO `catalog_category_entity_varchar` (attribute_id,store_id,entity_id,value) VALUES (48,0,"&amp;'categories-old'!B722&amp;",'"&amp;RIGHT('categories-old'!G722,LEN('categories-old'!G722)-1)&amp;"');","")</f>
        <v>INSERT INTO `catalog_category_entity_varchar` (attribute_id,store_id,entity_id,value) VALUES (48,0,588,'img2/imgb741.jpg');</v>
      </c>
      <c r="B722" t="str">
        <f>IF(LEN(categories!G722) &gt; 0, "INSERT INTO `catalog_category_entity_varchar` (attribute_id,store_id,entity_id,value) VALUES (48,0,"&amp;categories!B722&amp;",'"&amp;RIGHT(categories!G722,LEN(categories!G722)-1)&amp;"');","")</f>
        <v>INSERT INTO `catalog_category_entity_varchar` (attribute_id,store_id,entity_id,value) VALUES (48,0,590,'img3/img78a0.jpg');</v>
      </c>
      <c r="C722" t="str">
        <f>VLOOKUP(categories!B722,'categories-old'!B:G,6,FALSE)</f>
        <v>/img3/img78a0.jpg</v>
      </c>
      <c r="D722" t="str">
        <f>VLOOKUP(categories!B722,'categories-old'!B:H,7,FALSE)</f>
        <v>www.americanretailsupply.com\64932\173740\Garvey-2-Line-Price-Guns\Garvey-22-2-Line-Labelers.html</v>
      </c>
    </row>
    <row r="723" spans="1:4" hidden="1" x14ac:dyDescent="0.25">
      <c r="A723" t="str">
        <f>IF(LEN('categories-old'!G723) &gt; 0, "INSERT INTO `catalog_category_entity_varchar` (attribute_id,store_id,entity_id,value) VALUES (48,0,"&amp;'categories-old'!B723&amp;",'"&amp;RIGHT('categories-old'!G723,LEN('categories-old'!G723)-1)&amp;"');","")</f>
        <v>INSERT INTO `catalog_category_entity_varchar` (attribute_id,store_id,entity_id,value) VALUES (48,0,590,'img3/img78a0.jpg');</v>
      </c>
      <c r="B723" t="str">
        <f>IF(LEN(categories!G723) &gt; 0, "INSERT INTO `catalog_category_entity_varchar` (attribute_id,store_id,entity_id,value) VALUES (48,0,"&amp;categories!B723&amp;",'"&amp;RIGHT(categories!G723,LEN(categories!G723)-1)&amp;"');","")</f>
        <v>INSERT INTO `catalog_category_entity_varchar` (attribute_id,store_id,entity_id,value) VALUES (48,0,591,'img3/img4d03.jpg');</v>
      </c>
      <c r="C723" t="str">
        <f>VLOOKUP(categories!B723,'categories-old'!B:G,6,FALSE)</f>
        <v>/img3/img4d03.jpg</v>
      </c>
      <c r="D723" t="str">
        <f>VLOOKUP(categories!B723,'categories-old'!B:H,7,FALSE)</f>
        <v>www.americanretailsupply.com\64932\173741\Garvey-2-Line-Price-Guns\Garvey-22-2-Line-Labels.html</v>
      </c>
    </row>
    <row r="724" spans="1:4" hidden="1" x14ac:dyDescent="0.25">
      <c r="A724" t="str">
        <f>IF(LEN('categories-old'!G724) &gt; 0, "INSERT INTO `catalog_category_entity_varchar` (attribute_id,store_id,entity_id,value) VALUES (48,0,"&amp;'categories-old'!B724&amp;",'"&amp;RIGHT('categories-old'!G724,LEN('categories-old'!G724)-1)&amp;"');","")</f>
        <v>INSERT INTO `catalog_category_entity_varchar` (attribute_id,store_id,entity_id,value) VALUES (48,0,591,'img3/img4d03.jpg');</v>
      </c>
      <c r="B724" t="str">
        <f>IF(LEN(categories!G724) &gt; 0, "INSERT INTO `catalog_category_entity_varchar` (attribute_id,store_id,entity_id,value) VALUES (48,0,"&amp;categories!B724&amp;",'"&amp;RIGHT(categories!G724,LEN(categories!G724)-1)&amp;"');","")</f>
        <v>INSERT INTO `catalog_category_entity_varchar` (attribute_id,store_id,entity_id,value) VALUES (48,0,592,'img2/img68c6.jpg');</v>
      </c>
      <c r="C724" t="str">
        <f>VLOOKUP(categories!B724,'categories-old'!B:G,6,FALSE)</f>
        <v>/img2/img68c6.jpg</v>
      </c>
      <c r="D724" t="str">
        <f>VLOOKUP(categories!B724,'categories-old'!B:H,7,FALSE)</f>
        <v>www.americanretailsupply.com\64932\173743\Garvey-2-Line-Price-Guns\Starter-Kit.html</v>
      </c>
    </row>
    <row r="725" spans="1:4" hidden="1" x14ac:dyDescent="0.25">
      <c r="A725" t="str">
        <f>IF(LEN('categories-old'!G725) &gt; 0, "INSERT INTO `catalog_category_entity_varchar` (attribute_id,store_id,entity_id,value) VALUES (48,0,"&amp;'categories-old'!B725&amp;",'"&amp;RIGHT('categories-old'!G725,LEN('categories-old'!G725)-1)&amp;"');","")</f>
        <v>INSERT INTO `catalog_category_entity_varchar` (attribute_id,store_id,entity_id,value) VALUES (48,0,592,'img2/img68c6.jpg');</v>
      </c>
      <c r="B725" t="str">
        <f>IF(LEN(categories!G725) &gt; 0, "INSERT INTO `catalog_category_entity_varchar` (attribute_id,store_id,entity_id,value) VALUES (48,0,"&amp;categories!B725&amp;",'"&amp;RIGHT(categories!G725,LEN(categories!G725)-1)&amp;"');","")</f>
        <v>INSERT INTO `catalog_category_entity_varchar` (attribute_id,store_id,entity_id,value) VALUES (48,0,594,'img2/imgc1c4.jpg');</v>
      </c>
      <c r="C725" t="str">
        <f>VLOOKUP(categories!B725,'categories-old'!B:G,6,FALSE)</f>
        <v>/img2/imgc1c4.jpg</v>
      </c>
      <c r="D725" t="str">
        <f>VLOOKUP(categories!B725,'categories-old'!B:H,7,FALSE)</f>
        <v>www.americanretailsupply.com\64706\18448\Gift-Boxes\Pillow-Packs.html</v>
      </c>
    </row>
    <row r="726" spans="1:4" hidden="1" x14ac:dyDescent="0.25">
      <c r="A726" t="str">
        <f>IF(LEN('categories-old'!G726) &gt; 0, "INSERT INTO `catalog_category_entity_varchar` (attribute_id,store_id,entity_id,value) VALUES (48,0,"&amp;'categories-old'!B726&amp;",'"&amp;RIGHT('categories-old'!G726,LEN('categories-old'!G726)-1)&amp;"');","")</f>
        <v>INSERT INTO `catalog_category_entity_varchar` (attribute_id,store_id,entity_id,value) VALUES (48,0,594,'img2/imgc1c4.jpg');</v>
      </c>
      <c r="B726" t="str">
        <f>IF(LEN(categories!G726) &gt; 0, "INSERT INTO `catalog_category_entity_varchar` (attribute_id,store_id,entity_id,value) VALUES (48,0,"&amp;categories!B726&amp;",'"&amp;RIGHT(categories!G726,LEN(categories!G726)-1)&amp;"');","")</f>
        <v>INSERT INTO `catalog_category_entity_varchar` (attribute_id,store_id,entity_id,value) VALUES (48,0,595,'img1/img1961.jpg');</v>
      </c>
      <c r="C726" t="str">
        <f>VLOOKUP(categories!B726,'categories-old'!B:G,6,FALSE)</f>
        <v>/img1/img1961.jpg</v>
      </c>
      <c r="D726" t="str">
        <f>VLOOKUP(categories!B726,'categories-old'!B:H,7,FALSE)</f>
        <v>www.americanretailsupply.com\64706\18594\Gift-Boxes\Tinted-Kraft-Tuckit-Gift-Boxes.html</v>
      </c>
    </row>
    <row r="727" spans="1:4" hidden="1" x14ac:dyDescent="0.25">
      <c r="A727" t="str">
        <f>IF(LEN('categories-old'!G727) &gt; 0, "INSERT INTO `catalog_category_entity_varchar` (attribute_id,store_id,entity_id,value) VALUES (48,0,"&amp;'categories-old'!B727&amp;",'"&amp;RIGHT('categories-old'!G727,LEN('categories-old'!G727)-1)&amp;"');","")</f>
        <v>INSERT INTO `catalog_category_entity_varchar` (attribute_id,store_id,entity_id,value) VALUES (48,0,595,'img1/img1961.jpg');</v>
      </c>
      <c r="B727" t="str">
        <f>IF(LEN(categories!G727) &gt; 0, "INSERT INTO `catalog_category_entity_varchar` (attribute_id,store_id,entity_id,value) VALUES (48,0,"&amp;categories!B727&amp;",'"&amp;RIGHT(categories!G727,LEN(categories!G727)-1)&amp;"');","")</f>
        <v>INSERT INTO `catalog_category_entity_varchar` (attribute_id,store_id,entity_id,value) VALUES (48,0,596,'img3/img94a7.jpg');</v>
      </c>
      <c r="C727" t="str">
        <f>VLOOKUP(categories!B727,'categories-old'!B:G,6,FALSE)</f>
        <v>/img3/img94a7.jpg</v>
      </c>
      <c r="D727" t="str">
        <f>VLOOKUP(categories!B727,'categories-old'!B:H,7,FALSE)</f>
        <v>www.americanretailsupply.com\64706\172856\Gift-Boxes\View-Top-Stationery-Boxes.html</v>
      </c>
    </row>
    <row r="728" spans="1:4" hidden="1" x14ac:dyDescent="0.25">
      <c r="A728" t="str">
        <f>IF(LEN('categories-old'!G728) &gt; 0, "INSERT INTO `catalog_category_entity_varchar` (attribute_id,store_id,entity_id,value) VALUES (48,0,"&amp;'categories-old'!B728&amp;",'"&amp;RIGHT('categories-old'!G728,LEN('categories-old'!G728)-1)&amp;"');","")</f>
        <v>INSERT INTO `catalog_category_entity_varchar` (attribute_id,store_id,entity_id,value) VALUES (48,0,596,'img3/img94a7.jpg');</v>
      </c>
      <c r="B728" t="str">
        <f>IF(LEN(categories!G728) &gt; 0, "INSERT INTO `catalog_category_entity_varchar` (attribute_id,store_id,entity_id,value) VALUES (48,0,"&amp;categories!B728&amp;",'"&amp;RIGHT(categories!G728,LEN(categories!G728)-1)&amp;"');","")</f>
        <v>INSERT INTO `catalog_category_entity_varchar` (attribute_id,store_id,entity_id,value) VALUES (48,0,597,'img1/img1c08.jpg');</v>
      </c>
      <c r="C728" t="str">
        <f>VLOOKUP(categories!B728,'categories-old'!B:G,6,FALSE)</f>
        <v>/img1/img1c08.jpg</v>
      </c>
      <c r="D728" t="str">
        <f>VLOOKUP(categories!B728,'categories-old'!B:H,7,FALSE)</f>
        <v>www.americanretailsupply.com\64706\476449\Gift-Boxes\Two-Piece-Hat-Boxes.html</v>
      </c>
    </row>
    <row r="729" spans="1:4" hidden="1" x14ac:dyDescent="0.25">
      <c r="A729" t="str">
        <f>IF(LEN('categories-old'!G729) &gt; 0, "INSERT INTO `catalog_category_entity_varchar` (attribute_id,store_id,entity_id,value) VALUES (48,0,"&amp;'categories-old'!B729&amp;",'"&amp;RIGHT('categories-old'!G729,LEN('categories-old'!G729)-1)&amp;"');","")</f>
        <v>INSERT INTO `catalog_category_entity_varchar` (attribute_id,store_id,entity_id,value) VALUES (48,0,597,'img1/img1c08.jpg');</v>
      </c>
      <c r="B729" t="str">
        <f>IF(LEN(categories!G729) &gt; 0, "INSERT INTO `catalog_category_entity_varchar` (attribute_id,store_id,entity_id,value) VALUES (48,0,"&amp;categories!B729&amp;",'"&amp;RIGHT(categories!G729,LEN(categories!G729)-1)&amp;"');","")</f>
        <v>INSERT INTO `catalog_category_entity_varchar` (attribute_id,store_id,entity_id,value) VALUES (48,0,598,'img1/img9716.jpg');</v>
      </c>
      <c r="C729" t="str">
        <f>VLOOKUP(categories!B729,'categories-old'!B:G,6,FALSE)</f>
        <v>/img1/img9716.jpg</v>
      </c>
      <c r="D729" t="str">
        <f>VLOOKUP(categories!B729,'categories-old'!B:H,7,FALSE)</f>
        <v>www.americanretailsupply.com\64706\777022\Gift-Boxes\Gift-Box-Assortments.html</v>
      </c>
    </row>
    <row r="730" spans="1:4" hidden="1" x14ac:dyDescent="0.25">
      <c r="A730" t="str">
        <f>IF(LEN('categories-old'!G730) &gt; 0, "INSERT INTO `catalog_category_entity_varchar` (attribute_id,store_id,entity_id,value) VALUES (48,0,"&amp;'categories-old'!B730&amp;",'"&amp;RIGHT('categories-old'!G730,LEN('categories-old'!G730)-1)&amp;"');","")</f>
        <v>INSERT INTO `catalog_category_entity_varchar` (attribute_id,store_id,entity_id,value) VALUES (48,0,598,'img1/img9716.jpg');</v>
      </c>
      <c r="B730" t="str">
        <f>IF(LEN(categories!G730) &gt; 0, "INSERT INTO `catalog_category_entity_varchar` (attribute_id,store_id,entity_id,value) VALUES (48,0,"&amp;categories!B730&amp;",'"&amp;RIGHT(categories!G730,LEN(categories!G730)-1)&amp;"');","")</f>
        <v>INSERT INTO `catalog_category_entity_varchar` (attribute_id,store_id,entity_id,value) VALUES (48,0,599,'img3/img5090.jpg');</v>
      </c>
      <c r="C730" t="str">
        <f>VLOOKUP(categories!B730,'categories-old'!B:G,6,FALSE)</f>
        <v>/img3/img5090.jpg</v>
      </c>
      <c r="D730" t="str">
        <f>VLOOKUP(categories!B730,'categories-old'!B:H,7,FALSE)</f>
        <v>www.americanretailsupply.com\64706\780198\Gift-Boxes\White-Folding-Gift-Boxes.html</v>
      </c>
    </row>
    <row r="731" spans="1:4" hidden="1" x14ac:dyDescent="0.25">
      <c r="A731" t="str">
        <f>IF(LEN('categories-old'!G731) &gt; 0, "INSERT INTO `catalog_category_entity_varchar` (attribute_id,store_id,entity_id,value) VALUES (48,0,"&amp;'categories-old'!B731&amp;",'"&amp;RIGHT('categories-old'!G731,LEN('categories-old'!G731)-1)&amp;"');","")</f>
        <v>INSERT INTO `catalog_category_entity_varchar` (attribute_id,store_id,entity_id,value) VALUES (48,0,599,'img3/img5090.jpg');</v>
      </c>
      <c r="B731" t="str">
        <f>IF(LEN(categories!G731) &gt; 0, "INSERT INTO `catalog_category_entity_varchar` (attribute_id,store_id,entity_id,value) VALUES (48,0,"&amp;categories!B731&amp;",'"&amp;RIGHT(categories!G731,LEN(categories!G731)-1)&amp;"');","")</f>
        <v>INSERT INTO `catalog_category_entity_varchar` (attribute_id,store_id,entity_id,value) VALUES (48,0,600,'img1/img38cc.jpg');</v>
      </c>
      <c r="C731" t="str">
        <f>VLOOKUP(categories!B731,'categories-old'!B:G,6,FALSE)</f>
        <v>/img1/img38cc.jpg</v>
      </c>
      <c r="D731" t="str">
        <f>VLOOKUP(categories!B731,'categories-old'!B:H,7,FALSE)</f>
        <v>www.americanretailsupply.com\64706\780199\Gift-Boxes\Kraft-Folding-Gift-Boxes.html</v>
      </c>
    </row>
    <row r="732" spans="1:4" hidden="1" x14ac:dyDescent="0.25">
      <c r="A732" t="str">
        <f>IF(LEN('categories-old'!G732) &gt; 0, "INSERT INTO `catalog_category_entity_varchar` (attribute_id,store_id,entity_id,value) VALUES (48,0,"&amp;'categories-old'!B732&amp;",'"&amp;RIGHT('categories-old'!G732,LEN('categories-old'!G732)-1)&amp;"');","")</f>
        <v>INSERT INTO `catalog_category_entity_varchar` (attribute_id,store_id,entity_id,value) VALUES (48,0,600,'img1/img38cc.jpg');</v>
      </c>
      <c r="B732" t="str">
        <f>IF(LEN(categories!G732) &gt; 0, "INSERT INTO `catalog_category_entity_varchar` (attribute_id,store_id,entity_id,value) VALUES (48,0,"&amp;categories!B732&amp;",'"&amp;RIGHT(categories!G732,LEN(categories!G732)-1)&amp;"');","")</f>
        <v>INSERT INTO `catalog_category_entity_varchar` (attribute_id,store_id,entity_id,value) VALUES (48,0,602,'img1/img370d.jpg');</v>
      </c>
      <c r="C732" t="str">
        <f>VLOOKUP(categories!B732,'categories-old'!B:G,6,FALSE)</f>
        <v>/img1/img370d.jpg</v>
      </c>
      <c r="D732" t="str">
        <f>VLOOKUP(categories!B732,'categories-old'!B:H,7,FALSE)</f>
        <v>www.americanretailsupply.com\65764\715752\Gift-Card-Boxes-and-Purse-Totes\Pop-Up-Gift-Card-Boxes.html</v>
      </c>
    </row>
    <row r="733" spans="1:4" hidden="1" x14ac:dyDescent="0.25">
      <c r="A733" t="str">
        <f>IF(LEN('categories-old'!G733) &gt; 0, "INSERT INTO `catalog_category_entity_varchar` (attribute_id,store_id,entity_id,value) VALUES (48,0,"&amp;'categories-old'!B733&amp;",'"&amp;RIGHT('categories-old'!G733,LEN('categories-old'!G733)-1)&amp;"');","")</f>
        <v>INSERT INTO `catalog_category_entity_varchar` (attribute_id,store_id,entity_id,value) VALUES (48,0,602,'img1/img370d.jpg');</v>
      </c>
      <c r="B733" t="str">
        <f>IF(LEN(categories!G733) &gt; 0, "INSERT INTO `catalog_category_entity_varchar` (attribute_id,store_id,entity_id,value) VALUES (48,0,"&amp;categories!B733&amp;",'"&amp;RIGHT(categories!G733,LEN(categories!G733)-1)&amp;"');","")</f>
        <v>INSERT INTO `catalog_category_entity_varchar` (attribute_id,store_id,entity_id,value) VALUES (48,0,604,'img2/img006f.jpg');</v>
      </c>
      <c r="C733" t="str">
        <f>VLOOKUP(categories!B733,'categories-old'!B:G,6,FALSE)</f>
        <v>/img2/img006f.jpg</v>
      </c>
      <c r="D733" t="str">
        <f>VLOOKUP(categories!B733,'categories-old'!B:H,7,FALSE)</f>
        <v>www.americanretailsupply.com\64987\130646\Gift-Cards\Acrylic-Gift-Card-Holder-Display.html</v>
      </c>
    </row>
    <row r="734" spans="1:4" hidden="1" x14ac:dyDescent="0.25">
      <c r="A734" t="str">
        <f>IF(LEN('categories-old'!G734) &gt; 0, "INSERT INTO `catalog_category_entity_varchar` (attribute_id,store_id,entity_id,value) VALUES (48,0,"&amp;'categories-old'!B734&amp;",'"&amp;RIGHT('categories-old'!G734,LEN('categories-old'!G734)-1)&amp;"');","")</f>
        <v>INSERT INTO `catalog_category_entity_varchar` (attribute_id,store_id,entity_id,value) VALUES (48,0,604,'img2/img006f.jpg');</v>
      </c>
      <c r="B734" t="str">
        <f>IF(LEN(categories!G734) &gt; 0, "INSERT INTO `catalog_category_entity_varchar` (attribute_id,store_id,entity_id,value) VALUES (48,0,"&amp;categories!B734&amp;",'"&amp;RIGHT(categories!G734,LEN(categories!G734)-1)&amp;"');","")</f>
        <v>INSERT INTO `catalog_category_entity_varchar` (attribute_id,store_id,entity_id,value) VALUES (48,0,605,'img1/img1ee1.jpg');</v>
      </c>
      <c r="C734" t="str">
        <f>VLOOKUP(categories!B734,'categories-old'!B:G,6,FALSE)</f>
        <v>/img1/img1ee1.jpg</v>
      </c>
      <c r="D734" t="str">
        <f>VLOOKUP(categories!B734,'categories-old'!B:H,7,FALSE)</f>
        <v>www.americanretailsupply.com\64987\236144\Gift-Cards\Gift-Card-Holders.html</v>
      </c>
    </row>
    <row r="735" spans="1:4" hidden="1" x14ac:dyDescent="0.25">
      <c r="A735" t="str">
        <f>IF(LEN('categories-old'!G735) &gt; 0, "INSERT INTO `catalog_category_entity_varchar` (attribute_id,store_id,entity_id,value) VALUES (48,0,"&amp;'categories-old'!B735&amp;",'"&amp;RIGHT('categories-old'!G735,LEN('categories-old'!G735)-1)&amp;"');","")</f>
        <v>INSERT INTO `catalog_category_entity_varchar` (attribute_id,store_id,entity_id,value) VALUES (48,0,605,'img1/img1ee1.jpg');</v>
      </c>
      <c r="B735" t="str">
        <f>IF(LEN(categories!G735) &gt; 0, "INSERT INTO `catalog_category_entity_varchar` (attribute_id,store_id,entity_id,value) VALUES (48,0,"&amp;categories!B735&amp;",'"&amp;RIGHT(categories!G735,LEN(categories!G735)-1)&amp;"');","")</f>
        <v>INSERT INTO `catalog_category_entity_varchar` (attribute_id,store_id,entity_id,value) VALUES (48,0,606,'img2/img9626.jpg');</v>
      </c>
      <c r="C735" t="str">
        <f>VLOOKUP(categories!B735,'categories-old'!B:G,6,FALSE)</f>
        <v>/img2/img9626.jpg</v>
      </c>
      <c r="D735" t="str">
        <f>VLOOKUP(categories!B735,'categories-old'!B:H,7,FALSE)</f>
        <v>www.americanretailsupply.com\64987\784159\Gift-Cards\Gift-Card-Journal-Entry-Binder.html</v>
      </c>
    </row>
    <row r="736" spans="1:4" hidden="1" x14ac:dyDescent="0.25">
      <c r="A736" t="str">
        <f>IF(LEN('categories-old'!G736) &gt; 0, "INSERT INTO `catalog_category_entity_varchar` (attribute_id,store_id,entity_id,value) VALUES (48,0,"&amp;'categories-old'!B736&amp;",'"&amp;RIGHT('categories-old'!G736,LEN('categories-old'!G736)-1)&amp;"');","")</f>
        <v>INSERT INTO `catalog_category_entity_varchar` (attribute_id,store_id,entity_id,value) VALUES (48,0,606,'img2/img9626.jpg');</v>
      </c>
      <c r="B736" t="str">
        <f>IF(LEN(categories!G736) &gt; 0, "INSERT INTO `catalog_category_entity_varchar` (attribute_id,store_id,entity_id,value) VALUES (48,0,"&amp;categories!B736&amp;",'"&amp;RIGHT(categories!G736,LEN(categories!G736)-1)&amp;"');","")</f>
        <v>INSERT INTO `catalog_category_entity_varchar` (attribute_id,store_id,entity_id,value) VALUES (48,0,608,'img3/img559b.jpg');</v>
      </c>
      <c r="C736" t="str">
        <f>VLOOKUP(categories!B736,'categories-old'!B:G,6,FALSE)</f>
        <v>/img3/img559b.jpg</v>
      </c>
      <c r="D736" t="str">
        <f>VLOOKUP(categories!B736,'categories-old'!B:H,7,FALSE)</f>
        <v>www.americanretailsupply.com\64751\22328\Gift-Enclosure-Cards\Everyday-Designs-for-Gift-Enclosure-Cards.html</v>
      </c>
    </row>
    <row r="737" spans="1:4" hidden="1" x14ac:dyDescent="0.25">
      <c r="A737" t="str">
        <f>IF(LEN('categories-old'!G737) &gt; 0, "INSERT INTO `catalog_category_entity_varchar` (attribute_id,store_id,entity_id,value) VALUES (48,0,"&amp;'categories-old'!B737&amp;",'"&amp;RIGHT('categories-old'!G737,LEN('categories-old'!G737)-1)&amp;"');","")</f>
        <v>INSERT INTO `catalog_category_entity_varchar` (attribute_id,store_id,entity_id,value) VALUES (48,0,608,'img3/img559b.jpg');</v>
      </c>
      <c r="B737" t="str">
        <f>IF(LEN(categories!G737) &gt; 0, "INSERT INTO `catalog_category_entity_varchar` (attribute_id,store_id,entity_id,value) VALUES (48,0,"&amp;categories!B737&amp;",'"&amp;RIGHT(categories!G737,LEN(categories!G737)-1)&amp;"');","")</f>
        <v>INSERT INTO `catalog_category_entity_varchar` (attribute_id,store_id,entity_id,value) VALUES (48,0,609,'img3/imgd8df.jpg');</v>
      </c>
      <c r="C737" t="str">
        <f>VLOOKUP(categories!B737,'categories-old'!B:G,6,FALSE)</f>
        <v>/img3/imgd8df.jpg</v>
      </c>
      <c r="D737" t="str">
        <f>VLOOKUP(categories!B737,'categories-old'!B:H,7,FALSE)</f>
        <v>www.americanretailsupply.com\64751\48347\Gift-Enclosure-Cards\Envelopes-for-Gift-Enclosure-Cards.html</v>
      </c>
    </row>
    <row r="738" spans="1:4" hidden="1" x14ac:dyDescent="0.25">
      <c r="A738" t="str">
        <f>IF(LEN('categories-old'!G738) &gt; 0, "INSERT INTO `catalog_category_entity_varchar` (attribute_id,store_id,entity_id,value) VALUES (48,0,"&amp;'categories-old'!B738&amp;",'"&amp;RIGHT('categories-old'!G738,LEN('categories-old'!G738)-1)&amp;"');","")</f>
        <v>INSERT INTO `catalog_category_entity_varchar` (attribute_id,store_id,entity_id,value) VALUES (48,0,609,'img3/imgd8df.jpg');</v>
      </c>
      <c r="B738" t="str">
        <f>IF(LEN(categories!G738) &gt; 0, "INSERT INTO `catalog_category_entity_varchar` (attribute_id,store_id,entity_id,value) VALUES (48,0,"&amp;categories!B738&amp;",'"&amp;RIGHT(categories!G738,LEN(categories!G738)-1)&amp;"');","")</f>
        <v>INSERT INTO `catalog_category_entity_varchar` (attribute_id,store_id,entity_id,value) VALUES (48,0,610,'img3/imga94c.jpg');</v>
      </c>
      <c r="C738" t="str">
        <f>VLOOKUP(categories!B738,'categories-old'!B:G,6,FALSE)</f>
        <v>/img3/imga94c.jpg</v>
      </c>
      <c r="D738" t="str">
        <f>VLOOKUP(categories!B738,'categories-old'!B:H,7,FALSE)</f>
        <v>www.americanretailsupply.com\64751\48348\Gift-Enclosure-Cards\Christmas-and-Holiday-Gift-Enclosure-Cards.html</v>
      </c>
    </row>
    <row r="739" spans="1:4" hidden="1" x14ac:dyDescent="0.25">
      <c r="A739" t="str">
        <f>IF(LEN('categories-old'!G739) &gt; 0, "INSERT INTO `catalog_category_entity_varchar` (attribute_id,store_id,entity_id,value) VALUES (48,0,"&amp;'categories-old'!B739&amp;",'"&amp;RIGHT('categories-old'!G739,LEN('categories-old'!G739)-1)&amp;"');","")</f>
        <v>INSERT INTO `catalog_category_entity_varchar` (attribute_id,store_id,entity_id,value) VALUES (48,0,610,'img3/imga94c.jpg');</v>
      </c>
      <c r="B739" t="str">
        <f>IF(LEN(categories!G739) &gt; 0, "INSERT INTO `catalog_category_entity_varchar` (attribute_id,store_id,entity_id,value) VALUES (48,0,"&amp;categories!B739&amp;",'"&amp;RIGHT(categories!G739,LEN(categories!G739)-1)&amp;"');","")</f>
        <v>INSERT INTO `catalog_category_entity_varchar` (attribute_id,store_id,entity_id,value) VALUES (48,0,612,'img1/img1fd9.jpg');</v>
      </c>
      <c r="C739" t="str">
        <f>VLOOKUP(categories!B739,'categories-old'!B:G,6,FALSE)</f>
        <v>/img1/img1fd9.jpg</v>
      </c>
      <c r="D739" t="str">
        <f>VLOOKUP(categories!B739,'categories-old'!B:H,7,FALSE)</f>
        <v>www.americanretailsupply.com\65007\742366\Giftwrap-in-Animal-Prints\Giftwrap-in-Animal-Print-Patterns.html</v>
      </c>
    </row>
    <row r="740" spans="1:4" hidden="1" x14ac:dyDescent="0.25">
      <c r="A740" t="str">
        <f>IF(LEN('categories-old'!G740) &gt; 0, "INSERT INTO `catalog_category_entity_varchar` (attribute_id,store_id,entity_id,value) VALUES (48,0,"&amp;'categories-old'!B740&amp;",'"&amp;RIGHT('categories-old'!G740,LEN('categories-old'!G740)-1)&amp;"');","")</f>
        <v>INSERT INTO `catalog_category_entity_varchar` (attribute_id,store_id,entity_id,value) VALUES (48,0,612,'img1/img1fd9.jpg');</v>
      </c>
      <c r="B740" t="str">
        <f>IF(LEN(categories!G740) &gt; 0, "INSERT INTO `catalog_category_entity_varchar` (attribute_id,store_id,entity_id,value) VALUES (48,0,"&amp;categories!B740&amp;",'"&amp;RIGHT(categories!G740,LEN(categories!G740)-1)&amp;"');","")</f>
        <v>INSERT INTO `catalog_category_entity_varchar` (attribute_id,store_id,entity_id,value) VALUES (48,0,614,'img1/img75a1.jpg');</v>
      </c>
      <c r="C740" t="str">
        <f>VLOOKUP(categories!B740,'categories-old'!B:G,6,FALSE)</f>
        <v>/img1/img75a1.jpg</v>
      </c>
      <c r="D740" t="str">
        <f>VLOOKUP(categories!B740,'categories-old'!B:H,7,FALSE)</f>
        <v>www.americanretailsupply.com\64860\48238\Giftwrap-Ribbon-Tissue-Racks\Multi-Roll-Paper--GiftWrap-Cutters.html</v>
      </c>
    </row>
    <row r="741" spans="1:4" hidden="1" x14ac:dyDescent="0.25">
      <c r="A741" t="str">
        <f>IF(LEN('categories-old'!G741) &gt; 0, "INSERT INTO `catalog_category_entity_varchar` (attribute_id,store_id,entity_id,value) VALUES (48,0,"&amp;'categories-old'!B741&amp;",'"&amp;RIGHT('categories-old'!G741,LEN('categories-old'!G741)-1)&amp;"');","")</f>
        <v>INSERT INTO `catalog_category_entity_varchar` (attribute_id,store_id,entity_id,value) VALUES (48,0,614,'img1/img75a1.jpg');</v>
      </c>
      <c r="B741" t="str">
        <f>IF(LEN(categories!G741) &gt; 0, "INSERT INTO `catalog_category_entity_varchar` (attribute_id,store_id,entity_id,value) VALUES (48,0,"&amp;categories!B741&amp;",'"&amp;RIGHT(categories!G741,LEN(categories!G741)-1)&amp;"');","")</f>
        <v>INSERT INTO `catalog_category_entity_varchar` (attribute_id,store_id,entity_id,value) VALUES (48,0,615,'img2/imga22f.jpg');</v>
      </c>
      <c r="C741" t="str">
        <f>VLOOKUP(categories!B741,'categories-old'!B:G,6,FALSE)</f>
        <v>/img2/imga22f.jpg</v>
      </c>
      <c r="D741" t="str">
        <f>VLOOKUP(categories!B741,'categories-old'!B:H,7,FALSE)</f>
        <v>www.americanretailsupply.com\64860\48239\Giftwrap-Ribbon-Tissue-Racks\Serrated-Edge-Single-Paper-Cutter.html</v>
      </c>
    </row>
    <row r="742" spans="1:4" hidden="1" x14ac:dyDescent="0.25">
      <c r="A742" t="str">
        <f>IF(LEN('categories-old'!G742) &gt; 0, "INSERT INTO `catalog_category_entity_varchar` (attribute_id,store_id,entity_id,value) VALUES (48,0,"&amp;'categories-old'!B742&amp;",'"&amp;RIGHT('categories-old'!G742,LEN('categories-old'!G742)-1)&amp;"');","")</f>
        <v>INSERT INTO `catalog_category_entity_varchar` (attribute_id,store_id,entity_id,value) VALUES (48,0,615,'img2/imga22f.jpg');</v>
      </c>
      <c r="B742" t="str">
        <f>IF(LEN(categories!G742) &gt; 0, "INSERT INTO `catalog_category_entity_varchar` (attribute_id,store_id,entity_id,value) VALUES (48,0,"&amp;categories!B742&amp;",'"&amp;RIGHT(categories!G742,LEN(categories!G742)-1)&amp;"');","")</f>
        <v>INSERT INTO `catalog_category_entity_varchar` (attribute_id,store_id,entity_id,value) VALUES (48,0,616,'img1/img8868.jpg');</v>
      </c>
      <c r="C742" t="str">
        <f>VLOOKUP(categories!B742,'categories-old'!B:G,6,FALSE)</f>
        <v>/img1/img8868.jpg</v>
      </c>
      <c r="D742" t="str">
        <f>VLOOKUP(categories!B742,'categories-old'!B:H,7,FALSE)</f>
        <v>www.americanretailsupply.com\64860\48240\Giftwrap-Ribbon-Tissue-Racks\Single-Roll-Paper-Cutters.html</v>
      </c>
    </row>
    <row r="743" spans="1:4" hidden="1" x14ac:dyDescent="0.25">
      <c r="A743" t="str">
        <f>IF(LEN('categories-old'!G743) &gt; 0, "INSERT INTO `catalog_category_entity_varchar` (attribute_id,store_id,entity_id,value) VALUES (48,0,"&amp;'categories-old'!B743&amp;",'"&amp;RIGHT('categories-old'!G743,LEN('categories-old'!G743)-1)&amp;"');","")</f>
        <v>INSERT INTO `catalog_category_entity_varchar` (attribute_id,store_id,entity_id,value) VALUES (48,0,616,'img1/img8868.jpg');</v>
      </c>
      <c r="B743" t="str">
        <f>IF(LEN(categories!G743) &gt; 0, "INSERT INTO `catalog_category_entity_varchar` (attribute_id,store_id,entity_id,value) VALUES (48,0,"&amp;categories!B743&amp;",'"&amp;RIGHT(categories!G743,LEN(categories!G743)-1)&amp;"');","")</f>
        <v>INSERT INTO `catalog_category_entity_varchar` (attribute_id,store_id,entity_id,value) VALUES (48,0,617,'img2/img8b32.jpg');</v>
      </c>
      <c r="C743" t="str">
        <f>VLOOKUP(categories!B743,'categories-old'!B:G,6,FALSE)</f>
        <v>/img2/img8b32.jpg</v>
      </c>
      <c r="D743" t="str">
        <f>VLOOKUP(categories!B743,'categories-old'!B:H,7,FALSE)</f>
        <v>www.americanretailsupply.com\64860\172982\Giftwrap-Ribbon-Tissue-Racks\Tissue-Display-Racks.html</v>
      </c>
    </row>
    <row r="744" spans="1:4" hidden="1" x14ac:dyDescent="0.25">
      <c r="A744" t="str">
        <f>IF(LEN('categories-old'!G744) &gt; 0, "INSERT INTO `catalog_category_entity_varchar` (attribute_id,store_id,entity_id,value) VALUES (48,0,"&amp;'categories-old'!B744&amp;",'"&amp;RIGHT('categories-old'!G744,LEN('categories-old'!G744)-1)&amp;"');","")</f>
        <v>INSERT INTO `catalog_category_entity_varchar` (attribute_id,store_id,entity_id,value) VALUES (48,0,617,'img2/img8b32.jpg');</v>
      </c>
      <c r="B744" t="str">
        <f>IF(LEN(categories!G744) &gt; 0, "INSERT INTO `catalog_category_entity_varchar` (attribute_id,store_id,entity_id,value) VALUES (48,0,"&amp;categories!B744&amp;",'"&amp;RIGHT(categories!G744,LEN(categories!G744)-1)&amp;"');","")</f>
        <v>INSERT INTO `catalog_category_entity_varchar` (attribute_id,store_id,entity_id,value) VALUES (48,0,618,'img1/imge227.jpg');</v>
      </c>
      <c r="C744" t="str">
        <f>VLOOKUP(categories!B744,'categories-old'!B:G,6,FALSE)</f>
        <v>/img1/imge227.jpg</v>
      </c>
      <c r="D744" t="str">
        <f>VLOOKUP(categories!B744,'categories-old'!B:H,7,FALSE)</f>
        <v>www.americanretailsupply.com\64860\779930\Giftwrap-Ribbon-Tissue-Racks\Ribbon-Dispenser-for-Flat-Ribbon.html</v>
      </c>
    </row>
    <row r="745" spans="1:4" hidden="1" x14ac:dyDescent="0.25">
      <c r="A745" t="str">
        <f>IF(LEN('categories-old'!G745) &gt; 0, "INSERT INTO `catalog_category_entity_varchar` (attribute_id,store_id,entity_id,value) VALUES (48,0,"&amp;'categories-old'!B745&amp;",'"&amp;RIGHT('categories-old'!G745,LEN('categories-old'!G745)-1)&amp;"');","")</f>
        <v>INSERT INTO `catalog_category_entity_varchar` (attribute_id,store_id,entity_id,value) VALUES (48,0,618,'img1/imge227.jpg');</v>
      </c>
      <c r="B745" t="str">
        <f>IF(LEN(categories!G745) &gt; 0, "INSERT INTO `catalog_category_entity_varchar` (attribute_id,store_id,entity_id,value) VALUES (48,0,"&amp;categories!B745&amp;",'"&amp;RIGHT(categories!G745,LEN(categories!G745)-1)&amp;"');","")</f>
        <v>INSERT INTO `catalog_category_entity_varchar` (attribute_id,store_id,entity_id,value) VALUES (48,0,619,'img3/imgea04.jpg');</v>
      </c>
      <c r="C745" t="str">
        <f>VLOOKUP(categories!B745,'categories-old'!B:G,6,FALSE)</f>
        <v>/img3/imgea04.jpg</v>
      </c>
      <c r="D745" t="str">
        <f>VLOOKUP(categories!B745,'categories-old'!B:H,7,FALSE)</f>
        <v>www.americanretailsupply.com\64860\779931\Giftwrap-Ribbon-Tissue-Racks\Ribbon-Dispenser-for-Curling-Ribbon.html</v>
      </c>
    </row>
    <row r="746" spans="1:4" hidden="1" x14ac:dyDescent="0.25">
      <c r="A746" t="str">
        <f>IF(LEN('categories-old'!G746) &gt; 0, "INSERT INTO `catalog_category_entity_varchar` (attribute_id,store_id,entity_id,value) VALUES (48,0,"&amp;'categories-old'!B746&amp;",'"&amp;RIGHT('categories-old'!G746,LEN('categories-old'!G746)-1)&amp;"');","")</f>
        <v>INSERT INTO `catalog_category_entity_varchar` (attribute_id,store_id,entity_id,value) VALUES (48,0,619,'img3/imgea04.jpg');</v>
      </c>
      <c r="B746" t="str">
        <f>IF(LEN(categories!G746) &gt; 0, "INSERT INTO `catalog_category_entity_varchar` (attribute_id,store_id,entity_id,value) VALUES (48,0,"&amp;categories!B746&amp;",'"&amp;RIGHT(categories!G746,LEN(categories!G746)-1)&amp;"');","")</f>
        <v>INSERT INTO `catalog_category_entity_varchar` (attribute_id,store_id,entity_id,value) VALUES (48,0,622,'img3/img2866.jpg');</v>
      </c>
      <c r="C746" t="str">
        <f>VLOOKUP(categories!B746,'categories-old'!B:G,6,FALSE)</f>
        <v>/img3/img2866.jpg</v>
      </c>
      <c r="D746" t="str">
        <f>VLOOKUP(categories!B746,'categories-old'!B:H,7,FALSE)</f>
        <v>www.americanretailsupply.com\64971\37172\Glass-Connectors\2-Way.html</v>
      </c>
    </row>
    <row r="747" spans="1:4" hidden="1" x14ac:dyDescent="0.25">
      <c r="A747" t="str">
        <f>IF(LEN('categories-old'!G747) &gt; 0, "INSERT INTO `catalog_category_entity_varchar` (attribute_id,store_id,entity_id,value) VALUES (48,0,"&amp;'categories-old'!B747&amp;",'"&amp;RIGHT('categories-old'!G747,LEN('categories-old'!G747)-1)&amp;"');","")</f>
        <v>INSERT INTO `catalog_category_entity_varchar` (attribute_id,store_id,entity_id,value) VALUES (48,0,622,'img3/img2866.jpg');</v>
      </c>
      <c r="B747" t="str">
        <f>IF(LEN(categories!G747) &gt; 0, "INSERT INTO `catalog_category_entity_varchar` (attribute_id,store_id,entity_id,value) VALUES (48,0,"&amp;categories!B747&amp;",'"&amp;RIGHT(categories!G747,LEN(categories!G747)-1)&amp;"');","")</f>
        <v>INSERT INTO `catalog_category_entity_varchar` (attribute_id,store_id,entity_id,value) VALUES (48,0,623,'img1/imgb7db.jpg');</v>
      </c>
      <c r="C747" t="str">
        <f>VLOOKUP(categories!B747,'categories-old'!B:G,6,FALSE)</f>
        <v>/img1/imgb7db.jpg</v>
      </c>
      <c r="D747" t="str">
        <f>VLOOKUP(categories!B747,'categories-old'!B:H,7,FALSE)</f>
        <v>www.americanretailsupply.com\64971\37173\Glass-Connectors\3-Way.html</v>
      </c>
    </row>
    <row r="748" spans="1:4" hidden="1" x14ac:dyDescent="0.25">
      <c r="A748" t="str">
        <f>IF(LEN('categories-old'!G748) &gt; 0, "INSERT INTO `catalog_category_entity_varchar` (attribute_id,store_id,entity_id,value) VALUES (48,0,"&amp;'categories-old'!B748&amp;",'"&amp;RIGHT('categories-old'!G748,LEN('categories-old'!G748)-1)&amp;"');","")</f>
        <v>INSERT INTO `catalog_category_entity_varchar` (attribute_id,store_id,entity_id,value) VALUES (48,0,623,'img1/imgb7db.jpg');</v>
      </c>
      <c r="B748" t="str">
        <f>IF(LEN(categories!G748) &gt; 0, "INSERT INTO `catalog_category_entity_varchar` (attribute_id,store_id,entity_id,value) VALUES (48,0,"&amp;categories!B748&amp;",'"&amp;RIGHT(categories!G748,LEN(categories!G748)-1)&amp;"');","")</f>
        <v>INSERT INTO `catalog_category_entity_varchar` (attribute_id,store_id,entity_id,value) VALUES (48,0,624,'img2/img4e23.jpg');</v>
      </c>
      <c r="C748" t="str">
        <f>VLOOKUP(categories!B748,'categories-old'!B:G,6,FALSE)</f>
        <v>/img2/img4e23.jpg</v>
      </c>
      <c r="D748" t="str">
        <f>VLOOKUP(categories!B748,'categories-old'!B:H,7,FALSE)</f>
        <v>www.americanretailsupply.com\64971\37174\Glass-Connectors\4-Way.html</v>
      </c>
    </row>
    <row r="749" spans="1:4" hidden="1" x14ac:dyDescent="0.25">
      <c r="A749" t="str">
        <f>IF(LEN('categories-old'!G749) &gt; 0, "INSERT INTO `catalog_category_entity_varchar` (attribute_id,store_id,entity_id,value) VALUES (48,0,"&amp;'categories-old'!B749&amp;",'"&amp;RIGHT('categories-old'!G749,LEN('categories-old'!G749)-1)&amp;"');","")</f>
        <v>INSERT INTO `catalog_category_entity_varchar` (attribute_id,store_id,entity_id,value) VALUES (48,0,624,'img2/img4e23.jpg');</v>
      </c>
      <c r="B749" t="str">
        <f>IF(LEN(categories!G749) &gt; 0, "INSERT INTO `catalog_category_entity_varchar` (attribute_id,store_id,entity_id,value) VALUES (48,0,"&amp;categories!B749&amp;",'"&amp;RIGHT(categories!G749,LEN(categories!G749)-1)&amp;"');","")</f>
        <v>INSERT INTO `catalog_category_entity_varchar` (attribute_id,store_id,entity_id,value) VALUES (48,0,625,'img3/img09a9.jpg');</v>
      </c>
      <c r="C749" t="str">
        <f>VLOOKUP(categories!B749,'categories-old'!B:G,6,FALSE)</f>
        <v>/img3/img09a9.jpg</v>
      </c>
      <c r="D749" t="str">
        <f>VLOOKUP(categories!B749,'categories-old'!B:H,7,FALSE)</f>
        <v>www.americanretailsupply.com\64971\37175\Glass-Connectors\Hinge.html</v>
      </c>
    </row>
    <row r="750" spans="1:4" hidden="1" x14ac:dyDescent="0.25">
      <c r="A750" t="str">
        <f>IF(LEN('categories-old'!G750) &gt; 0, "INSERT INTO `catalog_category_entity_varchar` (attribute_id,store_id,entity_id,value) VALUES (48,0,"&amp;'categories-old'!B750&amp;",'"&amp;RIGHT('categories-old'!G750,LEN('categories-old'!G750)-1)&amp;"');","")</f>
        <v>INSERT INTO `catalog_category_entity_varchar` (attribute_id,store_id,entity_id,value) VALUES (48,0,625,'img3/img09a9.jpg');</v>
      </c>
      <c r="B750" t="str">
        <f>IF(LEN(categories!G750) &gt; 0, "INSERT INTO `catalog_category_entity_varchar` (attribute_id,store_id,entity_id,value) VALUES (48,0,"&amp;categories!B750&amp;",'"&amp;RIGHT(categories!G750,LEN(categories!G750)-1)&amp;"');","")</f>
        <v>INSERT INTO `catalog_category_entity_varchar` (attribute_id,store_id,entity_id,value) VALUES (48,0,626,'img1/img6b79.jpg');</v>
      </c>
      <c r="C750" t="str">
        <f>VLOOKUP(categories!B750,'categories-old'!B:G,6,FALSE)</f>
        <v>/img1/img6b79.jpg</v>
      </c>
      <c r="D750" t="str">
        <f>VLOOKUP(categories!B750,'categories-old'!B:H,7,FALSE)</f>
        <v>www.americanretailsupply.com\64971\37176\Glass-Connectors\Hasp.html</v>
      </c>
    </row>
    <row r="751" spans="1:4" hidden="1" x14ac:dyDescent="0.25">
      <c r="A751" t="str">
        <f>IF(LEN('categories-old'!G751) &gt; 0, "INSERT INTO `catalog_category_entity_varchar` (attribute_id,store_id,entity_id,value) VALUES (48,0,"&amp;'categories-old'!B751&amp;",'"&amp;RIGHT('categories-old'!G751,LEN('categories-old'!G751)-1)&amp;"');","")</f>
        <v>INSERT INTO `catalog_category_entity_varchar` (attribute_id,store_id,entity_id,value) VALUES (48,0,626,'img1/img6b79.jpg');</v>
      </c>
      <c r="B751" t="str">
        <f>IF(LEN(categories!G751) &gt; 0, "INSERT INTO `catalog_category_entity_varchar` (attribute_id,store_id,entity_id,value) VALUES (48,0,"&amp;categories!B751&amp;",'"&amp;RIGHT(categories!G751,LEN(categories!G751)-1)&amp;"');","")</f>
        <v>INSERT INTO `catalog_category_entity_varchar` (attribute_id,store_id,entity_id,value) VALUES (48,0,627,'img2/img337d.jpg');</v>
      </c>
      <c r="C751" t="str">
        <f>VLOOKUP(categories!B751,'categories-old'!B:G,6,FALSE)</f>
        <v>/img2/img337d.jpg</v>
      </c>
      <c r="D751" t="str">
        <f>VLOOKUP(categories!B751,'categories-old'!B:H,7,FALSE)</f>
        <v>www.americanretailsupply.com\64971\47634\Glass-Connectors\Combination-Lock.html</v>
      </c>
    </row>
    <row r="752" spans="1:4" hidden="1" x14ac:dyDescent="0.25">
      <c r="A752" t="str">
        <f>IF(LEN('categories-old'!G752) &gt; 0, "INSERT INTO `catalog_category_entity_varchar` (attribute_id,store_id,entity_id,value) VALUES (48,0,"&amp;'categories-old'!B752&amp;",'"&amp;RIGHT('categories-old'!G752,LEN('categories-old'!G752)-1)&amp;"');","")</f>
        <v>INSERT INTO `catalog_category_entity_varchar` (attribute_id,store_id,entity_id,value) VALUES (48,0,627,'img2/img337d.jpg');</v>
      </c>
      <c r="B752" t="str">
        <f>IF(LEN(categories!G752) &gt; 0, "INSERT INTO `catalog_category_entity_varchar` (attribute_id,store_id,entity_id,value) VALUES (48,0,"&amp;categories!B752&amp;",'"&amp;RIGHT(categories!G752,LEN(categories!G752)-1)&amp;"');","")</f>
        <v>INSERT INTO `catalog_category_entity_varchar` (attribute_id,store_id,entity_id,value) VALUES (48,0,628,'img1/img0eca.jpg');</v>
      </c>
      <c r="C752" t="str">
        <f>VLOOKUP(categories!B752,'categories-old'!B:G,6,FALSE)</f>
        <v>/img1/img0eca.jpg</v>
      </c>
      <c r="D752" t="str">
        <f>VLOOKUP(categories!B752,'categories-old'!B:H,7,FALSE)</f>
        <v>www.americanretailsupply.com\64971\47635\Glass-Connectors\Clear-Shelf-Rests.html</v>
      </c>
    </row>
    <row r="753" spans="1:4" hidden="1" x14ac:dyDescent="0.25">
      <c r="A753" t="str">
        <f>IF(LEN('categories-old'!G753) &gt; 0, "INSERT INTO `catalog_category_entity_varchar` (attribute_id,store_id,entity_id,value) VALUES (48,0,"&amp;'categories-old'!B753&amp;",'"&amp;RIGHT('categories-old'!G753,LEN('categories-old'!G753)-1)&amp;"');","")</f>
        <v>INSERT INTO `catalog_category_entity_varchar` (attribute_id,store_id,entity_id,value) VALUES (48,0,628,'img1/img0eca.jpg');</v>
      </c>
      <c r="B753" t="str">
        <f>IF(LEN(categories!G753) &gt; 0, "INSERT INTO `catalog_category_entity_varchar` (attribute_id,store_id,entity_id,value) VALUES (48,0,"&amp;categories!B753&amp;",'"&amp;RIGHT(categories!G753,LEN(categories!G753)-1)&amp;"');","")</f>
        <v>INSERT INTO `catalog_category_entity_varchar` (attribute_id,store_id,entity_id,value) VALUES (48,0,629,'img2/img7f3a.jpg');</v>
      </c>
      <c r="C753" t="str">
        <f>VLOOKUP(categories!B753,'categories-old'!B:G,6,FALSE)</f>
        <v>/img2/img7f3a.jpg</v>
      </c>
      <c r="D753" t="str">
        <f>VLOOKUP(categories!B753,'categories-old'!B:H,7,FALSE)</f>
        <v>www.americanretailsupply.com\64971\231679\Glass-Connectors\3-Way-Adjustable.html</v>
      </c>
    </row>
    <row r="754" spans="1:4" hidden="1" x14ac:dyDescent="0.25">
      <c r="A754" t="str">
        <f>IF(LEN('categories-old'!G754) &gt; 0, "INSERT INTO `catalog_category_entity_varchar` (attribute_id,store_id,entity_id,value) VALUES (48,0,"&amp;'categories-old'!B754&amp;",'"&amp;RIGHT('categories-old'!G754,LEN('categories-old'!G754)-1)&amp;"');","")</f>
        <v>INSERT INTO `catalog_category_entity_varchar` (attribute_id,store_id,entity_id,value) VALUES (48,0,629,'img2/img7f3a.jpg');</v>
      </c>
      <c r="B754" t="str">
        <f>IF(LEN(categories!G754) &gt; 0, "INSERT INTO `catalog_category_entity_varchar` (attribute_id,store_id,entity_id,value) VALUES (48,0,"&amp;categories!B754&amp;",'"&amp;RIGHT(categories!G754,LEN(categories!G754)-1)&amp;"');","")</f>
        <v>INSERT INTO `catalog_category_entity_varchar` (attribute_id,store_id,entity_id,value) VALUES (48,0,631,'img1/img1e3a.jpg');</v>
      </c>
      <c r="C754" t="str">
        <f>VLOOKUP(categories!B754,'categories-old'!B:G,6,FALSE)</f>
        <v>/img1/img1e3a.jpg</v>
      </c>
      <c r="D754" t="str">
        <f>VLOOKUP(categories!B754,'categories-old'!B:H,7,FALSE)</f>
        <v>www.americanretailsupply.com\64947\2701\Gridwall--Slatgrid-Panels\Slatgrid-Panels.html</v>
      </c>
    </row>
    <row r="755" spans="1:4" hidden="1" x14ac:dyDescent="0.25">
      <c r="A755" t="str">
        <f>IF(LEN('categories-old'!G755) &gt; 0, "INSERT INTO `catalog_category_entity_varchar` (attribute_id,store_id,entity_id,value) VALUES (48,0,"&amp;'categories-old'!B755&amp;",'"&amp;RIGHT('categories-old'!G755,LEN('categories-old'!G755)-1)&amp;"');","")</f>
        <v>INSERT INTO `catalog_category_entity_varchar` (attribute_id,store_id,entity_id,value) VALUES (48,0,631,'img1/img1e3a.jpg');</v>
      </c>
      <c r="B755" t="str">
        <f>IF(LEN(categories!G755) &gt; 0, "INSERT INTO `catalog_category_entity_varchar` (attribute_id,store_id,entity_id,value) VALUES (48,0,"&amp;categories!B755&amp;",'"&amp;RIGHT(categories!G755,LEN(categories!G755)-1)&amp;"');","")</f>
        <v>INSERT INTO `catalog_category_entity_varchar` (attribute_id,store_id,entity_id,value) VALUES (48,0,632,'img1/imga34a.jpg');</v>
      </c>
      <c r="C755" t="str">
        <f>VLOOKUP(categories!B755,'categories-old'!B:G,6,FALSE)</f>
        <v>/img1/imga34a.jpg</v>
      </c>
      <c r="D755" t="str">
        <f>VLOOKUP(categories!B755,'categories-old'!B:H,7,FALSE)</f>
        <v>www.americanretailsupply.com\64947\2704\Gridwall--Slatgrid-Panels\Gridwall-Panels.html</v>
      </c>
    </row>
    <row r="756" spans="1:4" hidden="1" x14ac:dyDescent="0.25">
      <c r="A756" t="str">
        <f>IF(LEN('categories-old'!G756) &gt; 0, "INSERT INTO `catalog_category_entity_varchar` (attribute_id,store_id,entity_id,value) VALUES (48,0,"&amp;'categories-old'!B756&amp;",'"&amp;RIGHT('categories-old'!G756,LEN('categories-old'!G756)-1)&amp;"');","")</f>
        <v>INSERT INTO `catalog_category_entity_varchar` (attribute_id,store_id,entity_id,value) VALUES (48,0,632,'img1/imga34a.jpg');</v>
      </c>
      <c r="B756" t="str">
        <f>IF(LEN(categories!G756) &gt; 0, "INSERT INTO `catalog_category_entity_varchar` (attribute_id,store_id,entity_id,value) VALUES (48,0,"&amp;categories!B756&amp;",'"&amp;RIGHT(categories!G756,LEN(categories!G756)-1)&amp;"');","")</f>
        <v>INSERT INTO `catalog_category_entity_varchar` (attribute_id,store_id,entity_id,value) VALUES (48,0,634,'img1/imgaaa4.jpg');</v>
      </c>
      <c r="C756" t="str">
        <f>VLOOKUP(categories!B756,'categories-old'!B:G,6,FALSE)</f>
        <v>/img1/imgaaa4.jpg</v>
      </c>
      <c r="D756" t="str">
        <f>VLOOKUP(categories!B756,'categories-old'!B:H,7,FALSE)</f>
        <v>www.americanretailsupply.com\64951\36212\Gridwall-Connectors\Joining-Clips.html</v>
      </c>
    </row>
    <row r="757" spans="1:4" hidden="1" x14ac:dyDescent="0.25">
      <c r="A757" t="str">
        <f>IF(LEN('categories-old'!G757) &gt; 0, "INSERT INTO `catalog_category_entity_varchar` (attribute_id,store_id,entity_id,value) VALUES (48,0,"&amp;'categories-old'!B757&amp;",'"&amp;RIGHT('categories-old'!G757,LEN('categories-old'!G757)-1)&amp;"');","")</f>
        <v>INSERT INTO `catalog_category_entity_varchar` (attribute_id,store_id,entity_id,value) VALUES (48,0,634,'img1/imgaaa4.jpg');</v>
      </c>
      <c r="B757" t="str">
        <f>IF(LEN(categories!G757) &gt; 0, "INSERT INTO `catalog_category_entity_varchar` (attribute_id,store_id,entity_id,value) VALUES (48,0,"&amp;categories!B757&amp;",'"&amp;RIGHT(categories!G757,LEN(categories!G757)-1)&amp;"');","")</f>
        <v>INSERT INTO `catalog_category_entity_varchar` (attribute_id,store_id,entity_id,value) VALUES (48,0,635,'img2/img0bf2.jpg');</v>
      </c>
      <c r="C757" t="str">
        <f>VLOOKUP(categories!B757,'categories-old'!B:G,6,FALSE)</f>
        <v>/img2/img0bf2.jpg</v>
      </c>
      <c r="D757" t="str">
        <f>VLOOKUP(categories!B757,'categories-old'!B:H,7,FALSE)</f>
        <v>www.americanretailsupply.com\64951\36213\Gridwall-Connectors\Wall-to-Grid-Bracket.html</v>
      </c>
    </row>
    <row r="758" spans="1:4" hidden="1" x14ac:dyDescent="0.25">
      <c r="A758" t="str">
        <f>IF(LEN('categories-old'!G758) &gt; 0, "INSERT INTO `catalog_category_entity_varchar` (attribute_id,store_id,entity_id,value) VALUES (48,0,"&amp;'categories-old'!B758&amp;",'"&amp;RIGHT('categories-old'!G758,LEN('categories-old'!G758)-1)&amp;"');","")</f>
        <v>INSERT INTO `catalog_category_entity_varchar` (attribute_id,store_id,entity_id,value) VALUES (48,0,635,'img2/img0bf2.jpg');</v>
      </c>
      <c r="B758" t="str">
        <f>IF(LEN(categories!G758) &gt; 0, "INSERT INTO `catalog_category_entity_varchar` (attribute_id,store_id,entity_id,value) VALUES (48,0,"&amp;categories!B758&amp;",'"&amp;RIGHT(categories!G758,LEN(categories!G758)-1)&amp;"');","")</f>
        <v>INSERT INTO `catalog_category_entity_varchar` (attribute_id,store_id,entity_id,value) VALUES (48,0,636,'img1/img8c5b.jpg');</v>
      </c>
      <c r="C758" t="str">
        <f>VLOOKUP(categories!B758,'categories-old'!B:G,6,FALSE)</f>
        <v>/img1/img8c5b.jpg</v>
      </c>
      <c r="D758" t="str">
        <f>VLOOKUP(categories!B758,'categories-old'!B:H,7,FALSE)</f>
        <v>www.americanretailsupply.com\64951\36214\Gridwall-Connectors\Universal-Standard-to-Grid-Bracket.html</v>
      </c>
    </row>
    <row r="759" spans="1:4" hidden="1" x14ac:dyDescent="0.25">
      <c r="A759" t="str">
        <f>IF(LEN('categories-old'!G759) &gt; 0, "INSERT INTO `catalog_category_entity_varchar` (attribute_id,store_id,entity_id,value) VALUES (48,0,"&amp;'categories-old'!B759&amp;",'"&amp;RIGHT('categories-old'!G759,LEN('categories-old'!G759)-1)&amp;"');","")</f>
        <v>INSERT INTO `catalog_category_entity_varchar` (attribute_id,store_id,entity_id,value) VALUES (48,0,636,'img1/img8c5b.jpg');</v>
      </c>
      <c r="B759" t="str">
        <f>IF(LEN(categories!G759) &gt; 0, "INSERT INTO `catalog_category_entity_varchar` (attribute_id,store_id,entity_id,value) VALUES (48,0,"&amp;categories!B759&amp;",'"&amp;RIGHT(categories!G759,LEN(categories!G759)-1)&amp;"');","")</f>
        <v>INSERT INTO `catalog_category_entity_varchar` (attribute_id,store_id,entity_id,value) VALUES (48,0,637,'img2/img7e44.jpg');</v>
      </c>
      <c r="C759" t="str">
        <f>VLOOKUP(categories!B759,'categories-old'!B:G,6,FALSE)</f>
        <v>/img2/img7e44.jpg</v>
      </c>
      <c r="D759" t="str">
        <f>VLOOKUP(categories!B759,'categories-old'!B:H,7,FALSE)</f>
        <v>www.americanretailsupply.com\64951\36216\Gridwall-Connectors\Slatwall-to-Grid-Bracket.html</v>
      </c>
    </row>
    <row r="760" spans="1:4" hidden="1" x14ac:dyDescent="0.25">
      <c r="A760" t="str">
        <f>IF(LEN('categories-old'!G760) &gt; 0, "INSERT INTO `catalog_category_entity_varchar` (attribute_id,store_id,entity_id,value) VALUES (48,0,"&amp;'categories-old'!B760&amp;",'"&amp;RIGHT('categories-old'!G760,LEN('categories-old'!G760)-1)&amp;"');","")</f>
        <v>INSERT INTO `catalog_category_entity_varchar` (attribute_id,store_id,entity_id,value) VALUES (48,0,637,'img2/img7e44.jpg');</v>
      </c>
      <c r="B760" t="str">
        <f>IF(LEN(categories!G760) &gt; 0, "INSERT INTO `catalog_category_entity_varchar` (attribute_id,store_id,entity_id,value) VALUES (48,0,"&amp;categories!B760&amp;",'"&amp;RIGHT(categories!G760,LEN(categories!G760)-1)&amp;"');","")</f>
        <v>INSERT INTO `catalog_category_entity_varchar` (attribute_id,store_id,entity_id,value) VALUES (48,0,638,'img1/img8d58.jpg');</v>
      </c>
      <c r="C760" t="str">
        <f>VLOOKUP(categories!B760,'categories-old'!B:G,6,FALSE)</f>
        <v>/img1/img8d58.jpg</v>
      </c>
      <c r="D760" t="str">
        <f>VLOOKUP(categories!B760,'categories-old'!B:H,7,FALSE)</f>
        <v>www.americanretailsupply.com\64951\228793\Gridwall-Connectors\Cable-Ties.html</v>
      </c>
    </row>
    <row r="761" spans="1:4" hidden="1" x14ac:dyDescent="0.25">
      <c r="A761" t="str">
        <f>IF(LEN('categories-old'!G761) &gt; 0, "INSERT INTO `catalog_category_entity_varchar` (attribute_id,store_id,entity_id,value) VALUES (48,0,"&amp;'categories-old'!B761&amp;",'"&amp;RIGHT('categories-old'!G761,LEN('categories-old'!G761)-1)&amp;"');","")</f>
        <v>INSERT INTO `catalog_category_entity_varchar` (attribute_id,store_id,entity_id,value) VALUES (48,0,638,'img1/img8d58.jpg');</v>
      </c>
      <c r="B761" t="str">
        <f>IF(LEN(categories!G761) &gt; 0, "INSERT INTO `catalog_category_entity_varchar` (attribute_id,store_id,entity_id,value) VALUES (48,0,"&amp;categories!B761&amp;",'"&amp;RIGHT(categories!G761,LEN(categories!G761)-1)&amp;"');","")</f>
        <v>INSERT INTO `catalog_category_entity_varchar` (attribute_id,store_id,entity_id,value) VALUES (48,0,640,'img3/imgbacd.jpg');</v>
      </c>
      <c r="C761" t="str">
        <f>VLOOKUP(categories!B761,'categories-old'!B:G,6,FALSE)</f>
        <v>/img3/imgbacd.jpg</v>
      </c>
      <c r="D761" t="str">
        <f>VLOOKUP(categories!B761,'categories-old'!B:H,7,FALSE)</f>
        <v>www.americanretailsupply.com\64950\35393\Gridwall-Display-Bases\Gridwall-Gondola-Base.html</v>
      </c>
    </row>
    <row r="762" spans="1:4" hidden="1" x14ac:dyDescent="0.25">
      <c r="A762" t="str">
        <f>IF(LEN('categories-old'!G762) &gt; 0, "INSERT INTO `catalog_category_entity_varchar` (attribute_id,store_id,entity_id,value) VALUES (48,0,"&amp;'categories-old'!B762&amp;",'"&amp;RIGHT('categories-old'!G762,LEN('categories-old'!G762)-1)&amp;"');","")</f>
        <v>INSERT INTO `catalog_category_entity_varchar` (attribute_id,store_id,entity_id,value) VALUES (48,0,640,'img3/imgbacd.jpg');</v>
      </c>
      <c r="B762" t="str">
        <f>IF(LEN(categories!G762) &gt; 0, "INSERT INTO `catalog_category_entity_varchar` (attribute_id,store_id,entity_id,value) VALUES (48,0,"&amp;categories!B762&amp;",'"&amp;RIGHT(categories!G762,LEN(categories!G762)-1)&amp;"');","")</f>
        <v>INSERT INTO `catalog_category_entity_varchar` (attribute_id,store_id,entity_id,value) VALUES (48,0,641,'img1/img9600.jpg');</v>
      </c>
      <c r="C762" t="str">
        <f>VLOOKUP(categories!B762,'categories-old'!B:G,6,FALSE)</f>
        <v>/img1/img9600.jpg</v>
      </c>
      <c r="D762" t="str">
        <f>VLOOKUP(categories!B762,'categories-old'!B:H,7,FALSE)</f>
        <v>www.americanretailsupply.com\64950\35394\Gridwall-Display-Bases\Star-Base.html</v>
      </c>
    </row>
    <row r="763" spans="1:4" hidden="1" x14ac:dyDescent="0.25">
      <c r="A763" t="str">
        <f>IF(LEN('categories-old'!G763) &gt; 0, "INSERT INTO `catalog_category_entity_varchar` (attribute_id,store_id,entity_id,value) VALUES (48,0,"&amp;'categories-old'!B763&amp;",'"&amp;RIGHT('categories-old'!G763,LEN('categories-old'!G763)-1)&amp;"');","")</f>
        <v>INSERT INTO `catalog_category_entity_varchar` (attribute_id,store_id,entity_id,value) VALUES (48,0,641,'img1/img9600.jpg');</v>
      </c>
      <c r="B763" t="str">
        <f>IF(LEN(categories!G763) &gt; 0, "INSERT INTO `catalog_category_entity_varchar` (attribute_id,store_id,entity_id,value) VALUES (48,0,"&amp;categories!B763&amp;",'"&amp;RIGHT(categories!G763,LEN(categories!G763)-1)&amp;"');","")</f>
        <v>INSERT INTO `catalog_category_entity_varchar` (attribute_id,store_id,entity_id,value) VALUES (48,0,642,'img3/img5ba3.jpg');</v>
      </c>
      <c r="C763" t="str">
        <f>VLOOKUP(categories!B763,'categories-old'!B:G,6,FALSE)</f>
        <v>/img3/img5ba3.jpg</v>
      </c>
      <c r="D763" t="str">
        <f>VLOOKUP(categories!B763,'categories-old'!B:H,7,FALSE)</f>
        <v>www.americanretailsupply.com\64950\35395\Gridwall-Display-Bases\Gridwall-Display-Legs.html</v>
      </c>
    </row>
    <row r="764" spans="1:4" hidden="1" x14ac:dyDescent="0.25">
      <c r="A764" t="str">
        <f>IF(LEN('categories-old'!G764) &gt; 0, "INSERT INTO `catalog_category_entity_varchar` (attribute_id,store_id,entity_id,value) VALUES (48,0,"&amp;'categories-old'!B764&amp;",'"&amp;RIGHT('categories-old'!G764,LEN('categories-old'!G764)-1)&amp;"');","")</f>
        <v>INSERT INTO `catalog_category_entity_varchar` (attribute_id,store_id,entity_id,value) VALUES (48,0,642,'img3/img5ba3.jpg');</v>
      </c>
      <c r="B764" t="str">
        <f>IF(LEN(categories!G764) &gt; 0, "INSERT INTO `catalog_category_entity_varchar` (attribute_id,store_id,entity_id,value) VALUES (48,0,"&amp;categories!B764&amp;",'"&amp;RIGHT(categories!G764,LEN(categories!G764)-1)&amp;"');","")</f>
        <v>INSERT INTO `catalog_category_entity_varchar` (attribute_id,store_id,entity_id,value) VALUES (48,0,643,'img3/img000e.jpg');</v>
      </c>
      <c r="C764" t="str">
        <f>VLOOKUP(categories!B764,'categories-old'!B:G,6,FALSE)</f>
        <v>/img3/img000e.jpg</v>
      </c>
      <c r="D764" t="str">
        <f>VLOOKUP(categories!B764,'categories-old'!B:H,7,FALSE)</f>
        <v>www.americanretailsupply.com\64950\35396\Gridwall-Display-Bases\Triangle-Base.html</v>
      </c>
    </row>
    <row r="765" spans="1:4" hidden="1" x14ac:dyDescent="0.25">
      <c r="A765" t="str">
        <f>IF(LEN('categories-old'!G765) &gt; 0, "INSERT INTO `catalog_category_entity_varchar` (attribute_id,store_id,entity_id,value) VALUES (48,0,"&amp;'categories-old'!B765&amp;",'"&amp;RIGHT('categories-old'!G765,LEN('categories-old'!G765)-1)&amp;"');","")</f>
        <v>INSERT INTO `catalog_category_entity_varchar` (attribute_id,store_id,entity_id,value) VALUES (48,0,643,'img3/img000e.jpg');</v>
      </c>
      <c r="B765" t="str">
        <f>IF(LEN(categories!G765) &gt; 0, "INSERT INTO `catalog_category_entity_varchar` (attribute_id,store_id,entity_id,value) VALUES (48,0,"&amp;categories!B765&amp;",'"&amp;RIGHT(categories!G765,LEN(categories!G765)-1)&amp;"');","")</f>
        <v>INSERT INTO `catalog_category_entity_varchar` (attribute_id,store_id,entity_id,value) VALUES (48,0,645,'img2/img193c.jpg');</v>
      </c>
      <c r="C765" t="str">
        <f>VLOOKUP(categories!B765,'categories-old'!B:G,6,FALSE)</f>
        <v>/img2/img193c.jpg</v>
      </c>
      <c r="D765" t="str">
        <f>VLOOKUP(categories!B765,'categories-old'!B:H,7,FALSE)</f>
        <v>www.americanretailsupply.com\64948\34096\Gridwall-Metal-Attachments\Gridwall-Flat-Wire-Shelf.html</v>
      </c>
    </row>
    <row r="766" spans="1:4" hidden="1" x14ac:dyDescent="0.25">
      <c r="A766" t="str">
        <f>IF(LEN('categories-old'!G766) &gt; 0, "INSERT INTO `catalog_category_entity_varchar` (attribute_id,store_id,entity_id,value) VALUES (48,0,"&amp;'categories-old'!B766&amp;",'"&amp;RIGHT('categories-old'!G766,LEN('categories-old'!G766)-1)&amp;"');","")</f>
        <v>INSERT INTO `catalog_category_entity_varchar` (attribute_id,store_id,entity_id,value) VALUES (48,0,645,'img2/img193c.jpg');</v>
      </c>
      <c r="B766" t="str">
        <f>IF(LEN(categories!G766) &gt; 0, "INSERT INTO `catalog_category_entity_varchar` (attribute_id,store_id,entity_id,value) VALUES (48,0,"&amp;categories!B766&amp;",'"&amp;RIGHT(categories!G766,LEN(categories!G766)-1)&amp;"');","")</f>
        <v>INSERT INTO `catalog_category_entity_varchar` (attribute_id,store_id,entity_id,value) VALUES (48,0,646,'img1/img682f.jpg');</v>
      </c>
      <c r="C766" t="str">
        <f>VLOOKUP(categories!B766,'categories-old'!B:G,6,FALSE)</f>
        <v>/img1/img682f.jpg</v>
      </c>
      <c r="D766" t="str">
        <f>VLOOKUP(categories!B766,'categories-old'!B:H,7,FALSE)</f>
        <v>www.americanretailsupply.com\64948\34302\Gridwall-Metal-Attachments\Shelf-Rest-with-Rubber-Buttons-for-Glass-Shelves.html</v>
      </c>
    </row>
    <row r="767" spans="1:4" hidden="1" x14ac:dyDescent="0.25">
      <c r="A767" t="str">
        <f>IF(LEN('categories-old'!G767) &gt; 0, "INSERT INTO `catalog_category_entity_varchar` (attribute_id,store_id,entity_id,value) VALUES (48,0,"&amp;'categories-old'!B767&amp;",'"&amp;RIGHT('categories-old'!G767,LEN('categories-old'!G767)-1)&amp;"');","")</f>
        <v>INSERT INTO `catalog_category_entity_varchar` (attribute_id,store_id,entity_id,value) VALUES (48,0,646,'img1/img682f.jpg');</v>
      </c>
      <c r="B767" t="str">
        <f>IF(LEN(categories!G767) &gt; 0, "INSERT INTO `catalog_category_entity_varchar` (attribute_id,store_id,entity_id,value) VALUES (48,0,"&amp;categories!B767&amp;",'"&amp;RIGHT(categories!G767,LEN(categories!G767)-1)&amp;"');","")</f>
        <v>INSERT INTO `catalog_category_entity_varchar` (attribute_id,store_id,entity_id,value) VALUES (48,0,647,'img2/imgc3d0.jpg');</v>
      </c>
      <c r="C767" t="str">
        <f>VLOOKUP(categories!B767,'categories-old'!B:G,6,FALSE)</f>
        <v>/img2/imgc3d0.jpg</v>
      </c>
      <c r="D767" t="str">
        <f>VLOOKUP(categories!B767,'categories-old'!B:H,7,FALSE)</f>
        <v>www.americanretailsupply.com\64948\35383\Gridwall-Metal-Attachments\Gridwall-Heavy-Duty-Hook-14-Diameter-90-tip.html</v>
      </c>
    </row>
    <row r="768" spans="1:4" hidden="1" x14ac:dyDescent="0.25">
      <c r="A768" t="str">
        <f>IF(LEN('categories-old'!G768) &gt; 0, "INSERT INTO `catalog_category_entity_varchar` (attribute_id,store_id,entity_id,value) VALUES (48,0,"&amp;'categories-old'!B768&amp;",'"&amp;RIGHT('categories-old'!G768,LEN('categories-old'!G768)-1)&amp;"');","")</f>
        <v>INSERT INTO `catalog_category_entity_varchar` (attribute_id,store_id,entity_id,value) VALUES (48,0,647,'img2/imgc3d0.jpg');</v>
      </c>
      <c r="B768" t="str">
        <f>IF(LEN(categories!G768) &gt; 0, "INSERT INTO `catalog_category_entity_varchar` (attribute_id,store_id,entity_id,value) VALUES (48,0,"&amp;categories!B768&amp;",'"&amp;RIGHT(categories!G768,LEN(categories!G768)-1)&amp;"');","")</f>
        <v>INSERT INTO `catalog_category_entity_varchar` (attribute_id,store_id,entity_id,value) VALUES (48,0,648,'img1/img3ea9.jpg');</v>
      </c>
      <c r="C768" t="str">
        <f>VLOOKUP(categories!B768,'categories-old'!B:G,6,FALSE)</f>
        <v>/img1/img3ea9.jpg</v>
      </c>
      <c r="D768" t="str">
        <f>VLOOKUP(categories!B768,'categories-old'!B:H,7,FALSE)</f>
        <v>www.americanretailsupply.com\64948\35384\Gridwall-Metal-Attachments\Gridwall-Heavy-Duty-Hook-14-Diameter-45-tip.html</v>
      </c>
    </row>
    <row r="769" spans="1:4" hidden="1" x14ac:dyDescent="0.25">
      <c r="A769" t="str">
        <f>IF(LEN('categories-old'!G769) &gt; 0, "INSERT INTO `catalog_category_entity_varchar` (attribute_id,store_id,entity_id,value) VALUES (48,0,"&amp;'categories-old'!B769&amp;",'"&amp;RIGHT('categories-old'!G769,LEN('categories-old'!G769)-1)&amp;"');","")</f>
        <v>INSERT INTO `catalog_category_entity_varchar` (attribute_id,store_id,entity_id,value) VALUES (48,0,648,'img1/img3ea9.jpg');</v>
      </c>
      <c r="B769" t="str">
        <f>IF(LEN(categories!G769) &gt; 0, "INSERT INTO `catalog_category_entity_varchar` (attribute_id,store_id,entity_id,value) VALUES (48,0,"&amp;categories!B769&amp;",'"&amp;RIGHT(categories!G769,LEN(categories!G769)-1)&amp;"');","")</f>
        <v>INSERT INTO `catalog_category_entity_varchar` (attribute_id,store_id,entity_id,value) VALUES (48,0,649,'img2/imgbcf2.jpg');</v>
      </c>
      <c r="C769" t="str">
        <f>VLOOKUP(categories!B769,'categories-old'!B:G,6,FALSE)</f>
        <v>/img2/imgbcf2.jpg</v>
      </c>
      <c r="D769" t="str">
        <f>VLOOKUP(categories!B769,'categories-old'!B:H,7,FALSE)</f>
        <v>www.americanretailsupply.com\64948\35385\Gridwall-Metal-Attachments\Gridwall-Hook--Regular-Duty.html</v>
      </c>
    </row>
    <row r="770" spans="1:4" hidden="1" x14ac:dyDescent="0.25">
      <c r="A770" t="str">
        <f>IF(LEN('categories-old'!G770) &gt; 0, "INSERT INTO `catalog_category_entity_varchar` (attribute_id,store_id,entity_id,value) VALUES (48,0,"&amp;'categories-old'!B770&amp;",'"&amp;RIGHT('categories-old'!G770,LEN('categories-old'!G770)-1)&amp;"');","")</f>
        <v>INSERT INTO `catalog_category_entity_varchar` (attribute_id,store_id,entity_id,value) VALUES (48,0,649,'img2/imgbcf2.jpg');</v>
      </c>
      <c r="B770" t="str">
        <f>IF(LEN(categories!G770) &gt; 0, "INSERT INTO `catalog_category_entity_varchar` (attribute_id,store_id,entity_id,value) VALUES (48,0,"&amp;categories!B770&amp;",'"&amp;RIGHT(categories!G770,LEN(categories!G770)-1)&amp;"');","")</f>
        <v>INSERT INTO `catalog_category_entity_varchar` (attribute_id,store_id,entity_id,value) VALUES (48,0,650,'img3/img8ca8.jpg');</v>
      </c>
      <c r="C770" t="str">
        <f>VLOOKUP(categories!B770,'categories-old'!B:G,6,FALSE)</f>
        <v>/img3/img8ca8.jpg</v>
      </c>
      <c r="D770" t="str">
        <f>VLOOKUP(categories!B770,'categories-old'!B:H,7,FALSE)</f>
        <v>www.americanretailsupply.com\64948\35386\Gridwall-Metal-Attachments\Gridwall-Straight-Faceout.html</v>
      </c>
    </row>
    <row r="771" spans="1:4" hidden="1" x14ac:dyDescent="0.25">
      <c r="A771" t="str">
        <f>IF(LEN('categories-old'!G771) &gt; 0, "INSERT INTO `catalog_category_entity_varchar` (attribute_id,store_id,entity_id,value) VALUES (48,0,"&amp;'categories-old'!B771&amp;",'"&amp;RIGHT('categories-old'!G771,LEN('categories-old'!G771)-1)&amp;"');","")</f>
        <v>INSERT INTO `catalog_category_entity_varchar` (attribute_id,store_id,entity_id,value) VALUES (48,0,650,'img3/img8ca8.jpg');</v>
      </c>
      <c r="B771" t="str">
        <f>IF(LEN(categories!G771) &gt; 0, "INSERT INTO `catalog_category_entity_varchar` (attribute_id,store_id,entity_id,value) VALUES (48,0,"&amp;categories!B771&amp;",'"&amp;RIGHT(categories!G771,LEN(categories!G771)-1)&amp;"');","")</f>
        <v>INSERT INTO `catalog_category_entity_varchar` (attribute_id,store_id,entity_id,value) VALUES (48,0,651,'img2/img8838.jpg');</v>
      </c>
      <c r="C771" t="str">
        <f>VLOOKUP(categories!B771,'categories-old'!B:G,6,FALSE)</f>
        <v>/img2/img8838.jpg</v>
      </c>
      <c r="D771" t="str">
        <f>VLOOKUP(categories!B771,'categories-old'!B:H,7,FALSE)</f>
        <v>www.americanretailsupply.com\64948\35387\Gridwall-Metal-Attachments\Gridwall-Waterfall-with-Ball-Stops.html</v>
      </c>
    </row>
    <row r="772" spans="1:4" hidden="1" x14ac:dyDescent="0.25">
      <c r="A772" t="str">
        <f>IF(LEN('categories-old'!G772) &gt; 0, "INSERT INTO `catalog_category_entity_varchar` (attribute_id,store_id,entity_id,value) VALUES (48,0,"&amp;'categories-old'!B772&amp;",'"&amp;RIGHT('categories-old'!G772,LEN('categories-old'!G772)-1)&amp;"');","")</f>
        <v>INSERT INTO `catalog_category_entity_varchar` (attribute_id,store_id,entity_id,value) VALUES (48,0,651,'img2/img8838.jpg');</v>
      </c>
      <c r="B772" t="str">
        <f>IF(LEN(categories!G772) &gt; 0, "INSERT INTO `catalog_category_entity_varchar` (attribute_id,store_id,entity_id,value) VALUES (48,0,"&amp;categories!B772&amp;",'"&amp;RIGHT(categories!G772,LEN(categories!G772)-1)&amp;"');","")</f>
        <v>INSERT INTO `catalog_category_entity_varchar` (attribute_id,store_id,entity_id,value) VALUES (48,0,652,'img2/img6e9f.jpg');</v>
      </c>
      <c r="C772" t="str">
        <f>VLOOKUP(categories!B772,'categories-old'!B:G,6,FALSE)</f>
        <v>/img2/img6e9f.jpg</v>
      </c>
      <c r="D772" t="str">
        <f>VLOOKUP(categories!B772,'categories-old'!B:H,7,FALSE)</f>
        <v>www.americanretailsupply.com\64948\35388\Gridwall-Metal-Attachments\Gridwall-Waterfall-with-Hooks.html</v>
      </c>
    </row>
    <row r="773" spans="1:4" hidden="1" x14ac:dyDescent="0.25">
      <c r="A773" t="str">
        <f>IF(LEN('categories-old'!G773) &gt; 0, "INSERT INTO `catalog_category_entity_varchar` (attribute_id,store_id,entity_id,value) VALUES (48,0,"&amp;'categories-old'!B773&amp;",'"&amp;RIGHT('categories-old'!G773,LEN('categories-old'!G773)-1)&amp;"');","")</f>
        <v>INSERT INTO `catalog_category_entity_varchar` (attribute_id,store_id,entity_id,value) VALUES (48,0,652,'img2/img6e9f.jpg');</v>
      </c>
      <c r="B773" t="str">
        <f>IF(LEN(categories!G773) &gt; 0, "INSERT INTO `catalog_category_entity_varchar` (attribute_id,store_id,entity_id,value) VALUES (48,0,"&amp;categories!B773&amp;",'"&amp;RIGHT(categories!G773,LEN(categories!G773)-1)&amp;"');","")</f>
        <v>INSERT INTO `catalog_category_entity_varchar` (attribute_id,store_id,entity_id,value) VALUES (48,0,653,'img1/img27af.jpg');</v>
      </c>
      <c r="C773" t="str">
        <f>VLOOKUP(categories!B773,'categories-old'!B:G,6,FALSE)</f>
        <v>/img1/img27af.jpg</v>
      </c>
      <c r="D773" t="str">
        <f>VLOOKUP(categories!B773,'categories-old'!B:H,7,FALSE)</f>
        <v>www.americanretailsupply.com\64948\35389\Gridwall-Metal-Attachments\Gridwall-U-Shaped-Hangrod-Bracket.html</v>
      </c>
    </row>
    <row r="774" spans="1:4" hidden="1" x14ac:dyDescent="0.25">
      <c r="A774" t="str">
        <f>IF(LEN('categories-old'!G774) &gt; 0, "INSERT INTO `catalog_category_entity_varchar` (attribute_id,store_id,entity_id,value) VALUES (48,0,"&amp;'categories-old'!B774&amp;",'"&amp;RIGHT('categories-old'!G774,LEN('categories-old'!G774)-1)&amp;"');","")</f>
        <v>INSERT INTO `catalog_category_entity_varchar` (attribute_id,store_id,entity_id,value) VALUES (48,0,653,'img1/img27af.jpg');</v>
      </c>
      <c r="B774" t="str">
        <f>IF(LEN(categories!G774) &gt; 0, "INSERT INTO `catalog_category_entity_varchar` (attribute_id,store_id,entity_id,value) VALUES (48,0,"&amp;categories!B774&amp;",'"&amp;RIGHT(categories!G774,LEN(categories!G774)-1)&amp;"');","")</f>
        <v>INSERT INTO `catalog_category_entity_varchar` (attribute_id,store_id,entity_id,value) VALUES (48,0,654,'img1/img82d9.jpg');</v>
      </c>
      <c r="C774" t="str">
        <f>VLOOKUP(categories!B774,'categories-old'!B:G,6,FALSE)</f>
        <v>/img1/img82d9.jpg</v>
      </c>
      <c r="D774" t="str">
        <f>VLOOKUP(categories!B774,'categories-old'!B:H,7,FALSE)</f>
        <v>www.americanretailsupply.com\64948\35390\Gridwall-Metal-Attachments\Gridwall-Hangrod-Quarter-Circle-Bracket.html</v>
      </c>
    </row>
    <row r="775" spans="1:4" hidden="1" x14ac:dyDescent="0.25">
      <c r="A775" t="str">
        <f>IF(LEN('categories-old'!G775) &gt; 0, "INSERT INTO `catalog_category_entity_varchar` (attribute_id,store_id,entity_id,value) VALUES (48,0,"&amp;'categories-old'!B775&amp;",'"&amp;RIGHT('categories-old'!G775,LEN('categories-old'!G775)-1)&amp;"');","")</f>
        <v>INSERT INTO `catalog_category_entity_varchar` (attribute_id,store_id,entity_id,value) VALUES (48,0,654,'img1/img82d9.jpg');</v>
      </c>
      <c r="B775" t="str">
        <f>IF(LEN(categories!G775) &gt; 0, "INSERT INTO `catalog_category_entity_varchar` (attribute_id,store_id,entity_id,value) VALUES (48,0,"&amp;categories!B775&amp;",'"&amp;RIGHT(categories!G775,LEN(categories!G775)-1)&amp;"');","")</f>
        <v>INSERT INTO `catalog_category_entity_varchar` (attribute_id,store_id,entity_id,value) VALUES (48,0,655,'img3/img81da.jpg');</v>
      </c>
      <c r="C775" t="str">
        <f>VLOOKUP(categories!B775,'categories-old'!B:G,6,FALSE)</f>
        <v>/img3/img81da.jpg</v>
      </c>
      <c r="D775" t="str">
        <f>VLOOKUP(categories!B775,'categories-old'!B:H,7,FALSE)</f>
        <v>www.americanretailsupply.com\64948\35391\Gridwall-Metal-Attachments\Gridwall-Bracket-for-Hangrod-Straight.html</v>
      </c>
    </row>
    <row r="776" spans="1:4" hidden="1" x14ac:dyDescent="0.25">
      <c r="A776" t="str">
        <f>IF(LEN('categories-old'!G776) &gt; 0, "INSERT INTO `catalog_category_entity_varchar` (attribute_id,store_id,entity_id,value) VALUES (48,0,"&amp;'categories-old'!B776&amp;",'"&amp;RIGHT('categories-old'!G776,LEN('categories-old'!G776)-1)&amp;"');","")</f>
        <v>INSERT INTO `catalog_category_entity_varchar` (attribute_id,store_id,entity_id,value) VALUES (48,0,655,'img3/img81da.jpg');</v>
      </c>
      <c r="B776" t="str">
        <f>IF(LEN(categories!G776) &gt; 0, "INSERT INTO `catalog_category_entity_varchar` (attribute_id,store_id,entity_id,value) VALUES (48,0,"&amp;categories!B776&amp;",'"&amp;RIGHT(categories!G776,LEN(categories!G776)-1)&amp;"');","")</f>
        <v>INSERT INTO `catalog_category_entity_varchar` (attribute_id,store_id,entity_id,value) VALUES (48,0,656,'img3/imgb971.jpg');</v>
      </c>
      <c r="C776" t="str">
        <f>VLOOKUP(categories!B776,'categories-old'!B:G,6,FALSE)</f>
        <v>/img3/imgb971.jpg</v>
      </c>
      <c r="D776" t="str">
        <f>VLOOKUP(categories!B776,'categories-old'!B:H,7,FALSE)</f>
        <v>www.americanretailsupply.com\64948\35392\Gridwall-Metal-Attachments\Gridwall-Picture-Hanger.html</v>
      </c>
    </row>
    <row r="777" spans="1:4" hidden="1" x14ac:dyDescent="0.25">
      <c r="A777" t="str">
        <f>IF(LEN('categories-old'!G777) &gt; 0, "INSERT INTO `catalog_category_entity_varchar` (attribute_id,store_id,entity_id,value) VALUES (48,0,"&amp;'categories-old'!B777&amp;",'"&amp;RIGHT('categories-old'!G777,LEN('categories-old'!G777)-1)&amp;"');","")</f>
        <v>INSERT INTO `catalog_category_entity_varchar` (attribute_id,store_id,entity_id,value) VALUES (48,0,656,'img3/imgb971.jpg');</v>
      </c>
      <c r="B777" t="str">
        <f>IF(LEN(categories!G777) &gt; 0, "INSERT INTO `catalog_category_entity_varchar` (attribute_id,store_id,entity_id,value) VALUES (48,0,"&amp;categories!B777&amp;",'"&amp;RIGHT(categories!G777,LEN(categories!G777)-1)&amp;"');","")</f>
        <v>INSERT INTO `catalog_category_entity_varchar` (attribute_id,store_id,entity_id,value) VALUES (48,0,657,'img2/img6aba.jpg');</v>
      </c>
      <c r="C777" t="str">
        <f>VLOOKUP(categories!B777,'categories-old'!B:G,6,FALSE)</f>
        <v>/img2/img6aba.jpg</v>
      </c>
      <c r="D777" t="str">
        <f>VLOOKUP(categories!B777,'categories-old'!B:H,7,FALSE)</f>
        <v>www.americanretailsupply.com\64948\35825\Gridwall-Metal-Attachments\Slant-Shelf-with-Lip.html</v>
      </c>
    </row>
    <row r="778" spans="1:4" hidden="1" x14ac:dyDescent="0.25">
      <c r="A778" t="str">
        <f>IF(LEN('categories-old'!G778) &gt; 0, "INSERT INTO `catalog_category_entity_varchar` (attribute_id,store_id,entity_id,value) VALUES (48,0,"&amp;'categories-old'!B778&amp;",'"&amp;RIGHT('categories-old'!G778,LEN('categories-old'!G778)-1)&amp;"');","")</f>
        <v>INSERT INTO `catalog_category_entity_varchar` (attribute_id,store_id,entity_id,value) VALUES (48,0,657,'img2/img6aba.jpg');</v>
      </c>
      <c r="B778" t="str">
        <f>IF(LEN(categories!G778) &gt; 0, "INSERT INTO `catalog_category_entity_varchar` (attribute_id,store_id,entity_id,value) VALUES (48,0,"&amp;categories!B778&amp;",'"&amp;RIGHT(categories!G778,LEN(categories!G778)-1)&amp;"');","")</f>
        <v>INSERT INTO `catalog_category_entity_varchar` (attribute_id,store_id,entity_id,value) VALUES (48,0,658,'img2/imgc08f.jpg');</v>
      </c>
      <c r="C778" t="str">
        <f>VLOOKUP(categories!B778,'categories-old'!B:G,6,FALSE)</f>
        <v>/img2/imgc08f.jpg</v>
      </c>
      <c r="D778" t="str">
        <f>VLOOKUP(categories!B778,'categories-old'!B:H,7,FALSE)</f>
        <v>www.americanretailsupply.com\64948\35826\Gridwall-Metal-Attachments\Multi-Wire-Baskets-for-Slatwall-Gridwall-Pegboard.html</v>
      </c>
    </row>
    <row r="779" spans="1:4" hidden="1" x14ac:dyDescent="0.25">
      <c r="A779" t="str">
        <f>IF(LEN('categories-old'!G779) &gt; 0, "INSERT INTO `catalog_category_entity_varchar` (attribute_id,store_id,entity_id,value) VALUES (48,0,"&amp;'categories-old'!B779&amp;",'"&amp;RIGHT('categories-old'!G779,LEN('categories-old'!G779)-1)&amp;"');","")</f>
        <v>INSERT INTO `catalog_category_entity_varchar` (attribute_id,store_id,entity_id,value) VALUES (48,0,658,'img2/imgc08f.jpg');</v>
      </c>
      <c r="B779" t="str">
        <f>IF(LEN(categories!G779) &gt; 0, "INSERT INTO `catalog_category_entity_varchar` (attribute_id,store_id,entity_id,value) VALUES (48,0,"&amp;categories!B779&amp;",'"&amp;RIGHT(categories!G779,LEN(categories!G779)-1)&amp;"');","")</f>
        <v>INSERT INTO `catalog_category_entity_varchar` (attribute_id,store_id,entity_id,value) VALUES (48,0,659,'img3/img8ac6.jpg');</v>
      </c>
      <c r="C779" t="str">
        <f>VLOOKUP(categories!B779,'categories-old'!B:G,6,FALSE)</f>
        <v>/img3/img8ac6.jpg</v>
      </c>
      <c r="D779" t="str">
        <f>VLOOKUP(categories!B779,'categories-old'!B:H,7,FALSE)</f>
        <v>www.americanretailsupply.com\64948\35829\Gridwall-Metal-Attachments\Triangle-Shelf.html</v>
      </c>
    </row>
    <row r="780" spans="1:4" hidden="1" x14ac:dyDescent="0.25">
      <c r="A780" t="str">
        <f>IF(LEN('categories-old'!G780) &gt; 0, "INSERT INTO `catalog_category_entity_varchar` (attribute_id,store_id,entity_id,value) VALUES (48,0,"&amp;'categories-old'!B780&amp;",'"&amp;RIGHT('categories-old'!G780,LEN('categories-old'!G780)-1)&amp;"');","")</f>
        <v>INSERT INTO `catalog_category_entity_varchar` (attribute_id,store_id,entity_id,value) VALUES (48,0,659,'img3/img8ac6.jpg');</v>
      </c>
      <c r="B780" t="str">
        <f>IF(LEN(categories!G780) &gt; 0, "INSERT INTO `catalog_category_entity_varchar` (attribute_id,store_id,entity_id,value) VALUES (48,0,"&amp;categories!B780&amp;",'"&amp;RIGHT(categories!G780,LEN(categories!G780)-1)&amp;"');","")</f>
        <v>INSERT INTO `catalog_category_entity_varchar` (attribute_id,store_id,entity_id,value) VALUES (48,0,660,'img1/img5025.jpg');</v>
      </c>
      <c r="C780" t="str">
        <f>VLOOKUP(categories!B780,'categories-old'!B:G,6,FALSE)</f>
        <v>/img1/img5025.jpg</v>
      </c>
      <c r="D780" t="str">
        <f>VLOOKUP(categories!B780,'categories-old'!B:H,7,FALSE)</f>
        <v>www.americanretailsupply.com\64948\35830\Gridwall-Metal-Attachments\Flat-Shelf-with-Lip.html</v>
      </c>
    </row>
    <row r="781" spans="1:4" hidden="1" x14ac:dyDescent="0.25">
      <c r="A781" t="str">
        <f>IF(LEN('categories-old'!G781) &gt; 0, "INSERT INTO `catalog_category_entity_varchar` (attribute_id,store_id,entity_id,value) VALUES (48,0,"&amp;'categories-old'!B781&amp;",'"&amp;RIGHT('categories-old'!G781,LEN('categories-old'!G781)-1)&amp;"');","")</f>
        <v>INSERT INTO `catalog_category_entity_varchar` (attribute_id,store_id,entity_id,value) VALUES (48,0,660,'img1/img5025.jpg');</v>
      </c>
      <c r="B781" t="str">
        <f>IF(LEN(categories!G781) &gt; 0, "INSERT INTO `catalog_category_entity_varchar` (attribute_id,store_id,entity_id,value) VALUES (48,0,"&amp;categories!B781&amp;",'"&amp;RIGHT(categories!G781,LEN(categories!G781)-1)&amp;"');","")</f>
        <v>INSERT INTO `catalog_category_entity_varchar` (attribute_id,store_id,entity_id,value) VALUES (48,0,661,'img3/img6c91.jpg');</v>
      </c>
      <c r="C781" t="str">
        <f>VLOOKUP(categories!B781,'categories-old'!B:G,6,FALSE)</f>
        <v>/img3/img6c91.jpg</v>
      </c>
      <c r="D781" t="str">
        <f>VLOOKUP(categories!B781,'categories-old'!B:H,7,FALSE)</f>
        <v>www.americanretailsupply.com\64948\35869\Gridwall-Metal-Attachments\Gridwall-Wire-Easel.html</v>
      </c>
    </row>
    <row r="782" spans="1:4" hidden="1" x14ac:dyDescent="0.25">
      <c r="A782" t="str">
        <f>IF(LEN('categories-old'!G782) &gt; 0, "INSERT INTO `catalog_category_entity_varchar` (attribute_id,store_id,entity_id,value) VALUES (48,0,"&amp;'categories-old'!B782&amp;",'"&amp;RIGHT('categories-old'!G782,LEN('categories-old'!G782)-1)&amp;"');","")</f>
        <v>INSERT INTO `catalog_category_entity_varchar` (attribute_id,store_id,entity_id,value) VALUES (48,0,661,'img3/img6c91.jpg');</v>
      </c>
      <c r="B782" t="str">
        <f>IF(LEN(categories!G782) &gt; 0, "INSERT INTO `catalog_category_entity_varchar` (attribute_id,store_id,entity_id,value) VALUES (48,0,"&amp;categories!B782&amp;",'"&amp;RIGHT(categories!G782,LEN(categories!G782)-1)&amp;"');","")</f>
        <v>INSERT INTO `catalog_category_entity_varchar` (attribute_id,store_id,entity_id,value) VALUES (48,0,662,'img3/img9e20.jpg');</v>
      </c>
      <c r="C782" t="str">
        <f>VLOOKUP(categories!B782,'categories-old'!B:G,6,FALSE)</f>
        <v>/img3/img9e20.jpg</v>
      </c>
      <c r="D782" t="str">
        <f>VLOOKUP(categories!B782,'categories-old'!B:H,7,FALSE)</f>
        <v>www.americanretailsupply.com\64948\36205\Gridwall-Metal-Attachments\Gridwall-Standard-Brackets.html</v>
      </c>
    </row>
    <row r="783" spans="1:4" hidden="1" x14ac:dyDescent="0.25">
      <c r="A783" t="str">
        <f>IF(LEN('categories-old'!G783) &gt; 0, "INSERT INTO `catalog_category_entity_varchar` (attribute_id,store_id,entity_id,value) VALUES (48,0,"&amp;'categories-old'!B783&amp;",'"&amp;RIGHT('categories-old'!G783,LEN('categories-old'!G783)-1)&amp;"');","")</f>
        <v>INSERT INTO `catalog_category_entity_varchar` (attribute_id,store_id,entity_id,value) VALUES (48,0,662,'img3/img9e20.jpg');</v>
      </c>
      <c r="B783" t="str">
        <f>IF(LEN(categories!G783) &gt; 0, "INSERT INTO `catalog_category_entity_varchar` (attribute_id,store_id,entity_id,value) VALUES (48,0,"&amp;categories!B783&amp;",'"&amp;RIGHT(categories!G783,LEN(categories!G783)-1)&amp;"');","")</f>
        <v>INSERT INTO `catalog_category_entity_varchar` (attribute_id,store_id,entity_id,value) VALUES (48,0,663,'img1/img9a18.jpg');</v>
      </c>
      <c r="C783" t="str">
        <f>VLOOKUP(categories!B783,'categories-old'!B:G,6,FALSE)</f>
        <v>/img1/img9a18.jpg</v>
      </c>
      <c r="D783" t="str">
        <f>VLOOKUP(categories!B783,'categories-old'!B:H,7,FALSE)</f>
        <v>www.americanretailsupply.com\64948\36208\Gridwall-Metal-Attachments\Gridwall-Bracket-for-Merchandising-Bar.html</v>
      </c>
    </row>
    <row r="784" spans="1:4" hidden="1" x14ac:dyDescent="0.25">
      <c r="A784" t="str">
        <f>IF(LEN('categories-old'!G784) &gt; 0, "INSERT INTO `catalog_category_entity_varchar` (attribute_id,store_id,entity_id,value) VALUES (48,0,"&amp;'categories-old'!B784&amp;",'"&amp;RIGHT('categories-old'!G784,LEN('categories-old'!G784)-1)&amp;"');","")</f>
        <v>INSERT INTO `catalog_category_entity_varchar` (attribute_id,store_id,entity_id,value) VALUES (48,0,663,'img1/img9a18.jpg');</v>
      </c>
      <c r="B784" t="str">
        <f>IF(LEN(categories!G784) &gt; 0, "INSERT INTO `catalog_category_entity_varchar` (attribute_id,store_id,entity_id,value) VALUES (48,0,"&amp;categories!B784&amp;",'"&amp;RIGHT(categories!G784,LEN(categories!G784)-1)&amp;"');","")</f>
        <v>INSERT INTO `catalog_category_entity_varchar` (attribute_id,store_id,entity_id,value) VALUES (48,0,664,'img2/img251a.jpg');</v>
      </c>
      <c r="C784" t="str">
        <f>VLOOKUP(categories!B784,'categories-old'!B:G,6,FALSE)</f>
        <v>/img2/img251a.jpg</v>
      </c>
      <c r="D784" t="str">
        <f>VLOOKUP(categories!B784,'categories-old'!B:H,7,FALSE)</f>
        <v>www.americanretailsupply.com\64948\36209\Gridwall-Metal-Attachments\Gridwall-Bracket-for-Hangrod.html</v>
      </c>
    </row>
    <row r="785" spans="1:4" hidden="1" x14ac:dyDescent="0.25">
      <c r="A785" t="str">
        <f>IF(LEN('categories-old'!G785) &gt; 0, "INSERT INTO `catalog_category_entity_varchar` (attribute_id,store_id,entity_id,value) VALUES (48,0,"&amp;'categories-old'!B785&amp;",'"&amp;RIGHT('categories-old'!G785,LEN('categories-old'!G785)-1)&amp;"');","")</f>
        <v>INSERT INTO `catalog_category_entity_varchar` (attribute_id,store_id,entity_id,value) VALUES (48,0,664,'img2/img251a.jpg');</v>
      </c>
      <c r="B785" t="str">
        <f>IF(LEN(categories!G785) &gt; 0, "INSERT INTO `catalog_category_entity_varchar` (attribute_id,store_id,entity_id,value) VALUES (48,0,"&amp;categories!B785&amp;",'"&amp;RIGHT(categories!G785,LEN(categories!G785)-1)&amp;"');","")</f>
        <v>INSERT INTO `catalog_category_entity_varchar` (attribute_id,store_id,entity_id,value) VALUES (48,0,665,'img1/imgbfda.jpg');</v>
      </c>
      <c r="C785" t="str">
        <f>VLOOKUP(categories!B785,'categories-old'!B:G,6,FALSE)</f>
        <v>/img1/imgbfda.jpg</v>
      </c>
      <c r="D785" t="str">
        <f>VLOOKUP(categories!B785,'categories-old'!B:H,7,FALSE)</f>
        <v>www.americanretailsupply.com\64948\228801\Gridwall-Metal-Attachments\Black-Gridwall-Hooks.html</v>
      </c>
    </row>
    <row r="786" spans="1:4" hidden="1" x14ac:dyDescent="0.25">
      <c r="A786" t="str">
        <f>IF(LEN('categories-old'!G786) &gt; 0, "INSERT INTO `catalog_category_entity_varchar` (attribute_id,store_id,entity_id,value) VALUES (48,0,"&amp;'categories-old'!B786&amp;",'"&amp;RIGHT('categories-old'!G786,LEN('categories-old'!G786)-1)&amp;"');","")</f>
        <v>INSERT INTO `catalog_category_entity_varchar` (attribute_id,store_id,entity_id,value) VALUES (48,0,665,'img1/imgbfda.jpg');</v>
      </c>
      <c r="B786" t="str">
        <f>IF(LEN(categories!G786) &gt; 0, "INSERT INTO `catalog_category_entity_varchar` (attribute_id,store_id,entity_id,value) VALUES (48,0,"&amp;categories!B786&amp;",'"&amp;RIGHT(categories!G786,LEN(categories!G786)-1)&amp;"');","")</f>
        <v>INSERT INTO `catalog_category_entity_varchar` (attribute_id,store_id,entity_id,value) VALUES (48,0,667,'img3/img6732.jpg');</v>
      </c>
      <c r="C786" t="str">
        <f>VLOOKUP(categories!B786,'categories-old'!B:G,6,FALSE)</f>
        <v>/img3/img6732.jpg</v>
      </c>
      <c r="D786" t="str">
        <f>VLOOKUP(categories!B786,'categories-old'!B:H,7,FALSE)</f>
        <v>www.americanretailsupply.com\65195\36366\Hangers\Chrome-Finish-Hangers.html</v>
      </c>
    </row>
    <row r="787" spans="1:4" hidden="1" x14ac:dyDescent="0.25">
      <c r="A787" t="str">
        <f>IF(LEN('categories-old'!G787) &gt; 0, "INSERT INTO `catalog_category_entity_varchar` (attribute_id,store_id,entity_id,value) VALUES (48,0,"&amp;'categories-old'!B787&amp;",'"&amp;RIGHT('categories-old'!G787,LEN('categories-old'!G787)-1)&amp;"');","")</f>
        <v>INSERT INTO `catalog_category_entity_varchar` (attribute_id,store_id,entity_id,value) VALUES (48,0,667,'img3/img6732.jpg');</v>
      </c>
      <c r="B787" t="str">
        <f>IF(LEN(categories!G787) &gt; 0, "INSERT INTO `catalog_category_entity_varchar` (attribute_id,store_id,entity_id,value) VALUES (48,0,"&amp;categories!B787&amp;",'"&amp;RIGHT(categories!G787,LEN(categories!G787)-1)&amp;"');","")</f>
        <v>INSERT INTO `catalog_category_entity_varchar` (attribute_id,store_id,entity_id,value) VALUES (48,0,668,'img1/img556f.jpg');</v>
      </c>
      <c r="C787" t="str">
        <f>VLOOKUP(categories!B787,'categories-old'!B:G,6,FALSE)</f>
        <v>/img1/img556f.jpg</v>
      </c>
      <c r="D787" t="str">
        <f>VLOOKUP(categories!B787,'categories-old'!B:H,7,FALSE)</f>
        <v>www.americanretailsupply.com\65195\36386\Hangers\Hanger-Accessories.html</v>
      </c>
    </row>
    <row r="788" spans="1:4" hidden="1" x14ac:dyDescent="0.25">
      <c r="A788" t="str">
        <f>IF(LEN('categories-old'!G788) &gt; 0, "INSERT INTO `catalog_category_entity_varchar` (attribute_id,store_id,entity_id,value) VALUES (48,0,"&amp;'categories-old'!B788&amp;",'"&amp;RIGHT('categories-old'!G788,LEN('categories-old'!G788)-1)&amp;"');","")</f>
        <v>INSERT INTO `catalog_category_entity_varchar` (attribute_id,store_id,entity_id,value) VALUES (48,0,668,'img1/img556f.jpg');</v>
      </c>
      <c r="B788" t="str">
        <f>IF(LEN(categories!G788) &gt; 0, "INSERT INTO `catalog_category_entity_varchar` (attribute_id,store_id,entity_id,value) VALUES (48,0,"&amp;categories!B788&amp;",'"&amp;RIGHT(categories!G788,LEN(categories!G788)-1)&amp;"');","")</f>
        <v>INSERT INTO `catalog_category_entity_varchar` (attribute_id,store_id,entity_id,value) VALUES (48,0,669,'img1/img117e.jpg');</v>
      </c>
      <c r="C788" t="str">
        <f>VLOOKUP(categories!B788,'categories-old'!B:G,6,FALSE)</f>
        <v>/img1/img117e.jpg</v>
      </c>
      <c r="D788" t="str">
        <f>VLOOKUP(categories!B788,'categories-old'!B:H,7,FALSE)</f>
        <v>www.americanretailsupply.com\65195\36793\Hangers\Wooden-Top-Hangers.html</v>
      </c>
    </row>
    <row r="789" spans="1:4" hidden="1" x14ac:dyDescent="0.25">
      <c r="A789" t="str">
        <f>IF(LEN('categories-old'!G789) &gt; 0, "INSERT INTO `catalog_category_entity_varchar` (attribute_id,store_id,entity_id,value) VALUES (48,0,"&amp;'categories-old'!B789&amp;",'"&amp;RIGHT('categories-old'!G789,LEN('categories-old'!G789)-1)&amp;"');","")</f>
        <v>INSERT INTO `catalog_category_entity_varchar` (attribute_id,store_id,entity_id,value) VALUES (48,0,669,'img1/img117e.jpg');</v>
      </c>
      <c r="B789" t="str">
        <f>IF(LEN(categories!G789) &gt; 0, "INSERT INTO `catalog_category_entity_varchar` (attribute_id,store_id,entity_id,value) VALUES (48,0,"&amp;categories!B789&amp;",'"&amp;RIGHT(categories!G789,LEN(categories!G789)-1)&amp;"');","")</f>
        <v>INSERT INTO `catalog_category_entity_varchar` (attribute_id,store_id,entity_id,value) VALUES (48,0,670,'img3/img0528.jpg');</v>
      </c>
      <c r="C789" t="str">
        <f>VLOOKUP(categories!B789,'categories-old'!B:G,6,FALSE)</f>
        <v>/img3/img0528.jpg</v>
      </c>
      <c r="D789" t="str">
        <f>VLOOKUP(categories!B789,'categories-old'!B:H,7,FALSE)</f>
        <v>www.americanretailsupply.com\65195\36794\Hangers\Wooden-Contoured-Suit-Hangers.html</v>
      </c>
    </row>
    <row r="790" spans="1:4" hidden="1" x14ac:dyDescent="0.25">
      <c r="A790" t="str">
        <f>IF(LEN('categories-old'!G790) &gt; 0, "INSERT INTO `catalog_category_entity_varchar` (attribute_id,store_id,entity_id,value) VALUES (48,0,"&amp;'categories-old'!B790&amp;",'"&amp;RIGHT('categories-old'!G790,LEN('categories-old'!G790)-1)&amp;"');","")</f>
        <v>INSERT INTO `catalog_category_entity_varchar` (attribute_id,store_id,entity_id,value) VALUES (48,0,670,'img3/img0528.jpg');</v>
      </c>
      <c r="B790" t="str">
        <f>IF(LEN(categories!G790) &gt; 0, "INSERT INTO `catalog_category_entity_varchar` (attribute_id,store_id,entity_id,value) VALUES (48,0,"&amp;categories!B790&amp;",'"&amp;RIGHT(categories!G790,LEN(categories!G790)-1)&amp;"');","")</f>
        <v>INSERT INTO `catalog_category_entity_varchar` (attribute_id,store_id,entity_id,value) VALUES (48,0,671,'img2/imgf449.jpg');</v>
      </c>
      <c r="C790" t="str">
        <f>VLOOKUP(categories!B790,'categories-old'!B:G,6,FALSE)</f>
        <v>/img2/imgf449.jpg</v>
      </c>
      <c r="D790" t="str">
        <f>VLOOKUP(categories!B790,'categories-old'!B:H,7,FALSE)</f>
        <v>www.americanretailsupply.com\65195\36796\Hangers\Wooden-Pant-and-Shirt-Hangers.html</v>
      </c>
    </row>
    <row r="791" spans="1:4" hidden="1" x14ac:dyDescent="0.25">
      <c r="A791" t="str">
        <f>IF(LEN('categories-old'!G791) &gt; 0, "INSERT INTO `catalog_category_entity_varchar` (attribute_id,store_id,entity_id,value) VALUES (48,0,"&amp;'categories-old'!B791&amp;",'"&amp;RIGHT('categories-old'!G791,LEN('categories-old'!G791)-1)&amp;"');","")</f>
        <v>INSERT INTO `catalog_category_entity_varchar` (attribute_id,store_id,entity_id,value) VALUES (48,0,671,'img2/imgf449.jpg');</v>
      </c>
      <c r="B791" t="str">
        <f>IF(LEN(categories!G791) &gt; 0, "INSERT INTO `catalog_category_entity_varchar` (attribute_id,store_id,entity_id,value) VALUES (48,0,"&amp;categories!B791&amp;",'"&amp;RIGHT(categories!G791,LEN(categories!G791)-1)&amp;"');","")</f>
        <v>INSERT INTO `catalog_category_entity_varchar` (attribute_id,store_id,entity_id,value) VALUES (48,0,672,'img2/img4be0.jpg');</v>
      </c>
      <c r="C791" t="str">
        <f>VLOOKUP(categories!B791,'categories-old'!B:G,6,FALSE)</f>
        <v>/img2/img4be0.jpg</v>
      </c>
      <c r="D791" t="str">
        <f>VLOOKUP(categories!B791,'categories-old'!B:H,7,FALSE)</f>
        <v>www.americanretailsupply.com\65195\47586\Hangers\Top-Hangers-with-Metal-Swivel-Hook.html</v>
      </c>
    </row>
    <row r="792" spans="1:4" hidden="1" x14ac:dyDescent="0.25">
      <c r="A792" t="str">
        <f>IF(LEN('categories-old'!G792) &gt; 0, "INSERT INTO `catalog_category_entity_varchar` (attribute_id,store_id,entity_id,value) VALUES (48,0,"&amp;'categories-old'!B792&amp;",'"&amp;RIGHT('categories-old'!G792,LEN('categories-old'!G792)-1)&amp;"');","")</f>
        <v>INSERT INTO `catalog_category_entity_varchar` (attribute_id,store_id,entity_id,value) VALUES (48,0,672,'img2/img4be0.jpg');</v>
      </c>
      <c r="B792" t="str">
        <f>IF(LEN(categories!G792) &gt; 0, "INSERT INTO `catalog_category_entity_varchar` (attribute_id,store_id,entity_id,value) VALUES (48,0,"&amp;categories!B792&amp;",'"&amp;RIGHT(categories!G792,LEN(categories!G792)-1)&amp;"');","")</f>
        <v>INSERT INTO `catalog_category_entity_varchar` (attribute_id,store_id,entity_id,value) VALUES (48,0,673,'img1/img16ca.jpg');</v>
      </c>
      <c r="C792" t="str">
        <f>VLOOKUP(categories!B792,'categories-old'!B:G,6,FALSE)</f>
        <v>/img1/img16ca.jpg</v>
      </c>
      <c r="D792" t="str">
        <f>VLOOKUP(categories!B792,'categories-old'!B:H,7,FALSE)</f>
        <v>www.americanretailsupply.com\65195\47616\Hangers\PantSkirt-Hangers-w-Metal-Swivel-Hook.html</v>
      </c>
    </row>
    <row r="793" spans="1:4" hidden="1" x14ac:dyDescent="0.25">
      <c r="A793" t="str">
        <f>IF(LEN('categories-old'!G793) &gt; 0, "INSERT INTO `catalog_category_entity_varchar` (attribute_id,store_id,entity_id,value) VALUES (48,0,"&amp;'categories-old'!B793&amp;",'"&amp;RIGHT('categories-old'!G793,LEN('categories-old'!G793)-1)&amp;"');","")</f>
        <v>INSERT INTO `catalog_category_entity_varchar` (attribute_id,store_id,entity_id,value) VALUES (48,0,673,'img1/img16ca.jpg');</v>
      </c>
      <c r="B793" t="str">
        <f>IF(LEN(categories!G793) &gt; 0, "INSERT INTO `catalog_category_entity_varchar` (attribute_id,store_id,entity_id,value) VALUES (48,0,"&amp;categories!B793&amp;",'"&amp;RIGHT(categories!G793,LEN(categories!G793)-1)&amp;"');","")</f>
        <v>INSERT INTO `catalog_category_entity_varchar` (attribute_id,store_id,entity_id,value) VALUES (48,0,674,'img1/img4715.jpg');</v>
      </c>
      <c r="C793" t="str">
        <f>VLOOKUP(categories!B793,'categories-old'!B:G,6,FALSE)</f>
        <v>/img1/img4715.jpg</v>
      </c>
      <c r="D793" t="str">
        <f>VLOOKUP(categories!B793,'categories-old'!B:H,7,FALSE)</f>
        <v>www.americanretailsupply.com\65195\47623\Hangers\Suit-Hangers.html</v>
      </c>
    </row>
    <row r="794" spans="1:4" hidden="1" x14ac:dyDescent="0.25">
      <c r="A794" t="str">
        <f>IF(LEN('categories-old'!G794) &gt; 0, "INSERT INTO `catalog_category_entity_varchar` (attribute_id,store_id,entity_id,value) VALUES (48,0,"&amp;'categories-old'!B794&amp;",'"&amp;RIGHT('categories-old'!G794,LEN('categories-old'!G794)-1)&amp;"');","")</f>
        <v>INSERT INTO `catalog_category_entity_varchar` (attribute_id,store_id,entity_id,value) VALUES (48,0,674,'img1/img4715.jpg');</v>
      </c>
      <c r="B794" t="str">
        <f>IF(LEN(categories!G794) &gt; 0, "INSERT INTO `catalog_category_entity_varchar` (attribute_id,store_id,entity_id,value) VALUES (48,0,"&amp;categories!B794&amp;",'"&amp;RIGHT(categories!G794,LEN(categories!G794)-1)&amp;"');","")</f>
        <v>INSERT INTO `catalog_category_entity_varchar` (attribute_id,store_id,entity_id,value) VALUES (48,0,675,'img1/img0344.jpg');</v>
      </c>
      <c r="C794" t="str">
        <f>VLOOKUP(categories!B794,'categories-old'!B:G,6,FALSE)</f>
        <v>/img1/img0344.jpg</v>
      </c>
      <c r="D794" t="str">
        <f>VLOOKUP(categories!B794,'categories-old'!B:H,7,FALSE)</f>
        <v>www.americanretailsupply.com\65195\47627\Hangers\Outerwear-Hangers.html</v>
      </c>
    </row>
    <row r="795" spans="1:4" hidden="1" x14ac:dyDescent="0.25">
      <c r="A795" t="str">
        <f>IF(LEN('categories-old'!G795) &gt; 0, "INSERT INTO `catalog_category_entity_varchar` (attribute_id,store_id,entity_id,value) VALUES (48,0,"&amp;'categories-old'!B795&amp;",'"&amp;RIGHT('categories-old'!G795,LEN('categories-old'!G795)-1)&amp;"');","")</f>
        <v>INSERT INTO `catalog_category_entity_varchar` (attribute_id,store_id,entity_id,value) VALUES (48,0,675,'img1/img0344.jpg');</v>
      </c>
      <c r="B795" t="str">
        <f>IF(LEN(categories!G795) &gt; 0, "INSERT INTO `catalog_category_entity_varchar` (attribute_id,store_id,entity_id,value) VALUES (48,0,"&amp;categories!B795&amp;",'"&amp;RIGHT(categories!G795,LEN(categories!G795)-1)&amp;"');","")</f>
        <v>INSERT INTO `catalog_category_entity_varchar` (attribute_id,store_id,entity_id,value) VALUES (48,0,676,'img1/img56b7.jpg');</v>
      </c>
      <c r="C795" t="str">
        <f>VLOOKUP(categories!B795,'categories-old'!B:G,6,FALSE)</f>
        <v>/img1/img56b7.jpg</v>
      </c>
      <c r="D795" t="str">
        <f>VLOOKUP(categories!B795,'categories-old'!B:H,7,FALSE)</f>
        <v>www.americanretailsupply.com\65195\437272\Hangers\Specialty-Hangers.html</v>
      </c>
    </row>
    <row r="796" spans="1:4" hidden="1" x14ac:dyDescent="0.25">
      <c r="A796" t="str">
        <f>IF(LEN('categories-old'!G796) &gt; 0, "INSERT INTO `catalog_category_entity_varchar` (attribute_id,store_id,entity_id,value) VALUES (48,0,"&amp;'categories-old'!B796&amp;",'"&amp;RIGHT('categories-old'!G796,LEN('categories-old'!G796)-1)&amp;"');","")</f>
        <v>INSERT INTO `catalog_category_entity_varchar` (attribute_id,store_id,entity_id,value) VALUES (48,0,676,'img1/img56b7.jpg');</v>
      </c>
      <c r="B796" t="str">
        <f>IF(LEN(categories!G796) &gt; 0, "INSERT INTO `catalog_category_entity_varchar` (attribute_id,store_id,entity_id,value) VALUES (48,0,"&amp;categories!B796&amp;",'"&amp;RIGHT(categories!G796,LEN(categories!G796)-1)&amp;"');","")</f>
        <v>INSERT INTO `catalog_category_entity_varchar` (attribute_id,store_id,entity_id,value) VALUES (48,0,678,'img1/img4847.jpg');</v>
      </c>
      <c r="C796" t="str">
        <f>VLOOKUP(categories!B796,'categories-old'!B:G,6,FALSE)</f>
        <v>/img1/img4847.jpg</v>
      </c>
      <c r="D796" t="str">
        <f>VLOOKUP(categories!B796,'categories-old'!B:H,7,FALSE)</f>
        <v>www.americanretailsupply.com\64961\37826\Hangrod\Hangrod-Accessories.html</v>
      </c>
    </row>
    <row r="797" spans="1:4" hidden="1" x14ac:dyDescent="0.25">
      <c r="A797" t="str">
        <f>IF(LEN('categories-old'!G797) &gt; 0, "INSERT INTO `catalog_category_entity_varchar` (attribute_id,store_id,entity_id,value) VALUES (48,0,"&amp;'categories-old'!B797&amp;",'"&amp;RIGHT('categories-old'!G797,LEN('categories-old'!G797)-1)&amp;"');","")</f>
        <v>INSERT INTO `catalog_category_entity_varchar` (attribute_id,store_id,entity_id,value) VALUES (48,0,678,'img1/img4847.jpg');</v>
      </c>
      <c r="B797" t="str">
        <f>IF(LEN(categories!G797) &gt; 0, "INSERT INTO `catalog_category_entity_varchar` (attribute_id,store_id,entity_id,value) VALUES (48,0,"&amp;categories!B797&amp;",'"&amp;RIGHT(categories!G797,LEN(categories!G797)-1)&amp;"');","")</f>
        <v>INSERT INTO `catalog_category_entity_varchar` (attribute_id,store_id,entity_id,value) VALUES (48,0,679,'img1/imgb952.jpg');</v>
      </c>
      <c r="C797" t="str">
        <f>VLOOKUP(categories!B797,'categories-old'!B:G,6,FALSE)</f>
        <v>/img1/imgb952.jpg</v>
      </c>
      <c r="D797" t="str">
        <f>VLOOKUP(categories!B797,'categories-old'!B:H,7,FALSE)</f>
        <v>www.americanretailsupply.com\64961\37833\Hangrod\Hangrod.html</v>
      </c>
    </row>
    <row r="798" spans="1:4" hidden="1" x14ac:dyDescent="0.25">
      <c r="A798" t="str">
        <f>IF(LEN('categories-old'!G798) &gt; 0, "INSERT INTO `catalog_category_entity_varchar` (attribute_id,store_id,entity_id,value) VALUES (48,0,"&amp;'categories-old'!B798&amp;",'"&amp;RIGHT('categories-old'!G798,LEN('categories-old'!G798)-1)&amp;"');","")</f>
        <v>INSERT INTO `catalog_category_entity_varchar` (attribute_id,store_id,entity_id,value) VALUES (48,0,679,'img1/imgb952.jpg');</v>
      </c>
      <c r="B798" t="str">
        <f>IF(LEN(categories!G798) &gt; 0, "INSERT INTO `catalog_category_entity_varchar` (attribute_id,store_id,entity_id,value) VALUES (48,0,"&amp;categories!B798&amp;",'"&amp;RIGHT(categories!G798,LEN(categories!G798)-1)&amp;"');","")</f>
        <v>INSERT INTO `catalog_category_entity_varchar` (attribute_id,store_id,entity_id,value) VALUES (48,0,682,'img3/img6300.jpg');</v>
      </c>
      <c r="C798" t="str">
        <f>VLOOKUP(categories!B798,'categories-old'!B:G,6,FALSE)</f>
        <v>/img3/img6300.jpg</v>
      </c>
      <c r="D798" t="str">
        <f>VLOOKUP(categories!B798,'categories-old'!B:H,7,FALSE)</f>
        <v>www.americanretailsupply.com\64831\47106\Hardwood-Showcases\Sit--Down-Showcase.html</v>
      </c>
    </row>
    <row r="799" spans="1:4" hidden="1" x14ac:dyDescent="0.25">
      <c r="A799" t="str">
        <f>IF(LEN('categories-old'!G799) &gt; 0, "INSERT INTO `catalog_category_entity_varchar` (attribute_id,store_id,entity_id,value) VALUES (48,0,"&amp;'categories-old'!B799&amp;",'"&amp;RIGHT('categories-old'!G799,LEN('categories-old'!G799)-1)&amp;"');","")</f>
        <v>INSERT INTO `catalog_category_entity_varchar` (attribute_id,store_id,entity_id,value) VALUES (48,0,682,'img3/img6300.jpg');</v>
      </c>
      <c r="B799" t="str">
        <f>IF(LEN(categories!G799) &gt; 0, "INSERT INTO `catalog_category_entity_varchar` (attribute_id,store_id,entity_id,value) VALUES (48,0,"&amp;categories!B799&amp;",'"&amp;RIGHT(categories!G799,LEN(categories!G799)-1)&amp;"');","")</f>
        <v>INSERT INTO `catalog_category_entity_varchar` (attribute_id,store_id,entity_id,value) VALUES (48,0,683,'img1/imgd431.jpg');</v>
      </c>
      <c r="C799" t="str">
        <f>VLOOKUP(categories!B799,'categories-old'!B:G,6,FALSE)</f>
        <v>/img1/imgd431.jpg</v>
      </c>
      <c r="D799" t="str">
        <f>VLOOKUP(categories!B799,'categories-old'!B:H,7,FALSE)</f>
        <v>www.americanretailsupply.com\64831\47107\Hardwood-Showcases\Extended-Vision-Display-Case.html</v>
      </c>
    </row>
    <row r="800" spans="1:4" hidden="1" x14ac:dyDescent="0.25">
      <c r="A800" t="str">
        <f>IF(LEN('categories-old'!G800) &gt; 0, "INSERT INTO `catalog_category_entity_varchar` (attribute_id,store_id,entity_id,value) VALUES (48,0,"&amp;'categories-old'!B800&amp;",'"&amp;RIGHT('categories-old'!G800,LEN('categories-old'!G800)-1)&amp;"');","")</f>
        <v>INSERT INTO `catalog_category_entity_varchar` (attribute_id,store_id,entity_id,value) VALUES (48,0,683,'img1/imgd431.jpg');</v>
      </c>
      <c r="B800" t="str">
        <f>IF(LEN(categories!G800) &gt; 0, "INSERT INTO `catalog_category_entity_varchar` (attribute_id,store_id,entity_id,value) VALUES (48,0,"&amp;categories!B800&amp;",'"&amp;RIGHT(categories!G800,LEN(categories!G800)-1)&amp;"');","")</f>
        <v>INSERT INTO `catalog_category_entity_varchar` (attribute_id,store_id,entity_id,value) VALUES (48,0,684,'img2/img2663.jpg');</v>
      </c>
      <c r="C800" t="str">
        <f>VLOOKUP(categories!B800,'categories-old'!B:G,6,FALSE)</f>
        <v>/img2/img2663.jpg</v>
      </c>
      <c r="D800" t="str">
        <f>VLOOKUP(categories!B800,'categories-old'!B:H,7,FALSE)</f>
        <v>www.americanretailsupply.com\64831\47108\Hardwood-Showcases\Full-Vision-Displays.html</v>
      </c>
    </row>
    <row r="801" spans="1:4" hidden="1" x14ac:dyDescent="0.25">
      <c r="A801" t="str">
        <f>IF(LEN('categories-old'!G801) &gt; 0, "INSERT INTO `catalog_category_entity_varchar` (attribute_id,store_id,entity_id,value) VALUES (48,0,"&amp;'categories-old'!B801&amp;",'"&amp;RIGHT('categories-old'!G801,LEN('categories-old'!G801)-1)&amp;"');","")</f>
        <v>INSERT INTO `catalog_category_entity_varchar` (attribute_id,store_id,entity_id,value) VALUES (48,0,684,'img2/img2663.jpg');</v>
      </c>
      <c r="B801" t="str">
        <f>IF(LEN(categories!G801) &gt; 0, "INSERT INTO `catalog_category_entity_varchar` (attribute_id,store_id,entity_id,value) VALUES (48,0,"&amp;categories!B801&amp;",'"&amp;RIGHT(categories!G801,LEN(categories!G801)-1)&amp;"');","")</f>
        <v>INSERT INTO `catalog_category_entity_varchar` (attribute_id,store_id,entity_id,value) VALUES (48,0,685,'img1/imge46a.jpg');</v>
      </c>
      <c r="C801" t="str">
        <f>VLOOKUP(categories!B801,'categories-old'!B:G,6,FALSE)</f>
        <v>/img1/imge46a.jpg</v>
      </c>
      <c r="D801" t="str">
        <f>VLOOKUP(categories!B801,'categories-old'!B:H,7,FALSE)</f>
        <v>www.americanretailsupply.com\64831\47111\Hardwood-Showcases\Showcase--Cashwrap-Combo-Cases.html</v>
      </c>
    </row>
    <row r="802" spans="1:4" hidden="1" x14ac:dyDescent="0.25">
      <c r="A802" t="str">
        <f>IF(LEN('categories-old'!G802) &gt; 0, "INSERT INTO `catalog_category_entity_varchar` (attribute_id,store_id,entity_id,value) VALUES (48,0,"&amp;'categories-old'!B802&amp;",'"&amp;RIGHT('categories-old'!G802,LEN('categories-old'!G802)-1)&amp;"');","")</f>
        <v>INSERT INTO `catalog_category_entity_varchar` (attribute_id,store_id,entity_id,value) VALUES (48,0,685,'img1/imge46a.jpg');</v>
      </c>
      <c r="B802" t="str">
        <f>IF(LEN(categories!G802) &gt; 0, "INSERT INTO `catalog_category_entity_varchar` (attribute_id,store_id,entity_id,value) VALUES (48,0,"&amp;categories!B802&amp;",'"&amp;RIGHT(categories!G802,LEN(categories!G802)-1)&amp;"');","")</f>
        <v>INSERT INTO `catalog_category_entity_varchar` (attribute_id,store_id,entity_id,value) VALUES (48,0,686,'img2/img99f0.jpg');</v>
      </c>
      <c r="C802" t="str">
        <f>VLOOKUP(categories!B802,'categories-old'!B:G,6,FALSE)</f>
        <v>/img2/img99f0.jpg</v>
      </c>
      <c r="D802" t="str">
        <f>VLOOKUP(categories!B802,'categories-old'!B:H,7,FALSE)</f>
        <v>www.americanretailsupply.com\64831\47113\Hardwood-Showcases\Half-Vision-Displays.html</v>
      </c>
    </row>
    <row r="803" spans="1:4" hidden="1" x14ac:dyDescent="0.25">
      <c r="A803" t="str">
        <f>IF(LEN('categories-old'!G803) &gt; 0, "INSERT INTO `catalog_category_entity_varchar` (attribute_id,store_id,entity_id,value) VALUES (48,0,"&amp;'categories-old'!B803&amp;",'"&amp;RIGHT('categories-old'!G803,LEN('categories-old'!G803)-1)&amp;"');","")</f>
        <v>INSERT INTO `catalog_category_entity_varchar` (attribute_id,store_id,entity_id,value) VALUES (48,0,686,'img2/img99f0.jpg');</v>
      </c>
      <c r="B803" t="str">
        <f>IF(LEN(categories!G803) &gt; 0, "INSERT INTO `catalog_category_entity_varchar` (attribute_id,store_id,entity_id,value) VALUES (48,0,"&amp;categories!B803&amp;",'"&amp;RIGHT(categories!G803,LEN(categories!G803)-1)&amp;"');","")</f>
        <v>INSERT INTO `catalog_category_entity_varchar` (attribute_id,store_id,entity_id,value) VALUES (48,0,687,'img3/img2c00.jpg');</v>
      </c>
      <c r="C803" t="str">
        <f>VLOOKUP(categories!B803,'categories-old'!B:G,6,FALSE)</f>
        <v>/img3/img2c00.jpg</v>
      </c>
      <c r="D803" t="str">
        <f>VLOOKUP(categories!B803,'categories-old'!B:H,7,FALSE)</f>
        <v>www.americanretailsupply.com\64831\47114\Hardwood-Showcases\Jewelry-Top-Vision-Displays.html</v>
      </c>
    </row>
    <row r="804" spans="1:4" hidden="1" x14ac:dyDescent="0.25">
      <c r="A804" t="str">
        <f>IF(LEN('categories-old'!G804) &gt; 0, "INSERT INTO `catalog_category_entity_varchar` (attribute_id,store_id,entity_id,value) VALUES (48,0,"&amp;'categories-old'!B804&amp;",'"&amp;RIGHT('categories-old'!G804,LEN('categories-old'!G804)-1)&amp;"');","")</f>
        <v>INSERT INTO `catalog_category_entity_varchar` (attribute_id,store_id,entity_id,value) VALUES (48,0,687,'img3/img2c00.jpg');</v>
      </c>
      <c r="B804" t="str">
        <f>IF(LEN(categories!G804) &gt; 0, "INSERT INTO `catalog_category_entity_varchar` (attribute_id,store_id,entity_id,value) VALUES (48,0,"&amp;categories!B804&amp;",'"&amp;RIGHT(categories!G804,LEN(categories!G804)-1)&amp;"');","")</f>
        <v>INSERT INTO `catalog_category_entity_varchar` (attribute_id,store_id,entity_id,value) VALUES (48,0,688,'img3/img425d.jpg');</v>
      </c>
      <c r="C804" t="str">
        <f>VLOOKUP(categories!B804,'categories-old'!B:G,6,FALSE)</f>
        <v>/img3/img425d.jpg</v>
      </c>
      <c r="D804" t="str">
        <f>VLOOKUP(categories!B804,'categories-old'!B:H,7,FALSE)</f>
        <v>www.americanretailsupply.com\64831\47115\Hardwood-Showcases\Cashwrap.html</v>
      </c>
    </row>
    <row r="805" spans="1:4" hidden="1" x14ac:dyDescent="0.25">
      <c r="A805" t="str">
        <f>IF(LEN('categories-old'!G805) &gt; 0, "INSERT INTO `catalog_category_entity_varchar` (attribute_id,store_id,entity_id,value) VALUES (48,0,"&amp;'categories-old'!B805&amp;",'"&amp;RIGHT('categories-old'!G805,LEN('categories-old'!G805)-1)&amp;"');","")</f>
        <v>INSERT INTO `catalog_category_entity_varchar` (attribute_id,store_id,entity_id,value) VALUES (48,0,688,'img3/img425d.jpg');</v>
      </c>
      <c r="B805" t="str">
        <f>IF(LEN(categories!G805) &gt; 0, "INSERT INTO `catalog_category_entity_varchar` (attribute_id,store_id,entity_id,value) VALUES (48,0,"&amp;categories!B805&amp;",'"&amp;RIGHT(categories!G805,LEN(categories!G805)-1)&amp;"');","")</f>
        <v>INSERT INTO `catalog_category_entity_varchar` (attribute_id,store_id,entity_id,value) VALUES (48,0,689,'img1/img69c1.jpg');</v>
      </c>
      <c r="C805" t="str">
        <f>VLOOKUP(categories!B805,'categories-old'!B:G,6,FALSE)</f>
        <v>/img1/img69c1.jpg</v>
      </c>
      <c r="D805" t="str">
        <f>VLOOKUP(categories!B805,'categories-old'!B:H,7,FALSE)</f>
        <v>www.americanretailsupply.com\64831\47116\Hardwood-Showcases\ETagere-Open-Shelf-Display-wMirror-Bottom.html</v>
      </c>
    </row>
    <row r="806" spans="1:4" hidden="1" x14ac:dyDescent="0.25">
      <c r="A806" t="str">
        <f>IF(LEN('categories-old'!G806) &gt; 0, "INSERT INTO `catalog_category_entity_varchar` (attribute_id,store_id,entity_id,value) VALUES (48,0,"&amp;'categories-old'!B806&amp;",'"&amp;RIGHT('categories-old'!G806,LEN('categories-old'!G806)-1)&amp;"');","")</f>
        <v>INSERT INTO `catalog_category_entity_varchar` (attribute_id,store_id,entity_id,value) VALUES (48,0,689,'img1/img69c1.jpg');</v>
      </c>
      <c r="B806" t="str">
        <f>IF(LEN(categories!G806) &gt; 0, "INSERT INTO `catalog_category_entity_varchar` (attribute_id,store_id,entity_id,value) VALUES (48,0,"&amp;categories!B806&amp;",'"&amp;RIGHT(categories!G806,LEN(categories!G806)-1)&amp;"');","")</f>
        <v>INSERT INTO `catalog_category_entity_varchar` (attribute_id,store_id,entity_id,value) VALUES (48,0,690,'img2/img668b.jpg');</v>
      </c>
      <c r="C806" t="str">
        <f>VLOOKUP(categories!B806,'categories-old'!B:G,6,FALSE)</f>
        <v>/img2/img668b.jpg</v>
      </c>
      <c r="D806" t="str">
        <f>VLOOKUP(categories!B806,'categories-old'!B:H,7,FALSE)</f>
        <v>www.americanretailsupply.com\64831\47117\Hardwood-Showcases\Special-Cases.html</v>
      </c>
    </row>
    <row r="807" spans="1:4" hidden="1" x14ac:dyDescent="0.25">
      <c r="A807" t="str">
        <f>IF(LEN('categories-old'!G807) &gt; 0, "INSERT INTO `catalog_category_entity_varchar` (attribute_id,store_id,entity_id,value) VALUES (48,0,"&amp;'categories-old'!B807&amp;",'"&amp;RIGHT('categories-old'!G807,LEN('categories-old'!G807)-1)&amp;"');","")</f>
        <v>INSERT INTO `catalog_category_entity_varchar` (attribute_id,store_id,entity_id,value) VALUES (48,0,690,'img2/img668b.jpg');</v>
      </c>
      <c r="B807" t="str">
        <f>IF(LEN(categories!G807) &gt; 0, "INSERT INTO `catalog_category_entity_varchar` (attribute_id,store_id,entity_id,value) VALUES (48,0,"&amp;categories!B807&amp;",'"&amp;RIGHT(categories!G807,LEN(categories!G807)-1)&amp;"');","")</f>
        <v>INSERT INTO `catalog_category_entity_varchar` (attribute_id,store_id,entity_id,value) VALUES (48,0,691,'img1/img2d9c.jpg');</v>
      </c>
      <c r="C807" t="str">
        <f>VLOOKUP(categories!B807,'categories-old'!B:G,6,FALSE)</f>
        <v>/img1/img2d9c.jpg</v>
      </c>
      <c r="D807" t="str">
        <f>VLOOKUP(categories!B807,'categories-old'!B:H,7,FALSE)</f>
        <v>www.americanretailsupply.com\64831\47125\Hardwood-Showcases\Classic-Tower-Displays.html</v>
      </c>
    </row>
    <row r="808" spans="1:4" hidden="1" x14ac:dyDescent="0.25">
      <c r="A808" t="str">
        <f>IF(LEN('categories-old'!G808) &gt; 0, "INSERT INTO `catalog_category_entity_varchar` (attribute_id,store_id,entity_id,value) VALUES (48,0,"&amp;'categories-old'!B808&amp;",'"&amp;RIGHT('categories-old'!G808,LEN('categories-old'!G808)-1)&amp;"');","")</f>
        <v>INSERT INTO `catalog_category_entity_varchar` (attribute_id,store_id,entity_id,value) VALUES (48,0,691,'img1/img2d9c.jpg');</v>
      </c>
      <c r="B808" t="str">
        <f>IF(LEN(categories!G808) &gt; 0, "INSERT INTO `catalog_category_entity_varchar` (attribute_id,store_id,entity_id,value) VALUES (48,0,"&amp;categories!B808&amp;",'"&amp;RIGHT(categories!G808,LEN(categories!G808)-1)&amp;"');","")</f>
        <v>INSERT INTO `catalog_category_entity_varchar` (attribute_id,store_id,entity_id,value) VALUES (48,0,692,'img1/imgadda.jpg');</v>
      </c>
      <c r="C808" t="str">
        <f>VLOOKUP(categories!B808,'categories-old'!B:G,6,FALSE)</f>
        <v>/img1/imgadda.jpg</v>
      </c>
      <c r="D808" t="str">
        <f>VLOOKUP(categories!B808,'categories-old'!B:H,7,FALSE)</f>
        <v>www.americanretailsupply.com\64831\47127\Hardwood-Showcases\Queen-Anne-Tower-Cases.html</v>
      </c>
    </row>
    <row r="809" spans="1:4" hidden="1" x14ac:dyDescent="0.25">
      <c r="A809" t="str">
        <f>IF(LEN('categories-old'!G809) &gt; 0, "INSERT INTO `catalog_category_entity_varchar` (attribute_id,store_id,entity_id,value) VALUES (48,0,"&amp;'categories-old'!B809&amp;",'"&amp;RIGHT('categories-old'!G809,LEN('categories-old'!G809)-1)&amp;"');","")</f>
        <v>INSERT INTO `catalog_category_entity_varchar` (attribute_id,store_id,entity_id,value) VALUES (48,0,692,'img1/imgadda.jpg');</v>
      </c>
      <c r="B809" t="str">
        <f>IF(LEN(categories!G809) &gt; 0, "INSERT INTO `catalog_category_entity_varchar` (attribute_id,store_id,entity_id,value) VALUES (48,0,"&amp;categories!B809&amp;",'"&amp;RIGHT(categories!G809,LEN(categories!G809)-1)&amp;"');","")</f>
        <v>INSERT INTO `catalog_category_entity_varchar` (attribute_id,store_id,entity_id,value) VALUES (48,0,693,'img2/img6459.jpg');</v>
      </c>
      <c r="C809" t="str">
        <f>VLOOKUP(categories!B809,'categories-old'!B:G,6,FALSE)</f>
        <v>/img2/img6459.jpg</v>
      </c>
      <c r="D809" t="str">
        <f>VLOOKUP(categories!B809,'categories-old'!B:H,7,FALSE)</f>
        <v>www.americanretailsupply.com\64831\47227\Hardwood-Showcases\Classic-Towers-Stretched-Version.html</v>
      </c>
    </row>
    <row r="810" spans="1:4" hidden="1" x14ac:dyDescent="0.25">
      <c r="A810" t="str">
        <f>IF(LEN('categories-old'!G810) &gt; 0, "INSERT INTO `catalog_category_entity_varchar` (attribute_id,store_id,entity_id,value) VALUES (48,0,"&amp;'categories-old'!B810&amp;",'"&amp;RIGHT('categories-old'!G810,LEN('categories-old'!G810)-1)&amp;"');","")</f>
        <v>INSERT INTO `catalog_category_entity_varchar` (attribute_id,store_id,entity_id,value) VALUES (48,0,693,'img2/img6459.jpg');</v>
      </c>
      <c r="B810" t="str">
        <f>IF(LEN(categories!G810) &gt; 0, "INSERT INTO `catalog_category_entity_varchar` (attribute_id,store_id,entity_id,value) VALUES (48,0,"&amp;categories!B810&amp;",'"&amp;RIGHT(categories!G810,LEN(categories!G810)-1)&amp;"');","")</f>
        <v>INSERT INTO `catalog_category_entity_varchar` (attribute_id,store_id,entity_id,value) VALUES (48,0,694,'img3/img03f1.jpg');</v>
      </c>
      <c r="C810" t="str">
        <f>VLOOKUP(categories!B810,'categories-old'!B:G,6,FALSE)</f>
        <v>/img3/img03f1.jpg</v>
      </c>
      <c r="D810" t="str">
        <f>VLOOKUP(categories!B810,'categories-old'!B:H,7,FALSE)</f>
        <v>www.americanretailsupply.com\64831\47233\Hardwood-Showcases\Countertop-Cases.html</v>
      </c>
    </row>
    <row r="811" spans="1:4" hidden="1" x14ac:dyDescent="0.25">
      <c r="A811" t="str">
        <f>IF(LEN('categories-old'!G811) &gt; 0, "INSERT INTO `catalog_category_entity_varchar` (attribute_id,store_id,entity_id,value) VALUES (48,0,"&amp;'categories-old'!B811&amp;",'"&amp;RIGHT('categories-old'!G811,LEN('categories-old'!G811)-1)&amp;"');","")</f>
        <v>INSERT INTO `catalog_category_entity_varchar` (attribute_id,store_id,entity_id,value) VALUES (48,0,694,'img3/img03f1.jpg');</v>
      </c>
      <c r="B811" t="str">
        <f>IF(LEN(categories!G811) &gt; 0, "INSERT INTO `catalog_category_entity_varchar` (attribute_id,store_id,entity_id,value) VALUES (48,0,"&amp;categories!B811&amp;",'"&amp;RIGHT(categories!G811,LEN(categories!G811)-1)&amp;"');","")</f>
        <v>INSERT INTO `catalog_category_entity_varchar` (attribute_id,store_id,entity_id,value) VALUES (48,0,695,'img3/imgd8f2.jpg');</v>
      </c>
      <c r="C811" t="str">
        <f>VLOOKUP(categories!B811,'categories-old'!B:G,6,FALSE)</f>
        <v>/img3/imgd8f2.jpg</v>
      </c>
      <c r="D811" t="str">
        <f>VLOOKUP(categories!B811,'categories-old'!B:H,7,FALSE)</f>
        <v>www.americanretailsupply.com\64831\47969\Hardwood-Showcases\Collectors-Series-Upright-Displays.html</v>
      </c>
    </row>
    <row r="812" spans="1:4" hidden="1" x14ac:dyDescent="0.25">
      <c r="A812" t="str">
        <f>IF(LEN('categories-old'!G812) &gt; 0, "INSERT INTO `catalog_category_entity_varchar` (attribute_id,store_id,entity_id,value) VALUES (48,0,"&amp;'categories-old'!B812&amp;",'"&amp;RIGHT('categories-old'!G812,LEN('categories-old'!G812)-1)&amp;"');","")</f>
        <v>INSERT INTO `catalog_category_entity_varchar` (attribute_id,store_id,entity_id,value) VALUES (48,0,695,'img3/imgd8f2.jpg');</v>
      </c>
      <c r="B812" t="str">
        <f>IF(LEN(categories!G812) &gt; 0, "INSERT INTO `catalog_category_entity_varchar` (attribute_id,store_id,entity_id,value) VALUES (48,0,"&amp;categories!B812&amp;",'"&amp;RIGHT(categories!G812,LEN(categories!G812)-1)&amp;"');","")</f>
        <v>INSERT INTO `catalog_category_entity_varchar` (attribute_id,store_id,entity_id,value) VALUES (48,0,696,'img1/img329f.jpg');</v>
      </c>
      <c r="C812" t="str">
        <f>VLOOKUP(categories!B812,'categories-old'!B:G,6,FALSE)</f>
        <v>/img1/img329f.jpg</v>
      </c>
      <c r="D812" t="str">
        <f>VLOOKUP(categories!B812,'categories-old'!B:H,7,FALSE)</f>
        <v>www.americanretailsupply.com\64831\47983\Hardwood-Showcases\Showcase-Bench.html</v>
      </c>
    </row>
    <row r="813" spans="1:4" hidden="1" x14ac:dyDescent="0.25">
      <c r="A813" t="str">
        <f>IF(LEN('categories-old'!G813) &gt; 0, "INSERT INTO `catalog_category_entity_varchar` (attribute_id,store_id,entity_id,value) VALUES (48,0,"&amp;'categories-old'!B813&amp;",'"&amp;RIGHT('categories-old'!G813,LEN('categories-old'!G813)-1)&amp;"');","")</f>
        <v>INSERT INTO `catalog_category_entity_varchar` (attribute_id,store_id,entity_id,value) VALUES (48,0,696,'img1/img329f.jpg');</v>
      </c>
      <c r="B813" t="str">
        <f>IF(LEN(categories!G813) &gt; 0, "INSERT INTO `catalog_category_entity_varchar` (attribute_id,store_id,entity_id,value) VALUES (48,0,"&amp;categories!B813&amp;",'"&amp;RIGHT(categories!G813,LEN(categories!G813)-1)&amp;"');","")</f>
        <v>INSERT INTO `catalog_category_entity_varchar` (attribute_id,store_id,entity_id,value) VALUES (48,0,697,'img1/img73d0.jpg');</v>
      </c>
      <c r="C813" t="str">
        <f>VLOOKUP(categories!B813,'categories-old'!B:G,6,FALSE)</f>
        <v>/img1/img73d0.jpg</v>
      </c>
      <c r="D813" t="str">
        <f>VLOOKUP(categories!B813,'categories-old'!B:H,7,FALSE)</f>
        <v>www.americanretailsupply.com\64831\442764\Hardwood-Showcases\Queen-Anne-Jewelry-Cases.html</v>
      </c>
    </row>
    <row r="814" spans="1:4" hidden="1" x14ac:dyDescent="0.25">
      <c r="A814" t="str">
        <f>IF(LEN('categories-old'!G814) &gt; 0, "INSERT INTO `catalog_category_entity_varchar` (attribute_id,store_id,entity_id,value) VALUES (48,0,"&amp;'categories-old'!B814&amp;",'"&amp;RIGHT('categories-old'!G814,LEN('categories-old'!G814)-1)&amp;"');","")</f>
        <v>INSERT INTO `catalog_category_entity_varchar` (attribute_id,store_id,entity_id,value) VALUES (48,0,697,'img1/img73d0.jpg');</v>
      </c>
      <c r="B814" t="str">
        <f>IF(LEN(categories!G814) &gt; 0, "INSERT INTO `catalog_category_entity_varchar` (attribute_id,store_id,entity_id,value) VALUES (48,0,"&amp;categories!B814&amp;",'"&amp;RIGHT(categories!G814,LEN(categories!G814)-1)&amp;"');","")</f>
        <v>INSERT INTO `catalog_category_entity_varchar` (attribute_id,store_id,entity_id,value) VALUES (48,0,698,'img2/img8816.jpg');</v>
      </c>
      <c r="C814" t="str">
        <f>VLOOKUP(categories!B814,'categories-old'!B:G,6,FALSE)</f>
        <v>/img2/img8816.jpg</v>
      </c>
      <c r="D814" t="str">
        <f>VLOOKUP(categories!B814,'categories-old'!B:H,7,FALSE)</f>
        <v>www.americanretailsupply.com\64831\442765\Hardwood-Showcases\Queen-Anne-Wrap-Counters.html</v>
      </c>
    </row>
    <row r="815" spans="1:4" hidden="1" x14ac:dyDescent="0.25">
      <c r="A815" t="str">
        <f>IF(LEN('categories-old'!G815) &gt; 0, "INSERT INTO `catalog_category_entity_varchar` (attribute_id,store_id,entity_id,value) VALUES (48,0,"&amp;'categories-old'!B815&amp;",'"&amp;RIGHT('categories-old'!G815,LEN('categories-old'!G815)-1)&amp;"');","")</f>
        <v>INSERT INTO `catalog_category_entity_varchar` (attribute_id,store_id,entity_id,value) VALUES (48,0,698,'img2/img8816.jpg');</v>
      </c>
      <c r="B815" t="str">
        <f>IF(LEN(categories!G815) &gt; 0, "INSERT INTO `catalog_category_entity_varchar` (attribute_id,store_id,entity_id,value) VALUES (48,0,"&amp;categories!B815&amp;",'"&amp;RIGHT(categories!G815,LEN(categories!G815)-1)&amp;"');","")</f>
        <v>INSERT INTO `catalog_category_entity_varchar` (attribute_id,store_id,entity_id,value) VALUES (48,0,699,'img3/imgcb13.jpg');</v>
      </c>
      <c r="C815" t="str">
        <f>VLOOKUP(categories!B815,'categories-old'!B:G,6,FALSE)</f>
        <v>/img3/imgcb13.jpg</v>
      </c>
      <c r="D815" t="str">
        <f>VLOOKUP(categories!B815,'categories-old'!B:H,7,FALSE)</f>
        <v>www.americanretailsupply.com\64831\442767\Hardwood-Showcases\Queen-Anne-Fullview-Cases.html</v>
      </c>
    </row>
    <row r="816" spans="1:4" hidden="1" x14ac:dyDescent="0.25">
      <c r="A816" t="str">
        <f>IF(LEN('categories-old'!G816) &gt; 0, "INSERT INTO `catalog_category_entity_varchar` (attribute_id,store_id,entity_id,value) VALUES (48,0,"&amp;'categories-old'!B816&amp;",'"&amp;RIGHT('categories-old'!G816,LEN('categories-old'!G816)-1)&amp;"');","")</f>
        <v>INSERT INTO `catalog_category_entity_varchar` (attribute_id,store_id,entity_id,value) VALUES (48,0,699,'img3/imgcb13.jpg');</v>
      </c>
      <c r="B816" t="str">
        <f>IF(LEN(categories!G816) &gt; 0, "INSERT INTO `catalog_category_entity_varchar` (attribute_id,store_id,entity_id,value) VALUES (48,0,"&amp;categories!B816&amp;",'"&amp;RIGHT(categories!G816,LEN(categories!G816)-1)&amp;"');","")</f>
        <v>INSERT INTO `catalog_category_entity_varchar` (attribute_id,store_id,entity_id,value) VALUES (48,0,700,'img2/img4f89.jpg');</v>
      </c>
      <c r="C816" t="str">
        <f>VLOOKUP(categories!B816,'categories-old'!B:G,6,FALSE)</f>
        <v>/img2/img4f89.jpg</v>
      </c>
      <c r="D816" t="str">
        <f>VLOOKUP(categories!B816,'categories-old'!B:H,7,FALSE)</f>
        <v>www.americanretailsupply.com\64831\442800\Hardwood-Showcases\Museum-Style-Tower-Displays.html</v>
      </c>
    </row>
    <row r="817" spans="1:4" hidden="1" x14ac:dyDescent="0.25">
      <c r="A817" t="str">
        <f>IF(LEN('categories-old'!G817) &gt; 0, "INSERT INTO `catalog_category_entity_varchar` (attribute_id,store_id,entity_id,value) VALUES (48,0,"&amp;'categories-old'!B817&amp;",'"&amp;RIGHT('categories-old'!G817,LEN('categories-old'!G817)-1)&amp;"');","")</f>
        <v>INSERT INTO `catalog_category_entity_varchar` (attribute_id,store_id,entity_id,value) VALUES (48,0,700,'img2/img4f89.jpg');</v>
      </c>
      <c r="B817" t="str">
        <f>IF(LEN(categories!G817) &gt; 0, "INSERT INTO `catalog_category_entity_varchar` (attribute_id,store_id,entity_id,value) VALUES (48,0,"&amp;categories!B817&amp;",'"&amp;RIGHT(categories!G817,LEN(categories!G817)-1)&amp;"');","")</f>
        <v>INSERT INTO `catalog_category_entity_varchar` (attribute_id,store_id,entity_id,value) VALUES (48,0,701,'img2/img5aab.jpg');</v>
      </c>
      <c r="C817" t="str">
        <f>VLOOKUP(categories!B817,'categories-old'!B:G,6,FALSE)</f>
        <v>/img2/img5aab.jpg</v>
      </c>
      <c r="D817" t="str">
        <f>VLOOKUP(categories!B817,'categories-old'!B:H,7,FALSE)</f>
        <v>www.americanretailsupply.com\64831\442801\Hardwood-Showcases\Museum-Style-Countertop-Displays.html</v>
      </c>
    </row>
    <row r="818" spans="1:4" hidden="1" x14ac:dyDescent="0.25">
      <c r="A818" t="str">
        <f>IF(LEN('categories-old'!G818) &gt; 0, "INSERT INTO `catalog_category_entity_varchar` (attribute_id,store_id,entity_id,value) VALUES (48,0,"&amp;'categories-old'!B818&amp;",'"&amp;RIGHT('categories-old'!G818,LEN('categories-old'!G818)-1)&amp;"');","")</f>
        <v>INSERT INTO `catalog_category_entity_varchar` (attribute_id,store_id,entity_id,value) VALUES (48,0,701,'img2/img5aab.jpg');</v>
      </c>
      <c r="B818" t="str">
        <f>IF(LEN(categories!G818) &gt; 0, "INSERT INTO `catalog_category_entity_varchar` (attribute_id,store_id,entity_id,value) VALUES (48,0,"&amp;categories!B818&amp;",'"&amp;RIGHT(categories!G818,LEN(categories!G818)-1)&amp;"');","")</f>
        <v>INSERT INTO `catalog_category_entity_varchar` (attribute_id,store_id,entity_id,value) VALUES (48,0,703,'img2/imgb328.jpg');</v>
      </c>
      <c r="C818" t="str">
        <f>VLOOKUP(categories!B818,'categories-old'!B:G,6,FALSE)</f>
        <v>/img2/imgb328.jpg</v>
      </c>
      <c r="D818" t="str">
        <f>VLOOKUP(categories!B818,'categories-old'!B:H,7,FALSE)</f>
        <v>www.americanretailsupply.com\65166\156995\Head-Forms\Ladies-Abstact-Fiberglass-Head.html</v>
      </c>
    </row>
    <row r="819" spans="1:4" hidden="1" x14ac:dyDescent="0.25">
      <c r="A819" t="str">
        <f>IF(LEN('categories-old'!G819) &gt; 0, "INSERT INTO `catalog_category_entity_varchar` (attribute_id,store_id,entity_id,value) VALUES (48,0,"&amp;'categories-old'!B819&amp;",'"&amp;RIGHT('categories-old'!G819,LEN('categories-old'!G819)-1)&amp;"');","")</f>
        <v>INSERT INTO `catalog_category_entity_varchar` (attribute_id,store_id,entity_id,value) VALUES (48,0,703,'img2/imgb328.jpg');</v>
      </c>
      <c r="B819" t="str">
        <f>IF(LEN(categories!G819) &gt; 0, "INSERT INTO `catalog_category_entity_varchar` (attribute_id,store_id,entity_id,value) VALUES (48,0,"&amp;categories!B819&amp;",'"&amp;RIGHT(categories!G819,LEN(categories!G819)-1)&amp;"');","")</f>
        <v>INSERT INTO `catalog_category_entity_varchar` (attribute_id,store_id,entity_id,value) VALUES (48,0,704,'img3/img9a56.jpg');</v>
      </c>
      <c r="C819" t="str">
        <f>VLOOKUP(categories!B819,'categories-old'!B:G,6,FALSE)</f>
        <v>/img3/img9a56.jpg</v>
      </c>
      <c r="D819" t="str">
        <f>VLOOKUP(categories!B819,'categories-old'!B:H,7,FALSE)</f>
        <v>www.americanretailsupply.com\65166\703691\Head-Forms\Styrofoam-Heads.html</v>
      </c>
    </row>
    <row r="820" spans="1:4" hidden="1" x14ac:dyDescent="0.25">
      <c r="A820" t="str">
        <f>IF(LEN('categories-old'!G820) &gt; 0, "INSERT INTO `catalog_category_entity_varchar` (attribute_id,store_id,entity_id,value) VALUES (48,0,"&amp;'categories-old'!B820&amp;",'"&amp;RIGHT('categories-old'!G820,LEN('categories-old'!G820)-1)&amp;"');","")</f>
        <v>INSERT INTO `catalog_category_entity_varchar` (attribute_id,store_id,entity_id,value) VALUES (48,0,704,'img3/img9a56.jpg');</v>
      </c>
      <c r="B820" t="str">
        <f>IF(LEN(categories!G820) &gt; 0, "INSERT INTO `catalog_category_entity_varchar` (attribute_id,store_id,entity_id,value) VALUES (48,0,"&amp;categories!B820&amp;",'"&amp;RIGHT(categories!G820,LEN(categories!G820)-1)&amp;"');","")</f>
        <v>INSERT INTO `catalog_category_entity_varchar` (attribute_id,store_id,entity_id,value) VALUES (48,0,706,'img3/img5d28.jpg');</v>
      </c>
      <c r="C820" t="str">
        <f>VLOOKUP(categories!B820,'categories-old'!B:G,6,FALSE)</f>
        <v>/img3/img5d28.jpg</v>
      </c>
      <c r="D820" t="str">
        <f>VLOOKUP(categories!B820,'categories-old'!B:H,7,FALSE)</f>
        <v>www.americanretailsupply.com\64710\747887\Hi-Wall-2-Piece-Boxes--Lids\Hi-Wall-2-Piece-White-Boxes--Lids.html</v>
      </c>
    </row>
    <row r="821" spans="1:4" hidden="1" x14ac:dyDescent="0.25">
      <c r="A821" t="str">
        <f>IF(LEN('categories-old'!G821) &gt; 0, "INSERT INTO `catalog_category_entity_varchar` (attribute_id,store_id,entity_id,value) VALUES (48,0,"&amp;'categories-old'!B821&amp;",'"&amp;RIGHT('categories-old'!G821,LEN('categories-old'!G821)-1)&amp;"');","")</f>
        <v>INSERT INTO `catalog_category_entity_varchar` (attribute_id,store_id,entity_id,value) VALUES (48,0,706,'img3/img5d28.jpg');</v>
      </c>
      <c r="B821" t="str">
        <f>IF(LEN(categories!G821) &gt; 0, "INSERT INTO `catalog_category_entity_varchar` (attribute_id,store_id,entity_id,value) VALUES (48,0,"&amp;categories!B821&amp;",'"&amp;RIGHT(categories!G821,LEN(categories!G821)-1)&amp;"');","")</f>
        <v>INSERT INTO `catalog_category_entity_varchar` (attribute_id,store_id,entity_id,value) VALUES (48,0,707,'img3/img452a.jpg');</v>
      </c>
      <c r="C821" t="str">
        <f>VLOOKUP(categories!B821,'categories-old'!B:G,6,FALSE)</f>
        <v>/img3/img452a.jpg</v>
      </c>
      <c r="D821" t="str">
        <f>VLOOKUP(categories!B821,'categories-old'!B:H,7,FALSE)</f>
        <v>www.americanretailsupply.com\64710\748773\Hi-Wall-2-Piece-Boxes--Lids\Hi-Wall-2-Piece-Gold-Boxes--Lids.html</v>
      </c>
    </row>
    <row r="822" spans="1:4" hidden="1" x14ac:dyDescent="0.25">
      <c r="A822" t="str">
        <f>IF(LEN('categories-old'!G822) &gt; 0, "INSERT INTO `catalog_category_entity_varchar` (attribute_id,store_id,entity_id,value) VALUES (48,0,"&amp;'categories-old'!B822&amp;",'"&amp;RIGHT('categories-old'!G822,LEN('categories-old'!G822)-1)&amp;"');","")</f>
        <v>INSERT INTO `catalog_category_entity_varchar` (attribute_id,store_id,entity_id,value) VALUES (48,0,707,'img3/img452a.jpg');</v>
      </c>
      <c r="B822" t="str">
        <f>IF(LEN(categories!G822) &gt; 0, "INSERT INTO `catalog_category_entity_varchar` (attribute_id,store_id,entity_id,value) VALUES (48,0,"&amp;categories!B822&amp;",'"&amp;RIGHT(categories!G822,LEN(categories!G822)-1)&amp;"');","")</f>
        <v>INSERT INTO `catalog_category_entity_varchar` (attribute_id,store_id,entity_id,value) VALUES (48,0,708,'img2/imga13c.jpg');</v>
      </c>
      <c r="C822" t="str">
        <f>VLOOKUP(categories!B822,'categories-old'!B:G,6,FALSE)</f>
        <v>/img2/imga13c.jpg</v>
      </c>
      <c r="D822" t="str">
        <f>VLOOKUP(categories!B822,'categories-old'!B:H,7,FALSE)</f>
        <v>www.americanretailsupply.com\64710\748775\Hi-Wall-2-Piece-Boxes--Lids\Hi-Wall-2-Piece-Black-Swirl-Boxes--Lids.html</v>
      </c>
    </row>
    <row r="823" spans="1:4" hidden="1" x14ac:dyDescent="0.25">
      <c r="A823" t="str">
        <f>IF(LEN('categories-old'!G823) &gt; 0, "INSERT INTO `catalog_category_entity_varchar` (attribute_id,store_id,entity_id,value) VALUES (48,0,"&amp;'categories-old'!B823&amp;",'"&amp;RIGHT('categories-old'!G823,LEN('categories-old'!G823)-1)&amp;"');","")</f>
        <v>INSERT INTO `catalog_category_entity_varchar` (attribute_id,store_id,entity_id,value) VALUES (48,0,708,'img2/imga13c.jpg');</v>
      </c>
      <c r="B823" t="str">
        <f>IF(LEN(categories!G823) &gt; 0, "INSERT INTO `catalog_category_entity_varchar` (attribute_id,store_id,entity_id,value) VALUES (48,0,"&amp;categories!B823&amp;",'"&amp;RIGHT(categories!G823,LEN(categories!G823)-1)&amp;"');","")</f>
        <v>INSERT INTO `catalog_category_entity_varchar` (attribute_id,store_id,entity_id,value) VALUES (48,0,709,'img1/img51c2.jpg');</v>
      </c>
      <c r="C823" t="str">
        <f>VLOOKUP(categories!B823,'categories-old'!B:G,6,FALSE)</f>
        <v>/img1/img51c2.jpg</v>
      </c>
      <c r="D823" t="str">
        <f>VLOOKUP(categories!B823,'categories-old'!B:H,7,FALSE)</f>
        <v>www.americanretailsupply.com\64710\748776\Hi-Wall-2-Piece-Boxes--Lids\Hi-Wall-2-Piece-Red-Boxes--Lids.html</v>
      </c>
    </row>
    <row r="824" spans="1:4" hidden="1" x14ac:dyDescent="0.25">
      <c r="A824" t="str">
        <f>IF(LEN('categories-old'!G824) &gt; 0, "INSERT INTO `catalog_category_entity_varchar` (attribute_id,store_id,entity_id,value) VALUES (48,0,"&amp;'categories-old'!B824&amp;",'"&amp;RIGHT('categories-old'!G824,LEN('categories-old'!G824)-1)&amp;"');","")</f>
        <v>INSERT INTO `catalog_category_entity_varchar` (attribute_id,store_id,entity_id,value) VALUES (48,0,709,'img1/img51c2.jpg');</v>
      </c>
      <c r="B824" t="str">
        <f>IF(LEN(categories!G824) &gt; 0, "INSERT INTO `catalog_category_entity_varchar` (attribute_id,store_id,entity_id,value) VALUES (48,0,"&amp;categories!B824&amp;",'"&amp;RIGHT(categories!G824,LEN(categories!G824)-1)&amp;"');","")</f>
        <v>INSERT INTO `catalog_category_entity_varchar` (attribute_id,store_id,entity_id,value) VALUES (48,0,711,'img3/imgd255.jpg');</v>
      </c>
      <c r="C824" t="str">
        <f>VLOOKUP(categories!B824,'categories-old'!B:G,6,FALSE)</f>
        <v>/img3/imgd255.jpg</v>
      </c>
      <c r="D824" t="str">
        <f>VLOOKUP(categories!B824,'categories-old'!B:H,7,FALSE)</f>
        <v>www.americanretailsupply.com\65074\20290\High-Density-Plastic-Bags\High-Density-Plastic-Merchandise-Bags.html</v>
      </c>
    </row>
    <row r="825" spans="1:4" hidden="1" x14ac:dyDescent="0.25">
      <c r="A825" t="str">
        <f>IF(LEN('categories-old'!G825) &gt; 0, "INSERT INTO `catalog_category_entity_varchar` (attribute_id,store_id,entity_id,value) VALUES (48,0,"&amp;'categories-old'!B825&amp;",'"&amp;RIGHT('categories-old'!G825,LEN('categories-old'!G825)-1)&amp;"');","")</f>
        <v>INSERT INTO `catalog_category_entity_varchar` (attribute_id,store_id,entity_id,value) VALUES (48,0,711,'img3/imgd255.jpg');</v>
      </c>
      <c r="B825" t="str">
        <f>IF(LEN(categories!G825) &gt; 0, "INSERT INTO `catalog_category_entity_varchar` (attribute_id,store_id,entity_id,value) VALUES (48,0,"&amp;categories!B825&amp;",'"&amp;RIGHT(categories!G825,LEN(categories!G825)-1)&amp;"');","")</f>
        <v>INSERT INTO `catalog_category_entity_varchar` (attribute_id,store_id,entity_id,value) VALUES (48,0,712,'img2/img9197.jpg');</v>
      </c>
      <c r="C825" t="str">
        <f>VLOOKUP(categories!B825,'categories-old'!B:G,6,FALSE)</f>
        <v>/img2/img9197.jpg</v>
      </c>
      <c r="D825" t="str">
        <f>VLOOKUP(categories!B825,'categories-old'!B:H,7,FALSE)</f>
        <v>www.americanretailsupply.com\65074\20297\High-Density-Plastic-Bags\Plastic-Bag-Accessories.html</v>
      </c>
    </row>
    <row r="826" spans="1:4" hidden="1" x14ac:dyDescent="0.25">
      <c r="A826" t="str">
        <f>IF(LEN('categories-old'!G826) &gt; 0, "INSERT INTO `catalog_category_entity_varchar` (attribute_id,store_id,entity_id,value) VALUES (48,0,"&amp;'categories-old'!B826&amp;",'"&amp;RIGHT('categories-old'!G826,LEN('categories-old'!G826)-1)&amp;"');","")</f>
        <v>INSERT INTO `catalog_category_entity_varchar` (attribute_id,store_id,entity_id,value) VALUES (48,0,712,'img2/img9197.jpg');</v>
      </c>
      <c r="B826" t="str">
        <f>IF(LEN(categories!G826) &gt; 0, "INSERT INTO `catalog_category_entity_varchar` (attribute_id,store_id,entity_id,value) VALUES (48,0,"&amp;categories!B826&amp;",'"&amp;RIGHT(categories!G826,LEN(categories!G826)-1)&amp;"');","")</f>
        <v>INSERT INTO `catalog_category_entity_varchar` (attribute_id,store_id,entity_id,value) VALUES (48,0,713,'img2/img059b.jpg');</v>
      </c>
      <c r="C826" t="str">
        <f>VLOOKUP(categories!B826,'categories-old'!B:G,6,FALSE)</f>
        <v>/img2/img059b.jpg</v>
      </c>
      <c r="D826" t="str">
        <f>VLOOKUP(categories!B826,'categories-old'!B:H,7,FALSE)</f>
        <v>www.americanretailsupply.com\65074\49169\High-Density-Plastic-Bags\Hi-Density-Plastic-Bags-with-T-Shirt-Handle.html</v>
      </c>
    </row>
    <row r="827" spans="1:4" hidden="1" x14ac:dyDescent="0.25">
      <c r="A827" t="str">
        <f>IF(LEN('categories-old'!G827) &gt; 0, "INSERT INTO `catalog_category_entity_varchar` (attribute_id,store_id,entity_id,value) VALUES (48,0,"&amp;'categories-old'!B827&amp;",'"&amp;RIGHT('categories-old'!G827,LEN('categories-old'!G827)-1)&amp;"');","")</f>
        <v>INSERT INTO `catalog_category_entity_varchar` (attribute_id,store_id,entity_id,value) VALUES (48,0,713,'img2/img059b.jpg');</v>
      </c>
      <c r="B827" t="str">
        <f>IF(LEN(categories!G827) &gt; 0, "INSERT INTO `catalog_category_entity_varchar` (attribute_id,store_id,entity_id,value) VALUES (48,0,"&amp;categories!B827&amp;",'"&amp;RIGHT(categories!G827,LEN(categories!G827)-1)&amp;"');","")</f>
        <v>INSERT INTO `catalog_category_entity_varchar` (attribute_id,store_id,entity_id,value) VALUES (48,0,714,'img3/imgdce7.jpg');</v>
      </c>
      <c r="C827" t="str">
        <f>VLOOKUP(categories!B827,'categories-old'!B:G,6,FALSE)</f>
        <v>/img3/imgdce7.jpg</v>
      </c>
      <c r="D827" t="str">
        <f>VLOOKUP(categories!B827,'categories-old'!B:H,7,FALSE)</f>
        <v>www.americanretailsupply.com\65074\227781\High-Density-Plastic-Bags\AmeriTote-High-Density-Plastic-Shopping-Bags.html</v>
      </c>
    </row>
    <row r="828" spans="1:4" hidden="1" x14ac:dyDescent="0.25">
      <c r="A828" t="str">
        <f>IF(LEN('categories-old'!G828) &gt; 0, "INSERT INTO `catalog_category_entity_varchar` (attribute_id,store_id,entity_id,value) VALUES (48,0,"&amp;'categories-old'!B828&amp;",'"&amp;RIGHT('categories-old'!G828,LEN('categories-old'!G828)-1)&amp;"');","")</f>
        <v>INSERT INTO `catalog_category_entity_varchar` (attribute_id,store_id,entity_id,value) VALUES (48,0,714,'img3/imgdce7.jpg');</v>
      </c>
      <c r="B828" t="str">
        <f>IF(LEN(categories!G828) &gt; 0, "INSERT INTO `catalog_category_entity_varchar` (attribute_id,store_id,entity_id,value) VALUES (48,0,"&amp;categories!B828&amp;",'"&amp;RIGHT(categories!G828,LEN(categories!G828)-1)&amp;"');","")</f>
        <v>INSERT INTO `catalog_category_entity_varchar` (attribute_id,store_id,entity_id,value) VALUES (48,0,716,'img3/img0f36.jpg');</v>
      </c>
      <c r="C828" t="str">
        <f>VLOOKUP(categories!B828,'categories-old'!B:G,6,FALSE)</f>
        <v>/img3/img0f36.jpg</v>
      </c>
      <c r="D828" t="str">
        <f>VLOOKUP(categories!B828,'categories-old'!B:H,7,FALSE)</f>
        <v>www.americanretailsupply.com\64832\172187\High-Tech-Showcases\Full-Sized-Quarter-Vision-Jewelry-Showcase.html</v>
      </c>
    </row>
    <row r="829" spans="1:4" hidden="1" x14ac:dyDescent="0.25">
      <c r="A829" t="str">
        <f>IF(LEN('categories-old'!G829) &gt; 0, "INSERT INTO `catalog_category_entity_varchar` (attribute_id,store_id,entity_id,value) VALUES (48,0,"&amp;'categories-old'!B829&amp;",'"&amp;RIGHT('categories-old'!G829,LEN('categories-old'!G829)-1)&amp;"');","")</f>
        <v>INSERT INTO `catalog_category_entity_varchar` (attribute_id,store_id,entity_id,value) VALUES (48,0,716,'img3/img0f36.jpg');</v>
      </c>
      <c r="B829" t="str">
        <f>IF(LEN(categories!G829) &gt; 0, "INSERT INTO `catalog_category_entity_varchar` (attribute_id,store_id,entity_id,value) VALUES (48,0,"&amp;categories!B829&amp;",'"&amp;RIGHT(categories!G829,LEN(categories!G829)-1)&amp;"');","")</f>
        <v>INSERT INTO `catalog_category_entity_varchar` (attribute_id,store_id,entity_id,value) VALUES (48,0,717,'img3/imgc4d0.jpg');</v>
      </c>
      <c r="C829" t="str">
        <f>VLOOKUP(categories!B829,'categories-old'!B:G,6,FALSE)</f>
        <v>/img3/imgc4d0.jpg</v>
      </c>
      <c r="D829" t="str">
        <f>VLOOKUP(categories!B829,'categories-old'!B:H,7,FALSE)</f>
        <v>www.americanretailsupply.com\64832\172189\High-Tech-Showcases\Full-Sized-Quarter-Vision-Curved-Jewelry-Corner-Showcase.html</v>
      </c>
    </row>
    <row r="830" spans="1:4" hidden="1" x14ac:dyDescent="0.25">
      <c r="A830" t="str">
        <f>IF(LEN('categories-old'!G830) &gt; 0, "INSERT INTO `catalog_category_entity_varchar` (attribute_id,store_id,entity_id,value) VALUES (48,0,"&amp;'categories-old'!B830&amp;",'"&amp;RIGHT('categories-old'!G830,LEN('categories-old'!G830)-1)&amp;"');","")</f>
        <v>INSERT INTO `catalog_category_entity_varchar` (attribute_id,store_id,entity_id,value) VALUES (48,0,717,'img3/imgc4d0.jpg');</v>
      </c>
      <c r="B830" t="str">
        <f>IF(LEN(categories!G830) &gt; 0, "INSERT INTO `catalog_category_entity_varchar` (attribute_id,store_id,entity_id,value) VALUES (48,0,"&amp;categories!B830&amp;",'"&amp;RIGHT(categories!G830,LEN(categories!G830)-1)&amp;"');","")</f>
        <v>INSERT INTO `catalog_category_entity_varchar` (attribute_id,store_id,entity_id,value) VALUES (48,0,718,'img3/img300c.jpg');</v>
      </c>
      <c r="C830" t="str">
        <f>VLOOKUP(categories!B830,'categories-old'!B:G,6,FALSE)</f>
        <v>/img3/img300c.jpg</v>
      </c>
      <c r="D830" t="str">
        <f>VLOOKUP(categories!B830,'categories-old'!B:H,7,FALSE)</f>
        <v>www.americanretailsupply.com\64832\172190\High-Tech-Showcases\Full-Sized-Quarter-Vision-Corner-Jewelry-Showcase.html</v>
      </c>
    </row>
    <row r="831" spans="1:4" hidden="1" x14ac:dyDescent="0.25">
      <c r="A831" t="str">
        <f>IF(LEN('categories-old'!G831) &gt; 0, "INSERT INTO `catalog_category_entity_varchar` (attribute_id,store_id,entity_id,value) VALUES (48,0,"&amp;'categories-old'!B831&amp;",'"&amp;RIGHT('categories-old'!G831,LEN('categories-old'!G831)-1)&amp;"');","")</f>
        <v>INSERT INTO `catalog_category_entity_varchar` (attribute_id,store_id,entity_id,value) VALUES (48,0,718,'img3/img300c.jpg');</v>
      </c>
      <c r="B831" t="str">
        <f>IF(LEN(categories!G831) &gt; 0, "INSERT INTO `catalog_category_entity_varchar` (attribute_id,store_id,entity_id,value) VALUES (48,0,"&amp;categories!B831&amp;",'"&amp;RIGHT(categories!G831,LEN(categories!G831)-1)&amp;"');","")</f>
        <v>INSERT INTO `catalog_category_entity_varchar` (attribute_id,store_id,entity_id,value) VALUES (48,0,719,'img2/img4e8f.jpg');</v>
      </c>
      <c r="C831" t="str">
        <f>VLOOKUP(categories!B831,'categories-old'!B:G,6,FALSE)</f>
        <v>/img2/img4e8f.jpg</v>
      </c>
      <c r="D831" t="str">
        <f>VLOOKUP(categories!B831,'categories-old'!B:H,7,FALSE)</f>
        <v>www.americanretailsupply.com\64832\172191\High-Tech-Showcases\Full-Sized-Full-Vision-Showcase.html</v>
      </c>
    </row>
    <row r="832" spans="1:4" hidden="1" x14ac:dyDescent="0.25">
      <c r="A832" t="str">
        <f>IF(LEN('categories-old'!G832) &gt; 0, "INSERT INTO `catalog_category_entity_varchar` (attribute_id,store_id,entity_id,value) VALUES (48,0,"&amp;'categories-old'!B832&amp;",'"&amp;RIGHT('categories-old'!G832,LEN('categories-old'!G832)-1)&amp;"');","")</f>
        <v>INSERT INTO `catalog_category_entity_varchar` (attribute_id,store_id,entity_id,value) VALUES (48,0,719,'img2/img4e8f.jpg');</v>
      </c>
      <c r="B832" t="str">
        <f>IF(LEN(categories!G832) &gt; 0, "INSERT INTO `catalog_category_entity_varchar` (attribute_id,store_id,entity_id,value) VALUES (48,0,"&amp;categories!B832&amp;",'"&amp;RIGHT(categories!G832,LEN(categories!G832)-1)&amp;"');","")</f>
        <v>INSERT INTO `catalog_category_entity_varchar` (attribute_id,store_id,entity_id,value) VALUES (48,0,720,'img3/img4f28.jpg');</v>
      </c>
      <c r="C832" t="str">
        <f>VLOOKUP(categories!B832,'categories-old'!B:G,6,FALSE)</f>
        <v>/img3/img4f28.jpg</v>
      </c>
      <c r="D832" t="str">
        <f>VLOOKUP(categories!B832,'categories-old'!B:H,7,FALSE)</f>
        <v>www.americanretailsupply.com\64832\172197\High-Tech-Showcases\Cash-Wrap-Cabinet.html</v>
      </c>
    </row>
    <row r="833" spans="1:4" hidden="1" x14ac:dyDescent="0.25">
      <c r="A833" t="str">
        <f>IF(LEN('categories-old'!G833) &gt; 0, "INSERT INTO `catalog_category_entity_varchar` (attribute_id,store_id,entity_id,value) VALUES (48,0,"&amp;'categories-old'!B833&amp;",'"&amp;RIGHT('categories-old'!G833,LEN('categories-old'!G833)-1)&amp;"');","")</f>
        <v>INSERT INTO `catalog_category_entity_varchar` (attribute_id,store_id,entity_id,value) VALUES (48,0,720,'img3/img4f28.jpg');</v>
      </c>
      <c r="B833" t="str">
        <f>IF(LEN(categories!G833) &gt; 0, "INSERT INTO `catalog_category_entity_varchar` (attribute_id,store_id,entity_id,value) VALUES (48,0,"&amp;categories!B833&amp;",'"&amp;RIGHT(categories!G833,LEN(categories!G833)-1)&amp;"');","")</f>
        <v>INSERT INTO `catalog_category_entity_varchar` (attribute_id,store_id,entity_id,value) VALUES (48,0,721,'img2/img8f4a.jpg');</v>
      </c>
      <c r="C833" t="str">
        <f>VLOOKUP(categories!B833,'categories-old'!B:G,6,FALSE)</f>
        <v>/img2/img8f4a.jpg</v>
      </c>
      <c r="D833" t="str">
        <f>VLOOKUP(categories!B833,'categories-old'!B:H,7,FALSE)</f>
        <v>www.americanretailsupply.com\64832\172201\High-Tech-Showcases\Full-Sized-Quarter-Vision-Jewelry-Showcase-wWood-Sides.html</v>
      </c>
    </row>
    <row r="834" spans="1:4" hidden="1" x14ac:dyDescent="0.25">
      <c r="A834" t="str">
        <f>IF(LEN('categories-old'!G834) &gt; 0, "INSERT INTO `catalog_category_entity_varchar` (attribute_id,store_id,entity_id,value) VALUES (48,0,"&amp;'categories-old'!B834&amp;",'"&amp;RIGHT('categories-old'!G834,LEN('categories-old'!G834)-1)&amp;"');","")</f>
        <v>INSERT INTO `catalog_category_entity_varchar` (attribute_id,store_id,entity_id,value) VALUES (48,0,721,'img2/img8f4a.jpg');</v>
      </c>
      <c r="B834" t="str">
        <f>IF(LEN(categories!G834) &gt; 0, "INSERT INTO `catalog_category_entity_varchar` (attribute_id,store_id,entity_id,value) VALUES (48,0,"&amp;categories!B834&amp;",'"&amp;RIGHT(categories!G834,LEN(categories!G834)-1)&amp;"');","")</f>
        <v>INSERT INTO `catalog_category_entity_varchar` (attribute_id,store_id,entity_id,value) VALUES (48,0,722,'img2/img17d4.jpg');</v>
      </c>
      <c r="C834" t="str">
        <f>VLOOKUP(categories!B834,'categories-old'!B:G,6,FALSE)</f>
        <v>/img2/img17d4.jpg</v>
      </c>
      <c r="D834" t="str">
        <f>VLOOKUP(categories!B834,'categories-old'!B:H,7,FALSE)</f>
        <v>www.americanretailsupply.com\64832\172206\High-Tech-Showcases\Full-Sized-Half-Vision-Showcase.html</v>
      </c>
    </row>
    <row r="835" spans="1:4" hidden="1" x14ac:dyDescent="0.25">
      <c r="A835" t="str">
        <f>IF(LEN('categories-old'!G835) &gt; 0, "INSERT INTO `catalog_category_entity_varchar` (attribute_id,store_id,entity_id,value) VALUES (48,0,"&amp;'categories-old'!B835&amp;",'"&amp;RIGHT('categories-old'!G835,LEN('categories-old'!G835)-1)&amp;"');","")</f>
        <v>INSERT INTO `catalog_category_entity_varchar` (attribute_id,store_id,entity_id,value) VALUES (48,0,722,'img2/img17d4.jpg');</v>
      </c>
      <c r="B835" t="str">
        <f>IF(LEN(categories!G835) &gt; 0, "INSERT INTO `catalog_category_entity_varchar` (attribute_id,store_id,entity_id,value) VALUES (48,0,"&amp;categories!B835&amp;",'"&amp;RIGHT(categories!G835,LEN(categories!G835)-1)&amp;"');","")</f>
        <v>INSERT INTO `catalog_category_entity_varchar` (attribute_id,store_id,entity_id,value) VALUES (48,0,723,'img3/img9996.jpg');</v>
      </c>
      <c r="C835" t="str">
        <f>VLOOKUP(categories!B835,'categories-old'!B:G,6,FALSE)</f>
        <v>/img3/img9996.jpg</v>
      </c>
      <c r="D835" t="str">
        <f>VLOOKUP(categories!B835,'categories-old'!B:H,7,FALSE)</f>
        <v>www.americanretailsupply.com\64832\172207\High-Tech-Showcases\Hexagon-Free-Standing-Jewelry-Display-Case.html</v>
      </c>
    </row>
    <row r="836" spans="1:4" hidden="1" x14ac:dyDescent="0.25">
      <c r="A836" t="str">
        <f>IF(LEN('categories-old'!G836) &gt; 0, "INSERT INTO `catalog_category_entity_varchar` (attribute_id,store_id,entity_id,value) VALUES (48,0,"&amp;'categories-old'!B836&amp;",'"&amp;RIGHT('categories-old'!G836,LEN('categories-old'!G836)-1)&amp;"');","")</f>
        <v>INSERT INTO `catalog_category_entity_varchar` (attribute_id,store_id,entity_id,value) VALUES (48,0,723,'img3/img9996.jpg');</v>
      </c>
      <c r="B836" t="str">
        <f>IF(LEN(categories!G836) &gt; 0, "INSERT INTO `catalog_category_entity_varchar` (attribute_id,store_id,entity_id,value) VALUES (48,0,"&amp;categories!B836&amp;",'"&amp;RIGHT(categories!G836,LEN(categories!G836)-1)&amp;"');","")</f>
        <v>INSERT INTO `catalog_category_entity_varchar` (attribute_id,store_id,entity_id,value) VALUES (48,0,724,'img1/img97de.jpg');</v>
      </c>
      <c r="C836" t="str">
        <f>VLOOKUP(categories!B836,'categories-old'!B:G,6,FALSE)</f>
        <v>/img1/img97de.jpg</v>
      </c>
      <c r="D836" t="str">
        <f>VLOOKUP(categories!B836,'categories-old'!B:H,7,FALSE)</f>
        <v>www.americanretailsupply.com\64832\172239\High-Tech-Showcases\Curved-Wall-48-Wide-Display-Case-with-Storage.html</v>
      </c>
    </row>
    <row r="837" spans="1:4" hidden="1" x14ac:dyDescent="0.25">
      <c r="A837" t="str">
        <f>IF(LEN('categories-old'!G837) &gt; 0, "INSERT INTO `catalog_category_entity_varchar` (attribute_id,store_id,entity_id,value) VALUES (48,0,"&amp;'categories-old'!B837&amp;",'"&amp;RIGHT('categories-old'!G837,LEN('categories-old'!G837)-1)&amp;"');","")</f>
        <v>INSERT INTO `catalog_category_entity_varchar` (attribute_id,store_id,entity_id,value) VALUES (48,0,724,'img1/img97de.jpg');</v>
      </c>
      <c r="B837" t="str">
        <f>IF(LEN(categories!G837) &gt; 0, "INSERT INTO `catalog_category_entity_varchar` (attribute_id,store_id,entity_id,value) VALUES (48,0,"&amp;categories!B837&amp;",'"&amp;RIGHT(categories!G837,LEN(categories!G837)-1)&amp;"');","")</f>
        <v>INSERT INTO `catalog_category_entity_varchar` (attribute_id,store_id,entity_id,value) VALUES (48,0,725,'img2/img12b8.jpg');</v>
      </c>
      <c r="C837" t="str">
        <f>VLOOKUP(categories!B837,'categories-old'!B:G,6,FALSE)</f>
        <v>/img2/img12b8.jpg</v>
      </c>
      <c r="D837" t="str">
        <f>VLOOKUP(categories!B837,'categories-old'!B:H,7,FALSE)</f>
        <v>www.americanretailsupply.com\64832\172249\High-Tech-Showcases\Curved-Wall-45-Glass-Display-Case-No-Storage.html</v>
      </c>
    </row>
    <row r="838" spans="1:4" hidden="1" x14ac:dyDescent="0.25">
      <c r="A838" t="str">
        <f>IF(LEN('categories-old'!G838) &gt; 0, "INSERT INTO `catalog_category_entity_varchar` (attribute_id,store_id,entity_id,value) VALUES (48,0,"&amp;'categories-old'!B838&amp;",'"&amp;RIGHT('categories-old'!G838,LEN('categories-old'!G838)-1)&amp;"');","")</f>
        <v>INSERT INTO `catalog_category_entity_varchar` (attribute_id,store_id,entity_id,value) VALUES (48,0,725,'img2/img12b8.jpg');</v>
      </c>
      <c r="B838" t="str">
        <f>IF(LEN(categories!G838) &gt; 0, "INSERT INTO `catalog_category_entity_varchar` (attribute_id,store_id,entity_id,value) VALUES (48,0,"&amp;categories!B838&amp;",'"&amp;RIGHT(categories!G838,LEN(categories!G838)-1)&amp;"');","")</f>
        <v>INSERT INTO `catalog_category_entity_varchar` (attribute_id,store_id,entity_id,value) VALUES (48,0,726,'img1/imgab55.jpg');</v>
      </c>
      <c r="C838" t="str">
        <f>VLOOKUP(categories!B838,'categories-old'!B:G,6,FALSE)</f>
        <v>/img1/imgab55.jpg</v>
      </c>
      <c r="D838" t="str">
        <f>VLOOKUP(categories!B838,'categories-old'!B:H,7,FALSE)</f>
        <v>www.americanretailsupply.com\64832\172259\High-Tech-Showcases\Hexagon-Stretched-Tower-Display-Case.html</v>
      </c>
    </row>
    <row r="839" spans="1:4" hidden="1" x14ac:dyDescent="0.25">
      <c r="A839" t="str">
        <f>IF(LEN('categories-old'!G839) &gt; 0, "INSERT INTO `catalog_category_entity_varchar` (attribute_id,store_id,entity_id,value) VALUES (48,0,"&amp;'categories-old'!B839&amp;",'"&amp;RIGHT('categories-old'!G839,LEN('categories-old'!G839)-1)&amp;"');","")</f>
        <v>INSERT INTO `catalog_category_entity_varchar` (attribute_id,store_id,entity_id,value) VALUES (48,0,726,'img1/imgab55.jpg');</v>
      </c>
      <c r="B839" t="str">
        <f>IF(LEN(categories!G839) &gt; 0, "INSERT INTO `catalog_category_entity_varchar` (attribute_id,store_id,entity_id,value) VALUES (48,0,"&amp;categories!B839&amp;",'"&amp;RIGHT(categories!G839,LEN(categories!G839)-1)&amp;"');","")</f>
        <v>INSERT INTO `catalog_category_entity_varchar` (attribute_id,store_id,entity_id,value) VALUES (48,0,727,'img3/img5484.jpg');</v>
      </c>
      <c r="C839" t="str">
        <f>VLOOKUP(categories!B839,'categories-old'!B:G,6,FALSE)</f>
        <v>/img3/img5484.jpg</v>
      </c>
      <c r="D839" t="str">
        <f>VLOOKUP(categories!B839,'categories-old'!B:H,7,FALSE)</f>
        <v>www.americanretailsupply.com\64832\172260\High-Tech-Showcases\Hexagon-Revolving-Tower-Display-Case-with-Storage.html</v>
      </c>
    </row>
    <row r="840" spans="1:4" hidden="1" x14ac:dyDescent="0.25">
      <c r="A840" t="str">
        <f>IF(LEN('categories-old'!G840) &gt; 0, "INSERT INTO `catalog_category_entity_varchar` (attribute_id,store_id,entity_id,value) VALUES (48,0,"&amp;'categories-old'!B840&amp;",'"&amp;RIGHT('categories-old'!G840,LEN('categories-old'!G840)-1)&amp;"');","")</f>
        <v>INSERT INTO `catalog_category_entity_varchar` (attribute_id,store_id,entity_id,value) VALUES (48,0,727,'img3/img5484.jpg');</v>
      </c>
      <c r="B840" t="str">
        <f>IF(LEN(categories!G840) &gt; 0, "INSERT INTO `catalog_category_entity_varchar` (attribute_id,store_id,entity_id,value) VALUES (48,0,"&amp;categories!B840&amp;",'"&amp;RIGHT(categories!G840,LEN(categories!G840)-1)&amp;"');","")</f>
        <v>INSERT INTO `catalog_category_entity_varchar` (attribute_id,store_id,entity_id,value) VALUES (48,0,728,'img1/img9a22.jpg');</v>
      </c>
      <c r="C840" t="str">
        <f>VLOOKUP(categories!B840,'categories-old'!B:G,6,FALSE)</f>
        <v>/img1/img9a22.jpg</v>
      </c>
      <c r="D840" t="str">
        <f>VLOOKUP(categories!B840,'categories-old'!B:H,7,FALSE)</f>
        <v>www.americanretailsupply.com\64832\172262\High-Tech-Showcases\Hexagon-Counter-Top-Display-Case.html</v>
      </c>
    </row>
    <row r="841" spans="1:4" hidden="1" x14ac:dyDescent="0.25">
      <c r="A841" t="str">
        <f>IF(LEN('categories-old'!G841) &gt; 0, "INSERT INTO `catalog_category_entity_varchar` (attribute_id,store_id,entity_id,value) VALUES (48,0,"&amp;'categories-old'!B841&amp;",'"&amp;RIGHT('categories-old'!G841,LEN('categories-old'!G841)-1)&amp;"');","")</f>
        <v>INSERT INTO `catalog_category_entity_varchar` (attribute_id,store_id,entity_id,value) VALUES (48,0,728,'img1/img9a22.jpg');</v>
      </c>
      <c r="B841" t="str">
        <f>IF(LEN(categories!G841) &gt; 0, "INSERT INTO `catalog_category_entity_varchar` (attribute_id,store_id,entity_id,value) VALUES (48,0,"&amp;categories!B841&amp;",'"&amp;RIGHT(categories!G841,LEN(categories!G841)-1)&amp;"');","")</f>
        <v>INSERT INTO `catalog_category_entity_varchar` (attribute_id,store_id,entity_id,value) VALUES (48,0,729,'img2/imgfe5f.jpg');</v>
      </c>
      <c r="C841" t="str">
        <f>VLOOKUP(categories!B841,'categories-old'!B:G,6,FALSE)</f>
        <v>/img2/imgfe5f.jpg</v>
      </c>
      <c r="D841" t="str">
        <f>VLOOKUP(categories!B841,'categories-old'!B:H,7,FALSE)</f>
        <v>www.americanretailsupply.com\64832\583774\High-Tech-Showcases\Compact-Square-Tower-Display-Case.html</v>
      </c>
    </row>
    <row r="842" spans="1:4" hidden="1" x14ac:dyDescent="0.25">
      <c r="A842" t="str">
        <f>IF(LEN('categories-old'!G842) &gt; 0, "INSERT INTO `catalog_category_entity_varchar` (attribute_id,store_id,entity_id,value) VALUES (48,0,"&amp;'categories-old'!B842&amp;",'"&amp;RIGHT('categories-old'!G842,LEN('categories-old'!G842)-1)&amp;"');","")</f>
        <v>INSERT INTO `catalog_category_entity_varchar` (attribute_id,store_id,entity_id,value) VALUES (48,0,729,'img2/imgfe5f.jpg');</v>
      </c>
      <c r="B842" t="str">
        <f>IF(LEN(categories!G842) &gt; 0, "INSERT INTO `catalog_category_entity_varchar` (attribute_id,store_id,entity_id,value) VALUES (48,0,"&amp;categories!B842&amp;",'"&amp;RIGHT(categories!G842,LEN(categories!G842)-1)&amp;"');","")</f>
        <v>INSERT INTO `catalog_category_entity_varchar` (attribute_id,store_id,entity_id,value) VALUES (48,0,730,'img3/img0332.jpg');</v>
      </c>
      <c r="C842" t="str">
        <f>VLOOKUP(categories!B842,'categories-old'!B:G,6,FALSE)</f>
        <v>/img3/img0332.jpg</v>
      </c>
      <c r="D842" t="str">
        <f>VLOOKUP(categories!B842,'categories-old'!B:H,7,FALSE)</f>
        <v>www.americanretailsupply.com\64832\583775\High-Tech-Showcases\Curved-Wall-40-Wide-Display-no-Storage.html</v>
      </c>
    </row>
    <row r="843" spans="1:4" hidden="1" x14ac:dyDescent="0.25">
      <c r="A843" t="str">
        <f>IF(LEN('categories-old'!G843) &gt; 0, "INSERT INTO `catalog_category_entity_varchar` (attribute_id,store_id,entity_id,value) VALUES (48,0,"&amp;'categories-old'!B843&amp;",'"&amp;RIGHT('categories-old'!G843,LEN('categories-old'!G843)-1)&amp;"');","")</f>
        <v>INSERT INTO `catalog_category_entity_varchar` (attribute_id,store_id,entity_id,value) VALUES (48,0,730,'img3/img0332.jpg');</v>
      </c>
      <c r="B843" t="str">
        <f>IF(LEN(categories!G843) &gt; 0, "INSERT INTO `catalog_category_entity_varchar` (attribute_id,store_id,entity_id,value) VALUES (48,0,"&amp;categories!B843&amp;",'"&amp;RIGHT(categories!G843,LEN(categories!G843)-1)&amp;"');","")</f>
        <v>INSERT INTO `catalog_category_entity_varchar` (attribute_id,store_id,entity_id,value) VALUES (48,0,731,'img1/imgc6f3.jpg');</v>
      </c>
      <c r="C843" t="str">
        <f>VLOOKUP(categories!B843,'categories-old'!B:G,6,FALSE)</f>
        <v>/img1/imgc6f3.jpg</v>
      </c>
      <c r="D843" t="str">
        <f>VLOOKUP(categories!B843,'categories-old'!B:H,7,FALSE)</f>
        <v>www.americanretailsupply.com\64832\583778\High-Tech-Showcases\Full-Sized-Quarter-Vision-Jewelry-Showcase-with-Pedastal-Ends.html</v>
      </c>
    </row>
    <row r="844" spans="1:4" hidden="1" x14ac:dyDescent="0.25">
      <c r="A844" t="str">
        <f>IF(LEN('categories-old'!G844) &gt; 0, "INSERT INTO `catalog_category_entity_varchar` (attribute_id,store_id,entity_id,value) VALUES (48,0,"&amp;'categories-old'!B844&amp;",'"&amp;RIGHT('categories-old'!G844,LEN('categories-old'!G844)-1)&amp;"');","")</f>
        <v>INSERT INTO `catalog_category_entity_varchar` (attribute_id,store_id,entity_id,value) VALUES (48,0,731,'img1/imgc6f3.jpg');</v>
      </c>
      <c r="B844" t="str">
        <f>IF(LEN(categories!G844) &gt; 0, "INSERT INTO `catalog_category_entity_varchar` (attribute_id,store_id,entity_id,value) VALUES (48,0,"&amp;categories!B844&amp;",'"&amp;RIGHT(categories!G844,LEN(categories!G844)-1)&amp;"');","")</f>
        <v>INSERT INTO `catalog_category_entity_varchar` (attribute_id,store_id,entity_id,value) VALUES (48,0,732,'img2/img8630.jpg');</v>
      </c>
      <c r="C844" t="str">
        <f>VLOOKUP(categories!B844,'categories-old'!B:G,6,FALSE)</f>
        <v>/img2/img8630.jpg</v>
      </c>
      <c r="D844" t="str">
        <f>VLOOKUP(categories!B844,'categories-old'!B:H,7,FALSE)</f>
        <v>www.americanretailsupply.com\64832\583842\High-Tech-Showcases\Full-Sized-Quarter-Vision-Jewelry-Case-with-Angled-Corners.html</v>
      </c>
    </row>
    <row r="845" spans="1:4" hidden="1" x14ac:dyDescent="0.25">
      <c r="A845" t="str">
        <f>IF(LEN('categories-old'!G845) &gt; 0, "INSERT INTO `catalog_category_entity_varchar` (attribute_id,store_id,entity_id,value) VALUES (48,0,"&amp;'categories-old'!B845&amp;",'"&amp;RIGHT('categories-old'!G845,LEN('categories-old'!G845)-1)&amp;"');","")</f>
        <v>INSERT INTO `catalog_category_entity_varchar` (attribute_id,store_id,entity_id,value) VALUES (48,0,732,'img2/img8630.jpg');</v>
      </c>
      <c r="B845" t="str">
        <f>IF(LEN(categories!G845) &gt; 0, "INSERT INTO `catalog_category_entity_varchar` (attribute_id,store_id,entity_id,value) VALUES (48,0,"&amp;categories!B845&amp;",'"&amp;RIGHT(categories!G845,LEN(categories!G845)-1)&amp;"');","")</f>
        <v>INSERT INTO `catalog_category_entity_varchar` (attribute_id,store_id,entity_id,value) VALUES (48,0,733,'img3/img5aed.jpg');</v>
      </c>
      <c r="C845" t="str">
        <f>VLOOKUP(categories!B845,'categories-old'!B:G,6,FALSE)</f>
        <v>/img3/img5aed.jpg</v>
      </c>
      <c r="D845" t="str">
        <f>VLOOKUP(categories!B845,'categories-old'!B:H,7,FALSE)</f>
        <v>www.americanretailsupply.com\64832\583941\High-Tech-Showcases\Curved-Tower-Display-Case.html</v>
      </c>
    </row>
    <row r="846" spans="1:4" hidden="1" x14ac:dyDescent="0.25">
      <c r="A846" t="str">
        <f>IF(LEN('categories-old'!G846) &gt; 0, "INSERT INTO `catalog_category_entity_varchar` (attribute_id,store_id,entity_id,value) VALUES (48,0,"&amp;'categories-old'!B846&amp;",'"&amp;RIGHT('categories-old'!G846,LEN('categories-old'!G846)-1)&amp;"');","")</f>
        <v>INSERT INTO `catalog_category_entity_varchar` (attribute_id,store_id,entity_id,value) VALUES (48,0,733,'img3/img5aed.jpg');</v>
      </c>
      <c r="B846" t="str">
        <f>IF(LEN(categories!G846) &gt; 0, "INSERT INTO `catalog_category_entity_varchar` (attribute_id,store_id,entity_id,value) VALUES (48,0,"&amp;categories!B846&amp;",'"&amp;RIGHT(categories!G846,LEN(categories!G846)-1)&amp;"');","")</f>
        <v>INSERT INTO `catalog_category_entity_varchar` (attribute_id,store_id,entity_id,value) VALUES (48,0,734,'img1/img85d9.jpg');</v>
      </c>
      <c r="C846" t="str">
        <f>VLOOKUP(categories!B846,'categories-old'!B:G,6,FALSE)</f>
        <v>/img1/img85d9.jpg</v>
      </c>
      <c r="D846" t="str">
        <f>VLOOKUP(categories!B846,'categories-old'!B:H,7,FALSE)</f>
        <v>www.americanretailsupply.com\64832\585062\High-Tech-Showcases\Hexagon-Freestanding-Jewelry-Display-Case-Top-Only.html</v>
      </c>
    </row>
    <row r="847" spans="1:4" hidden="1" x14ac:dyDescent="0.25">
      <c r="A847" t="str">
        <f>IF(LEN('categories-old'!G847) &gt; 0, "INSERT INTO `catalog_category_entity_varchar` (attribute_id,store_id,entity_id,value) VALUES (48,0,"&amp;'categories-old'!B847&amp;",'"&amp;RIGHT('categories-old'!G847,LEN('categories-old'!G847)-1)&amp;"');","")</f>
        <v>INSERT INTO `catalog_category_entity_varchar` (attribute_id,store_id,entity_id,value) VALUES (48,0,734,'img1/img85d9.jpg');</v>
      </c>
      <c r="B847" t="str">
        <f>IF(LEN(categories!G847) &gt; 0, "INSERT INTO `catalog_category_entity_varchar` (attribute_id,store_id,entity_id,value) VALUES (48,0,"&amp;categories!B847&amp;",'"&amp;RIGHT(categories!G847,LEN(categories!G847)-1)&amp;"');","")</f>
        <v>INSERT INTO `catalog_category_entity_varchar` (attribute_id,store_id,entity_id,value) VALUES (48,0,736,'img3/imgdee7.jpg');</v>
      </c>
      <c r="C847" t="str">
        <f>VLOOKUP(categories!B847,'categories-old'!B:G,6,FALSE)</f>
        <v>/img3/imgdee7.jpg</v>
      </c>
      <c r="D847" t="str">
        <f>VLOOKUP(categories!B847,'categories-old'!B:H,7,FALSE)</f>
        <v>www.americanretailsupply.com\65011\732117\Holiday-Boxes\Reindeer-Dance.html</v>
      </c>
    </row>
    <row r="848" spans="1:4" hidden="1" x14ac:dyDescent="0.25">
      <c r="A848" t="str">
        <f>IF(LEN('categories-old'!G848) &gt; 0, "INSERT INTO `catalog_category_entity_varchar` (attribute_id,store_id,entity_id,value) VALUES (48,0,"&amp;'categories-old'!B848&amp;",'"&amp;RIGHT('categories-old'!G848,LEN('categories-old'!G848)-1)&amp;"');","")</f>
        <v>INSERT INTO `catalog_category_entity_varchar` (attribute_id,store_id,entity_id,value) VALUES (48,0,736,'img3/imgdee7.jpg');</v>
      </c>
      <c r="B848" t="str">
        <f>IF(LEN(categories!G848) &gt; 0, "INSERT INTO `catalog_category_entity_varchar` (attribute_id,store_id,entity_id,value) VALUES (48,0,"&amp;categories!B848&amp;",'"&amp;RIGHT(categories!G848,LEN(categories!G848)-1)&amp;"');","")</f>
        <v>INSERT INTO `catalog_category_entity_varchar` (attribute_id,store_id,entity_id,value) VALUES (48,0,737,'img2/img6ecd.jpg');</v>
      </c>
      <c r="C848" t="str">
        <f>VLOOKUP(categories!B848,'categories-old'!B:G,6,FALSE)</f>
        <v>/img2/img6ecd.jpg</v>
      </c>
      <c r="D848" t="str">
        <f>VLOOKUP(categories!B848,'categories-old'!B:H,7,FALSE)</f>
        <v>www.americanretailsupply.com\65011\732118\Holiday-Boxes\Riveting-Ribbons.html</v>
      </c>
    </row>
    <row r="849" spans="1:4" hidden="1" x14ac:dyDescent="0.25">
      <c r="A849" t="str">
        <f>IF(LEN('categories-old'!G849) &gt; 0, "INSERT INTO `catalog_category_entity_varchar` (attribute_id,store_id,entity_id,value) VALUES (48,0,"&amp;'categories-old'!B849&amp;",'"&amp;RIGHT('categories-old'!G849,LEN('categories-old'!G849)-1)&amp;"');","")</f>
        <v>INSERT INTO `catalog_category_entity_varchar` (attribute_id,store_id,entity_id,value) VALUES (48,0,737,'img2/img6ecd.jpg');</v>
      </c>
      <c r="B849" t="str">
        <f>IF(LEN(categories!G849) &gt; 0, "INSERT INTO `catalog_category_entity_varchar` (attribute_id,store_id,entity_id,value) VALUES (48,0,"&amp;categories!B849&amp;",'"&amp;RIGHT(categories!G849,LEN(categories!G849)-1)&amp;"');","")</f>
        <v>INSERT INTO `catalog_category_entity_varchar` (attribute_id,store_id,entity_id,value) VALUES (48,0,739,'img3/img1c2f.jpg');</v>
      </c>
      <c r="C849" t="str">
        <f>VLOOKUP(categories!B849,'categories-old'!B:G,6,FALSE)</f>
        <v>/img3/img1c2f.jpg</v>
      </c>
      <c r="D849" t="str">
        <f>VLOOKUP(categories!B849,'categories-old'!B:H,7,FALSE)</f>
        <v>www.americanretailsupply.com\64723\50821\Holiday-Giftwrap\Christmas-and-Holiday-Giftwrap-2.html</v>
      </c>
    </row>
    <row r="850" spans="1:4" hidden="1" x14ac:dyDescent="0.25">
      <c r="A850" t="str">
        <f>IF(LEN('categories-old'!G850) &gt; 0, "INSERT INTO `catalog_category_entity_varchar` (attribute_id,store_id,entity_id,value) VALUES (48,0,"&amp;'categories-old'!B850&amp;",'"&amp;RIGHT('categories-old'!G850,LEN('categories-old'!G850)-1)&amp;"');","")</f>
        <v>INSERT INTO `catalog_category_entity_varchar` (attribute_id,store_id,entity_id,value) VALUES (48,0,739,'img3/img1c2f.jpg');</v>
      </c>
      <c r="B850" t="str">
        <f>IF(LEN(categories!G850) &gt; 0, "INSERT INTO `catalog_category_entity_varchar` (attribute_id,store_id,entity_id,value) VALUES (48,0,"&amp;categories!B850&amp;",'"&amp;RIGHT(categories!G850,LEN(categories!G850)-1)&amp;"');","")</f>
        <v>INSERT INTO `catalog_category_entity_varchar` (attribute_id,store_id,entity_id,value) VALUES (48,0,740,'img3/imgb5fc.jpg');</v>
      </c>
      <c r="C850" t="str">
        <f>VLOOKUP(categories!B850,'categories-old'!B:G,6,FALSE)</f>
        <v>/img3/imgb5fc.jpg</v>
      </c>
      <c r="D850" t="str">
        <f>VLOOKUP(categories!B850,'categories-old'!B:H,7,FALSE)</f>
        <v>www.americanretailsupply.com\64723\50843\Holiday-Giftwrap\Christmas-and-Holiday-Giftwrap-1.html</v>
      </c>
    </row>
    <row r="851" spans="1:4" hidden="1" x14ac:dyDescent="0.25">
      <c r="A851" t="str">
        <f>IF(LEN('categories-old'!G851) &gt; 0, "INSERT INTO `catalog_category_entity_varchar` (attribute_id,store_id,entity_id,value) VALUES (48,0,"&amp;'categories-old'!B851&amp;",'"&amp;RIGHT('categories-old'!G851,LEN('categories-old'!G851)-1)&amp;"');","")</f>
        <v>INSERT INTO `catalog_category_entity_varchar` (attribute_id,store_id,entity_id,value) VALUES (48,0,740,'img3/imgb5fc.jpg');</v>
      </c>
      <c r="B851" t="str">
        <f>IF(LEN(categories!G851) &gt; 0, "INSERT INTO `catalog_category_entity_varchar` (attribute_id,store_id,entity_id,value) VALUES (48,0,"&amp;categories!B851&amp;",'"&amp;RIGHT(categories!G851,LEN(categories!G851)-1)&amp;"');","")</f>
        <v>INSERT INTO `catalog_category_entity_varchar` (attribute_id,store_id,entity_id,value) VALUES (48,0,742,'img1/img9f6e.jpg');</v>
      </c>
      <c r="C851" t="str">
        <f>VLOOKUP(categories!B851,'categories-old'!B:G,6,FALSE)</f>
        <v>/img1/img9f6e.jpg</v>
      </c>
      <c r="D851" t="str">
        <f>VLOOKUP(categories!B851,'categories-old'!B:H,7,FALSE)</f>
        <v>www.americanretailsupply.com\65001\28612\Holiday-Patterned-Tissue-Paper\Printed-Tissue-Paper-Assortment-Packs.html</v>
      </c>
    </row>
    <row r="852" spans="1:4" hidden="1" x14ac:dyDescent="0.25">
      <c r="A852" t="str">
        <f>IF(LEN('categories-old'!G852) &gt; 0, "INSERT INTO `catalog_category_entity_varchar` (attribute_id,store_id,entity_id,value) VALUES (48,0,"&amp;'categories-old'!B852&amp;",'"&amp;RIGHT('categories-old'!G852,LEN('categories-old'!G852)-1)&amp;"');","")</f>
        <v>INSERT INTO `catalog_category_entity_varchar` (attribute_id,store_id,entity_id,value) VALUES (48,0,742,'img1/img9f6e.jpg');</v>
      </c>
      <c r="B852" t="str">
        <f>IF(LEN(categories!G852) &gt; 0, "INSERT INTO `catalog_category_entity_varchar` (attribute_id,store_id,entity_id,value) VALUES (48,0,"&amp;categories!B852&amp;",'"&amp;RIGHT(categories!G852,LEN(categories!G852)-1)&amp;"');","")</f>
        <v>INSERT INTO `catalog_category_entity_varchar` (attribute_id,store_id,entity_id,value) VALUES (48,0,743,'img1/img9f6e.jpg');</v>
      </c>
      <c r="C852" t="str">
        <f>VLOOKUP(categories!B852,'categories-old'!B:G,6,FALSE)</f>
        <v>/img1/img9f6e.jpg</v>
      </c>
      <c r="D852" t="str">
        <f>VLOOKUP(categories!B852,'categories-old'!B:H,7,FALSE)</f>
        <v>www.americanretailsupply.com\65001\223362\Holiday-Patterned-Tissue-Paper\Holiday--Christmas-Printed-Tissue-Paper.html</v>
      </c>
    </row>
    <row r="853" spans="1:4" hidden="1" x14ac:dyDescent="0.25">
      <c r="A853" t="str">
        <f>IF(LEN('categories-old'!G853) &gt; 0, "INSERT INTO `catalog_category_entity_varchar` (attribute_id,store_id,entity_id,value) VALUES (48,0,"&amp;'categories-old'!B853&amp;",'"&amp;RIGHT('categories-old'!G853,LEN('categories-old'!G853)-1)&amp;"');","")</f>
        <v>INSERT INTO `catalog_category_entity_varchar` (attribute_id,store_id,entity_id,value) VALUES (48,0,743,'img1/img9f6e.jpg');</v>
      </c>
      <c r="B853" t="str">
        <f>IF(LEN(categories!G853) &gt; 0, "INSERT INTO `catalog_category_entity_varchar` (attribute_id,store_id,entity_id,value) VALUES (48,0,"&amp;categories!B853&amp;",'"&amp;RIGHT(categories!G853,LEN(categories!G853)-1)&amp;"');","")</f>
        <v>INSERT INTO `catalog_category_entity_varchar` (attribute_id,store_id,entity_id,value) VALUES (48,0,745,'img3/img0060.jpg');</v>
      </c>
      <c r="C853" t="str">
        <f>VLOOKUP(categories!B853,'categories-old'!B:G,6,FALSE)</f>
        <v>/img3/img0060.jpg</v>
      </c>
      <c r="D853" t="str">
        <f>VLOOKUP(categories!B853,'categories-old'!B:H,7,FALSE)</f>
        <v>www.americanretailsupply.com\64999\752414\Holiday-Patterns-Plastic-Bags\Holiday-AmeriTotes-Hi--Density-in-Solid-Colors.html</v>
      </c>
    </row>
    <row r="854" spans="1:4" hidden="1" x14ac:dyDescent="0.25">
      <c r="A854" t="str">
        <f>IF(LEN('categories-old'!G854) &gt; 0, "INSERT INTO `catalog_category_entity_varchar` (attribute_id,store_id,entity_id,value) VALUES (48,0,"&amp;'categories-old'!B854&amp;",'"&amp;RIGHT('categories-old'!G854,LEN('categories-old'!G854)-1)&amp;"');","")</f>
        <v>INSERT INTO `catalog_category_entity_varchar` (attribute_id,store_id,entity_id,value) VALUES (48,0,745,'img3/img0060.jpg');</v>
      </c>
      <c r="B854" t="str">
        <f>IF(LEN(categories!G854) &gt; 0, "INSERT INTO `catalog_category_entity_varchar` (attribute_id,store_id,entity_id,value) VALUES (48,0,"&amp;categories!B854&amp;",'"&amp;RIGHT(categories!G854,LEN(categories!G854)-1)&amp;"');","")</f>
        <v>INSERT INTO `catalog_category_entity_varchar` (attribute_id,store_id,entity_id,value) VALUES (48,0,746,'img2/img0094.jpg');</v>
      </c>
      <c r="C854" t="str">
        <f>VLOOKUP(categories!B854,'categories-old'!B:G,6,FALSE)</f>
        <v>/img2/img0094.jpg</v>
      </c>
      <c r="D854" t="str">
        <f>VLOOKUP(categories!B854,'categories-old'!B:H,7,FALSE)</f>
        <v>www.americanretailsupply.com\64999\752422\Holiday-Patterns-Plastic-Bags\Gloss-Christmas-Plastic-Merchandise-Bags.html</v>
      </c>
    </row>
    <row r="855" spans="1:4" hidden="1" x14ac:dyDescent="0.25">
      <c r="A855" t="str">
        <f>IF(LEN('categories-old'!G855) &gt; 0, "INSERT INTO `catalog_category_entity_varchar` (attribute_id,store_id,entity_id,value) VALUES (48,0,"&amp;'categories-old'!B855&amp;",'"&amp;RIGHT('categories-old'!G855,LEN('categories-old'!G855)-1)&amp;"');","")</f>
        <v>INSERT INTO `catalog_category_entity_varchar` (attribute_id,store_id,entity_id,value) VALUES (48,0,746,'img2/img0094.jpg');</v>
      </c>
      <c r="B855" t="str">
        <f>IF(LEN(categories!G855) &gt; 0, "INSERT INTO `catalog_category_entity_varchar` (attribute_id,store_id,entity_id,value) VALUES (48,0,"&amp;categories!B855&amp;",'"&amp;RIGHT(categories!G855,LEN(categories!G855)-1)&amp;"');","")</f>
        <v>INSERT INTO `catalog_category_entity_varchar` (attribute_id,store_id,entity_id,value) VALUES (48,0,747,'img1/img3870.jpg');</v>
      </c>
      <c r="C855" t="str">
        <f>VLOOKUP(categories!B855,'categories-old'!B:G,6,FALSE)</f>
        <v>/img1/img3870.jpg</v>
      </c>
      <c r="D855" t="str">
        <f>VLOOKUP(categories!B855,'categories-old'!B:H,7,FALSE)</f>
        <v>www.americanretailsupply.com\64999\762170\Holiday-Patterns-Plastic-Bags\Printed-Plastic-Holiday-Bags.html</v>
      </c>
    </row>
    <row r="856" spans="1:4" hidden="1" x14ac:dyDescent="0.25">
      <c r="A856" t="str">
        <f>IF(LEN('categories-old'!G856) &gt; 0, "INSERT INTO `catalog_category_entity_varchar` (attribute_id,store_id,entity_id,value) VALUES (48,0,"&amp;'categories-old'!B856&amp;",'"&amp;RIGHT('categories-old'!G856,LEN('categories-old'!G856)-1)&amp;"');","")</f>
        <v>INSERT INTO `catalog_category_entity_varchar` (attribute_id,store_id,entity_id,value) VALUES (48,0,747,'img1/img3870.jpg');</v>
      </c>
      <c r="B856" t="str">
        <f>IF(LEN(categories!G856) &gt; 0, "INSERT INTO `catalog_category_entity_varchar` (attribute_id,store_id,entity_id,value) VALUES (48,0,"&amp;categories!B856&amp;",'"&amp;RIGHT(categories!G856,LEN(categories!G856)-1)&amp;"');","")</f>
        <v>INSERT INTO `catalog_category_entity_varchar` (attribute_id,store_id,entity_id,value) VALUES (48,0,749,'img3/img2a68.jpg');</v>
      </c>
      <c r="C856" t="str">
        <f>VLOOKUP(categories!B856,'categories-old'!B:G,6,FALSE)</f>
        <v>/img3/img2a68.jpg</v>
      </c>
      <c r="D856" t="str">
        <f>VLOOKUP(categories!B856,'categories-old'!B:H,7,FALSE)</f>
        <v>www.americanretailsupply.com\65167\156998\Hosiery--Sock-Displays\Female-Leg.html</v>
      </c>
    </row>
    <row r="857" spans="1:4" hidden="1" x14ac:dyDescent="0.25">
      <c r="A857" t="str">
        <f>IF(LEN('categories-old'!G857) &gt; 0, "INSERT INTO `catalog_category_entity_varchar` (attribute_id,store_id,entity_id,value) VALUES (48,0,"&amp;'categories-old'!B857&amp;",'"&amp;RIGHT('categories-old'!G857,LEN('categories-old'!G857)-1)&amp;"');","")</f>
        <v>INSERT INTO `catalog_category_entity_varchar` (attribute_id,store_id,entity_id,value) VALUES (48,0,749,'img3/img2a68.jpg');</v>
      </c>
      <c r="B857" t="str">
        <f>IF(LEN(categories!G857) &gt; 0, "INSERT INTO `catalog_category_entity_varchar` (attribute_id,store_id,entity_id,value) VALUES (48,0,"&amp;categories!B857&amp;",'"&amp;RIGHT(categories!G857,LEN(categories!G857)-1)&amp;"');","")</f>
        <v>INSERT INTO `catalog_category_entity_varchar` (attribute_id,store_id,entity_id,value) VALUES (48,0,750,'img3/img8e64.jpg');</v>
      </c>
      <c r="C857" t="str">
        <f>VLOOKUP(categories!B857,'categories-old'!B:G,6,FALSE)</f>
        <v>/img3/img8e64.jpg</v>
      </c>
      <c r="D857" t="str">
        <f>VLOOKUP(categories!B857,'categories-old'!B:H,7,FALSE)</f>
        <v>www.americanretailsupply.com\65167\156999\Hosiery--Sock-Displays\Athletic-Mens-Sock-Display.html</v>
      </c>
    </row>
    <row r="858" spans="1:4" hidden="1" x14ac:dyDescent="0.25">
      <c r="A858" t="str">
        <f>IF(LEN('categories-old'!G858) &gt; 0, "INSERT INTO `catalog_category_entity_varchar` (attribute_id,store_id,entity_id,value) VALUES (48,0,"&amp;'categories-old'!B858&amp;",'"&amp;RIGHT('categories-old'!G858,LEN('categories-old'!G858)-1)&amp;"');","")</f>
        <v>INSERT INTO `catalog_category_entity_varchar` (attribute_id,store_id,entity_id,value) VALUES (48,0,750,'img3/img8e64.jpg');</v>
      </c>
      <c r="B858" t="str">
        <f>IF(LEN(categories!G858) &gt; 0, "INSERT INTO `catalog_category_entity_varchar` (attribute_id,store_id,entity_id,value) VALUES (48,0,"&amp;categories!B858&amp;",'"&amp;RIGHT(categories!G858,LEN(categories!G858)-1)&amp;"');","")</f>
        <v>INSERT INTO `catalog_category_entity_varchar` (attribute_id,store_id,entity_id,value) VALUES (48,0,752,'img2/imgf706.jpg');</v>
      </c>
      <c r="C858" t="str">
        <f>VLOOKUP(categories!B858,'categories-old'!B:G,6,FALSE)</f>
        <v>/img2/imgf706.jpg</v>
      </c>
      <c r="D858" t="str">
        <f>VLOOKUP(categories!B858,'categories-old'!B:H,7,FALSE)</f>
        <v>www.americanretailsupply.com\64852\22329\Impulse-Sealers--Shrink-Wrap\Shrink-Wrap-Film-and-Bags.html</v>
      </c>
    </row>
    <row r="859" spans="1:4" hidden="1" x14ac:dyDescent="0.25">
      <c r="A859" t="str">
        <f>IF(LEN('categories-old'!G859) &gt; 0, "INSERT INTO `catalog_category_entity_varchar` (attribute_id,store_id,entity_id,value) VALUES (48,0,"&amp;'categories-old'!B859&amp;",'"&amp;RIGHT('categories-old'!G859,LEN('categories-old'!G859)-1)&amp;"');","")</f>
        <v>INSERT INTO `catalog_category_entity_varchar` (attribute_id,store_id,entity_id,value) VALUES (48,0,752,'img2/imgf706.jpg');</v>
      </c>
      <c r="B859" t="str">
        <f>IF(LEN(categories!G859) &gt; 0, "INSERT INTO `catalog_category_entity_varchar` (attribute_id,store_id,entity_id,value) VALUES (48,0,"&amp;categories!B859&amp;",'"&amp;RIGHT(categories!G859,LEN(categories!G859)-1)&amp;"');","")</f>
        <v>INSERT INTO `catalog_category_entity_varchar` (attribute_id,store_id,entity_id,value) VALUES (48,0,753,'img2/img0fae.jpg');</v>
      </c>
      <c r="C859" t="str">
        <f>VLOOKUP(categories!B859,'categories-old'!B:G,6,FALSE)</f>
        <v>/img2/img0fae.jpg</v>
      </c>
      <c r="D859" t="str">
        <f>VLOOKUP(categories!B859,'categories-old'!B:H,7,FALSE)</f>
        <v>www.americanretailsupply.com\10290\48242\Impulse-Sealers--Shrink-Wrap\Impulse-Sealers.html</v>
      </c>
    </row>
    <row r="860" spans="1:4" hidden="1" x14ac:dyDescent="0.25">
      <c r="A860" t="str">
        <f>IF(LEN('categories-old'!G860) &gt; 0, "INSERT INTO `catalog_category_entity_varchar` (attribute_id,store_id,entity_id,value) VALUES (48,0,"&amp;'categories-old'!B860&amp;",'"&amp;RIGHT('categories-old'!G860,LEN('categories-old'!G860)-1)&amp;"');","")</f>
        <v>INSERT INTO `catalog_category_entity_varchar` (attribute_id,store_id,entity_id,value) VALUES (48,0,753,'img2/img0fae.jpg');</v>
      </c>
      <c r="B860" t="str">
        <f>IF(LEN(categories!G860) &gt; 0, "INSERT INTO `catalog_category_entity_varchar` (attribute_id,store_id,entity_id,value) VALUES (48,0,"&amp;categories!B860&amp;",'"&amp;RIGHT(categories!G860,LEN(categories!G860)-1)&amp;"');","")</f>
        <v>INSERT INTO `catalog_category_entity_varchar` (attribute_id,store_id,entity_id,value) VALUES (48,0,754,'img3/img91bb.jpg');</v>
      </c>
      <c r="C860" t="str">
        <f>VLOOKUP(categories!B860,'categories-old'!B:G,6,FALSE)</f>
        <v>/img3/img91bb.jpg</v>
      </c>
      <c r="D860" t="str">
        <f>VLOOKUP(categories!B860,'categories-old'!B:H,7,FALSE)</f>
        <v>www.americanretailsupply.com\64852\48243\Impulse-Sealers--Shrink-Wrap\Impulse-Sealer-Replacement-Kit.html</v>
      </c>
    </row>
    <row r="861" spans="1:4" hidden="1" x14ac:dyDescent="0.25">
      <c r="A861" t="str">
        <f>IF(LEN('categories-old'!G861) &gt; 0, "INSERT INTO `catalog_category_entity_varchar` (attribute_id,store_id,entity_id,value) VALUES (48,0,"&amp;'categories-old'!B861&amp;",'"&amp;RIGHT('categories-old'!G861,LEN('categories-old'!G861)-1)&amp;"');","")</f>
        <v>INSERT INTO `catalog_category_entity_varchar` (attribute_id,store_id,entity_id,value) VALUES (48,0,754,'img3/img91bb.jpg');</v>
      </c>
      <c r="B861" t="str">
        <f>IF(LEN(categories!G861) &gt; 0, "INSERT INTO `catalog_category_entity_varchar` (attribute_id,store_id,entity_id,value) VALUES (48,0,"&amp;categories!B861&amp;",'"&amp;RIGHT(categories!G861,LEN(categories!G861)-1)&amp;"');","")</f>
        <v>INSERT INTO `catalog_category_entity_varchar` (attribute_id,store_id,entity_id,value) VALUES (48,0,755,'img3/imgd20d.jpg');</v>
      </c>
      <c r="C861" t="str">
        <f>VLOOKUP(categories!B861,'categories-old'!B:G,6,FALSE)</f>
        <v>/img3/imgd20d.jpg</v>
      </c>
      <c r="D861" t="str">
        <f>VLOOKUP(categories!B861,'categories-old'!B:H,7,FALSE)</f>
        <v>www.americanretailsupply.com\64852\153428\Impulse-Sealers--Shrink-Wrap\Shrink-Wrap-Systems.html</v>
      </c>
    </row>
    <row r="862" spans="1:4" hidden="1" x14ac:dyDescent="0.25">
      <c r="A862" t="str">
        <f>IF(LEN('categories-old'!G862) &gt; 0, "INSERT INTO `catalog_category_entity_varchar` (attribute_id,store_id,entity_id,value) VALUES (48,0,"&amp;'categories-old'!B862&amp;",'"&amp;RIGHT('categories-old'!G862,LEN('categories-old'!G862)-1)&amp;"');","")</f>
        <v>INSERT INTO `catalog_category_entity_varchar` (attribute_id,store_id,entity_id,value) VALUES (48,0,755,'img3/imgd20d.jpg');</v>
      </c>
      <c r="B862" t="str">
        <f>IF(LEN(categories!G862) &gt; 0, "INSERT INTO `catalog_category_entity_varchar` (attribute_id,store_id,entity_id,value) VALUES (48,0,"&amp;categories!B862&amp;",'"&amp;RIGHT(categories!G862,LEN(categories!G862)-1)&amp;"');","")</f>
        <v>INSERT INTO `catalog_category_entity_varchar` (attribute_id,store_id,entity_id,value) VALUES (48,0,756,'img3/imgd20d.jpg');</v>
      </c>
      <c r="C862" t="str">
        <f>VLOOKUP(categories!B862,'categories-old'!B:G,6,FALSE)</f>
        <v>/img3/imgd20d.jpg</v>
      </c>
      <c r="D862" t="str">
        <f>VLOOKUP(categories!B862,'categories-old'!B:H,7,FALSE)</f>
        <v>www.americanretailsupply.com\64852\153429\Impulse-Sealers--Shrink-Wrap\Shrink-Wrap-Heat-Gun.html</v>
      </c>
    </row>
    <row r="863" spans="1:4" hidden="1" x14ac:dyDescent="0.25">
      <c r="A863" t="str">
        <f>IF(LEN('categories-old'!G863) &gt; 0, "INSERT INTO `catalog_category_entity_varchar` (attribute_id,store_id,entity_id,value) VALUES (48,0,"&amp;'categories-old'!B863&amp;",'"&amp;RIGHT('categories-old'!G863,LEN('categories-old'!G863)-1)&amp;"');","")</f>
        <v>INSERT INTO `catalog_category_entity_varchar` (attribute_id,store_id,entity_id,value) VALUES (48,0,756,'img3/imgd20d.jpg');</v>
      </c>
      <c r="B863" t="str">
        <f>IF(LEN(categories!G863) &gt; 0, "INSERT INTO `catalog_category_entity_varchar` (attribute_id,store_id,entity_id,value) VALUES (48,0,"&amp;categories!B863&amp;",'"&amp;RIGHT(categories!G863,LEN(categories!G863)-1)&amp;"');","")</f>
        <v>INSERT INTO `catalog_category_entity_varchar` (attribute_id,store_id,entity_id,value) VALUES (48,0,757,'img2/img33d2.jpg');</v>
      </c>
      <c r="C863" t="str">
        <f>VLOOKUP(categories!B863,'categories-old'!B:G,6,FALSE)</f>
        <v>/img2/img33d2.jpg</v>
      </c>
      <c r="D863" t="str">
        <f>VLOOKUP(categories!B863,'categories-old'!B:H,7,FALSE)</f>
        <v>www.americanretailsupply.com\64852\153430\Impulse-Sealers--Shrink-Wrap\6-Hand-Crimper-and-or-Sealer.html</v>
      </c>
    </row>
    <row r="864" spans="1:4" hidden="1" x14ac:dyDescent="0.25">
      <c r="A864" t="str">
        <f>IF(LEN('categories-old'!G864) &gt; 0, "INSERT INTO `catalog_category_entity_varchar` (attribute_id,store_id,entity_id,value) VALUES (48,0,"&amp;'categories-old'!B864&amp;",'"&amp;RIGHT('categories-old'!G864,LEN('categories-old'!G864)-1)&amp;"');","")</f>
        <v>INSERT INTO `catalog_category_entity_varchar` (attribute_id,store_id,entity_id,value) VALUES (48,0,757,'img2/img33d2.jpg');</v>
      </c>
      <c r="B864" t="str">
        <f>IF(LEN(categories!G864) &gt; 0, "INSERT INTO `catalog_category_entity_varchar` (attribute_id,store_id,entity_id,value) VALUES (48,0,"&amp;categories!B864&amp;",'"&amp;RIGHT(categories!G864,LEN(categories!G864)-1)&amp;"');","")</f>
        <v>INSERT INTO `catalog_category_entity_varchar` (attribute_id,store_id,entity_id,value) VALUES (48,0,758,'img3/imgd20d.jpg');</v>
      </c>
      <c r="C864" t="str">
        <f>VLOOKUP(categories!B864,'categories-old'!B:G,6,FALSE)</f>
        <v>/img3/imgd20d.jpg</v>
      </c>
      <c r="D864" t="str">
        <f>VLOOKUP(categories!B864,'categories-old'!B:H,7,FALSE)</f>
        <v>www.americanretailsupply.com\64852\153431\Impulse-Sealers--Shrink-Wrap\Shrink-Wrap-Replacement-Kit.html</v>
      </c>
    </row>
    <row r="865" spans="1:4" hidden="1" x14ac:dyDescent="0.25">
      <c r="A865" t="str">
        <f>IF(LEN('categories-old'!G865) &gt; 0, "INSERT INTO `catalog_category_entity_varchar` (attribute_id,store_id,entity_id,value) VALUES (48,0,"&amp;'categories-old'!B865&amp;",'"&amp;RIGHT('categories-old'!G865,LEN('categories-old'!G865)-1)&amp;"');","")</f>
        <v>INSERT INTO `catalog_category_entity_varchar` (attribute_id,store_id,entity_id,value) VALUES (48,0,758,'img3/imgd20d.jpg');</v>
      </c>
      <c r="B865" t="str">
        <f>IF(LEN(categories!G865) &gt; 0, "INSERT INTO `catalog_category_entity_varchar` (attribute_id,store_id,entity_id,value) VALUES (48,0,"&amp;categories!B865&amp;",'"&amp;RIGHT(categories!G865,LEN(categories!G865)-1)&amp;"');","")</f>
        <v>INSERT INTO `catalog_category_entity_varchar` (attribute_id,store_id,entity_id,value) VALUES (48,0,760,'img3/img6d80.jpg');</v>
      </c>
      <c r="C865" t="str">
        <f>VLOOKUP(categories!B865,'categories-old'!B:G,6,FALSE)</f>
        <v>/img3/img6d80.jpg</v>
      </c>
      <c r="D865" t="str">
        <f>VLOOKUP(categories!B865,'categories-old'!B:H,7,FALSE)</f>
        <v>www.americanretailsupply.com\64712\439478\Italian-Boxes\Matte-Gold-Linen-Collection.html</v>
      </c>
    </row>
    <row r="866" spans="1:4" hidden="1" x14ac:dyDescent="0.25">
      <c r="A866" t="str">
        <f>IF(LEN('categories-old'!G866) &gt; 0, "INSERT INTO `catalog_category_entity_varchar` (attribute_id,store_id,entity_id,value) VALUES (48,0,"&amp;'categories-old'!B866&amp;",'"&amp;RIGHT('categories-old'!G866,LEN('categories-old'!G866)-1)&amp;"');","")</f>
        <v>INSERT INTO `catalog_category_entity_varchar` (attribute_id,store_id,entity_id,value) VALUES (48,0,760,'img3/img6d80.jpg');</v>
      </c>
      <c r="B866" t="str">
        <f>IF(LEN(categories!G866) &gt; 0, "INSERT INTO `catalog_category_entity_varchar` (attribute_id,store_id,entity_id,value) VALUES (48,0,"&amp;categories!B866&amp;",'"&amp;RIGHT(categories!G866,LEN(categories!G866)-1)&amp;"');","")</f>
        <v>INSERT INTO `catalog_category_entity_varchar` (attribute_id,store_id,entity_id,value) VALUES (48,0,761,'img1/imgcfa2.jpg');</v>
      </c>
      <c r="C866" t="str">
        <f>VLOOKUP(categories!B866,'categories-old'!B:G,6,FALSE)</f>
        <v>/img1/imgcfa2.jpg</v>
      </c>
      <c r="D866" t="str">
        <f>VLOOKUP(categories!B866,'categories-old'!B:H,7,FALSE)</f>
        <v>www.americanretailsupply.com\64712\441391\Italian-Boxes\White-Gloss-Collection.html</v>
      </c>
    </row>
    <row r="867" spans="1:4" hidden="1" x14ac:dyDescent="0.25">
      <c r="A867" t="str">
        <f>IF(LEN('categories-old'!G867) &gt; 0, "INSERT INTO `catalog_category_entity_varchar` (attribute_id,store_id,entity_id,value) VALUES (48,0,"&amp;'categories-old'!B867&amp;",'"&amp;RIGHT('categories-old'!G867,LEN('categories-old'!G867)-1)&amp;"');","")</f>
        <v>INSERT INTO `catalog_category_entity_varchar` (attribute_id,store_id,entity_id,value) VALUES (48,0,761,'img1/imgcfa2.jpg');</v>
      </c>
      <c r="B867" t="str">
        <f>IF(LEN(categories!G867) &gt; 0, "INSERT INTO `catalog_category_entity_varchar` (attribute_id,store_id,entity_id,value) VALUES (48,0,"&amp;categories!B867&amp;",'"&amp;RIGHT(categories!G867,LEN(categories!G867)-1)&amp;"');","")</f>
        <v>INSERT INTO `catalog_category_entity_varchar` (attribute_id,store_id,entity_id,value) VALUES (48,0,762,'img2/imgd52d.jpg');</v>
      </c>
      <c r="C867" t="str">
        <f>VLOOKUP(categories!B867,'categories-old'!B:G,6,FALSE)</f>
        <v>/img2/imgd52d.jpg</v>
      </c>
      <c r="D867" t="str">
        <f>VLOOKUP(categories!B867,'categories-old'!B:H,7,FALSE)</f>
        <v>www.americanretailsupply.com\64712\441474\Italian-Boxes\Chocolate-Linen-Collection.html</v>
      </c>
    </row>
    <row r="868" spans="1:4" hidden="1" x14ac:dyDescent="0.25">
      <c r="A868" t="str">
        <f>IF(LEN('categories-old'!G868) &gt; 0, "INSERT INTO `catalog_category_entity_varchar` (attribute_id,store_id,entity_id,value) VALUES (48,0,"&amp;'categories-old'!B868&amp;",'"&amp;RIGHT('categories-old'!G868,LEN('categories-old'!G868)-1)&amp;"');","")</f>
        <v>INSERT INTO `catalog_category_entity_varchar` (attribute_id,store_id,entity_id,value) VALUES (48,0,762,'img2/imgd52d.jpg');</v>
      </c>
      <c r="B868" t="str">
        <f>IF(LEN(categories!G868) &gt; 0, "INSERT INTO `catalog_category_entity_varchar` (attribute_id,store_id,entity_id,value) VALUES (48,0,"&amp;categories!B868&amp;",'"&amp;RIGHT(categories!G868,LEN(categories!G868)-1)&amp;"');","")</f>
        <v>INSERT INTO `catalog_category_entity_varchar` (attribute_id,store_id,entity_id,value) VALUES (48,0,764,'img3/imgb0ae.jpg');</v>
      </c>
      <c r="C868" t="str">
        <f>VLOOKUP(categories!B868,'categories-old'!B:G,6,FALSE)</f>
        <v>/img3/imgb0ae.jpg</v>
      </c>
      <c r="D868" t="str">
        <f>VLOOKUP(categories!B868,'categories-old'!B:H,7,FALSE)</f>
        <v>www.americanretailsupply.com\64915\33973\Jewelry-Apparel-Eyewear-Displays\Acrylic-Apparel-Ball-Waterfall.html</v>
      </c>
    </row>
    <row r="869" spans="1:4" hidden="1" x14ac:dyDescent="0.25">
      <c r="A869" t="str">
        <f>IF(LEN('categories-old'!G869) &gt; 0, "INSERT INTO `catalog_category_entity_varchar` (attribute_id,store_id,entity_id,value) VALUES (48,0,"&amp;'categories-old'!B869&amp;",'"&amp;RIGHT('categories-old'!G869,LEN('categories-old'!G869)-1)&amp;"');","")</f>
        <v>INSERT INTO `catalog_category_entity_varchar` (attribute_id,store_id,entity_id,value) VALUES (48,0,764,'img3/imgb0ae.jpg');</v>
      </c>
      <c r="B869" t="str">
        <f>IF(LEN(categories!G869) &gt; 0, "INSERT INTO `catalog_category_entity_varchar` (attribute_id,store_id,entity_id,value) VALUES (48,0,"&amp;categories!B869&amp;",'"&amp;RIGHT(categories!G869,LEN(categories!G869)-1)&amp;"');","")</f>
        <v>INSERT INTO `catalog_category_entity_varchar` (attribute_id,store_id,entity_id,value) VALUES (48,0,765,'img3/img7f22.jpg');</v>
      </c>
      <c r="C869" t="str">
        <f>VLOOKUP(categories!B869,'categories-old'!B:G,6,FALSE)</f>
        <v>/img3/img7f22.jpg</v>
      </c>
      <c r="D869" t="str">
        <f>VLOOKUP(categories!B869,'categories-old'!B:H,7,FALSE)</f>
        <v>www.americanretailsupply.com\64915\33974\Jewelry-Apparel-Eyewear-Displays\Acrylic-Apparel-Folding-Boards.html</v>
      </c>
    </row>
    <row r="870" spans="1:4" hidden="1" x14ac:dyDescent="0.25">
      <c r="A870" t="str">
        <f>IF(LEN('categories-old'!G870) &gt; 0, "INSERT INTO `catalog_category_entity_varchar` (attribute_id,store_id,entity_id,value) VALUES (48,0,"&amp;'categories-old'!B870&amp;",'"&amp;RIGHT('categories-old'!G870,LEN('categories-old'!G870)-1)&amp;"');","")</f>
        <v>INSERT INTO `catalog_category_entity_varchar` (attribute_id,store_id,entity_id,value) VALUES (48,0,765,'img3/img7f22.jpg');</v>
      </c>
      <c r="B870" t="str">
        <f>IF(LEN(categories!G870) &gt; 0, "INSERT INTO `catalog_category_entity_varchar` (attribute_id,store_id,entity_id,value) VALUES (48,0,"&amp;categories!B870&amp;",'"&amp;RIGHT(categories!G870,LEN(categories!G870)-1)&amp;"');","")</f>
        <v>INSERT INTO `catalog_category_entity_varchar` (attribute_id,store_id,entity_id,value) VALUES (48,0,766,'img1/img9e72.jpg');</v>
      </c>
      <c r="C870" t="str">
        <f>VLOOKUP(categories!B870,'categories-old'!B:G,6,FALSE)</f>
        <v>/img1/img9e72.jpg</v>
      </c>
      <c r="D870" t="str">
        <f>VLOOKUP(categories!B870,'categories-old'!B:H,7,FALSE)</f>
        <v>www.americanretailsupply.com\64915\33975\Jewelry-Apparel-Eyewear-Displays\Acrylic-Apparel-Hanger-Strip.html</v>
      </c>
    </row>
    <row r="871" spans="1:4" hidden="1" x14ac:dyDescent="0.25">
      <c r="A871" t="str">
        <f>IF(LEN('categories-old'!G871) &gt; 0, "INSERT INTO `catalog_category_entity_varchar` (attribute_id,store_id,entity_id,value) VALUES (48,0,"&amp;'categories-old'!B871&amp;",'"&amp;RIGHT('categories-old'!G871,LEN('categories-old'!G871)-1)&amp;"');","")</f>
        <v>INSERT INTO `catalog_category_entity_varchar` (attribute_id,store_id,entity_id,value) VALUES (48,0,766,'img1/img9e72.jpg');</v>
      </c>
      <c r="B871" t="str">
        <f>IF(LEN(categories!G871) &gt; 0, "INSERT INTO `catalog_category_entity_varchar` (attribute_id,store_id,entity_id,value) VALUES (48,0,"&amp;categories!B871&amp;",'"&amp;RIGHT(categories!G871,LEN(categories!G871)-1)&amp;"');","")</f>
        <v>INSERT INTO `catalog_category_entity_varchar` (attribute_id,store_id,entity_id,value) VALUES (48,0,767,'img1/img2145.jpg');</v>
      </c>
      <c r="C871" t="str">
        <f>VLOOKUP(categories!B871,'categories-old'!B:G,6,FALSE)</f>
        <v>/img1/img2145.jpg</v>
      </c>
      <c r="D871" t="str">
        <f>VLOOKUP(categories!B871,'categories-old'!B:H,7,FALSE)</f>
        <v>www.americanretailsupply.com\64915\33977\Jewelry-Apparel-Eyewear-Displays\Acrylic-Apparel-Slatwall-T-shirt-Display.html</v>
      </c>
    </row>
    <row r="872" spans="1:4" hidden="1" x14ac:dyDescent="0.25">
      <c r="A872" t="str">
        <f>IF(LEN('categories-old'!G872) &gt; 0, "INSERT INTO `catalog_category_entity_varchar` (attribute_id,store_id,entity_id,value) VALUES (48,0,"&amp;'categories-old'!B872&amp;",'"&amp;RIGHT('categories-old'!G872,LEN('categories-old'!G872)-1)&amp;"');","")</f>
        <v>INSERT INTO `catalog_category_entity_varchar` (attribute_id,store_id,entity_id,value) VALUES (48,0,767,'img1/img2145.jpg');</v>
      </c>
      <c r="B872" t="str">
        <f>IF(LEN(categories!G872) &gt; 0, "INSERT INTO `catalog_category_entity_varchar` (attribute_id,store_id,entity_id,value) VALUES (48,0,"&amp;categories!B872&amp;",'"&amp;RIGHT(categories!G872,LEN(categories!G872)-1)&amp;"');","")</f>
        <v>INSERT INTO `catalog_category_entity_varchar` (attribute_id,store_id,entity_id,value) VALUES (48,0,768,'img2/imga575.jpg');</v>
      </c>
      <c r="C872" t="str">
        <f>VLOOKUP(categories!B872,'categories-old'!B:G,6,FALSE)</f>
        <v>/img2/imga575.jpg</v>
      </c>
      <c r="D872" t="str">
        <f>VLOOKUP(categories!B872,'categories-old'!B:H,7,FALSE)</f>
        <v>www.americanretailsupply.com\64915\33980\Jewelry-Apparel-Eyewear-Displays\Acrylic-Apparel-Bins.html</v>
      </c>
    </row>
    <row r="873" spans="1:4" hidden="1" x14ac:dyDescent="0.25">
      <c r="A873" t="str">
        <f>IF(LEN('categories-old'!G873) &gt; 0, "INSERT INTO `catalog_category_entity_varchar` (attribute_id,store_id,entity_id,value) VALUES (48,0,"&amp;'categories-old'!B873&amp;",'"&amp;RIGHT('categories-old'!G873,LEN('categories-old'!G873)-1)&amp;"');","")</f>
        <v>INSERT INTO `catalog_category_entity_varchar` (attribute_id,store_id,entity_id,value) VALUES (48,0,768,'img2/imga575.jpg');</v>
      </c>
      <c r="B873" t="str">
        <f>IF(LEN(categories!G873) &gt; 0, "INSERT INTO `catalog_category_entity_varchar` (attribute_id,store_id,entity_id,value) VALUES (48,0,"&amp;categories!B873&amp;",'"&amp;RIGHT(categories!G873,LEN(categories!G873)-1)&amp;"');","")</f>
        <v>INSERT INTO `catalog_category_entity_varchar` (attribute_id,store_id,entity_id,value) VALUES (48,0,769,'img1/img5541.jpg');</v>
      </c>
      <c r="C873" t="str">
        <f>VLOOKUP(categories!B873,'categories-old'!B:G,6,FALSE)</f>
        <v>/img1/img5541.jpg</v>
      </c>
      <c r="D873" t="str">
        <f>VLOOKUP(categories!B873,'categories-old'!B:H,7,FALSE)</f>
        <v>www.americanretailsupply.com\64915\33988\Jewelry-Apparel-Eyewear-Displays\Acrylic-Apparel-Belt-and-Tie-Displays.html</v>
      </c>
    </row>
    <row r="874" spans="1:4" hidden="1" x14ac:dyDescent="0.25">
      <c r="A874" t="str">
        <f>IF(LEN('categories-old'!G874) &gt; 0, "INSERT INTO `catalog_category_entity_varchar` (attribute_id,store_id,entity_id,value) VALUES (48,0,"&amp;'categories-old'!B874&amp;",'"&amp;RIGHT('categories-old'!G874,LEN('categories-old'!G874)-1)&amp;"');","")</f>
        <v>INSERT INTO `catalog_category_entity_varchar` (attribute_id,store_id,entity_id,value) VALUES (48,0,769,'img1/img5541.jpg');</v>
      </c>
      <c r="B874" t="str">
        <f>IF(LEN(categories!G874) &gt; 0, "INSERT INTO `catalog_category_entity_varchar` (attribute_id,store_id,entity_id,value) VALUES (48,0,"&amp;categories!B874&amp;",'"&amp;RIGHT(categories!G874,LEN(categories!G874)-1)&amp;"');","")</f>
        <v>INSERT INTO `catalog_category_entity_varchar` (attribute_id,store_id,entity_id,value) VALUES (48,0,770,'img3/imga292.jpg');</v>
      </c>
      <c r="C874" t="str">
        <f>VLOOKUP(categories!B874,'categories-old'!B:G,6,FALSE)</f>
        <v>/img3/imga292.jpg</v>
      </c>
      <c r="D874" t="str">
        <f>VLOOKUP(categories!B874,'categories-old'!B:H,7,FALSE)</f>
        <v>www.americanretailsupply.com\64915\33992\Jewelry-Apparel-Eyewear-Displays\Acrylic-Apparel-Scarf-Ring-Displayer.html</v>
      </c>
    </row>
    <row r="875" spans="1:4" hidden="1" x14ac:dyDescent="0.25">
      <c r="A875" t="str">
        <f>IF(LEN('categories-old'!G875) &gt; 0, "INSERT INTO `catalog_category_entity_varchar` (attribute_id,store_id,entity_id,value) VALUES (48,0,"&amp;'categories-old'!B875&amp;",'"&amp;RIGHT('categories-old'!G875,LEN('categories-old'!G875)-1)&amp;"');","")</f>
        <v>INSERT INTO `catalog_category_entity_varchar` (attribute_id,store_id,entity_id,value) VALUES (48,0,770,'img3/imga292.jpg');</v>
      </c>
      <c r="B875" t="str">
        <f>IF(LEN(categories!G875) &gt; 0, "INSERT INTO `catalog_category_entity_varchar` (attribute_id,store_id,entity_id,value) VALUES (48,0,"&amp;categories!B875&amp;",'"&amp;RIGHT(categories!G875,LEN(categories!G875)-1)&amp;"');","")</f>
        <v>INSERT INTO `catalog_category_entity_varchar` (attribute_id,store_id,entity_id,value) VALUES (48,0,771,'img3/img0d56.jpg');</v>
      </c>
      <c r="C875" t="str">
        <f>VLOOKUP(categories!B875,'categories-old'!B:G,6,FALSE)</f>
        <v>/img3/img0d56.jpg</v>
      </c>
      <c r="D875" t="str">
        <f>VLOOKUP(categories!B875,'categories-old'!B:H,7,FALSE)</f>
        <v>www.americanretailsupply.com\64915\34062\Jewelry-Apparel-Eyewear-Displays\Glass-Dome-Display-with-Hardwood-Base.html</v>
      </c>
    </row>
    <row r="876" spans="1:4" hidden="1" x14ac:dyDescent="0.25">
      <c r="A876" t="str">
        <f>IF(LEN('categories-old'!G876) &gt; 0, "INSERT INTO `catalog_category_entity_varchar` (attribute_id,store_id,entity_id,value) VALUES (48,0,"&amp;'categories-old'!B876&amp;",'"&amp;RIGHT('categories-old'!G876,LEN('categories-old'!G876)-1)&amp;"');","")</f>
        <v>INSERT INTO `catalog_category_entity_varchar` (attribute_id,store_id,entity_id,value) VALUES (48,0,771,'img3/img0d56.jpg');</v>
      </c>
      <c r="B876" t="str">
        <f>IF(LEN(categories!G876) &gt; 0, "INSERT INTO `catalog_category_entity_varchar` (attribute_id,store_id,entity_id,value) VALUES (48,0,"&amp;categories!B876&amp;",'"&amp;RIGHT(categories!G876,LEN(categories!G876)-1)&amp;"');","")</f>
        <v>INSERT INTO `catalog_category_entity_varchar` (attribute_id,store_id,entity_id,value) VALUES (48,0,772,'img2/img7834.jpg');</v>
      </c>
      <c r="C876" t="str">
        <f>VLOOKUP(categories!B876,'categories-old'!B:G,6,FALSE)</f>
        <v>/img2/img7834.jpg</v>
      </c>
      <c r="D876" t="str">
        <f>VLOOKUP(categories!B876,'categories-old'!B:H,7,FALSE)</f>
        <v>www.americanretailsupply.com\64915\34072\Jewelry-Apparel-Eyewear-Displays\Acrylic-Revolving-Security-Eyewear-Displays.html</v>
      </c>
    </row>
    <row r="877" spans="1:4" hidden="1" x14ac:dyDescent="0.25">
      <c r="A877" t="str">
        <f>IF(LEN('categories-old'!G877) &gt; 0, "INSERT INTO `catalog_category_entity_varchar` (attribute_id,store_id,entity_id,value) VALUES (48,0,"&amp;'categories-old'!B877&amp;",'"&amp;RIGHT('categories-old'!G877,LEN('categories-old'!G877)-1)&amp;"');","")</f>
        <v>INSERT INTO `catalog_category_entity_varchar` (attribute_id,store_id,entity_id,value) VALUES (48,0,772,'img2/img7834.jpg');</v>
      </c>
      <c r="B877" t="str">
        <f>IF(LEN(categories!G877) &gt; 0, "INSERT INTO `catalog_category_entity_varchar` (attribute_id,store_id,entity_id,value) VALUES (48,0,"&amp;categories!B877&amp;",'"&amp;RIGHT(categories!G877,LEN(categories!G877)-1)&amp;"');","")</f>
        <v>INSERT INTO `catalog_category_entity_varchar` (attribute_id,store_id,entity_id,value) VALUES (48,0,773,'img2/imgb2dc.jpg');</v>
      </c>
      <c r="C877" t="str">
        <f>VLOOKUP(categories!B877,'categories-old'!B:G,6,FALSE)</f>
        <v>/img2/imgb2dc.jpg</v>
      </c>
      <c r="D877" t="str">
        <f>VLOOKUP(categories!B877,'categories-old'!B:H,7,FALSE)</f>
        <v>www.americanretailsupply.com\64915\34073\Jewelry-Apparel-Eyewear-Displays\Acrylic-Countertop-Eyewear-Displays.html</v>
      </c>
    </row>
    <row r="878" spans="1:4" hidden="1" x14ac:dyDescent="0.25">
      <c r="A878" t="str">
        <f>IF(LEN('categories-old'!G878) &gt; 0, "INSERT INTO `catalog_category_entity_varchar` (attribute_id,store_id,entity_id,value) VALUES (48,0,"&amp;'categories-old'!B878&amp;",'"&amp;RIGHT('categories-old'!G878,LEN('categories-old'!G878)-1)&amp;"');","")</f>
        <v>INSERT INTO `catalog_category_entity_varchar` (attribute_id,store_id,entity_id,value) VALUES (48,0,773,'img2/imgb2dc.jpg');</v>
      </c>
      <c r="B878" t="str">
        <f>IF(LEN(categories!G878) &gt; 0, "INSERT INTO `catalog_category_entity_varchar` (attribute_id,store_id,entity_id,value) VALUES (48,0,"&amp;categories!B878&amp;",'"&amp;RIGHT(categories!G878,LEN(categories!G878)-1)&amp;"');","")</f>
        <v>INSERT INTO `catalog_category_entity_varchar` (attribute_id,store_id,entity_id,value) VALUES (48,0,774,'img1/img8387.jpg');</v>
      </c>
      <c r="C878" t="str">
        <f>VLOOKUP(categories!B878,'categories-old'!B:G,6,FALSE)</f>
        <v>/img1/img8387.jpg</v>
      </c>
      <c r="D878" t="str">
        <f>VLOOKUP(categories!B878,'categories-old'!B:H,7,FALSE)</f>
        <v>www.americanretailsupply.com\64915\34075\Jewelry-Apparel-Eyewear-Displays\Acrylic-Freestanding-Eyewear-Displays.html</v>
      </c>
    </row>
    <row r="879" spans="1:4" hidden="1" x14ac:dyDescent="0.25">
      <c r="A879" t="str">
        <f>IF(LEN('categories-old'!G879) &gt; 0, "INSERT INTO `catalog_category_entity_varchar` (attribute_id,store_id,entity_id,value) VALUES (48,0,"&amp;'categories-old'!B879&amp;",'"&amp;RIGHT('categories-old'!G879,LEN('categories-old'!G879)-1)&amp;"');","")</f>
        <v>INSERT INTO `catalog_category_entity_varchar` (attribute_id,store_id,entity_id,value) VALUES (48,0,774,'img1/img8387.jpg');</v>
      </c>
      <c r="B879" t="str">
        <f>IF(LEN(categories!G879) &gt; 0, "INSERT INTO `catalog_category_entity_varchar` (attribute_id,store_id,entity_id,value) VALUES (48,0,"&amp;categories!B879&amp;",'"&amp;RIGHT(categories!G879,LEN(categories!G879)-1)&amp;"');","")</f>
        <v>INSERT INTO `catalog_category_entity_varchar` (attribute_id,store_id,entity_id,value) VALUES (48,0,775,'img2/imgbb28.jpg');</v>
      </c>
      <c r="C879" t="str">
        <f>VLOOKUP(categories!B879,'categories-old'!B:G,6,FALSE)</f>
        <v>/img2/imgbb28.jpg</v>
      </c>
      <c r="D879" t="str">
        <f>VLOOKUP(categories!B879,'categories-old'!B:H,7,FALSE)</f>
        <v>www.americanretailsupply.com\64915\34077\Jewelry-Apparel-Eyewear-Displays\Acrylic--Eyewear-Display-Rods.html</v>
      </c>
    </row>
    <row r="880" spans="1:4" hidden="1" x14ac:dyDescent="0.25">
      <c r="A880" t="str">
        <f>IF(LEN('categories-old'!G880) &gt; 0, "INSERT INTO `catalog_category_entity_varchar` (attribute_id,store_id,entity_id,value) VALUES (48,0,"&amp;'categories-old'!B880&amp;",'"&amp;RIGHT('categories-old'!G880,LEN('categories-old'!G880)-1)&amp;"');","")</f>
        <v>INSERT INTO `catalog_category_entity_varchar` (attribute_id,store_id,entity_id,value) VALUES (48,0,775,'img2/imgbb28.jpg');</v>
      </c>
      <c r="B880" t="str">
        <f>IF(LEN(categories!G880) &gt; 0, "INSERT INTO `catalog_category_entity_varchar` (attribute_id,store_id,entity_id,value) VALUES (48,0,"&amp;categories!B880&amp;",'"&amp;RIGHT(categories!G880,LEN(categories!G880)-1)&amp;"');","")</f>
        <v>INSERT INTO `catalog_category_entity_varchar` (attribute_id,store_id,entity_id,value) VALUES (48,0,776,'img1/imgcf48.jpg');</v>
      </c>
      <c r="C880" t="str">
        <f>VLOOKUP(categories!B880,'categories-old'!B:G,6,FALSE)</f>
        <v>/img1/imgcf48.jpg</v>
      </c>
      <c r="D880" t="str">
        <f>VLOOKUP(categories!B880,'categories-old'!B:H,7,FALSE)</f>
        <v>www.americanretailsupply.com\64915\576323\Jewelry-Apparel-Eyewear-Displays\Acrylic-Revolving-Eyewear-Display.html</v>
      </c>
    </row>
    <row r="881" spans="1:4" hidden="1" x14ac:dyDescent="0.25">
      <c r="A881" t="str">
        <f>IF(LEN('categories-old'!G881) &gt; 0, "INSERT INTO `catalog_category_entity_varchar` (attribute_id,store_id,entity_id,value) VALUES (48,0,"&amp;'categories-old'!B881&amp;",'"&amp;RIGHT('categories-old'!G881,LEN('categories-old'!G881)-1)&amp;"');","")</f>
        <v>INSERT INTO `catalog_category_entity_varchar` (attribute_id,store_id,entity_id,value) VALUES (48,0,776,'img1/imgcf48.jpg');</v>
      </c>
      <c r="B881" t="str">
        <f>IF(LEN(categories!G881) &gt; 0, "INSERT INTO `catalog_category_entity_varchar` (attribute_id,store_id,entity_id,value) VALUES (48,0,"&amp;categories!B881&amp;",'"&amp;RIGHT(categories!G881,LEN(categories!G881)-1)&amp;"');","")</f>
        <v>INSERT INTO `catalog_category_entity_varchar` (attribute_id,store_id,entity_id,value) VALUES (48,0,777,'img1/imgeacf.jpg');</v>
      </c>
      <c r="C881" t="str">
        <f>VLOOKUP(categories!B881,'categories-old'!B:G,6,FALSE)</f>
        <v>/img1/imgeacf.jpg</v>
      </c>
      <c r="D881" t="str">
        <f>VLOOKUP(categories!B881,'categories-old'!B:H,7,FALSE)</f>
        <v>www.americanretailsupply.com\64915\576362\Jewelry-Apparel-Eyewear-Displays\Molded-Acrylic-Watch-Displays.html</v>
      </c>
    </row>
    <row r="882" spans="1:4" hidden="1" x14ac:dyDescent="0.25">
      <c r="A882" t="str">
        <f>IF(LEN('categories-old'!G882) &gt; 0, "INSERT INTO `catalog_category_entity_varchar` (attribute_id,store_id,entity_id,value) VALUES (48,0,"&amp;'categories-old'!B882&amp;",'"&amp;RIGHT('categories-old'!G882,LEN('categories-old'!G882)-1)&amp;"');","")</f>
        <v>INSERT INTO `catalog_category_entity_varchar` (attribute_id,store_id,entity_id,value) VALUES (48,0,777,'img1/imgeacf.jpg');</v>
      </c>
      <c r="B882" t="str">
        <f>IF(LEN(categories!G882) &gt; 0, "INSERT INTO `catalog_category_entity_varchar` (attribute_id,store_id,entity_id,value) VALUES (48,0,"&amp;categories!B882&amp;",'"&amp;RIGHT(categories!G882,LEN(categories!G882)-1)&amp;"');","")</f>
        <v>INSERT INTO `catalog_category_entity_varchar` (attribute_id,store_id,entity_id,value) VALUES (48,0,778,'img1/img1389.jpg');</v>
      </c>
      <c r="C882" t="str">
        <f>VLOOKUP(categories!B882,'categories-old'!B:G,6,FALSE)</f>
        <v>/img1/img1389.jpg</v>
      </c>
      <c r="D882" t="str">
        <f>VLOOKUP(categories!B882,'categories-old'!B:H,7,FALSE)</f>
        <v>www.americanretailsupply.com\64915\576363\Jewelry-Apparel-Eyewear-Displays\Clutch-Bag-Acrylic-Riser.html</v>
      </c>
    </row>
    <row r="883" spans="1:4" hidden="1" x14ac:dyDescent="0.25">
      <c r="A883" t="str">
        <f>IF(LEN('categories-old'!G883) &gt; 0, "INSERT INTO `catalog_category_entity_varchar` (attribute_id,store_id,entity_id,value) VALUES (48,0,"&amp;'categories-old'!B883&amp;",'"&amp;RIGHT('categories-old'!G883,LEN('categories-old'!G883)-1)&amp;"');","")</f>
        <v>INSERT INTO `catalog_category_entity_varchar` (attribute_id,store_id,entity_id,value) VALUES (48,0,778,'img1/img1389.jpg');</v>
      </c>
      <c r="B883" t="str">
        <f>IF(LEN(categories!G883) &gt; 0, "INSERT INTO `catalog_category_entity_varchar` (attribute_id,store_id,entity_id,value) VALUES (48,0,"&amp;categories!B883&amp;",'"&amp;RIGHT(categories!G883,LEN(categories!G883)-1)&amp;"');","")</f>
        <v>INSERT INTO `catalog_category_entity_varchar` (attribute_id,store_id,entity_id,value) VALUES (48,0,779,'img1/img9222.jpg');</v>
      </c>
      <c r="C883" t="str">
        <f>VLOOKUP(categories!B883,'categories-old'!B:G,6,FALSE)</f>
        <v>/img1/img9222.jpg</v>
      </c>
      <c r="D883" t="str">
        <f>VLOOKUP(categories!B883,'categories-old'!B:H,7,FALSE)</f>
        <v>www.americanretailsupply.com\64915\779376\Jewelry-Apparel-Eyewear-Displays\Acrylic-Earring-Card-Displays.html</v>
      </c>
    </row>
    <row r="884" spans="1:4" hidden="1" x14ac:dyDescent="0.25">
      <c r="A884" t="str">
        <f>IF(LEN('categories-old'!G884) &gt; 0, "INSERT INTO `catalog_category_entity_varchar` (attribute_id,store_id,entity_id,value) VALUES (48,0,"&amp;'categories-old'!B884&amp;",'"&amp;RIGHT('categories-old'!G884,LEN('categories-old'!G884)-1)&amp;"');","")</f>
        <v>INSERT INTO `catalog_category_entity_varchar` (attribute_id,store_id,entity_id,value) VALUES (48,0,779,'img1/img9222.jpg');</v>
      </c>
      <c r="B884" t="str">
        <f>IF(LEN(categories!G884) &gt; 0, "INSERT INTO `catalog_category_entity_varchar` (attribute_id,store_id,entity_id,value) VALUES (48,0,"&amp;categories!B884&amp;",'"&amp;RIGHT(categories!G884,LEN(categories!G884)-1)&amp;"');","")</f>
        <v>INSERT INTO `catalog_category_entity_varchar` (attribute_id,store_id,entity_id,value) VALUES (48,0,780,'img2/imgf8d3.jpg');</v>
      </c>
      <c r="C884" t="str">
        <f>VLOOKUP(categories!B884,'categories-old'!B:G,6,FALSE)</f>
        <v>/img2/imgf8d3.jpg</v>
      </c>
      <c r="D884" t="str">
        <f>VLOOKUP(categories!B884,'categories-old'!B:H,7,FALSE)</f>
        <v>www.americanretailsupply.com\64915\779406\Jewelry-Apparel-Eyewear-Displays\Acrylic-T-Bar-Jewelry-Displays.html</v>
      </c>
    </row>
    <row r="885" spans="1:4" hidden="1" x14ac:dyDescent="0.25">
      <c r="A885" t="str">
        <f>IF(LEN('categories-old'!G885) &gt; 0, "INSERT INTO `catalog_category_entity_varchar` (attribute_id,store_id,entity_id,value) VALUES (48,0,"&amp;'categories-old'!B885&amp;",'"&amp;RIGHT('categories-old'!G885,LEN('categories-old'!G885)-1)&amp;"');","")</f>
        <v>INSERT INTO `catalog_category_entity_varchar` (attribute_id,store_id,entity_id,value) VALUES (48,0,780,'img2/imgf8d3.jpg');</v>
      </c>
      <c r="B885" t="str">
        <f>IF(LEN(categories!G885) &gt; 0, "INSERT INTO `catalog_category_entity_varchar` (attribute_id,store_id,entity_id,value) VALUES (48,0,"&amp;categories!B885&amp;",'"&amp;RIGHT(categories!G885,LEN(categories!G885)-1)&amp;"');","")</f>
        <v>INSERT INTO `catalog_category_entity_varchar` (attribute_id,store_id,entity_id,value) VALUES (48,0,782,'img2/imge5b7.jpg');</v>
      </c>
      <c r="C885" t="str">
        <f>VLOOKUP(categories!B885,'categories-old'!B:G,6,FALSE)</f>
        <v>/img2/imge5b7.jpg</v>
      </c>
      <c r="D885" t="str">
        <f>VLOOKUP(categories!B885,'categories-old'!B:H,7,FALSE)</f>
        <v>www.americanretailsupply.com\64708\757042\Jewelry-Boxes\White-Swirl-Jewelry-Boxes.html</v>
      </c>
    </row>
    <row r="886" spans="1:4" hidden="1" x14ac:dyDescent="0.25">
      <c r="A886" t="str">
        <f>IF(LEN('categories-old'!G886) &gt; 0, "INSERT INTO `catalog_category_entity_varchar` (attribute_id,store_id,entity_id,value) VALUES (48,0,"&amp;'categories-old'!B886&amp;",'"&amp;RIGHT('categories-old'!G886,LEN('categories-old'!G886)-1)&amp;"');","")</f>
        <v>INSERT INTO `catalog_category_entity_varchar` (attribute_id,store_id,entity_id,value) VALUES (48,0,782,'img2/imge5b7.jpg');</v>
      </c>
      <c r="B886" t="str">
        <f>IF(LEN(categories!G886) &gt; 0, "INSERT INTO `catalog_category_entity_varchar` (attribute_id,store_id,entity_id,value) VALUES (48,0,"&amp;categories!B886&amp;",'"&amp;RIGHT(categories!G886,LEN(categories!G886)-1)&amp;"');","")</f>
        <v>INSERT INTO `catalog_category_entity_varchar` (attribute_id,store_id,entity_id,value) VALUES (48,0,783,'img1/img9bf2.jpg');</v>
      </c>
      <c r="C886" t="str">
        <f>VLOOKUP(categories!B886,'categories-old'!B:G,6,FALSE)</f>
        <v>/img1/img9bf2.jpg</v>
      </c>
      <c r="D886" t="str">
        <f>VLOOKUP(categories!B886,'categories-old'!B:H,7,FALSE)</f>
        <v>www.americanretailsupply.com\64708\757055\Jewelry-Boxes\Natural-Kraft-Jewelry-Boxes.html</v>
      </c>
    </row>
    <row r="887" spans="1:4" hidden="1" x14ac:dyDescent="0.25">
      <c r="A887" t="str">
        <f>IF(LEN('categories-old'!G887) &gt; 0, "INSERT INTO `catalog_category_entity_varchar` (attribute_id,store_id,entity_id,value) VALUES (48,0,"&amp;'categories-old'!B887&amp;",'"&amp;RIGHT('categories-old'!G887,LEN('categories-old'!G887)-1)&amp;"');","")</f>
        <v>INSERT INTO `catalog_category_entity_varchar` (attribute_id,store_id,entity_id,value) VALUES (48,0,783,'img1/img9bf2.jpg');</v>
      </c>
      <c r="B887" t="str">
        <f>IF(LEN(categories!G887) &gt; 0, "INSERT INTO `catalog_category_entity_varchar` (attribute_id,store_id,entity_id,value) VALUES (48,0,"&amp;categories!B887&amp;",'"&amp;RIGHT(categories!G887,LEN(categories!G887)-1)&amp;"');","")</f>
        <v>INSERT INTO `catalog_category_entity_varchar` (attribute_id,store_id,entity_id,value) VALUES (48,0,784,'img1/imgeb7d.jpg');</v>
      </c>
      <c r="C887" t="str">
        <f>VLOOKUP(categories!B887,'categories-old'!B:G,6,FALSE)</f>
        <v>/img1/imgeb7d.jpg</v>
      </c>
      <c r="D887" t="str">
        <f>VLOOKUP(categories!B887,'categories-old'!B:H,7,FALSE)</f>
        <v>www.americanretailsupply.com\64708\757060\Jewelry-Boxes\Silver-and-Gold-Foil-Jewelry-Boxes.html</v>
      </c>
    </row>
    <row r="888" spans="1:4" hidden="1" x14ac:dyDescent="0.25">
      <c r="A888" t="str">
        <f>IF(LEN('categories-old'!G888) &gt; 0, "INSERT INTO `catalog_category_entity_varchar` (attribute_id,store_id,entity_id,value) VALUES (48,0,"&amp;'categories-old'!B888&amp;",'"&amp;RIGHT('categories-old'!G888,LEN('categories-old'!G888)-1)&amp;"');","")</f>
        <v>INSERT INTO `catalog_category_entity_varchar` (attribute_id,store_id,entity_id,value) VALUES (48,0,784,'img1/imgeb7d.jpg');</v>
      </c>
      <c r="B888" t="str">
        <f>IF(LEN(categories!G888) &gt; 0, "INSERT INTO `catalog_category_entity_varchar` (attribute_id,store_id,entity_id,value) VALUES (48,0,"&amp;categories!B888&amp;",'"&amp;RIGHT(categories!G888,LEN(categories!G888)-1)&amp;"');","")</f>
        <v>INSERT INTO `catalog_category_entity_varchar` (attribute_id,store_id,entity_id,value) VALUES (48,0,785,'img3/img8767.jpg');</v>
      </c>
      <c r="C888" t="str">
        <f>VLOOKUP(categories!B888,'categories-old'!B:G,6,FALSE)</f>
        <v>/img3/img8767.jpg</v>
      </c>
      <c r="D888" t="str">
        <f>VLOOKUP(categories!B888,'categories-old'!B:H,7,FALSE)</f>
        <v>www.americanretailsupply.com\64708\757063\Jewelry-Boxes\White-View-Top-Jewelry-Boxes.html</v>
      </c>
    </row>
    <row r="889" spans="1:4" hidden="1" x14ac:dyDescent="0.25">
      <c r="A889" t="str">
        <f>IF(LEN('categories-old'!G889) &gt; 0, "INSERT INTO `catalog_category_entity_varchar` (attribute_id,store_id,entity_id,value) VALUES (48,0,"&amp;'categories-old'!B889&amp;",'"&amp;RIGHT('categories-old'!G889,LEN('categories-old'!G889)-1)&amp;"');","")</f>
        <v>INSERT INTO `catalog_category_entity_varchar` (attribute_id,store_id,entity_id,value) VALUES (48,0,785,'img3/img8767.jpg');</v>
      </c>
      <c r="B889" t="str">
        <f>IF(LEN(categories!G889) &gt; 0, "INSERT INTO `catalog_category_entity_varchar` (attribute_id,store_id,entity_id,value) VALUES (48,0,"&amp;categories!B889&amp;",'"&amp;RIGHT(categories!G889,LEN(categories!G889)-1)&amp;"');","")</f>
        <v>INSERT INTO `catalog_category_entity_varchar` (attribute_id,store_id,entity_id,value) VALUES (48,0,786,'img3/imgfb93.jpg');</v>
      </c>
      <c r="C889" t="str">
        <f>VLOOKUP(categories!B889,'categories-old'!B:G,6,FALSE)</f>
        <v>/img3/imgfb93.jpg</v>
      </c>
      <c r="D889" t="str">
        <f>VLOOKUP(categories!B889,'categories-old'!B:H,7,FALSE)</f>
        <v>www.americanretailsupply.com\64708\757064\Jewelry-Boxes\Colored-Kraft-Jewelry-Boxes.html</v>
      </c>
    </row>
    <row r="890" spans="1:4" hidden="1" x14ac:dyDescent="0.25">
      <c r="A890" t="str">
        <f>IF(LEN('categories-old'!G890) &gt; 0, "INSERT INTO `catalog_category_entity_varchar` (attribute_id,store_id,entity_id,value) VALUES (48,0,"&amp;'categories-old'!B890&amp;",'"&amp;RIGHT('categories-old'!G890,LEN('categories-old'!G890)-1)&amp;"');","")</f>
        <v>INSERT INTO `catalog_category_entity_varchar` (attribute_id,store_id,entity_id,value) VALUES (48,0,786,'img3/imgfb93.jpg');</v>
      </c>
      <c r="B890" t="str">
        <f>IF(LEN(categories!G890) &gt; 0, "INSERT INTO `catalog_category_entity_varchar` (attribute_id,store_id,entity_id,value) VALUES (48,0,"&amp;categories!B890&amp;",'"&amp;RIGHT(categories!G890,LEN(categories!G890)-1)&amp;"');","")</f>
        <v>INSERT INTO `catalog_category_entity_varchar` (attribute_id,store_id,entity_id,value) VALUES (48,0,787,'img1/img8eb8.jpg');</v>
      </c>
      <c r="C890" t="str">
        <f>VLOOKUP(categories!B890,'categories-old'!B:G,6,FALSE)</f>
        <v>/img1/img8eb8.jpg</v>
      </c>
      <c r="D890" t="str">
        <f>VLOOKUP(categories!B890,'categories-old'!B:H,7,FALSE)</f>
        <v>www.americanretailsupply.com\64708\757070\Jewelry-Boxes\Chocolate-Embossed-Jewelry-Boxes.html</v>
      </c>
    </row>
    <row r="891" spans="1:4" hidden="1" x14ac:dyDescent="0.25">
      <c r="A891" t="str">
        <f>IF(LEN('categories-old'!G891) &gt; 0, "INSERT INTO `catalog_category_entity_varchar` (attribute_id,store_id,entity_id,value) VALUES (48,0,"&amp;'categories-old'!B891&amp;",'"&amp;RIGHT('categories-old'!G891,LEN('categories-old'!G891)-1)&amp;"');","")</f>
        <v>INSERT INTO `catalog_category_entity_varchar` (attribute_id,store_id,entity_id,value) VALUES (48,0,787,'img1/img8eb8.jpg');</v>
      </c>
      <c r="B891" t="str">
        <f>IF(LEN(categories!G891) &gt; 0, "INSERT INTO `catalog_category_entity_varchar` (attribute_id,store_id,entity_id,value) VALUES (48,0,"&amp;categories!B891&amp;",'"&amp;RIGHT(categories!G891,LEN(categories!G891)-1)&amp;"');","")</f>
        <v>INSERT INTO `catalog_category_entity_varchar` (attribute_id,store_id,entity_id,value) VALUES (48,0,788,'img2/imgc307.jpg');</v>
      </c>
      <c r="C891" t="str">
        <f>VLOOKUP(categories!B891,'categories-old'!B:G,6,FALSE)</f>
        <v>/img2/imgc307.jpg</v>
      </c>
      <c r="D891" t="str">
        <f>VLOOKUP(categories!B891,'categories-old'!B:H,7,FALSE)</f>
        <v>www.americanretailsupply.com\64708\757073\Jewelry-Boxes\Black-Embossed-Jewelry-Boxes.html</v>
      </c>
    </row>
    <row r="892" spans="1:4" hidden="1" x14ac:dyDescent="0.25">
      <c r="A892" t="str">
        <f>IF(LEN('categories-old'!G892) &gt; 0, "INSERT INTO `catalog_category_entity_varchar` (attribute_id,store_id,entity_id,value) VALUES (48,0,"&amp;'categories-old'!B892&amp;",'"&amp;RIGHT('categories-old'!G892,LEN('categories-old'!G892)-1)&amp;"');","")</f>
        <v>INSERT INTO `catalog_category_entity_varchar` (attribute_id,store_id,entity_id,value) VALUES (48,0,788,'img2/imgc307.jpg');</v>
      </c>
      <c r="B892" t="str">
        <f>IF(LEN(categories!G892) &gt; 0, "INSERT INTO `catalog_category_entity_varchar` (attribute_id,store_id,entity_id,value) VALUES (48,0,"&amp;categories!B892&amp;",'"&amp;RIGHT(categories!G892,LEN(categories!G892)-1)&amp;"');","")</f>
        <v>INSERT INTO `catalog_category_entity_varchar` (attribute_id,store_id,entity_id,value) VALUES (48,0,789,'img3/imgfb93.jpg');</v>
      </c>
      <c r="C892" t="str">
        <f>VLOOKUP(categories!B892,'categories-old'!B:G,6,FALSE)</f>
        <v>/img3/imgfb93.jpg</v>
      </c>
      <c r="D892" t="str">
        <f>VLOOKUP(categories!B892,'categories-old'!B:H,7,FALSE)</f>
        <v>www.americanretailsupply.com\64708\757075\Jewelry-Boxes\Jewelry-Box-Assortments.html</v>
      </c>
    </row>
    <row r="893" spans="1:4" hidden="1" x14ac:dyDescent="0.25">
      <c r="A893" t="str">
        <f>IF(LEN('categories-old'!G893) &gt; 0, "INSERT INTO `catalog_category_entity_varchar` (attribute_id,store_id,entity_id,value) VALUES (48,0,"&amp;'categories-old'!B893&amp;",'"&amp;RIGHT('categories-old'!G893,LEN('categories-old'!G893)-1)&amp;"');","")</f>
        <v>INSERT INTO `catalog_category_entity_varchar` (attribute_id,store_id,entity_id,value) VALUES (48,0,789,'img3/imgfb93.jpg');</v>
      </c>
      <c r="B893" t="str">
        <f>IF(LEN(categories!G893) &gt; 0, "INSERT INTO `catalog_category_entity_varchar` (attribute_id,store_id,entity_id,value) VALUES (48,0,"&amp;categories!B893&amp;",'"&amp;RIGHT(categories!G893,LEN(categories!G893)-1)&amp;"');","")</f>
        <v>INSERT INTO `catalog_category_entity_varchar` (attribute_id,store_id,entity_id,value) VALUES (48,0,790,'img1/img1c36.jpg');</v>
      </c>
      <c r="C893" t="str">
        <f>VLOOKUP(categories!B893,'categories-old'!B:G,6,FALSE)</f>
        <v>/img1/img1c36.jpg</v>
      </c>
      <c r="D893" t="str">
        <f>VLOOKUP(categories!B893,'categories-old'!B:H,7,FALSE)</f>
        <v>www.americanretailsupply.com\64708\778648\Jewelry-Boxes\Leopard-Patterned-Jewelry-Boxes.html</v>
      </c>
    </row>
    <row r="894" spans="1:4" hidden="1" x14ac:dyDescent="0.25">
      <c r="A894" t="str">
        <f>IF(LEN('categories-old'!G894) &gt; 0, "INSERT INTO `catalog_category_entity_varchar` (attribute_id,store_id,entity_id,value) VALUES (48,0,"&amp;'categories-old'!B894&amp;",'"&amp;RIGHT('categories-old'!G894,LEN('categories-old'!G894)-1)&amp;"');","")</f>
        <v>INSERT INTO `catalog_category_entity_varchar` (attribute_id,store_id,entity_id,value) VALUES (48,0,790,'img1/img1c36.jpg');</v>
      </c>
      <c r="B894" t="str">
        <f>IF(LEN(categories!G894) &gt; 0, "INSERT INTO `catalog_category_entity_varchar` (attribute_id,store_id,entity_id,value) VALUES (48,0,"&amp;categories!B894&amp;",'"&amp;RIGHT(categories!G894,LEN(categories!G894)-1)&amp;"');","")</f>
        <v>INSERT INTO `catalog_category_entity_varchar` (attribute_id,store_id,entity_id,value) VALUES (48,0,791,'img2/imge5f5.jpg');</v>
      </c>
      <c r="C894" t="str">
        <f>VLOOKUP(categories!B894,'categories-old'!B:G,6,FALSE)</f>
        <v>/img2/imge5f5.jpg</v>
      </c>
      <c r="D894" t="str">
        <f>VLOOKUP(categories!B894,'categories-old'!B:H,7,FALSE)</f>
        <v>www.americanretailsupply.com\64708\778649\Jewelry-Boxes\Zebra-Patterned-Jewelry-Boxes.html</v>
      </c>
    </row>
    <row r="895" spans="1:4" hidden="1" x14ac:dyDescent="0.25">
      <c r="A895" t="str">
        <f>IF(LEN('categories-old'!G895) &gt; 0, "INSERT INTO `catalog_category_entity_varchar` (attribute_id,store_id,entity_id,value) VALUES (48,0,"&amp;'categories-old'!B895&amp;",'"&amp;RIGHT('categories-old'!G895,LEN('categories-old'!G895)-1)&amp;"');","")</f>
        <v>INSERT INTO `catalog_category_entity_varchar` (attribute_id,store_id,entity_id,value) VALUES (48,0,791,'img2/imge5f5.jpg');</v>
      </c>
      <c r="B895" t="str">
        <f>IF(LEN(categories!G895) &gt; 0, "INSERT INTO `catalog_category_entity_varchar` (attribute_id,store_id,entity_id,value) VALUES (48,0,"&amp;categories!B895&amp;",'"&amp;RIGHT(categories!G895,LEN(categories!G895)-1)&amp;"');","")</f>
        <v>INSERT INTO `catalog_category_entity_varchar` (attribute_id,store_id,entity_id,value) VALUES (48,0,792,'img1/img9bf2.jpg');</v>
      </c>
      <c r="C895" t="str">
        <f>VLOOKUP(categories!B895,'categories-old'!B:G,6,FALSE)</f>
        <v>/img1/img9bf2.jpg</v>
      </c>
      <c r="D895" t="str">
        <f>VLOOKUP(categories!B895,'categories-old'!B:H,7,FALSE)</f>
        <v>www.americanretailsupply.com\64708\792889\Jewelry-Boxes\Economy-Natural-Kraft-Jewelry-Boxes.html</v>
      </c>
    </row>
    <row r="896" spans="1:4" hidden="1" x14ac:dyDescent="0.25">
      <c r="A896" t="str">
        <f>IF(LEN('categories-old'!G896) &gt; 0, "INSERT INTO `catalog_category_entity_varchar` (attribute_id,store_id,entity_id,value) VALUES (48,0,"&amp;'categories-old'!B896&amp;",'"&amp;RIGHT('categories-old'!G896,LEN('categories-old'!G896)-1)&amp;"');","")</f>
        <v>INSERT INTO `catalog_category_entity_varchar` (attribute_id,store_id,entity_id,value) VALUES (48,0,792,'img1/img9bf2.jpg');</v>
      </c>
      <c r="B896" t="str">
        <f>IF(LEN(categories!G896) &gt; 0, "INSERT INTO `catalog_category_entity_varchar` (attribute_id,store_id,entity_id,value) VALUES (48,0,"&amp;categories!B896&amp;",'"&amp;RIGHT(categories!G896,LEN(categories!G896)-1)&amp;"');","")</f>
        <v>INSERT INTO `catalog_category_entity_varchar` (attribute_id,store_id,entity_id,value) VALUES (48,0,794,'img3/img7844.jpg');</v>
      </c>
      <c r="C896" t="str">
        <f>VLOOKUP(categories!B896,'categories-old'!B:G,6,FALSE)</f>
        <v>/img3/img7844.jpg</v>
      </c>
      <c r="D896" t="str">
        <f>VLOOKUP(categories!B896,'categories-old'!B:H,7,FALSE)</f>
        <v>www.americanretailsupply.com\64716\783223\Jewelry-Boxes-with-Hinged-Lids\White-Faux-Leather-Hinged-Jewelry-Boxes.html</v>
      </c>
    </row>
    <row r="897" spans="1:4" hidden="1" x14ac:dyDescent="0.25">
      <c r="A897" t="str">
        <f>IF(LEN('categories-old'!G897) &gt; 0, "INSERT INTO `catalog_category_entity_varchar` (attribute_id,store_id,entity_id,value) VALUES (48,0,"&amp;'categories-old'!B897&amp;",'"&amp;RIGHT('categories-old'!G897,LEN('categories-old'!G897)-1)&amp;"');","")</f>
        <v>INSERT INTO `catalog_category_entity_varchar` (attribute_id,store_id,entity_id,value) VALUES (48,0,794,'img3/img7844.jpg');</v>
      </c>
      <c r="B897" t="str">
        <f>IF(LEN(categories!G897) &gt; 0, "INSERT INTO `catalog_category_entity_varchar` (attribute_id,store_id,entity_id,value) VALUES (48,0,"&amp;categories!B897&amp;",'"&amp;RIGHT(categories!G897,LEN(categories!G897)-1)&amp;"');","")</f>
        <v>INSERT INTO `catalog_category_entity_varchar` (attribute_id,store_id,entity_id,value) VALUES (48,0,795,'img1/imgda08.jpg');</v>
      </c>
      <c r="C897" t="str">
        <f>VLOOKUP(categories!B897,'categories-old'!B:G,6,FALSE)</f>
        <v>/img1/imgda08.jpg</v>
      </c>
      <c r="D897" t="str">
        <f>VLOOKUP(categories!B897,'categories-old'!B:H,7,FALSE)</f>
        <v>www.americanretailsupply.com\64716\783224\Jewelry-Boxes-with-Hinged-Lids\Black-Velvet-with-Gold-Trim-Hinged-Jewelry-Boxes.html</v>
      </c>
    </row>
    <row r="898" spans="1:4" hidden="1" x14ac:dyDescent="0.25">
      <c r="A898" t="str">
        <f>IF(LEN('categories-old'!G898) &gt; 0, "INSERT INTO `catalog_category_entity_varchar` (attribute_id,store_id,entity_id,value) VALUES (48,0,"&amp;'categories-old'!B898&amp;",'"&amp;RIGHT('categories-old'!G898,LEN('categories-old'!G898)-1)&amp;"');","")</f>
        <v>INSERT INTO `catalog_category_entity_varchar` (attribute_id,store_id,entity_id,value) VALUES (48,0,795,'img1/imgda08.jpg');</v>
      </c>
      <c r="B898" t="str">
        <f>IF(LEN(categories!G898) &gt; 0, "INSERT INTO `catalog_category_entity_varchar` (attribute_id,store_id,entity_id,value) VALUES (48,0,"&amp;categories!B898&amp;",'"&amp;RIGHT(categories!G898,LEN(categories!G898)-1)&amp;"');","")</f>
        <v>INSERT INTO `catalog_category_entity_varchar` (attribute_id,store_id,entity_id,value) VALUES (48,0,796,'img3/img9e11.jpg');</v>
      </c>
      <c r="C898" t="str">
        <f>VLOOKUP(categories!B898,'categories-old'!B:G,6,FALSE)</f>
        <v>/img3/img9e11.jpg</v>
      </c>
      <c r="D898" t="str">
        <f>VLOOKUP(categories!B898,'categories-old'!B:H,7,FALSE)</f>
        <v>www.americanretailsupply.com\64716\783225\Jewelry-Boxes-with-Hinged-Lids\Rosewood-Veneer-Hinged-Jewelry-Boxes.html</v>
      </c>
    </row>
    <row r="899" spans="1:4" hidden="1" x14ac:dyDescent="0.25">
      <c r="A899" t="str">
        <f>IF(LEN('categories-old'!G899) &gt; 0, "INSERT INTO `catalog_category_entity_varchar` (attribute_id,store_id,entity_id,value) VALUES (48,0,"&amp;'categories-old'!B899&amp;",'"&amp;RIGHT('categories-old'!G899,LEN('categories-old'!G899)-1)&amp;"');","")</f>
        <v>INSERT INTO `catalog_category_entity_varchar` (attribute_id,store_id,entity_id,value) VALUES (48,0,796,'img3/img9e11.jpg');</v>
      </c>
      <c r="B899" t="str">
        <f>IF(LEN(categories!G899) &gt; 0, "INSERT INTO `catalog_category_entity_varchar` (attribute_id,store_id,entity_id,value) VALUES (48,0,"&amp;categories!B899&amp;",'"&amp;RIGHT(categories!G899,LEN(categories!G899)-1)&amp;"');","")</f>
        <v>INSERT INTO `catalog_category_entity_varchar` (attribute_id,store_id,entity_id,value) VALUES (48,0,798,'img2/img905a.jpg');</v>
      </c>
      <c r="C899" t="str">
        <f>VLOOKUP(categories!B899,'categories-old'!B:G,6,FALSE)</f>
        <v>/img2/img905a.jpg</v>
      </c>
      <c r="D899" t="str">
        <f>VLOOKUP(categories!B899,'categories-old'!B:H,7,FALSE)</f>
        <v>www.americanretailsupply.com\64791\18450\Jewelry-Pouches\Velveteen-Drawstring-Pouches.html</v>
      </c>
    </row>
    <row r="900" spans="1:4" hidden="1" x14ac:dyDescent="0.25">
      <c r="A900" t="str">
        <f>IF(LEN('categories-old'!G900) &gt; 0, "INSERT INTO `catalog_category_entity_varchar` (attribute_id,store_id,entity_id,value) VALUES (48,0,"&amp;'categories-old'!B900&amp;",'"&amp;RIGHT('categories-old'!G900,LEN('categories-old'!G900)-1)&amp;"');","")</f>
        <v>INSERT INTO `catalog_category_entity_varchar` (attribute_id,store_id,entity_id,value) VALUES (48,0,798,'img2/img905a.jpg');</v>
      </c>
      <c r="B900" t="str">
        <f>IF(LEN(categories!G900) &gt; 0, "INSERT INTO `catalog_category_entity_varchar` (attribute_id,store_id,entity_id,value) VALUES (48,0,"&amp;categories!B900&amp;",'"&amp;RIGHT(categories!G900,LEN(categories!G900)-1)&amp;"');","")</f>
        <v>INSERT INTO `catalog_category_entity_varchar` (attribute_id,store_id,entity_id,value) VALUES (48,0,799,'img1/imgda76.jpg');</v>
      </c>
      <c r="C900" t="str">
        <f>VLOOKUP(categories!B900,'categories-old'!B:G,6,FALSE)</f>
        <v>/img1/imgda76.jpg</v>
      </c>
      <c r="D900" t="str">
        <f>VLOOKUP(categories!B900,'categories-old'!B:H,7,FALSE)</f>
        <v>www.americanretailsupply.com\64791\166167\Jewelry-Pouches\Leatherette-Drawstring-Pouches.html</v>
      </c>
    </row>
    <row r="901" spans="1:4" hidden="1" x14ac:dyDescent="0.25">
      <c r="A901" t="str">
        <f>IF(LEN('categories-old'!G901) &gt; 0, "INSERT INTO `catalog_category_entity_varchar` (attribute_id,store_id,entity_id,value) VALUES (48,0,"&amp;'categories-old'!B901&amp;",'"&amp;RIGHT('categories-old'!G901,LEN('categories-old'!G901)-1)&amp;"');","")</f>
        <v>INSERT INTO `catalog_category_entity_varchar` (attribute_id,store_id,entity_id,value) VALUES (48,0,799,'img1/imgda76.jpg');</v>
      </c>
      <c r="B901" t="str">
        <f>IF(LEN(categories!G901) &gt; 0, "INSERT INTO `catalog_category_entity_varchar` (attribute_id,store_id,entity_id,value) VALUES (48,0,"&amp;categories!B901&amp;",'"&amp;RIGHT(categories!G901,LEN(categories!G901)-1)&amp;"');","")</f>
        <v>INSERT INTO `catalog_category_entity_varchar` (attribute_id,store_id,entity_id,value) VALUES (48,0,801,'img3/img362c.jpg');</v>
      </c>
      <c r="C901" t="str">
        <f>VLOOKUP(categories!B901,'categories-old'!B:G,6,FALSE)</f>
        <v>/img3/img362c.jpg</v>
      </c>
      <c r="D901" t="str">
        <f>VLOOKUP(categories!B901,'categories-old'!B:H,7,FALSE)</f>
        <v>www.americanretailsupply.com\64794\37344\Jewelry-Riser-Sets\Hexagon-Riser-Set.html</v>
      </c>
    </row>
    <row r="902" spans="1:4" hidden="1" x14ac:dyDescent="0.25">
      <c r="A902" t="str">
        <f>IF(LEN('categories-old'!G902) &gt; 0, "INSERT INTO `catalog_category_entity_varchar` (attribute_id,store_id,entity_id,value) VALUES (48,0,"&amp;'categories-old'!B902&amp;",'"&amp;RIGHT('categories-old'!G902,LEN('categories-old'!G902)-1)&amp;"');","")</f>
        <v>INSERT INTO `catalog_category_entity_varchar` (attribute_id,store_id,entity_id,value) VALUES (48,0,801,'img3/img362c.jpg');</v>
      </c>
      <c r="B902" t="str">
        <f>IF(LEN(categories!G902) &gt; 0, "INSERT INTO `catalog_category_entity_varchar` (attribute_id,store_id,entity_id,value) VALUES (48,0,"&amp;categories!B902&amp;",'"&amp;RIGHT(categories!G902,LEN(categories!G902)-1)&amp;"');","")</f>
        <v>INSERT INTO `catalog_category_entity_varchar` (attribute_id,store_id,entity_id,value) VALUES (48,0,803,'img2/img371d.jpg');</v>
      </c>
      <c r="C902" t="str">
        <f>VLOOKUP(categories!B902,'categories-old'!B:G,6,FALSE)</f>
        <v>/img2/img371d.jpg</v>
      </c>
      <c r="D902" t="str">
        <f>VLOOKUP(categories!B902,'categories-old'!B:H,7,FALSE)</f>
        <v>www.americanretailsupply.com\64790\36354\Jewelry-Supplies\U--Pins.html</v>
      </c>
    </row>
    <row r="903" spans="1:4" hidden="1" x14ac:dyDescent="0.25">
      <c r="A903" t="str">
        <f>IF(LEN('categories-old'!G903) &gt; 0, "INSERT INTO `catalog_category_entity_varchar` (attribute_id,store_id,entity_id,value) VALUES (48,0,"&amp;'categories-old'!B903&amp;",'"&amp;RIGHT('categories-old'!G903,LEN('categories-old'!G903)-1)&amp;"');","")</f>
        <v>INSERT INTO `catalog_category_entity_varchar` (attribute_id,store_id,entity_id,value) VALUES (48,0,803,'img2/img371d.jpg');</v>
      </c>
      <c r="B903" t="str">
        <f>IF(LEN(categories!G903) &gt; 0, "INSERT INTO `catalog_category_entity_varchar` (attribute_id,store_id,entity_id,value) VALUES (48,0,"&amp;categories!B903&amp;",'"&amp;RIGHT(categories!G903,LEN(categories!G903)-1)&amp;"');","")</f>
        <v>INSERT INTO `catalog_category_entity_varchar` (attribute_id,store_id,entity_id,value) VALUES (48,0,804,'img2/img60ed.jpg');</v>
      </c>
      <c r="C903" t="str">
        <f>VLOOKUP(categories!B903,'categories-old'!B:G,6,FALSE)</f>
        <v>/img2/img60ed.jpg</v>
      </c>
      <c r="D903" t="str">
        <f>VLOOKUP(categories!B903,'categories-old'!B:H,7,FALSE)</f>
        <v>www.americanretailsupply.com\64790\37341\Jewelry-Supplies\Adhesive-Back-for-Earring-Cards.html</v>
      </c>
    </row>
    <row r="904" spans="1:4" hidden="1" x14ac:dyDescent="0.25">
      <c r="A904" t="str">
        <f>IF(LEN('categories-old'!G904) &gt; 0, "INSERT INTO `catalog_category_entity_varchar` (attribute_id,store_id,entity_id,value) VALUES (48,0,"&amp;'categories-old'!B904&amp;",'"&amp;RIGHT('categories-old'!G904,LEN('categories-old'!G904)-1)&amp;"');","")</f>
        <v>INSERT INTO `catalog_category_entity_varchar` (attribute_id,store_id,entity_id,value) VALUES (48,0,804,'img2/img60ed.jpg');</v>
      </c>
      <c r="B904" t="str">
        <f>IF(LEN(categories!G904) &gt; 0, "INSERT INTO `catalog_category_entity_varchar` (attribute_id,store_id,entity_id,value) VALUES (48,0,"&amp;categories!B904&amp;",'"&amp;RIGHT(categories!G904,LEN(categories!G904)-1)&amp;"');","")</f>
        <v>INSERT INTO `catalog_category_entity_varchar` (attribute_id,store_id,entity_id,value) VALUES (48,0,805,'img1/imga11b.jpg');</v>
      </c>
      <c r="C904" t="str">
        <f>VLOOKUP(categories!B904,'categories-old'!B:G,6,FALSE)</f>
        <v>/img1/imga11b.jpg</v>
      </c>
      <c r="D904" t="str">
        <f>VLOOKUP(categories!B904,'categories-old'!B:H,7,FALSE)</f>
        <v>www.americanretailsupply.com\64790\37343\Jewelry-Supplies\White-Puff-Pad-Plain-Earring-Cards.html</v>
      </c>
    </row>
    <row r="905" spans="1:4" hidden="1" x14ac:dyDescent="0.25">
      <c r="A905" t="str">
        <f>IF(LEN('categories-old'!G905) &gt; 0, "INSERT INTO `catalog_category_entity_varchar` (attribute_id,store_id,entity_id,value) VALUES (48,0,"&amp;'categories-old'!B905&amp;",'"&amp;RIGHT('categories-old'!G905,LEN('categories-old'!G905)-1)&amp;"');","")</f>
        <v>INSERT INTO `catalog_category_entity_varchar` (attribute_id,store_id,entity_id,value) VALUES (48,0,805,'img1/imga11b.jpg');</v>
      </c>
      <c r="B905" t="str">
        <f>IF(LEN(categories!G905) &gt; 0, "INSERT INTO `catalog_category_entity_varchar` (attribute_id,store_id,entity_id,value) VALUES (48,0,"&amp;categories!B905&amp;",'"&amp;RIGHT(categories!G905,LEN(categories!G905)-1)&amp;"');","")</f>
        <v>INSERT INTO `catalog_category_entity_varchar` (attribute_id,store_id,entity_id,value) VALUES (48,0,806,'img1/img21cd.jpg');</v>
      </c>
      <c r="C905" t="str">
        <f>VLOOKUP(categories!B905,'categories-old'!B:G,6,FALSE)</f>
        <v>/img1/img21cd.jpg</v>
      </c>
      <c r="D905" t="str">
        <f>VLOOKUP(categories!B905,'categories-old'!B:H,7,FALSE)</f>
        <v>www.americanretailsupply.com\64790\37352\Jewelry-Supplies\Jewelry-Tags-wSilk-Strings.html</v>
      </c>
    </row>
    <row r="906" spans="1:4" hidden="1" x14ac:dyDescent="0.25">
      <c r="A906" t="str">
        <f>IF(LEN('categories-old'!G906) &gt; 0, "INSERT INTO `catalog_category_entity_varchar` (attribute_id,store_id,entity_id,value) VALUES (48,0,"&amp;'categories-old'!B906&amp;",'"&amp;RIGHT('categories-old'!G906,LEN('categories-old'!G906)-1)&amp;"');","")</f>
        <v>INSERT INTO `catalog_category_entity_varchar` (attribute_id,store_id,entity_id,value) VALUES (48,0,806,'img1/img21cd.jpg');</v>
      </c>
      <c r="B906" t="str">
        <f>IF(LEN(categories!G906) &gt; 0, "INSERT INTO `catalog_category_entity_varchar` (attribute_id,store_id,entity_id,value) VALUES (48,0,"&amp;categories!B906&amp;",'"&amp;RIGHT(categories!G906,LEN(categories!G906)-1)&amp;"');","")</f>
        <v>INSERT INTO `catalog_category_entity_varchar` (attribute_id,store_id,entity_id,value) VALUES (48,0,807,'img2/img0a77.jpg');</v>
      </c>
      <c r="C906" t="str">
        <f>VLOOKUP(categories!B906,'categories-old'!B:G,6,FALSE)</f>
        <v>/img2/img0a77.jpg</v>
      </c>
      <c r="D906" t="str">
        <f>VLOOKUP(categories!B906,'categories-old'!B:H,7,FALSE)</f>
        <v>www.americanretailsupply.com\64790\37353\Jewelry-Supplies\Dumbell-Labels.html</v>
      </c>
    </row>
    <row r="907" spans="1:4" hidden="1" x14ac:dyDescent="0.25">
      <c r="A907" t="str">
        <f>IF(LEN('categories-old'!G907) &gt; 0, "INSERT INTO `catalog_category_entity_varchar` (attribute_id,store_id,entity_id,value) VALUES (48,0,"&amp;'categories-old'!B907&amp;",'"&amp;RIGHT('categories-old'!G907,LEN('categories-old'!G907)-1)&amp;"');","")</f>
        <v>INSERT INTO `catalog_category_entity_varchar` (attribute_id,store_id,entity_id,value) VALUES (48,0,807,'img2/img0a77.jpg');</v>
      </c>
      <c r="B907" t="str">
        <f>IF(LEN(categories!G907) &gt; 0, "INSERT INTO `catalog_category_entity_varchar` (attribute_id,store_id,entity_id,value) VALUES (48,0,"&amp;categories!B907&amp;",'"&amp;RIGHT(categories!G907,LEN(categories!G907)-1)&amp;"');","")</f>
        <v>INSERT INTO `catalog_category_entity_varchar` (attribute_id,store_id,entity_id,value) VALUES (48,0,808,'img2/imgf72e.jpg');</v>
      </c>
      <c r="C907" t="str">
        <f>VLOOKUP(categories!B907,'categories-old'!B:G,6,FALSE)</f>
        <v>/img2/imgf72e.jpg</v>
      </c>
      <c r="D907" t="str">
        <f>VLOOKUP(categories!B907,'categories-old'!B:H,7,FALSE)</f>
        <v>www.americanretailsupply.com\64790\47775\Jewelry-Supplies\Black-Hanging-Earring-Cards.html</v>
      </c>
    </row>
    <row r="908" spans="1:4" hidden="1" x14ac:dyDescent="0.25">
      <c r="A908" t="str">
        <f>IF(LEN('categories-old'!G908) &gt; 0, "INSERT INTO `catalog_category_entity_varchar` (attribute_id,store_id,entity_id,value) VALUES (48,0,"&amp;'categories-old'!B908&amp;",'"&amp;RIGHT('categories-old'!G908,LEN('categories-old'!G908)-1)&amp;"');","")</f>
        <v>INSERT INTO `catalog_category_entity_varchar` (attribute_id,store_id,entity_id,value) VALUES (48,0,808,'img2/imgf72e.jpg');</v>
      </c>
      <c r="B908" t="str">
        <f>IF(LEN(categories!G908) &gt; 0, "INSERT INTO `catalog_category_entity_varchar` (attribute_id,store_id,entity_id,value) VALUES (48,0,"&amp;categories!B908&amp;",'"&amp;RIGHT(categories!G908,LEN(categories!G908)-1)&amp;"');","")</f>
        <v>INSERT INTO `catalog_category_entity_varchar` (attribute_id,store_id,entity_id,value) VALUES (48,0,809,'img3/imge77f.jpg');</v>
      </c>
      <c r="C908" t="str">
        <f>VLOOKUP(categories!B908,'categories-old'!B:G,6,FALSE)</f>
        <v>/img3/imge77f.jpg</v>
      </c>
      <c r="D908" t="str">
        <f>VLOOKUP(categories!B908,'categories-old'!B:H,7,FALSE)</f>
        <v>www.americanretailsupply.com\64790\231609\Jewelry-Supplies\Showcase-Signs.html</v>
      </c>
    </row>
    <row r="909" spans="1:4" hidden="1" x14ac:dyDescent="0.25">
      <c r="A909" t="str">
        <f>IF(LEN('categories-old'!G909) &gt; 0, "INSERT INTO `catalog_category_entity_varchar` (attribute_id,store_id,entity_id,value) VALUES (48,0,"&amp;'categories-old'!B909&amp;",'"&amp;RIGHT('categories-old'!G909,LEN('categories-old'!G909)-1)&amp;"');","")</f>
        <v>INSERT INTO `catalog_category_entity_varchar` (attribute_id,store_id,entity_id,value) VALUES (48,0,809,'img3/imge77f.jpg');</v>
      </c>
      <c r="B909" t="str">
        <f>IF(LEN(categories!G909) &gt; 0, "INSERT INTO `catalog_category_entity_varchar` (attribute_id,store_id,entity_id,value) VALUES (48,0,"&amp;categories!B909&amp;",'"&amp;RIGHT(categories!G909,LEN(categories!G909)-1)&amp;"');","")</f>
        <v>INSERT INTO `catalog_category_entity_varchar` (attribute_id,store_id,entity_id,value) VALUES (48,0,810,'img1/img5862.jpg');</v>
      </c>
      <c r="C909" t="str">
        <f>VLOOKUP(categories!B909,'categories-old'!B:G,6,FALSE)</f>
        <v>/img1/img5862.jpg</v>
      </c>
      <c r="D909" t="str">
        <f>VLOOKUP(categories!B909,'categories-old'!B:H,7,FALSE)</f>
        <v>www.americanretailsupply.com\64790\255319\Jewelry-Supplies\Jewelry-Polishing-Cloth.html</v>
      </c>
    </row>
    <row r="910" spans="1:4" hidden="1" x14ac:dyDescent="0.25">
      <c r="A910" t="str">
        <f>IF(LEN('categories-old'!G910) &gt; 0, "INSERT INTO `catalog_category_entity_varchar` (attribute_id,store_id,entity_id,value) VALUES (48,0,"&amp;'categories-old'!B910&amp;",'"&amp;RIGHT('categories-old'!G910,LEN('categories-old'!G910)-1)&amp;"');","")</f>
        <v>INSERT INTO `catalog_category_entity_varchar` (attribute_id,store_id,entity_id,value) VALUES (48,0,810,'img1/img5862.jpg');</v>
      </c>
      <c r="B910" t="str">
        <f>IF(LEN(categories!G910) &gt; 0, "INSERT INTO `catalog_category_entity_varchar` (attribute_id,store_id,entity_id,value) VALUES (48,0,"&amp;categories!B910&amp;",'"&amp;RIGHT(categories!G910,LEN(categories!G910)-1)&amp;"');","")</f>
        <v>INSERT INTO `catalog_category_entity_varchar` (attribute_id,store_id,entity_id,value) VALUES (48,0,811,'img3/img0e55.jpg');</v>
      </c>
      <c r="C910" t="str">
        <f>VLOOKUP(categories!B910,'categories-old'!B:G,6,FALSE)</f>
        <v>/img3/img0e55.jpg</v>
      </c>
      <c r="D910" t="str">
        <f>VLOOKUP(categories!B910,'categories-old'!B:H,7,FALSE)</f>
        <v>www.americanretailsupply.com\64790\734729\Jewelry-Supplies\NecklaceBracelet-Hanging-Cards.html</v>
      </c>
    </row>
    <row r="911" spans="1:4" hidden="1" x14ac:dyDescent="0.25">
      <c r="A911" t="str">
        <f>IF(LEN('categories-old'!G911) &gt; 0, "INSERT INTO `catalog_category_entity_varchar` (attribute_id,store_id,entity_id,value) VALUES (48,0,"&amp;'categories-old'!B911&amp;",'"&amp;RIGHT('categories-old'!G911,LEN('categories-old'!G911)-1)&amp;"');","")</f>
        <v>INSERT INTO `catalog_category_entity_varchar` (attribute_id,store_id,entity_id,value) VALUES (48,0,811,'img3/img0e55.jpg');</v>
      </c>
      <c r="B911" t="str">
        <f>IF(LEN(categories!G911) &gt; 0, "INSERT INTO `catalog_category_entity_varchar` (attribute_id,store_id,entity_id,value) VALUES (48,0,"&amp;categories!B911&amp;",'"&amp;RIGHT(categories!G911,LEN(categories!G911)-1)&amp;"');","")</f>
        <v>INSERT INTO `catalog_category_entity_varchar` (attribute_id,store_id,entity_id,value) VALUES (48,0,812,'img1/imgbe2b.jpg');</v>
      </c>
      <c r="C911" t="str">
        <f>VLOOKUP(categories!B911,'categories-old'!B:G,6,FALSE)</f>
        <v>/img1/imgbe2b.jpg</v>
      </c>
      <c r="D911" t="str">
        <f>VLOOKUP(categories!B911,'categories-old'!B:H,7,FALSE)</f>
        <v>www.americanretailsupply.com\64790\756290\Jewelry-Supplies\Clear-OPP-Bags-with-Recloseable-Bottom-Flap.html</v>
      </c>
    </row>
    <row r="912" spans="1:4" hidden="1" x14ac:dyDescent="0.25">
      <c r="A912" t="str">
        <f>IF(LEN('categories-old'!G912) &gt; 0, "INSERT INTO `catalog_category_entity_varchar` (attribute_id,store_id,entity_id,value) VALUES (48,0,"&amp;'categories-old'!B912&amp;",'"&amp;RIGHT('categories-old'!G912,LEN('categories-old'!G912)-1)&amp;"');","")</f>
        <v>INSERT INTO `catalog_category_entity_varchar` (attribute_id,store_id,entity_id,value) VALUES (48,0,812,'img1/imgbe2b.jpg');</v>
      </c>
      <c r="B912" t="str">
        <f>IF(LEN(categories!G912) &gt; 0, "INSERT INTO `catalog_category_entity_varchar` (attribute_id,store_id,entity_id,value) VALUES (48,0,"&amp;categories!B912&amp;",'"&amp;RIGHT(categories!G912,LEN(categories!G912)-1)&amp;"');","")</f>
        <v>INSERT INTO `catalog_category_entity_varchar` (attribute_id,store_id,entity_id,value) VALUES (48,0,814,'img2/img9d68.jpg');</v>
      </c>
      <c r="C912" t="str">
        <f>VLOOKUP(categories!B912,'categories-old'!B:G,6,FALSE)</f>
        <v>/img2/img9d68.jpg</v>
      </c>
      <c r="D912" t="str">
        <f>VLOOKUP(categories!B912,'categories-old'!B:H,7,FALSE)</f>
        <v>www.americanretailsupply.com\64793\37337\Jewelry-Trays--Inserts\Jewelry-Circle-Display-Pads.html</v>
      </c>
    </row>
    <row r="913" spans="1:4" hidden="1" x14ac:dyDescent="0.25">
      <c r="A913" t="str">
        <f>IF(LEN('categories-old'!G913) &gt; 0, "INSERT INTO `catalog_category_entity_varchar` (attribute_id,store_id,entity_id,value) VALUES (48,0,"&amp;'categories-old'!B913&amp;",'"&amp;RIGHT('categories-old'!G913,LEN('categories-old'!G913)-1)&amp;"');","")</f>
        <v>INSERT INTO `catalog_category_entity_varchar` (attribute_id,store_id,entity_id,value) VALUES (48,0,814,'img2/img9d68.jpg');</v>
      </c>
      <c r="B913" t="str">
        <f>IF(LEN(categories!G913) &gt; 0, "INSERT INTO `catalog_category_entity_varchar` (attribute_id,store_id,entity_id,value) VALUES (48,0,"&amp;categories!B913&amp;",'"&amp;RIGHT(categories!G913,LEN(categories!G913)-1)&amp;"');","")</f>
        <v>INSERT INTO `catalog_category_entity_varchar` (attribute_id,store_id,entity_id,value) VALUES (48,0,815,'img3/imgb8bf.jpg');</v>
      </c>
      <c r="C913" t="str">
        <f>VLOOKUP(categories!B913,'categories-old'!B:G,6,FALSE)</f>
        <v>/img3/imgb8bf.jpg</v>
      </c>
      <c r="D913" t="str">
        <f>VLOOKUP(categories!B913,'categories-old'!B:H,7,FALSE)</f>
        <v>www.americanretailsupply.com\64793\37340\Jewelry-Trays--Inserts\Jewelry-Rectangle-Display-Pads.html</v>
      </c>
    </row>
    <row r="914" spans="1:4" hidden="1" x14ac:dyDescent="0.25">
      <c r="A914" t="str">
        <f>IF(LEN('categories-old'!G914) &gt; 0, "INSERT INTO `catalog_category_entity_varchar` (attribute_id,store_id,entity_id,value) VALUES (48,0,"&amp;'categories-old'!B914&amp;",'"&amp;RIGHT('categories-old'!G914,LEN('categories-old'!G914)-1)&amp;"');","")</f>
        <v>INSERT INTO `catalog_category_entity_varchar` (attribute_id,store_id,entity_id,value) VALUES (48,0,815,'img3/imgb8bf.jpg');</v>
      </c>
      <c r="B914" t="str">
        <f>IF(LEN(categories!G914) &gt; 0, "INSERT INTO `catalog_category_entity_varchar` (attribute_id,store_id,entity_id,value) VALUES (48,0,"&amp;categories!B914&amp;",'"&amp;RIGHT(categories!G914,LEN(categories!G914)-1)&amp;"');","")</f>
        <v>INSERT INTO `catalog_category_entity_varchar` (attribute_id,store_id,entity_id,value) VALUES (48,0,816,'img2/imga9b4.jpg');</v>
      </c>
      <c r="C914" t="str">
        <f>VLOOKUP(categories!B914,'categories-old'!B:G,6,FALSE)</f>
        <v>/img2/imga9b4.jpg</v>
      </c>
      <c r="D914" t="str">
        <f>VLOOKUP(categories!B914,'categories-old'!B:H,7,FALSE)</f>
        <v>www.americanretailsupply.com\64793\37776\Jewelry-Trays--Inserts\Jewelry-Display-Trays.html</v>
      </c>
    </row>
    <row r="915" spans="1:4" hidden="1" x14ac:dyDescent="0.25">
      <c r="A915" t="str">
        <f>IF(LEN('categories-old'!G915) &gt; 0, "INSERT INTO `catalog_category_entity_varchar` (attribute_id,store_id,entity_id,value) VALUES (48,0,"&amp;'categories-old'!B915&amp;",'"&amp;RIGHT('categories-old'!G915,LEN('categories-old'!G915)-1)&amp;"');","")</f>
        <v>INSERT INTO `catalog_category_entity_varchar` (attribute_id,store_id,entity_id,value) VALUES (48,0,816,'img2/imga9b4.jpg');</v>
      </c>
      <c r="B915" t="str">
        <f>IF(LEN(categories!G915) &gt; 0, "INSERT INTO `catalog_category_entity_varchar` (attribute_id,store_id,entity_id,value) VALUES (48,0,"&amp;categories!B915&amp;",'"&amp;RIGHT(categories!G915,LEN(categories!G915)-1)&amp;"');","")</f>
        <v>INSERT INTO `catalog_category_entity_varchar` (attribute_id,store_id,entity_id,value) VALUES (48,0,817,'img2/img163f.jpg');</v>
      </c>
      <c r="C915" t="str">
        <f>VLOOKUP(categories!B915,'categories-old'!B:G,6,FALSE)</f>
        <v>/img2/img163f.jpg</v>
      </c>
      <c r="D915" t="str">
        <f>VLOOKUP(categories!B915,'categories-old'!B:H,7,FALSE)</f>
        <v>www.americanretailsupply.com\64793\37779\Jewelry-Trays--Inserts\Jewelry-Tray-Inserts-and-Liners.html</v>
      </c>
    </row>
    <row r="916" spans="1:4" hidden="1" x14ac:dyDescent="0.25">
      <c r="A916" t="str">
        <f>IF(LEN('categories-old'!G916) &gt; 0, "INSERT INTO `catalog_category_entity_varchar` (attribute_id,store_id,entity_id,value) VALUES (48,0,"&amp;'categories-old'!B916&amp;",'"&amp;RIGHT('categories-old'!G916,LEN('categories-old'!G916)-1)&amp;"');","")</f>
        <v>INSERT INTO `catalog_category_entity_varchar` (attribute_id,store_id,entity_id,value) VALUES (48,0,817,'img2/img163f.jpg');</v>
      </c>
      <c r="B916" t="str">
        <f>IF(LEN(categories!G916) &gt; 0, "INSERT INTO `catalog_category_entity_varchar` (attribute_id,store_id,entity_id,value) VALUES (48,0,"&amp;categories!B916&amp;",'"&amp;RIGHT(categories!G916,LEN(categories!G916)-1)&amp;"');","")</f>
        <v>INSERT INTO `catalog_category_entity_varchar` (attribute_id,store_id,entity_id,value) VALUES (48,0,818,'img1/img3c04.jpg');</v>
      </c>
      <c r="C916" t="str">
        <f>VLOOKUP(categories!B916,'categories-old'!B:G,6,FALSE)</f>
        <v>/img1/img3c04.jpg</v>
      </c>
      <c r="D916" t="str">
        <f>VLOOKUP(categories!B916,'categories-old'!B:H,7,FALSE)</f>
        <v>www.americanretailsupply.com\64793\37780\Jewelry-Trays--Inserts\Jewelry-Tray-Carrying-Cases.html</v>
      </c>
    </row>
    <row r="917" spans="1:4" hidden="1" x14ac:dyDescent="0.25">
      <c r="A917" t="str">
        <f>IF(LEN('categories-old'!G917) &gt; 0, "INSERT INTO `catalog_category_entity_varchar` (attribute_id,store_id,entity_id,value) VALUES (48,0,"&amp;'categories-old'!B917&amp;",'"&amp;RIGHT('categories-old'!G917,LEN('categories-old'!G917)-1)&amp;"');","")</f>
        <v>INSERT INTO `catalog_category_entity_varchar` (attribute_id,store_id,entity_id,value) VALUES (48,0,818,'img1/img3c04.jpg');</v>
      </c>
      <c r="B917" t="str">
        <f>IF(LEN(categories!G917) &gt; 0, "INSERT INTO `catalog_category_entity_varchar` (attribute_id,store_id,entity_id,value) VALUES (48,0,"&amp;categories!B917&amp;",'"&amp;RIGHT(categories!G917,LEN(categories!G917)-1)&amp;"');","")</f>
        <v>INSERT INTO `catalog_category_entity_varchar` (attribute_id,store_id,entity_id,value) VALUES (48,0,820,'img3/imge46d.jpg');</v>
      </c>
      <c r="C917" t="str">
        <f>VLOOKUP(categories!B917,'categories-old'!B:G,6,FALSE)</f>
        <v>/img3/imge46d.jpg</v>
      </c>
      <c r="D917" t="str">
        <f>VLOOKUP(categories!B917,'categories-old'!B:H,7,FALSE)</f>
        <v>www.americanretailsupply.com\64720\757841\JR-GiftWrap\Baby-Giftwrap.html</v>
      </c>
    </row>
    <row r="918" spans="1:4" hidden="1" x14ac:dyDescent="0.25">
      <c r="A918" t="str">
        <f>IF(LEN('categories-old'!G918) &gt; 0, "INSERT INTO `catalog_category_entity_varchar` (attribute_id,store_id,entity_id,value) VALUES (48,0,"&amp;'categories-old'!B918&amp;",'"&amp;RIGHT('categories-old'!G918,LEN('categories-old'!G918)-1)&amp;"');","")</f>
        <v>INSERT INTO `catalog_category_entity_varchar` (attribute_id,store_id,entity_id,value) VALUES (48,0,820,'img3/imge46d.jpg');</v>
      </c>
      <c r="B918" t="str">
        <f>IF(LEN(categories!G918) &gt; 0, "INSERT INTO `catalog_category_entity_varchar` (attribute_id,store_id,entity_id,value) VALUES (48,0,"&amp;categories!B918&amp;",'"&amp;RIGHT(categories!G918,LEN(categories!G918)-1)&amp;"');","")</f>
        <v>INSERT INTO `catalog_category_entity_varchar` (attribute_id,store_id,entity_id,value) VALUES (48,0,821,'img1/imgc9c4.jpg');</v>
      </c>
      <c r="C918" t="str">
        <f>VLOOKUP(categories!B918,'categories-old'!B:G,6,FALSE)</f>
        <v>/img1/imgc9c4.jpg</v>
      </c>
      <c r="D918" t="str">
        <f>VLOOKUP(categories!B918,'categories-old'!B:H,7,FALSE)</f>
        <v>www.americanretailsupply.com\64720\757842\JR-GiftWrap\Birthday--Celebration-Giftwrap.html</v>
      </c>
    </row>
    <row r="919" spans="1:4" hidden="1" x14ac:dyDescent="0.25">
      <c r="A919" t="str">
        <f>IF(LEN('categories-old'!G919) &gt; 0, "INSERT INTO `catalog_category_entity_varchar` (attribute_id,store_id,entity_id,value) VALUES (48,0,"&amp;'categories-old'!B919&amp;",'"&amp;RIGHT('categories-old'!G919,LEN('categories-old'!G919)-1)&amp;"');","")</f>
        <v>INSERT INTO `catalog_category_entity_varchar` (attribute_id,store_id,entity_id,value) VALUES (48,0,821,'img1/imgc9c4.jpg');</v>
      </c>
      <c r="B919" t="str">
        <f>IF(LEN(categories!G919) &gt; 0, "INSERT INTO `catalog_category_entity_varchar` (attribute_id,store_id,entity_id,value) VALUES (48,0,"&amp;categories!B919&amp;",'"&amp;RIGHT(categories!G919,LEN(categories!G919)-1)&amp;"');","")</f>
        <v>INSERT INTO `catalog_category_entity_varchar` (attribute_id,store_id,entity_id,value) VALUES (48,0,822,'img1/imgfe08.jpg');</v>
      </c>
      <c r="C919" t="str">
        <f>VLOOKUP(categories!B919,'categories-old'!B:G,6,FALSE)</f>
        <v>/img1/imgfe08.jpg</v>
      </c>
      <c r="D919" t="str">
        <f>VLOOKUP(categories!B919,'categories-old'!B:H,7,FALSE)</f>
        <v>www.americanretailsupply.com\64720\757843\JR-GiftWrap\Floral-Giftwrap.html</v>
      </c>
    </row>
    <row r="920" spans="1:4" hidden="1" x14ac:dyDescent="0.25">
      <c r="A920" t="str">
        <f>IF(LEN('categories-old'!G920) &gt; 0, "INSERT INTO `catalog_category_entity_varchar` (attribute_id,store_id,entity_id,value) VALUES (48,0,"&amp;'categories-old'!B920&amp;",'"&amp;RIGHT('categories-old'!G920,LEN('categories-old'!G920)-1)&amp;"');","")</f>
        <v>INSERT INTO `catalog_category_entity_varchar` (attribute_id,store_id,entity_id,value) VALUES (48,0,822,'img1/imgfe08.jpg');</v>
      </c>
      <c r="B920" t="str">
        <f>IF(LEN(categories!G920) &gt; 0, "INSERT INTO `catalog_category_entity_varchar` (attribute_id,store_id,entity_id,value) VALUES (48,0,"&amp;categories!B920&amp;",'"&amp;RIGHT(categories!G920,LEN(categories!G920)-1)&amp;"');","")</f>
        <v>INSERT INTO `catalog_category_entity_varchar` (attribute_id,store_id,entity_id,value) VALUES (48,0,823,'img1/img2a18.jpg');</v>
      </c>
      <c r="C920" t="str">
        <f>VLOOKUP(categories!B920,'categories-old'!B:G,6,FALSE)</f>
        <v>/img1/img2a18.jpg</v>
      </c>
      <c r="D920" t="str">
        <f>VLOOKUP(categories!B920,'categories-old'!B:H,7,FALSE)</f>
        <v>www.americanretailsupply.com\64720\757844\JR-GiftWrap\Masculine-Giftwrap.html</v>
      </c>
    </row>
    <row r="921" spans="1:4" hidden="1" x14ac:dyDescent="0.25">
      <c r="A921" t="str">
        <f>IF(LEN('categories-old'!G921) &gt; 0, "INSERT INTO `catalog_category_entity_varchar` (attribute_id,store_id,entity_id,value) VALUES (48,0,"&amp;'categories-old'!B921&amp;",'"&amp;RIGHT('categories-old'!G921,LEN('categories-old'!G921)-1)&amp;"');","")</f>
        <v>INSERT INTO `catalog_category_entity_varchar` (attribute_id,store_id,entity_id,value) VALUES (48,0,823,'img1/img2a18.jpg');</v>
      </c>
      <c r="B921" t="str">
        <f>IF(LEN(categories!G921) &gt; 0, "INSERT INTO `catalog_category_entity_varchar` (attribute_id,store_id,entity_id,value) VALUES (48,0,"&amp;categories!B921&amp;",'"&amp;RIGHT(categories!G921,LEN(categories!G921)-1)&amp;"');","")</f>
        <v>INSERT INTO `catalog_category_entity_varchar` (attribute_id,store_id,entity_id,value) VALUES (48,0,824,'img2/img0cc8.jpg');</v>
      </c>
      <c r="C921" t="str">
        <f>VLOOKUP(categories!B921,'categories-old'!B:G,6,FALSE)</f>
        <v>/img2/img0cc8.jpg</v>
      </c>
      <c r="D921" t="str">
        <f>VLOOKUP(categories!B921,'categories-old'!B:H,7,FALSE)</f>
        <v>www.americanretailsupply.com\64720\757845\JR-GiftWrap\Wedding-Bridal-and-Anniversary-Giftwrap.html</v>
      </c>
    </row>
    <row r="922" spans="1:4" hidden="1" x14ac:dyDescent="0.25">
      <c r="A922" t="str">
        <f>IF(LEN('categories-old'!G922) &gt; 0, "INSERT INTO `catalog_category_entity_varchar` (attribute_id,store_id,entity_id,value) VALUES (48,0,"&amp;'categories-old'!B922&amp;",'"&amp;RIGHT('categories-old'!G922,LEN('categories-old'!G922)-1)&amp;"');","")</f>
        <v>INSERT INTO `catalog_category_entity_varchar` (attribute_id,store_id,entity_id,value) VALUES (48,0,824,'img2/img0cc8.jpg');</v>
      </c>
      <c r="B922" t="str">
        <f>IF(LEN(categories!G922) &gt; 0, "INSERT INTO `catalog_category_entity_varchar` (attribute_id,store_id,entity_id,value) VALUES (48,0,"&amp;categories!B922&amp;",'"&amp;RIGHT(categories!G922,LEN(categories!G922)-1)&amp;"');","")</f>
        <v>INSERT INTO `catalog_category_entity_varchar` (attribute_id,store_id,entity_id,value) VALUES (48,0,825,'img1/img1fcc.jpg');</v>
      </c>
      <c r="C922" t="str">
        <f>VLOOKUP(categories!B922,'categories-old'!B:G,6,FALSE)</f>
        <v>/img1/img1fcc.jpg</v>
      </c>
      <c r="D922" t="str">
        <f>VLOOKUP(categories!B922,'categories-old'!B:H,7,FALSE)</f>
        <v>www.americanretailsupply.com\64720\757846\JR-GiftWrap\Double-Sided--Kraft-Giftwrap.html</v>
      </c>
    </row>
    <row r="923" spans="1:4" hidden="1" x14ac:dyDescent="0.25">
      <c r="A923" t="str">
        <f>IF(LEN('categories-old'!G923) &gt; 0, "INSERT INTO `catalog_category_entity_varchar` (attribute_id,store_id,entity_id,value) VALUES (48,0,"&amp;'categories-old'!B923&amp;",'"&amp;RIGHT('categories-old'!G923,LEN('categories-old'!G923)-1)&amp;"');","")</f>
        <v>INSERT INTO `catalog_category_entity_varchar` (attribute_id,store_id,entity_id,value) VALUES (48,0,825,'img1/img1fcc.jpg');</v>
      </c>
      <c r="B923" t="str">
        <f>IF(LEN(categories!G923) &gt; 0, "INSERT INTO `catalog_category_entity_varchar` (attribute_id,store_id,entity_id,value) VALUES (48,0,"&amp;categories!B923&amp;",'"&amp;RIGHT(categories!G923,LEN(categories!G923)-1)&amp;"');","")</f>
        <v>INSERT INTO `catalog_category_entity_varchar` (attribute_id,store_id,entity_id,value) VALUES (48,0,826,'img3/imgf031.jpg');</v>
      </c>
      <c r="C923" t="str">
        <f>VLOOKUP(categories!B923,'categories-old'!B:G,6,FALSE)</f>
        <v>/img3/imgf031.jpg</v>
      </c>
      <c r="D923" t="str">
        <f>VLOOKUP(categories!B923,'categories-old'!B:H,7,FALSE)</f>
        <v>www.americanretailsupply.com\64720\757848\JR-GiftWrap\Matte-Solid-Giftwrap.html</v>
      </c>
    </row>
    <row r="924" spans="1:4" hidden="1" x14ac:dyDescent="0.25">
      <c r="A924" t="str">
        <f>IF(LEN('categories-old'!G924) &gt; 0, "INSERT INTO `catalog_category_entity_varchar` (attribute_id,store_id,entity_id,value) VALUES (48,0,"&amp;'categories-old'!B924&amp;",'"&amp;RIGHT('categories-old'!G924,LEN('categories-old'!G924)-1)&amp;"');","")</f>
        <v>INSERT INTO `catalog_category_entity_varchar` (attribute_id,store_id,entity_id,value) VALUES (48,0,826,'img3/imgf031.jpg');</v>
      </c>
      <c r="B924" t="str">
        <f>IF(LEN(categories!G924) &gt; 0, "INSERT INTO `catalog_category_entity_varchar` (attribute_id,store_id,entity_id,value) VALUES (48,0,"&amp;categories!B924&amp;",'"&amp;RIGHT(categories!G924,LEN(categories!G924)-1)&amp;"');","")</f>
        <v>INSERT INTO `catalog_category_entity_varchar` (attribute_id,store_id,entity_id,value) VALUES (48,0,827,'img1/img1f8d.jpg');</v>
      </c>
      <c r="C924" t="str">
        <f>VLOOKUP(categories!B924,'categories-old'!B:G,6,FALSE)</f>
        <v>/img1/img1f8d.jpg</v>
      </c>
      <c r="D924" t="str">
        <f>VLOOKUP(categories!B924,'categories-old'!B:H,7,FALSE)</f>
        <v>www.americanretailsupply.com\64720\787769\JR-GiftWrap\Graphic-Giftwrap.html</v>
      </c>
    </row>
    <row r="925" spans="1:4" hidden="1" x14ac:dyDescent="0.25">
      <c r="A925" t="str">
        <f>IF(LEN('categories-old'!G925) &gt; 0, "INSERT INTO `catalog_category_entity_varchar` (attribute_id,store_id,entity_id,value) VALUES (48,0,"&amp;'categories-old'!B925&amp;",'"&amp;RIGHT('categories-old'!G925,LEN('categories-old'!G925)-1)&amp;"');","")</f>
        <v>INSERT INTO `catalog_category_entity_varchar` (attribute_id,store_id,entity_id,value) VALUES (48,0,827,'img1/img1f8d.jpg');</v>
      </c>
      <c r="B925" t="str">
        <f>IF(LEN(categories!G925) &gt; 0, "INSERT INTO `catalog_category_entity_varchar` (attribute_id,store_id,entity_id,value) VALUES (48,0,"&amp;categories!B925&amp;",'"&amp;RIGHT(categories!G925,LEN(categories!G925)-1)&amp;"');","")</f>
        <v>INSERT INTO `catalog_category_entity_varchar` (attribute_id,store_id,entity_id,value) VALUES (48,0,828,'img2/img6979.jpg');</v>
      </c>
      <c r="C925" t="str">
        <f>VLOOKUP(categories!B925,'categories-old'!B:G,6,FALSE)</f>
        <v>/img2/img6979.jpg</v>
      </c>
      <c r="D925" t="str">
        <f>VLOOKUP(categories!B925,'categories-old'!B:H,7,FALSE)</f>
        <v>www.americanretailsupply.com\64720\787770\JR-GiftWrap\Juvenile-Giftwrap.html</v>
      </c>
    </row>
    <row r="926" spans="1:4" hidden="1" x14ac:dyDescent="0.25">
      <c r="A926" t="str">
        <f>IF(LEN('categories-old'!G926) &gt; 0, "INSERT INTO `catalog_category_entity_varchar` (attribute_id,store_id,entity_id,value) VALUES (48,0,"&amp;'categories-old'!B926&amp;",'"&amp;RIGHT('categories-old'!G926,LEN('categories-old'!G926)-1)&amp;"');","")</f>
        <v>INSERT INTO `catalog_category_entity_varchar` (attribute_id,store_id,entity_id,value) VALUES (48,0,828,'img2/img6979.jpg');</v>
      </c>
      <c r="B926" t="str">
        <f>IF(LEN(categories!G926) &gt; 0, "INSERT INTO `catalog_category_entity_varchar` (attribute_id,store_id,entity_id,value) VALUES (48,0,"&amp;categories!B926&amp;",'"&amp;RIGHT(categories!G926,LEN(categories!G926)-1)&amp;"');","")</f>
        <v>INSERT INTO `catalog_category_entity_varchar` (attribute_id,store_id,entity_id,value) VALUES (48,0,829,'img3/img7796.jpg');</v>
      </c>
      <c r="C926" t="str">
        <f>VLOOKUP(categories!B926,'categories-old'!B:G,6,FALSE)</f>
        <v>/img3/img7796.jpg</v>
      </c>
      <c r="D926" t="str">
        <f>VLOOKUP(categories!B926,'categories-old'!B:H,7,FALSE)</f>
        <v>www.americanretailsupply.com\64720\787771\JR-GiftWrap\Valentine-Giftwrap.html</v>
      </c>
    </row>
    <row r="927" spans="1:4" hidden="1" x14ac:dyDescent="0.25">
      <c r="A927" t="str">
        <f>IF(LEN('categories-old'!G927) &gt; 0, "INSERT INTO `catalog_category_entity_varchar` (attribute_id,store_id,entity_id,value) VALUES (48,0,"&amp;'categories-old'!B927&amp;",'"&amp;RIGHT('categories-old'!G927,LEN('categories-old'!G927)-1)&amp;"');","")</f>
        <v>INSERT INTO `catalog_category_entity_varchar` (attribute_id,store_id,entity_id,value) VALUES (48,0,829,'img3/img7796.jpg');</v>
      </c>
      <c r="B927" t="str">
        <f>IF(LEN(categories!G927) &gt; 0, "INSERT INTO `catalog_category_entity_varchar` (attribute_id,store_id,entity_id,value) VALUES (48,0,"&amp;categories!B927&amp;",'"&amp;RIGHT(categories!G927,LEN(categories!G927)-1)&amp;"');","")</f>
        <v>INSERT INTO `catalog_category_entity_varchar` (attribute_id,store_id,entity_id,value) VALUES (48,0,831,'img3/imge699.jpg');</v>
      </c>
      <c r="C927" t="str">
        <f>VLOOKUP(categories!B927,'categories-old'!B:G,6,FALSE)</f>
        <v>/img3/imge699.jpg</v>
      </c>
      <c r="D927" t="str">
        <f>VLOOKUP(categories!B927,'categories-old'!B:H,7,FALSE)</f>
        <v>www.americanretailsupply.com\65164\740768\Kidz-Klub-Mannequins\Kidz-Klub-4--yr-old-Unisex----White.html</v>
      </c>
    </row>
    <row r="928" spans="1:4" hidden="1" x14ac:dyDescent="0.25">
      <c r="A928" t="str">
        <f>IF(LEN('categories-old'!G928) &gt; 0, "INSERT INTO `catalog_category_entity_varchar` (attribute_id,store_id,entity_id,value) VALUES (48,0,"&amp;'categories-old'!B928&amp;",'"&amp;RIGHT('categories-old'!G928,LEN('categories-old'!G928)-1)&amp;"');","")</f>
        <v>INSERT INTO `catalog_category_entity_varchar` (attribute_id,store_id,entity_id,value) VALUES (48,0,831,'img3/imge699.jpg');</v>
      </c>
      <c r="B928" t="str">
        <f>IF(LEN(categories!G928) &gt; 0, "INSERT INTO `catalog_category_entity_varchar` (attribute_id,store_id,entity_id,value) VALUES (48,0,"&amp;categories!B928&amp;",'"&amp;RIGHT(categories!G928,LEN(categories!G928)-1)&amp;"');","")</f>
        <v>INSERT INTO `catalog_category_entity_varchar` (attribute_id,store_id,entity_id,value) VALUES (48,0,832,'img1/imgd422.jpg');</v>
      </c>
      <c r="C928" t="str">
        <f>VLOOKUP(categories!B928,'categories-old'!B:G,6,FALSE)</f>
        <v>/img1/imgd422.jpg</v>
      </c>
      <c r="D928" t="str">
        <f>VLOOKUP(categories!B928,'categories-old'!B:H,7,FALSE)</f>
        <v>www.americanretailsupply.com\65164\740769\Kidz-Klub-Mannequins\Kidz-Klub-6--yr-old-Unisex----White.html</v>
      </c>
    </row>
    <row r="929" spans="1:4" hidden="1" x14ac:dyDescent="0.25">
      <c r="A929" t="str">
        <f>IF(LEN('categories-old'!G929) &gt; 0, "INSERT INTO `catalog_category_entity_varchar` (attribute_id,store_id,entity_id,value) VALUES (48,0,"&amp;'categories-old'!B929&amp;",'"&amp;RIGHT('categories-old'!G929,LEN('categories-old'!G929)-1)&amp;"');","")</f>
        <v>INSERT INTO `catalog_category_entity_varchar` (attribute_id,store_id,entity_id,value) VALUES (48,0,832,'img1/imgd422.jpg');</v>
      </c>
      <c r="B929" t="str">
        <f>IF(LEN(categories!G929) &gt; 0, "INSERT INTO `catalog_category_entity_varchar` (attribute_id,store_id,entity_id,value) VALUES (48,0,"&amp;categories!B929&amp;",'"&amp;RIGHT(categories!G929,LEN(categories!G929)-1)&amp;"');","")</f>
        <v>INSERT INTO `catalog_category_entity_varchar` (attribute_id,store_id,entity_id,value) VALUES (48,0,833,'img3/img3972.jpg');</v>
      </c>
      <c r="C929" t="str">
        <f>VLOOKUP(categories!B929,'categories-old'!B:G,6,FALSE)</f>
        <v>/img3/img3972.jpg</v>
      </c>
      <c r="D929" t="str">
        <f>VLOOKUP(categories!B929,'categories-old'!B:H,7,FALSE)</f>
        <v>www.americanretailsupply.com\65164\740770\Kidz-Klub-Mannequins\Kidz-Klub-6--yr-old-Seated-Unisex----White.html</v>
      </c>
    </row>
    <row r="930" spans="1:4" hidden="1" x14ac:dyDescent="0.25">
      <c r="A930" t="str">
        <f>IF(LEN('categories-old'!G930) &gt; 0, "INSERT INTO `catalog_category_entity_varchar` (attribute_id,store_id,entity_id,value) VALUES (48,0,"&amp;'categories-old'!B930&amp;",'"&amp;RIGHT('categories-old'!G930,LEN('categories-old'!G930)-1)&amp;"');","")</f>
        <v>INSERT INTO `catalog_category_entity_varchar` (attribute_id,store_id,entity_id,value) VALUES (48,0,833,'img3/img3972.jpg');</v>
      </c>
      <c r="B930" t="str">
        <f>IF(LEN(categories!G930) &gt; 0, "INSERT INTO `catalog_category_entity_varchar` (attribute_id,store_id,entity_id,value) VALUES (48,0,"&amp;categories!B930&amp;",'"&amp;RIGHT(categories!G930,LEN(categories!G930)-1)&amp;"');","")</f>
        <v>INSERT INTO `catalog_category_entity_varchar` (attribute_id,store_id,entity_id,value) VALUES (48,0,834,'img2/img9e05.jpg');</v>
      </c>
      <c r="C930" t="str">
        <f>VLOOKUP(categories!B930,'categories-old'!B:G,6,FALSE)</f>
        <v>/img2/img9e05.jpg</v>
      </c>
      <c r="D930" t="str">
        <f>VLOOKUP(categories!B930,'categories-old'!B:H,7,FALSE)</f>
        <v>www.americanretailsupply.com\65164\740771\Kidz-Klub-Mannequins\Kidz-Klub-8--yr-old-Unisex----White.html</v>
      </c>
    </row>
    <row r="931" spans="1:4" hidden="1" x14ac:dyDescent="0.25">
      <c r="A931" t="str">
        <f>IF(LEN('categories-old'!G931) &gt; 0, "INSERT INTO `catalog_category_entity_varchar` (attribute_id,store_id,entity_id,value) VALUES (48,0,"&amp;'categories-old'!B931&amp;",'"&amp;RIGHT('categories-old'!G931,LEN('categories-old'!G931)-1)&amp;"');","")</f>
        <v>INSERT INTO `catalog_category_entity_varchar` (attribute_id,store_id,entity_id,value) VALUES (48,0,834,'img2/img9e05.jpg');</v>
      </c>
      <c r="B931" t="str">
        <f>IF(LEN(categories!G931) &gt; 0, "INSERT INTO `catalog_category_entity_varchar` (attribute_id,store_id,entity_id,value) VALUES (48,0,"&amp;categories!B931&amp;",'"&amp;RIGHT(categories!G931,LEN(categories!G931)-1)&amp;"');","")</f>
        <v>INSERT INTO `catalog_category_entity_varchar` (attribute_id,store_id,entity_id,value) VALUES (48,0,835,'img2/img8283.jpg');</v>
      </c>
      <c r="C931" t="str">
        <f>VLOOKUP(categories!B931,'categories-old'!B:G,6,FALSE)</f>
        <v>/img2/img8283.jpg</v>
      </c>
      <c r="D931" t="str">
        <f>VLOOKUP(categories!B931,'categories-old'!B:H,7,FALSE)</f>
        <v>www.americanretailsupply.com\65164\740772\Kidz-Klub-Mannequins\Kidz-Klub-10--yr-old-Unisex----White.html</v>
      </c>
    </row>
    <row r="932" spans="1:4" hidden="1" x14ac:dyDescent="0.25">
      <c r="A932" t="str">
        <f>IF(LEN('categories-old'!G932) &gt; 0, "INSERT INTO `catalog_category_entity_varchar` (attribute_id,store_id,entity_id,value) VALUES (48,0,"&amp;'categories-old'!B932&amp;",'"&amp;RIGHT('categories-old'!G932,LEN('categories-old'!G932)-1)&amp;"');","")</f>
        <v>INSERT INTO `catalog_category_entity_varchar` (attribute_id,store_id,entity_id,value) VALUES (48,0,835,'img2/img8283.jpg');</v>
      </c>
      <c r="B932" t="str">
        <f>IF(LEN(categories!G932) &gt; 0, "INSERT INTO `catalog_category_entity_varchar` (attribute_id,store_id,entity_id,value) VALUES (48,0,"&amp;categories!B932&amp;",'"&amp;RIGHT(categories!G932,LEN(categories!G932)-1)&amp;"');","")</f>
        <v>INSERT INTO `catalog_category_entity_varchar` (attribute_id,store_id,entity_id,value) VALUES (48,0,836,'img3/img876a.jpg');</v>
      </c>
      <c r="C932" t="str">
        <f>VLOOKUP(categories!B932,'categories-old'!B:G,6,FALSE)</f>
        <v>/img3/img876a.jpg</v>
      </c>
      <c r="D932" t="str">
        <f>VLOOKUP(categories!B932,'categories-old'!B:H,7,FALSE)</f>
        <v>www.americanretailsupply.com\65164\740773\Kidz-Klub-Mannequins\Kidz-Klub-12--yr-old-Unisex----White.html</v>
      </c>
    </row>
    <row r="933" spans="1:4" hidden="1" x14ac:dyDescent="0.25">
      <c r="A933" t="str">
        <f>IF(LEN('categories-old'!G933) &gt; 0, "INSERT INTO `catalog_category_entity_varchar` (attribute_id,store_id,entity_id,value) VALUES (48,0,"&amp;'categories-old'!B933&amp;",'"&amp;RIGHT('categories-old'!G933,LEN('categories-old'!G933)-1)&amp;"');","")</f>
        <v>INSERT INTO `catalog_category_entity_varchar` (attribute_id,store_id,entity_id,value) VALUES (48,0,836,'img3/img876a.jpg');</v>
      </c>
      <c r="B933" t="str">
        <f>IF(LEN(categories!G933) &gt; 0, "INSERT INTO `catalog_category_entity_varchar` (attribute_id,store_id,entity_id,value) VALUES (48,0,"&amp;categories!B933&amp;",'"&amp;RIGHT(categories!G933,LEN(categories!G933)-1)&amp;"');","")</f>
        <v>INSERT INTO `catalog_category_entity_varchar` (attribute_id,store_id,entity_id,value) VALUES (48,0,838,'img1/imge5dd.jpg');</v>
      </c>
      <c r="C933" t="str">
        <f>VLOOKUP(categories!B933,'categories-old'!B:G,6,FALSE)</f>
        <v>/img1/imge5dd.jpg</v>
      </c>
      <c r="D933" t="str">
        <f>VLOOKUP(categories!B933,'categories-old'!B:H,7,FALSE)</f>
        <v>www.americanretailsupply.com\65351\785525\Kraft-Paper-GiftWrap\A-La-Carte-Gift-Wraps.html</v>
      </c>
    </row>
    <row r="934" spans="1:4" hidden="1" x14ac:dyDescent="0.25">
      <c r="A934" t="str">
        <f>IF(LEN('categories-old'!G934) &gt; 0, "INSERT INTO `catalog_category_entity_varchar` (attribute_id,store_id,entity_id,value) VALUES (48,0,"&amp;'categories-old'!B934&amp;",'"&amp;RIGHT('categories-old'!G934,LEN('categories-old'!G934)-1)&amp;"');","")</f>
        <v>INSERT INTO `catalog_category_entity_varchar` (attribute_id,store_id,entity_id,value) VALUES (48,0,838,'img1/imge5dd.jpg');</v>
      </c>
      <c r="B934" t="str">
        <f>IF(LEN(categories!G934) &gt; 0, "INSERT INTO `catalog_category_entity_varchar` (attribute_id,store_id,entity_id,value) VALUES (48,0,"&amp;categories!B934&amp;",'"&amp;RIGHT(categories!G934,LEN(categories!G934)-1)&amp;"');","")</f>
        <v>INSERT INTO `catalog_category_entity_varchar` (attribute_id,store_id,entity_id,value) VALUES (48,0,840,'img3/imgd490.jpg');</v>
      </c>
      <c r="C934" t="str">
        <f>VLOOKUP(categories!B934,'categories-old'!B:G,6,FALSE)</f>
        <v>/img3/imgd490.jpg</v>
      </c>
      <c r="D934" t="str">
        <f>VLOOKUP(categories!B934,'categories-old'!B:H,7,FALSE)</f>
        <v>www.americanretailsupply.com\64493\778892\Labels--Stickers\Special-Occasion-Gift-Labels.html</v>
      </c>
    </row>
    <row r="935" spans="1:4" hidden="1" x14ac:dyDescent="0.25">
      <c r="A935" t="str">
        <f>IF(LEN('categories-old'!G935) &gt; 0, "INSERT INTO `catalog_category_entity_varchar` (attribute_id,store_id,entity_id,value) VALUES (48,0,"&amp;'categories-old'!B935&amp;",'"&amp;RIGHT('categories-old'!G935,LEN('categories-old'!G935)-1)&amp;"');","")</f>
        <v>INSERT INTO `catalog_category_entity_varchar` (attribute_id,store_id,entity_id,value) VALUES (48,0,840,'img3/imgd490.jpg');</v>
      </c>
      <c r="B935" t="str">
        <f>IF(LEN(categories!G935) &gt; 0, "INSERT INTO `catalog_category_entity_varchar` (attribute_id,store_id,entity_id,value) VALUES (48,0,"&amp;categories!B935&amp;",'"&amp;RIGHT(categories!G935,LEN(categories!G935)-1)&amp;"');","")</f>
        <v>INSERT INTO `catalog_category_entity_varchar` (attribute_id,store_id,entity_id,value) VALUES (48,0,842,'img2/imga770.jpg');</v>
      </c>
      <c r="C935" t="str">
        <f>VLOOKUP(categories!B935,'categories-old'!B:G,6,FALSE)</f>
        <v>/img2/imga770.jpg</v>
      </c>
      <c r="D935" t="str">
        <f>VLOOKUP(categories!B935,'categories-old'!B:H,7,FALSE)</f>
        <v>www.americanretailsupply.com\64830\174386\LaminateMetal-Showcases\Full-Vision-Showcases.html</v>
      </c>
    </row>
    <row r="936" spans="1:4" hidden="1" x14ac:dyDescent="0.25">
      <c r="A936" t="str">
        <f>IF(LEN('categories-old'!G936) &gt; 0, "INSERT INTO `catalog_category_entity_varchar` (attribute_id,store_id,entity_id,value) VALUES (48,0,"&amp;'categories-old'!B936&amp;",'"&amp;RIGHT('categories-old'!G936,LEN('categories-old'!G936)-1)&amp;"');","")</f>
        <v>INSERT INTO `catalog_category_entity_varchar` (attribute_id,store_id,entity_id,value) VALUES (48,0,842,'img2/imga770.jpg');</v>
      </c>
      <c r="B936" t="str">
        <f>IF(LEN(categories!G936) &gt; 0, "INSERT INTO `catalog_category_entity_varchar` (attribute_id,store_id,entity_id,value) VALUES (48,0,"&amp;categories!B936&amp;",'"&amp;RIGHT(categories!G936,LEN(categories!G936)-1)&amp;"');","")</f>
        <v>INSERT INTO `catalog_category_entity_varchar` (attribute_id,store_id,entity_id,value) VALUES (48,0,843,'img1/imgd8a2.jpg');</v>
      </c>
      <c r="C936" t="str">
        <f>VLOOKUP(categories!B936,'categories-old'!B:G,6,FALSE)</f>
        <v>/img1/imgd8a2.jpg</v>
      </c>
      <c r="D936" t="str">
        <f>VLOOKUP(categories!B936,'categories-old'!B:H,7,FALSE)</f>
        <v>www.americanretailsupply.com\64830\174387\LaminateMetal-Showcases\Corner-Fill-Display-Cases.html</v>
      </c>
    </row>
    <row r="937" spans="1:4" hidden="1" x14ac:dyDescent="0.25">
      <c r="A937" t="str">
        <f>IF(LEN('categories-old'!G937) &gt; 0, "INSERT INTO `catalog_category_entity_varchar` (attribute_id,store_id,entity_id,value) VALUES (48,0,"&amp;'categories-old'!B937&amp;",'"&amp;RIGHT('categories-old'!G937,LEN('categories-old'!G937)-1)&amp;"');","")</f>
        <v>INSERT INTO `catalog_category_entity_varchar` (attribute_id,store_id,entity_id,value) VALUES (48,0,843,'img1/imgd8a2.jpg');</v>
      </c>
      <c r="B937" t="str">
        <f>IF(LEN(categories!G937) &gt; 0, "INSERT INTO `catalog_category_entity_varchar` (attribute_id,store_id,entity_id,value) VALUES (48,0,"&amp;categories!B937&amp;",'"&amp;RIGHT(categories!G937,LEN(categories!G937)-1)&amp;"');","")</f>
        <v>INSERT INTO `catalog_category_entity_varchar` (attribute_id,store_id,entity_id,value) VALUES (48,0,844,'img3/img6574.jpg');</v>
      </c>
      <c r="C937" t="str">
        <f>VLOOKUP(categories!B937,'categories-old'!B:G,6,FALSE)</f>
        <v>/img3/img6574.jpg</v>
      </c>
      <c r="D937" t="str">
        <f>VLOOKUP(categories!B937,'categories-old'!B:H,7,FALSE)</f>
        <v>www.americanretailsupply.com\64830\174443\LaminateMetal-Showcases\Upright-Display.html</v>
      </c>
    </row>
    <row r="938" spans="1:4" hidden="1" x14ac:dyDescent="0.25">
      <c r="A938" t="str">
        <f>IF(LEN('categories-old'!G938) &gt; 0, "INSERT INTO `catalog_category_entity_varchar` (attribute_id,store_id,entity_id,value) VALUES (48,0,"&amp;'categories-old'!B938&amp;",'"&amp;RIGHT('categories-old'!G938,LEN('categories-old'!G938)-1)&amp;"');","")</f>
        <v>INSERT INTO `catalog_category_entity_varchar` (attribute_id,store_id,entity_id,value) VALUES (48,0,844,'img3/img6574.jpg');</v>
      </c>
      <c r="B938" t="str">
        <f>IF(LEN(categories!G938) &gt; 0, "INSERT INTO `catalog_category_entity_varchar` (attribute_id,store_id,entity_id,value) VALUES (48,0,"&amp;categories!B938&amp;",'"&amp;RIGHT(categories!G938,LEN(categories!G938)-1)&amp;"');","")</f>
        <v>INSERT INTO `catalog_category_entity_varchar` (attribute_id,store_id,entity_id,value) VALUES (48,0,845,'img3/img85d7.jpg');</v>
      </c>
      <c r="C938" t="str">
        <f>VLOOKUP(categories!B938,'categories-old'!B:G,6,FALSE)</f>
        <v>/img3/img85d7.jpg</v>
      </c>
      <c r="D938" t="str">
        <f>VLOOKUP(categories!B938,'categories-old'!B:H,7,FALSE)</f>
        <v>www.americanretailsupply.com\64830\174472\LaminateMetal-Showcases\Ledge-Counters.html</v>
      </c>
    </row>
    <row r="939" spans="1:4" hidden="1" x14ac:dyDescent="0.25">
      <c r="A939" t="str">
        <f>IF(LEN('categories-old'!G939) &gt; 0, "INSERT INTO `catalog_category_entity_varchar` (attribute_id,store_id,entity_id,value) VALUES (48,0,"&amp;'categories-old'!B939&amp;",'"&amp;RIGHT('categories-old'!G939,LEN('categories-old'!G939)-1)&amp;"');","")</f>
        <v>INSERT INTO `catalog_category_entity_varchar` (attribute_id,store_id,entity_id,value) VALUES (48,0,845,'img3/img85d7.jpg');</v>
      </c>
      <c r="B939" t="str">
        <f>IF(LEN(categories!G939) &gt; 0, "INSERT INTO `catalog_category_entity_varchar` (attribute_id,store_id,entity_id,value) VALUES (48,0,"&amp;categories!B939&amp;",'"&amp;RIGHT(categories!G939,LEN(categories!G939)-1)&amp;"');","")</f>
        <v>INSERT INTO `catalog_category_entity_varchar` (attribute_id,store_id,entity_id,value) VALUES (48,0,846,'img1/imgcedf.jpg');</v>
      </c>
      <c r="C939" t="str">
        <f>VLOOKUP(categories!B939,'categories-old'!B:G,6,FALSE)</f>
        <v>/img1/imgcedf.jpg</v>
      </c>
      <c r="D939" t="str">
        <f>VLOOKUP(categories!B939,'categories-old'!B:H,7,FALSE)</f>
        <v>www.americanretailsupply.com\64830\174475\LaminateMetal-Showcases\Display-Table.html</v>
      </c>
    </row>
    <row r="940" spans="1:4" hidden="1" x14ac:dyDescent="0.25">
      <c r="A940" t="str">
        <f>IF(LEN('categories-old'!G940) &gt; 0, "INSERT INTO `catalog_category_entity_varchar` (attribute_id,store_id,entity_id,value) VALUES (48,0,"&amp;'categories-old'!B940&amp;",'"&amp;RIGHT('categories-old'!G940,LEN('categories-old'!G940)-1)&amp;"');","")</f>
        <v>INSERT INTO `catalog_category_entity_varchar` (attribute_id,store_id,entity_id,value) VALUES (48,0,846,'img1/imgcedf.jpg');</v>
      </c>
      <c r="B940" t="str">
        <f>IF(LEN(categories!G940) &gt; 0, "INSERT INTO `catalog_category_entity_varchar` (attribute_id,store_id,entity_id,value) VALUES (48,0,"&amp;categories!B940&amp;",'"&amp;RIGHT(categories!G940,LEN(categories!G940)-1)&amp;"');","")</f>
        <v>INSERT INTO `catalog_category_entity_varchar` (attribute_id,store_id,entity_id,value) VALUES (48,0,847,'img3/imgea1a.jpg');</v>
      </c>
      <c r="C940" t="str">
        <f>VLOOKUP(categories!B940,'categories-old'!B:G,6,FALSE)</f>
        <v>/img3/imgea1a.jpg</v>
      </c>
      <c r="D940" t="str">
        <f>VLOOKUP(categories!B940,'categories-old'!B:H,7,FALSE)</f>
        <v>www.americanretailsupply.com\64830\174476\LaminateMetal-Showcases\Tall-Counter-Display-Case.html</v>
      </c>
    </row>
    <row r="941" spans="1:4" hidden="1" x14ac:dyDescent="0.25">
      <c r="A941" t="str">
        <f>IF(LEN('categories-old'!G941) &gt; 0, "INSERT INTO `catalog_category_entity_varchar` (attribute_id,store_id,entity_id,value) VALUES (48,0,"&amp;'categories-old'!B941&amp;",'"&amp;RIGHT('categories-old'!G941,LEN('categories-old'!G941)-1)&amp;"');","")</f>
        <v>INSERT INTO `catalog_category_entity_varchar` (attribute_id,store_id,entity_id,value) VALUES (48,0,847,'img3/imgea1a.jpg');</v>
      </c>
      <c r="B941" t="str">
        <f>IF(LEN(categories!G941) &gt; 0, "INSERT INTO `catalog_category_entity_varchar` (attribute_id,store_id,entity_id,value) VALUES (48,0,"&amp;categories!B941&amp;",'"&amp;RIGHT(categories!G941,LEN(categories!G941)-1)&amp;"');","")</f>
        <v>INSERT INTO `catalog_category_entity_varchar` (attribute_id,store_id,entity_id,value) VALUES (48,0,848,'img3/imgbc8f.jpg');</v>
      </c>
      <c r="C941" t="str">
        <f>VLOOKUP(categories!B941,'categories-old'!B:G,6,FALSE)</f>
        <v>/img3/imgbc8f.jpg</v>
      </c>
      <c r="D941" t="str">
        <f>VLOOKUP(categories!B941,'categories-old'!B:H,7,FALSE)</f>
        <v>www.americanretailsupply.com\64830\174477\LaminateMetal-Showcases\Alcove-Mirror.html</v>
      </c>
    </row>
    <row r="942" spans="1:4" hidden="1" x14ac:dyDescent="0.25">
      <c r="A942" t="str">
        <f>IF(LEN('categories-old'!G942) &gt; 0, "INSERT INTO `catalog_category_entity_varchar` (attribute_id,store_id,entity_id,value) VALUES (48,0,"&amp;'categories-old'!B942&amp;",'"&amp;RIGHT('categories-old'!G942,LEN('categories-old'!G942)-1)&amp;"');","")</f>
        <v>INSERT INTO `catalog_category_entity_varchar` (attribute_id,store_id,entity_id,value) VALUES (48,0,848,'img3/imgbc8f.jpg');</v>
      </c>
      <c r="B942" t="str">
        <f>IF(LEN(categories!G942) &gt; 0, "INSERT INTO `catalog_category_entity_varchar` (attribute_id,store_id,entity_id,value) VALUES (48,0,"&amp;categories!B942&amp;",'"&amp;RIGHT(categories!G942,LEN(categories!G942)-1)&amp;"');","")</f>
        <v>INSERT INTO `catalog_category_entity_varchar` (attribute_id,store_id,entity_id,value) VALUES (48,0,849,'img1/imge990.jpg');</v>
      </c>
      <c r="C942" t="str">
        <f>VLOOKUP(categories!B942,'categories-old'!B:G,6,FALSE)</f>
        <v>/img1/imge990.jpg</v>
      </c>
      <c r="D942" t="str">
        <f>VLOOKUP(categories!B942,'categories-old'!B:H,7,FALSE)</f>
        <v>www.americanretailsupply.com\64830\175983\LaminateMetal-Showcases\Rear-Access-Corner-Display-Cases.html</v>
      </c>
    </row>
    <row r="943" spans="1:4" hidden="1" x14ac:dyDescent="0.25">
      <c r="A943" t="str">
        <f>IF(LEN('categories-old'!G943) &gt; 0, "INSERT INTO `catalog_category_entity_varchar` (attribute_id,store_id,entity_id,value) VALUES (48,0,"&amp;'categories-old'!B943&amp;",'"&amp;RIGHT('categories-old'!G943,LEN('categories-old'!G943)-1)&amp;"');","")</f>
        <v>INSERT INTO `catalog_category_entity_varchar` (attribute_id,store_id,entity_id,value) VALUES (48,0,849,'img1/imge990.jpg');</v>
      </c>
      <c r="B943" t="str">
        <f>IF(LEN(categories!G943) &gt; 0, "INSERT INTO `catalog_category_entity_varchar` (attribute_id,store_id,entity_id,value) VALUES (48,0,"&amp;categories!B943&amp;",'"&amp;RIGHT(categories!G943,LEN(categories!G943)-1)&amp;"');","")</f>
        <v>INSERT INTO `catalog_category_entity_varchar` (attribute_id,store_id,entity_id,value) VALUES (48,0,850,'img3/img0905.jpg');</v>
      </c>
      <c r="C943" t="str">
        <f>VLOOKUP(categories!B943,'categories-old'!B:G,6,FALSE)</f>
        <v>/img3/img0905.jpg</v>
      </c>
      <c r="D943" t="str">
        <f>VLOOKUP(categories!B943,'categories-old'!B:H,7,FALSE)</f>
        <v>www.americanretailsupply.com\64830\175995\LaminateMetal-Showcases\Half-Vision-Showcases.html</v>
      </c>
    </row>
    <row r="944" spans="1:4" hidden="1" x14ac:dyDescent="0.25">
      <c r="A944" t="str">
        <f>IF(LEN('categories-old'!G944) &gt; 0, "INSERT INTO `catalog_category_entity_varchar` (attribute_id,store_id,entity_id,value) VALUES (48,0,"&amp;'categories-old'!B944&amp;",'"&amp;RIGHT('categories-old'!G944,LEN('categories-old'!G944)-1)&amp;"');","")</f>
        <v>INSERT INTO `catalog_category_entity_varchar` (attribute_id,store_id,entity_id,value) VALUES (48,0,850,'img3/img0905.jpg');</v>
      </c>
      <c r="B944" t="str">
        <f>IF(LEN(categories!G944) &gt; 0, "INSERT INTO `catalog_category_entity_varchar` (attribute_id,store_id,entity_id,value) VALUES (48,0,"&amp;categories!B944&amp;",'"&amp;RIGHT(categories!G944,LEN(categories!G944)-1)&amp;"');","")</f>
        <v>INSERT INTO `catalog_category_entity_varchar` (attribute_id,store_id,entity_id,value) VALUES (48,0,851,'img1/img1fd4.jpg');</v>
      </c>
      <c r="C944" t="str">
        <f>VLOOKUP(categories!B944,'categories-old'!B:G,6,FALSE)</f>
        <v>/img1/img1fd4.jpg</v>
      </c>
      <c r="D944" t="str">
        <f>VLOOKUP(categories!B944,'categories-old'!B:H,7,FALSE)</f>
        <v>www.americanretailsupply.com\64830\175996\LaminateMetal-Showcases\Jewelry-Display-Showcases.html</v>
      </c>
    </row>
    <row r="945" spans="1:4" hidden="1" x14ac:dyDescent="0.25">
      <c r="A945" t="str">
        <f>IF(LEN('categories-old'!G945) &gt; 0, "INSERT INTO `catalog_category_entity_varchar` (attribute_id,store_id,entity_id,value) VALUES (48,0,"&amp;'categories-old'!B945&amp;",'"&amp;RIGHT('categories-old'!G945,LEN('categories-old'!G945)-1)&amp;"');","")</f>
        <v>INSERT INTO `catalog_category_entity_varchar` (attribute_id,store_id,entity_id,value) VALUES (48,0,851,'img1/img1fd4.jpg');</v>
      </c>
      <c r="B945" t="str">
        <f>IF(LEN(categories!G945) &gt; 0, "INSERT INTO `catalog_category_entity_varchar` (attribute_id,store_id,entity_id,value) VALUES (48,0,"&amp;categories!B945&amp;",'"&amp;RIGHT(categories!G945,LEN(categories!G945)-1)&amp;"');","")</f>
        <v>INSERT INTO `catalog_category_entity_varchar` (attribute_id,store_id,entity_id,value) VALUES (48,0,852,'img2/img7ebf.jpg');</v>
      </c>
      <c r="C945" t="str">
        <f>VLOOKUP(categories!B945,'categories-old'!B:G,6,FALSE)</f>
        <v>/img2/img7ebf.jpg</v>
      </c>
      <c r="D945" t="str">
        <f>VLOOKUP(categories!B945,'categories-old'!B:H,7,FALSE)</f>
        <v>www.americanretailsupply.com\64830\175998\LaminateMetal-Showcases\Extra-Vision-Showcases.html</v>
      </c>
    </row>
    <row r="946" spans="1:4" hidden="1" x14ac:dyDescent="0.25">
      <c r="A946" t="str">
        <f>IF(LEN('categories-old'!G946) &gt; 0, "INSERT INTO `catalog_category_entity_varchar` (attribute_id,store_id,entity_id,value) VALUES (48,0,"&amp;'categories-old'!B946&amp;",'"&amp;RIGHT('categories-old'!G946,LEN('categories-old'!G946)-1)&amp;"');","")</f>
        <v>INSERT INTO `catalog_category_entity_varchar` (attribute_id,store_id,entity_id,value) VALUES (48,0,852,'img2/img7ebf.jpg');</v>
      </c>
      <c r="B946" t="str">
        <f>IF(LEN(categories!G946) &gt; 0, "INSERT INTO `catalog_category_entity_varchar` (attribute_id,store_id,entity_id,value) VALUES (48,0,"&amp;categories!B946&amp;",'"&amp;RIGHT(categories!G946,LEN(categories!G946)-1)&amp;"');","")</f>
        <v>INSERT INTO `catalog_category_entity_varchar` (attribute_id,store_id,entity_id,value) VALUES (48,0,853,'img2/imgb78d.jpg');</v>
      </c>
      <c r="C946" t="str">
        <f>VLOOKUP(categories!B946,'categories-old'!B:G,6,FALSE)</f>
        <v>/img2/imgb78d.jpg</v>
      </c>
      <c r="D946" t="str">
        <f>VLOOKUP(categories!B946,'categories-old'!B:H,7,FALSE)</f>
        <v>www.americanretailsupply.com\64830\175999\LaminateMetal-Showcases\Slimline-Towers.html</v>
      </c>
    </row>
    <row r="947" spans="1:4" hidden="1" x14ac:dyDescent="0.25">
      <c r="A947" t="str">
        <f>IF(LEN('categories-old'!G947) &gt; 0, "INSERT INTO `catalog_category_entity_varchar` (attribute_id,store_id,entity_id,value) VALUES (48,0,"&amp;'categories-old'!B947&amp;",'"&amp;RIGHT('categories-old'!G947,LEN('categories-old'!G947)-1)&amp;"');","")</f>
        <v>INSERT INTO `catalog_category_entity_varchar` (attribute_id,store_id,entity_id,value) VALUES (48,0,853,'img2/imgb78d.jpg');</v>
      </c>
      <c r="B947" t="str">
        <f>IF(LEN(categories!G947) &gt; 0, "INSERT INTO `catalog_category_entity_varchar` (attribute_id,store_id,entity_id,value) VALUES (48,0,"&amp;categories!B947&amp;",'"&amp;RIGHT(categories!G947,LEN(categories!G947)-1)&amp;"');","")</f>
        <v>INSERT INTO `catalog_category_entity_varchar` (attribute_id,store_id,entity_id,value) VALUES (48,0,854,'img3/img062e.jpg');</v>
      </c>
      <c r="C947" t="str">
        <f>VLOOKUP(categories!B947,'categories-old'!B:G,6,FALSE)</f>
        <v>/img3/img062e.jpg</v>
      </c>
      <c r="D947" t="str">
        <f>VLOOKUP(categories!B947,'categories-old'!B:H,7,FALSE)</f>
        <v>www.americanretailsupply.com\64830\176000\LaminateMetal-Showcases\Fineline-Tower-Glass-Display-Cases.html</v>
      </c>
    </row>
    <row r="948" spans="1:4" hidden="1" x14ac:dyDescent="0.25">
      <c r="A948" t="str">
        <f>IF(LEN('categories-old'!G948) &gt; 0, "INSERT INTO `catalog_category_entity_varchar` (attribute_id,store_id,entity_id,value) VALUES (48,0,"&amp;'categories-old'!B948&amp;",'"&amp;RIGHT('categories-old'!G948,LEN('categories-old'!G948)-1)&amp;"');","")</f>
        <v>INSERT INTO `catalog_category_entity_varchar` (attribute_id,store_id,entity_id,value) VALUES (48,0,854,'img3/img062e.jpg');</v>
      </c>
      <c r="B948" t="str">
        <f>IF(LEN(categories!G948) &gt; 0, "INSERT INTO `catalog_category_entity_varchar` (attribute_id,store_id,entity_id,value) VALUES (48,0,"&amp;categories!B948&amp;",'"&amp;RIGHT(categories!G948,LEN(categories!G948)-1)&amp;"');","")</f>
        <v>INSERT INTO `catalog_category_entity_varchar` (attribute_id,store_id,entity_id,value) VALUES (48,0,855,'img1/img571d.jpg');</v>
      </c>
      <c r="C948" t="str">
        <f>VLOOKUP(categories!B948,'categories-old'!B:G,6,FALSE)</f>
        <v>/img1/img571d.jpg</v>
      </c>
      <c r="D948" t="str">
        <f>VLOOKUP(categories!B948,'categories-old'!B:H,7,FALSE)</f>
        <v>www.americanretailsupply.com\64830\176003\LaminateMetal-Showcases\Wrap-Counters.html</v>
      </c>
    </row>
    <row r="949" spans="1:4" hidden="1" x14ac:dyDescent="0.25">
      <c r="A949" t="str">
        <f>IF(LEN('categories-old'!G949) &gt; 0, "INSERT INTO `catalog_category_entity_varchar` (attribute_id,store_id,entity_id,value) VALUES (48,0,"&amp;'categories-old'!B949&amp;",'"&amp;RIGHT('categories-old'!G949,LEN('categories-old'!G949)-1)&amp;"');","")</f>
        <v>INSERT INTO `catalog_category_entity_varchar` (attribute_id,store_id,entity_id,value) VALUES (48,0,855,'img1/img571d.jpg');</v>
      </c>
      <c r="B949" t="str">
        <f>IF(LEN(categories!G949) &gt; 0, "INSERT INTO `catalog_category_entity_varchar` (attribute_id,store_id,entity_id,value) VALUES (48,0,"&amp;categories!B949&amp;",'"&amp;RIGHT(categories!G949,LEN(categories!G949)-1)&amp;"');","")</f>
        <v>INSERT INTO `catalog_category_entity_varchar` (attribute_id,store_id,entity_id,value) VALUES (48,0,856,'img3/img6517.jpg');</v>
      </c>
      <c r="C949" t="str">
        <f>VLOOKUP(categories!B949,'categories-old'!B:G,6,FALSE)</f>
        <v>/img3/img6517.jpg</v>
      </c>
      <c r="D949" t="str">
        <f>VLOOKUP(categories!B949,'categories-old'!B:H,7,FALSE)</f>
        <v>www.americanretailsupply.com\64830\176004\LaminateMetal-Showcases\Cash-Register-Stands.html</v>
      </c>
    </row>
    <row r="950" spans="1:4" hidden="1" x14ac:dyDescent="0.25">
      <c r="A950" t="str">
        <f>IF(LEN('categories-old'!G950) &gt; 0, "INSERT INTO `catalog_category_entity_varchar` (attribute_id,store_id,entity_id,value) VALUES (48,0,"&amp;'categories-old'!B950&amp;",'"&amp;RIGHT('categories-old'!G950,LEN('categories-old'!G950)-1)&amp;"');","")</f>
        <v>INSERT INTO `catalog_category_entity_varchar` (attribute_id,store_id,entity_id,value) VALUES (48,0,856,'img3/img6517.jpg');</v>
      </c>
      <c r="B950" t="str">
        <f>IF(LEN(categories!G950) &gt; 0, "INSERT INTO `catalog_category_entity_varchar` (attribute_id,store_id,entity_id,value) VALUES (48,0,"&amp;categories!B950&amp;",'"&amp;RIGHT(categories!G950,LEN(categories!G950)-1)&amp;"');","")</f>
        <v>INSERT INTO `catalog_category_entity_varchar` (attribute_id,store_id,entity_id,value) VALUES (48,0,858,'img3/img9049.jpg');</v>
      </c>
      <c r="C950" t="str">
        <f>VLOOKUP(categories!B950,'categories-old'!B:G,6,FALSE)</f>
        <v>/img3/img9049.jpg</v>
      </c>
      <c r="D950" t="str">
        <f>VLOOKUP(categories!B950,'categories-old'!B:H,7,FALSE)</f>
        <v>www.americanretailsupply.com\64847\773401\Lights\Showcase-Light-Kits-and-Locks.html</v>
      </c>
    </row>
    <row r="951" spans="1:4" hidden="1" x14ac:dyDescent="0.25">
      <c r="A951" t="str">
        <f>IF(LEN('categories-old'!G951) &gt; 0, "INSERT INTO `catalog_category_entity_varchar` (attribute_id,store_id,entity_id,value) VALUES (48,0,"&amp;'categories-old'!B951&amp;",'"&amp;RIGHT('categories-old'!G951,LEN('categories-old'!G951)-1)&amp;"');","")</f>
        <v>INSERT INTO `catalog_category_entity_varchar` (attribute_id,store_id,entity_id,value) VALUES (48,0,858,'img3/img9049.jpg');</v>
      </c>
      <c r="B951" t="str">
        <f>IF(LEN(categories!G951) &gt; 0, "INSERT INTO `catalog_category_entity_varchar` (attribute_id,store_id,entity_id,value) VALUES (48,0,"&amp;categories!B951&amp;",'"&amp;RIGHT(categories!G951,LEN(categories!G951)-1)&amp;"');","")</f>
        <v>INSERT INTO `catalog_category_entity_varchar` (attribute_id,store_id,entity_id,value) VALUES (48,0,859,'img1/img6e93.jpg');</v>
      </c>
      <c r="C951" t="str">
        <f>VLOOKUP(categories!B951,'categories-old'!B:G,6,FALSE)</f>
        <v>/img1/img6e93.jpg</v>
      </c>
      <c r="D951" t="str">
        <f>VLOOKUP(categories!B951,'categories-old'!B:H,7,FALSE)</f>
        <v>www.americanretailsupply.com\64847\776995\Lights\Flexible-LED-Light-Strip.html</v>
      </c>
    </row>
    <row r="952" spans="1:4" hidden="1" x14ac:dyDescent="0.25">
      <c r="A952" t="str">
        <f>IF(LEN('categories-old'!G952) &gt; 0, "INSERT INTO `catalog_category_entity_varchar` (attribute_id,store_id,entity_id,value) VALUES (48,0,"&amp;'categories-old'!B952&amp;",'"&amp;RIGHT('categories-old'!G952,LEN('categories-old'!G952)-1)&amp;"');","")</f>
        <v>INSERT INTO `catalog_category_entity_varchar` (attribute_id,store_id,entity_id,value) VALUES (48,0,859,'img1/img6e93.jpg');</v>
      </c>
      <c r="B952" t="str">
        <f>IF(LEN(categories!G952) &gt; 0, "INSERT INTO `catalog_category_entity_varchar` (attribute_id,store_id,entity_id,value) VALUES (48,0,"&amp;categories!B952&amp;",'"&amp;RIGHT(categories!G952,LEN(categories!G952)-1)&amp;"');","")</f>
        <v>INSERT INTO `catalog_category_entity_varchar` (attribute_id,store_id,entity_id,value) VALUES (48,0,861,'img3/imge1e8.jpg');</v>
      </c>
      <c r="C952" t="str">
        <f>VLOOKUP(categories!B952,'categories-old'!B:G,6,FALSE)</f>
        <v>/img3/imge1e8.jpg</v>
      </c>
      <c r="D952" t="str">
        <f>VLOOKUP(categories!B952,'categories-old'!B:H,7,FALSE)</f>
        <v>www.americanretailsupply.com\64786\775233\Linen-Jewelry-Displays\Necklace-Jewelry-Displays.html</v>
      </c>
    </row>
    <row r="953" spans="1:4" hidden="1" x14ac:dyDescent="0.25">
      <c r="A953" t="str">
        <f>IF(LEN('categories-old'!G953) &gt; 0, "INSERT INTO `catalog_category_entity_varchar` (attribute_id,store_id,entity_id,value) VALUES (48,0,"&amp;'categories-old'!B953&amp;",'"&amp;RIGHT('categories-old'!G953,LEN('categories-old'!G953)-1)&amp;"');","")</f>
        <v>INSERT INTO `catalog_category_entity_varchar` (attribute_id,store_id,entity_id,value) VALUES (48,0,861,'img3/imge1e8.jpg');</v>
      </c>
      <c r="B953" t="str">
        <f>IF(LEN(categories!G953) &gt; 0, "INSERT INTO `catalog_category_entity_varchar` (attribute_id,store_id,entity_id,value) VALUES (48,0,"&amp;categories!B953&amp;",'"&amp;RIGHT(categories!G953,LEN(categories!G953)-1)&amp;"');","")</f>
        <v>INSERT INTO `catalog_category_entity_varchar` (attribute_id,store_id,entity_id,value) VALUES (48,0,862,'img1/img4a03.jpg');</v>
      </c>
      <c r="C953" t="str">
        <f>VLOOKUP(categories!B953,'categories-old'!B:G,6,FALSE)</f>
        <v>/img1/img4a03.jpg</v>
      </c>
      <c r="D953" t="str">
        <f>VLOOKUP(categories!B953,'categories-old'!B:H,7,FALSE)</f>
        <v>www.americanretailsupply.com\64786\775234\Linen-Jewelry-Displays\T--Bar-Jewelry-Displays.html</v>
      </c>
    </row>
    <row r="954" spans="1:4" hidden="1" x14ac:dyDescent="0.25">
      <c r="A954" t="str">
        <f>IF(LEN('categories-old'!G954) &gt; 0, "INSERT INTO `catalog_category_entity_varchar` (attribute_id,store_id,entity_id,value) VALUES (48,0,"&amp;'categories-old'!B954&amp;",'"&amp;RIGHT('categories-old'!G954,LEN('categories-old'!G954)-1)&amp;"');","")</f>
        <v>INSERT INTO `catalog_category_entity_varchar` (attribute_id,store_id,entity_id,value) VALUES (48,0,862,'img1/img4a03.jpg');</v>
      </c>
      <c r="B954" t="str">
        <f>IF(LEN(categories!G954) &gt; 0, "INSERT INTO `catalog_category_entity_varchar` (attribute_id,store_id,entity_id,value) VALUES (48,0,"&amp;categories!B954&amp;",'"&amp;RIGHT(categories!G954,LEN(categories!G954)-1)&amp;"');","")</f>
        <v>INSERT INTO `catalog_category_entity_varchar` (attribute_id,store_id,entity_id,value) VALUES (48,0,863,'img2/img3689.jpg');</v>
      </c>
      <c r="C954" t="str">
        <f>VLOOKUP(categories!B954,'categories-old'!B:G,6,FALSE)</f>
        <v>/img2/img3689.jpg</v>
      </c>
      <c r="D954" t="str">
        <f>VLOOKUP(categories!B954,'categories-old'!B:H,7,FALSE)</f>
        <v>www.americanretailsupply.com\64786\775235\Linen-Jewelry-Displays\Earring-Displays.html</v>
      </c>
    </row>
    <row r="955" spans="1:4" hidden="1" x14ac:dyDescent="0.25">
      <c r="A955" t="str">
        <f>IF(LEN('categories-old'!G955) &gt; 0, "INSERT INTO `catalog_category_entity_varchar` (attribute_id,store_id,entity_id,value) VALUES (48,0,"&amp;'categories-old'!B955&amp;",'"&amp;RIGHT('categories-old'!G955,LEN('categories-old'!G955)-1)&amp;"');","")</f>
        <v>INSERT INTO `catalog_category_entity_varchar` (attribute_id,store_id,entity_id,value) VALUES (48,0,863,'img2/img3689.jpg');</v>
      </c>
      <c r="B955" t="str">
        <f>IF(LEN(categories!G955) &gt; 0, "INSERT INTO `catalog_category_entity_varchar` (attribute_id,store_id,entity_id,value) VALUES (48,0,"&amp;categories!B955&amp;",'"&amp;RIGHT(categories!G955,LEN(categories!G955)-1)&amp;"');","")</f>
        <v>INSERT INTO `catalog_category_entity_varchar` (attribute_id,store_id,entity_id,value) VALUES (48,0,865,'img3/imga102.jpg');</v>
      </c>
      <c r="C955" t="str">
        <f>VLOOKUP(categories!B955,'categories-old'!B:G,6,FALSE)</f>
        <v>/img3/imga102.jpg</v>
      </c>
      <c r="D955" t="str">
        <f>VLOOKUP(categories!B955,'categories-old'!B:H,7,FALSE)</f>
        <v>www.americanretailsupply.com\65181\561663\Literature-Racks\24-Pocket-Literature-Spinner.html</v>
      </c>
    </row>
    <row r="956" spans="1:4" hidden="1" x14ac:dyDescent="0.25">
      <c r="A956" t="str">
        <f>IF(LEN('categories-old'!G956) &gt; 0, "INSERT INTO `catalog_category_entity_varchar` (attribute_id,store_id,entity_id,value) VALUES (48,0,"&amp;'categories-old'!B956&amp;",'"&amp;RIGHT('categories-old'!G956,LEN('categories-old'!G956)-1)&amp;"');","")</f>
        <v>INSERT INTO `catalog_category_entity_varchar` (attribute_id,store_id,entity_id,value) VALUES (48,0,865,'img3/imga102.jpg');</v>
      </c>
      <c r="B956" t="str">
        <f>IF(LEN(categories!G956) &gt; 0, "INSERT INTO `catalog_category_entity_varchar` (attribute_id,store_id,entity_id,value) VALUES (48,0,"&amp;categories!B956&amp;",'"&amp;RIGHT(categories!G956,LEN(categories!G956)-1)&amp;"');","")</f>
        <v>INSERT INTO `catalog_category_entity_varchar` (attribute_id,store_id,entity_id,value) VALUES (48,0,866,'img3/img1c3a.jpg');</v>
      </c>
      <c r="C956" t="str">
        <f>VLOOKUP(categories!B956,'categories-old'!B:G,6,FALSE)</f>
        <v>/img3/img1c3a.jpg</v>
      </c>
      <c r="D956" t="str">
        <f>VLOOKUP(categories!B956,'categories-old'!B:H,7,FALSE)</f>
        <v>www.americanretailsupply.com\65181\561665\Literature-Racks\Decora-Literature-Stand.html</v>
      </c>
    </row>
    <row r="957" spans="1:4" hidden="1" x14ac:dyDescent="0.25">
      <c r="A957" t="str">
        <f>IF(LEN('categories-old'!G957) &gt; 0, "INSERT INTO `catalog_category_entity_varchar` (attribute_id,store_id,entity_id,value) VALUES (48,0,"&amp;'categories-old'!B957&amp;",'"&amp;RIGHT('categories-old'!G957,LEN('categories-old'!G957)-1)&amp;"');","")</f>
        <v>INSERT INTO `catalog_category_entity_varchar` (attribute_id,store_id,entity_id,value) VALUES (48,0,866,'img3/img1c3a.jpg');</v>
      </c>
      <c r="B957" t="str">
        <f>IF(LEN(categories!G957) &gt; 0, "INSERT INTO `catalog_category_entity_varchar` (attribute_id,store_id,entity_id,value) VALUES (48,0,"&amp;categories!B957&amp;",'"&amp;RIGHT(categories!G957,LEN(categories!G957)-1)&amp;"');","")</f>
        <v>INSERT INTO `catalog_category_entity_varchar` (attribute_id,store_id,entity_id,value) VALUES (48,0,867,'img2/img86c3.jpg');</v>
      </c>
      <c r="C957" t="str">
        <f>VLOOKUP(categories!B957,'categories-old'!B:G,6,FALSE)</f>
        <v>/img2/img86c3.jpg</v>
      </c>
      <c r="D957" t="str">
        <f>VLOOKUP(categories!B957,'categories-old'!B:H,7,FALSE)</f>
        <v>www.americanretailsupply.com\65181\561739\Literature-Racks\24-Pocket-Combo-Spinner.html</v>
      </c>
    </row>
    <row r="958" spans="1:4" hidden="1" x14ac:dyDescent="0.25">
      <c r="A958" t="str">
        <f>IF(LEN('categories-old'!G958) &gt; 0, "INSERT INTO `catalog_category_entity_varchar` (attribute_id,store_id,entity_id,value) VALUES (48,0,"&amp;'categories-old'!B958&amp;",'"&amp;RIGHT('categories-old'!G958,LEN('categories-old'!G958)-1)&amp;"');","")</f>
        <v>INSERT INTO `catalog_category_entity_varchar` (attribute_id,store_id,entity_id,value) VALUES (48,0,867,'img2/img86c3.jpg');</v>
      </c>
      <c r="B958" t="str">
        <f>IF(LEN(categories!G958) &gt; 0, "INSERT INTO `catalog_category_entity_varchar` (attribute_id,store_id,entity_id,value) VALUES (48,0,"&amp;categories!B958&amp;",'"&amp;RIGHT(categories!G958,LEN(categories!G958)-1)&amp;"');","")</f>
        <v>INSERT INTO `catalog_category_entity_varchar` (attribute_id,store_id,entity_id,value) VALUES (48,0,868,'img1/imgd129.jpg');</v>
      </c>
      <c r="C958" t="str">
        <f>VLOOKUP(categories!B958,'categories-old'!B:G,6,FALSE)</f>
        <v>/img1/imgd129.jpg</v>
      </c>
      <c r="D958" t="str">
        <f>VLOOKUP(categories!B958,'categories-old'!B:H,7,FALSE)</f>
        <v>www.americanretailsupply.com\65181\561792\Literature-Racks\24-Pocket-Spinner.html</v>
      </c>
    </row>
    <row r="959" spans="1:4" hidden="1" x14ac:dyDescent="0.25">
      <c r="A959" t="str">
        <f>IF(LEN('categories-old'!G959) &gt; 0, "INSERT INTO `catalog_category_entity_varchar` (attribute_id,store_id,entity_id,value) VALUES (48,0,"&amp;'categories-old'!B959&amp;",'"&amp;RIGHT('categories-old'!G959,LEN('categories-old'!G959)-1)&amp;"');","")</f>
        <v>INSERT INTO `catalog_category_entity_varchar` (attribute_id,store_id,entity_id,value) VALUES (48,0,868,'img1/imgd129.jpg');</v>
      </c>
      <c r="B959" t="str">
        <f>IF(LEN(categories!G959) &gt; 0, "INSERT INTO `catalog_category_entity_varchar` (attribute_id,store_id,entity_id,value) VALUES (48,0,"&amp;categories!B959&amp;",'"&amp;RIGHT(categories!G959,LEN(categories!G959)-1)&amp;"');","")</f>
        <v>INSERT INTO `catalog_category_entity_varchar` (attribute_id,store_id,entity_id,value) VALUES (48,0,869,'img2/img9db5.jpg');</v>
      </c>
      <c r="C959" t="str">
        <f>VLOOKUP(categories!B959,'categories-old'!B:G,6,FALSE)</f>
        <v>/img2/img9db5.jpg</v>
      </c>
      <c r="D959" t="str">
        <f>VLOOKUP(categories!B959,'categories-old'!B:H,7,FALSE)</f>
        <v>www.americanretailsupply.com\65181\561793\Literature-Racks\Postcard-Spinner.html</v>
      </c>
    </row>
    <row r="960" spans="1:4" hidden="1" x14ac:dyDescent="0.25">
      <c r="A960" t="str">
        <f>IF(LEN('categories-old'!G960) &gt; 0, "INSERT INTO `catalog_category_entity_varchar` (attribute_id,store_id,entity_id,value) VALUES (48,0,"&amp;'categories-old'!B960&amp;",'"&amp;RIGHT('categories-old'!G960,LEN('categories-old'!G960)-1)&amp;"');","")</f>
        <v>INSERT INTO `catalog_category_entity_varchar` (attribute_id,store_id,entity_id,value) VALUES (48,0,869,'img2/img9db5.jpg');</v>
      </c>
      <c r="B960" t="str">
        <f>IF(LEN(categories!G960) &gt; 0, "INSERT INTO `catalog_category_entity_varchar` (attribute_id,store_id,entity_id,value) VALUES (48,0,"&amp;categories!B960&amp;",'"&amp;RIGHT(categories!G960,LEN(categories!G960)-1)&amp;"');","")</f>
        <v>INSERT INTO `catalog_category_entity_varchar` (attribute_id,store_id,entity_id,value) VALUES (48,0,870,'img3/img9f58.jpg');</v>
      </c>
      <c r="C960" t="str">
        <f>VLOOKUP(categories!B960,'categories-old'!B:G,6,FALSE)</f>
        <v>/img3/img9f58.jpg</v>
      </c>
      <c r="D960" t="str">
        <f>VLOOKUP(categories!B960,'categories-old'!B:H,7,FALSE)</f>
        <v>www.americanretailsupply.com\65181\561794\Literature-Racks\16-Pocket-Calendar-Spinner.html</v>
      </c>
    </row>
    <row r="961" spans="1:4" hidden="1" x14ac:dyDescent="0.25">
      <c r="A961" t="str">
        <f>IF(LEN('categories-old'!G961) &gt; 0, "INSERT INTO `catalog_category_entity_varchar` (attribute_id,store_id,entity_id,value) VALUES (48,0,"&amp;'categories-old'!B961&amp;",'"&amp;RIGHT('categories-old'!G961,LEN('categories-old'!G961)-1)&amp;"');","")</f>
        <v>INSERT INTO `catalog_category_entity_varchar` (attribute_id,store_id,entity_id,value) VALUES (48,0,870,'img3/img9f58.jpg');</v>
      </c>
      <c r="B961" t="str">
        <f>IF(LEN(categories!G961) &gt; 0, "INSERT INTO `catalog_category_entity_varchar` (attribute_id,store_id,entity_id,value) VALUES (48,0,"&amp;categories!B961&amp;",'"&amp;RIGHT(categories!G961,LEN(categories!G961)-1)&amp;"');","")</f>
        <v>INSERT INTO `catalog_category_entity_varchar` (attribute_id,store_id,entity_id,value) VALUES (48,0,871,'img3/img9204.jpg');</v>
      </c>
      <c r="C961" t="str">
        <f>VLOOKUP(categories!B961,'categories-old'!B:G,6,FALSE)</f>
        <v>/img3/img9204.jpg</v>
      </c>
      <c r="D961" t="str">
        <f>VLOOKUP(categories!B961,'categories-old'!B:H,7,FALSE)</f>
        <v>www.americanretailsupply.com\65181\561795\Literature-Racks\24-Pocket-4-78-Spinner.html</v>
      </c>
    </row>
    <row r="962" spans="1:4" hidden="1" x14ac:dyDescent="0.25">
      <c r="A962" t="str">
        <f>IF(LEN('categories-old'!G962) &gt; 0, "INSERT INTO `catalog_category_entity_varchar` (attribute_id,store_id,entity_id,value) VALUES (48,0,"&amp;'categories-old'!B962&amp;",'"&amp;RIGHT('categories-old'!G962,LEN('categories-old'!G962)-1)&amp;"');","")</f>
        <v>INSERT INTO `catalog_category_entity_varchar` (attribute_id,store_id,entity_id,value) VALUES (48,0,871,'img3/img9204.jpg');</v>
      </c>
      <c r="B962" t="str">
        <f>IF(LEN(categories!G962) &gt; 0, "INSERT INTO `catalog_category_entity_varchar` (attribute_id,store_id,entity_id,value) VALUES (48,0,"&amp;categories!B962&amp;",'"&amp;RIGHT(categories!G962,LEN(categories!G962)-1)&amp;"');","")</f>
        <v>INSERT INTO `catalog_category_entity_varchar` (attribute_id,store_id,entity_id,value) VALUES (48,0,872,'img2/img2370.jpg');</v>
      </c>
      <c r="C962" t="str">
        <f>VLOOKUP(categories!B962,'categories-old'!B:G,6,FALSE)</f>
        <v>/img2/img2370.jpg</v>
      </c>
      <c r="D962" t="str">
        <f>VLOOKUP(categories!B962,'categories-old'!B:H,7,FALSE)</f>
        <v>www.americanretailsupply.com\65181\561796\Literature-Racks\48-Pocket--Spinner.html</v>
      </c>
    </row>
    <row r="963" spans="1:4" hidden="1" x14ac:dyDescent="0.25">
      <c r="A963" t="str">
        <f>IF(LEN('categories-old'!G963) &gt; 0, "INSERT INTO `catalog_category_entity_varchar` (attribute_id,store_id,entity_id,value) VALUES (48,0,"&amp;'categories-old'!B963&amp;",'"&amp;RIGHT('categories-old'!G963,LEN('categories-old'!G963)-1)&amp;"');","")</f>
        <v>INSERT INTO `catalog_category_entity_varchar` (attribute_id,store_id,entity_id,value) VALUES (48,0,872,'img2/img2370.jpg');</v>
      </c>
      <c r="B963" t="str">
        <f>IF(LEN(categories!G963) &gt; 0, "INSERT INTO `catalog_category_entity_varchar` (attribute_id,store_id,entity_id,value) VALUES (48,0,"&amp;categories!B963&amp;",'"&amp;RIGHT(categories!G963,LEN(categories!G963)-1)&amp;"');","")</f>
        <v>INSERT INTO `catalog_category_entity_varchar` (attribute_id,store_id,entity_id,value) VALUES (48,0,873,'img1/img3d78.jpg');</v>
      </c>
      <c r="C963" t="str">
        <f>VLOOKUP(categories!B963,'categories-old'!B:G,6,FALSE)</f>
        <v>/img1/img3d78.jpg</v>
      </c>
      <c r="D963" t="str">
        <f>VLOOKUP(categories!B963,'categories-old'!B:H,7,FALSE)</f>
        <v>www.americanretailsupply.com\65181\734986\Literature-Racks\Black-20-Pocket-Magazine-Merchandiser.html</v>
      </c>
    </row>
    <row r="964" spans="1:4" hidden="1" x14ac:dyDescent="0.25">
      <c r="A964" t="str">
        <f>IF(LEN('categories-old'!G964) &gt; 0, "INSERT INTO `catalog_category_entity_varchar` (attribute_id,store_id,entity_id,value) VALUES (48,0,"&amp;'categories-old'!B964&amp;",'"&amp;RIGHT('categories-old'!G964,LEN('categories-old'!G964)-1)&amp;"');","")</f>
        <v>INSERT INTO `catalog_category_entity_varchar` (attribute_id,store_id,entity_id,value) VALUES (48,0,873,'img1/img3d78.jpg');</v>
      </c>
      <c r="B964" t="str">
        <f>IF(LEN(categories!G964) &gt; 0, "INSERT INTO `catalog_category_entity_varchar` (attribute_id,store_id,entity_id,value) VALUES (48,0,"&amp;categories!B964&amp;",'"&amp;RIGHT(categories!G964,LEN(categories!G964)-1)&amp;"');","")</f>
        <v>INSERT INTO `catalog_category_entity_varchar` (attribute_id,store_id,entity_id,value) VALUES (48,0,875,'img1/imgb305.jpg');</v>
      </c>
      <c r="C964" t="str">
        <f>VLOOKUP(categories!B964,'categories-old'!B:G,6,FALSE)</f>
        <v>/img1/imgb305.jpg</v>
      </c>
      <c r="D964" t="str">
        <f>VLOOKUP(categories!B964,'categories-old'!B:H,7,FALSE)</f>
        <v>www.americanretailsupply.com\65073\20299\Low-Density-Plastic-Bags\Super-Gloss-Plastic-Merchandise-Bags.html</v>
      </c>
    </row>
    <row r="965" spans="1:4" hidden="1" x14ac:dyDescent="0.25">
      <c r="A965" t="str">
        <f>IF(LEN('categories-old'!G965) &gt; 0, "INSERT INTO `catalog_category_entity_varchar` (attribute_id,store_id,entity_id,value) VALUES (48,0,"&amp;'categories-old'!B965&amp;",'"&amp;RIGHT('categories-old'!G965,LEN('categories-old'!G965)-1)&amp;"');","")</f>
        <v>INSERT INTO `catalog_category_entity_varchar` (attribute_id,store_id,entity_id,value) VALUES (48,0,875,'img1/imgb305.jpg');</v>
      </c>
      <c r="B965" t="str">
        <f>IF(LEN(categories!G965) &gt; 0, "INSERT INTO `catalog_category_entity_varchar` (attribute_id,store_id,entity_id,value) VALUES (48,0,"&amp;categories!B965&amp;",'"&amp;RIGHT(categories!G965,LEN(categories!G965)-1)&amp;"');","")</f>
        <v>INSERT INTO `catalog_category_entity_varchar` (attribute_id,store_id,entity_id,value) VALUES (48,0,876,'img2/imgda28.jpg');</v>
      </c>
      <c r="C965" t="str">
        <f>VLOOKUP(categories!B965,'categories-old'!B:G,6,FALSE)</f>
        <v>/img2/imgda28.jpg</v>
      </c>
      <c r="D965" t="str">
        <f>VLOOKUP(categories!B965,'categories-old'!B:H,7,FALSE)</f>
        <v>www.americanretailsupply.com\65073\744108\Low-Density-Plastic-Bags\Heavy-Duty-Reusable-T-Shirt-Bags.html</v>
      </c>
    </row>
    <row r="966" spans="1:4" hidden="1" x14ac:dyDescent="0.25">
      <c r="A966" t="str">
        <f>IF(LEN('categories-old'!G966) &gt; 0, "INSERT INTO `catalog_category_entity_varchar` (attribute_id,store_id,entity_id,value) VALUES (48,0,"&amp;'categories-old'!B966&amp;",'"&amp;RIGHT('categories-old'!G966,LEN('categories-old'!G966)-1)&amp;"');","")</f>
        <v>INSERT INTO `catalog_category_entity_varchar` (attribute_id,store_id,entity_id,value) VALUES (48,0,876,'img2/imgda28.jpg');</v>
      </c>
      <c r="B966" t="str">
        <f>IF(LEN(categories!G966) &gt; 0, "INSERT INTO `catalog_category_entity_varchar` (attribute_id,store_id,entity_id,value) VALUES (48,0,"&amp;categories!B966&amp;",'"&amp;RIGHT(categories!G966,LEN(categories!G966)-1)&amp;"');","")</f>
        <v>INSERT INTO `catalog_category_entity_varchar` (attribute_id,store_id,entity_id,value) VALUES (48,0,879,'img1/img9425.jpg');</v>
      </c>
      <c r="C966" t="str">
        <f>VLOOKUP(categories!B966,'categories-old'!B:G,6,FALSE)</f>
        <v>/img1/img9425.jpg</v>
      </c>
      <c r="D966" t="str">
        <f>VLOOKUP(categories!B966,'categories-old'!B:H,7,FALSE)</f>
        <v>www.americanretailsupply.com\64816\1909\Melamine--Bullnose-Shelves\Melamine-Shelving.html</v>
      </c>
    </row>
    <row r="967" spans="1:4" hidden="1" x14ac:dyDescent="0.25">
      <c r="A967" t="str">
        <f>IF(LEN('categories-old'!G967) &gt; 0, "INSERT INTO `catalog_category_entity_varchar` (attribute_id,store_id,entity_id,value) VALUES (48,0,"&amp;'categories-old'!B967&amp;",'"&amp;RIGHT('categories-old'!G967,LEN('categories-old'!G967)-1)&amp;"');","")</f>
        <v>INSERT INTO `catalog_category_entity_varchar` (attribute_id,store_id,entity_id,value) VALUES (48,0,879,'img1/img9425.jpg');</v>
      </c>
      <c r="B967" t="str">
        <f>IF(LEN(categories!G967) &gt; 0, "INSERT INTO `catalog_category_entity_varchar` (attribute_id,store_id,entity_id,value) VALUES (48,0,"&amp;categories!B967&amp;",'"&amp;RIGHT(categories!G967,LEN(categories!G967)-1)&amp;"');","")</f>
        <v>INSERT INTO `catalog_category_entity_varchar` (attribute_id,store_id,entity_id,value) VALUES (48,0,880,'img1/imgb9ae.jpg');</v>
      </c>
      <c r="C967" t="str">
        <f>VLOOKUP(categories!B967,'categories-old'!B:G,6,FALSE)</f>
        <v>/img1/imgb9ae.jpg</v>
      </c>
      <c r="D967" t="str">
        <f>VLOOKUP(categories!B967,'categories-old'!B:H,7,FALSE)</f>
        <v>www.americanretailsupply.com\64816\1910\Melamine--Bullnose-Shelves\Bull-Nose-Shelving-in-Solid-Colors.html</v>
      </c>
    </row>
    <row r="968" spans="1:4" hidden="1" x14ac:dyDescent="0.25">
      <c r="A968" t="str">
        <f>IF(LEN('categories-old'!G968) &gt; 0, "INSERT INTO `catalog_category_entity_varchar` (attribute_id,store_id,entity_id,value) VALUES (48,0,"&amp;'categories-old'!B968&amp;",'"&amp;RIGHT('categories-old'!G968,LEN('categories-old'!G968)-1)&amp;"');","")</f>
        <v>INSERT INTO `catalog_category_entity_varchar` (attribute_id,store_id,entity_id,value) VALUES (48,0,880,'img1/imgb9ae.jpg');</v>
      </c>
      <c r="B968" t="str">
        <f>IF(LEN(categories!G968) &gt; 0, "INSERT INTO `catalog_category_entity_varchar` (attribute_id,store_id,entity_id,value) VALUES (48,0,"&amp;categories!B968&amp;",'"&amp;RIGHT(categories!G968,LEN(categories!G968)-1)&amp;"');","")</f>
        <v>INSERT INTO `catalog_category_entity_varchar` (attribute_id,store_id,entity_id,value) VALUES (48,0,881,'img3/img1ff3.jpg');</v>
      </c>
      <c r="C968" t="str">
        <f>VLOOKUP(categories!B968,'categories-old'!B:G,6,FALSE)</f>
        <v>/img3/img1ff3.jpg</v>
      </c>
      <c r="D968" t="str">
        <f>VLOOKUP(categories!B968,'categories-old'!B:H,7,FALSE)</f>
        <v>www.americanretailsupply.com\64816\231709\Melamine--Bullnose-Shelves\Bull-Nose-Shelving----Wood-Grain.html</v>
      </c>
    </row>
    <row r="969" spans="1:4" hidden="1" x14ac:dyDescent="0.25">
      <c r="A969" t="str">
        <f>IF(LEN('categories-old'!G969) &gt; 0, "INSERT INTO `catalog_category_entity_varchar` (attribute_id,store_id,entity_id,value) VALUES (48,0,"&amp;'categories-old'!B969&amp;",'"&amp;RIGHT('categories-old'!G969,LEN('categories-old'!G969)-1)&amp;"');","")</f>
        <v>INSERT INTO `catalog_category_entity_varchar` (attribute_id,store_id,entity_id,value) VALUES (48,0,881,'img3/img1ff3.jpg');</v>
      </c>
      <c r="B969" t="str">
        <f>IF(LEN(categories!G969) &gt; 0, "INSERT INTO `catalog_category_entity_varchar` (attribute_id,store_id,entity_id,value) VALUES (48,0,"&amp;categories!B969&amp;",'"&amp;RIGHT(categories!G969,LEN(categories!G969)-1)&amp;"');","")</f>
        <v>INSERT INTO `catalog_category_entity_varchar` (attribute_id,store_id,entity_id,value) VALUES (48,0,883,'img1/imga7c9.jpg');</v>
      </c>
      <c r="C969" t="str">
        <f>VLOOKUP(categories!B969,'categories-old'!B:G,6,FALSE)</f>
        <v>/img1/imga7c9.jpg</v>
      </c>
      <c r="D969" t="str">
        <f>VLOOKUP(categories!B969,'categories-old'!B:H,7,FALSE)</f>
        <v>www.americanretailsupply.com\65208\563391\Melamine-Bases-for-Glass-Displays\Oval-Glass-Cube-Display-Base.html</v>
      </c>
    </row>
    <row r="970" spans="1:4" hidden="1" x14ac:dyDescent="0.25">
      <c r="A970" t="str">
        <f>IF(LEN('categories-old'!G970) &gt; 0, "INSERT INTO `catalog_category_entity_varchar` (attribute_id,store_id,entity_id,value) VALUES (48,0,"&amp;'categories-old'!B970&amp;",'"&amp;RIGHT('categories-old'!G970,LEN('categories-old'!G970)-1)&amp;"');","")</f>
        <v>INSERT INTO `catalog_category_entity_varchar` (attribute_id,store_id,entity_id,value) VALUES (48,0,883,'img1/imga7c9.jpg');</v>
      </c>
      <c r="B970" t="str">
        <f>IF(LEN(categories!G970) &gt; 0, "INSERT INTO `catalog_category_entity_varchar` (attribute_id,store_id,entity_id,value) VALUES (48,0,"&amp;categories!B970&amp;",'"&amp;RIGHT(categories!G970,LEN(categories!G970)-1)&amp;"');","")</f>
        <v>INSERT INTO `catalog_category_entity_varchar` (attribute_id,store_id,entity_id,value) VALUES (48,0,885,'img2/img08b3.jpg');</v>
      </c>
      <c r="C970" t="str">
        <f>VLOOKUP(categories!B970,'categories-old'!B:G,6,FALSE)</f>
        <v>/img2/img08b3.jpg</v>
      </c>
      <c r="D970" t="str">
        <f>VLOOKUP(categories!B970,'categories-old'!B:H,7,FALSE)</f>
        <v>www.americanretailsupply.com\64864\2074\Merchandising-Aids\Merchandise-Strips.html</v>
      </c>
    </row>
    <row r="971" spans="1:4" hidden="1" x14ac:dyDescent="0.25">
      <c r="A971" t="str">
        <f>IF(LEN('categories-old'!G971) &gt; 0, "INSERT INTO `catalog_category_entity_varchar` (attribute_id,store_id,entity_id,value) VALUES (48,0,"&amp;'categories-old'!B971&amp;",'"&amp;RIGHT('categories-old'!G971,LEN('categories-old'!G971)-1)&amp;"');","")</f>
        <v>INSERT INTO `catalog_category_entity_varchar` (attribute_id,store_id,entity_id,value) VALUES (48,0,885,'img2/img08b3.jpg');</v>
      </c>
      <c r="B971" t="str">
        <f>IF(LEN(categories!G971) &gt; 0, "INSERT INTO `catalog_category_entity_varchar` (attribute_id,store_id,entity_id,value) VALUES (48,0,"&amp;categories!B971&amp;",'"&amp;RIGHT(categories!G971,LEN(categories!G971)-1)&amp;"');","")</f>
        <v>INSERT INTO `catalog_category_entity_varchar` (attribute_id,store_id,entity_id,value) VALUES (48,0,886,'img1/img72d2.jpg');</v>
      </c>
      <c r="C971" t="str">
        <f>VLOOKUP(categories!B971,'categories-old'!B:G,6,FALSE)</f>
        <v>/img1/img72d2.jpg</v>
      </c>
      <c r="D971" t="str">
        <f>VLOOKUP(categories!B971,'categories-old'!B:H,7,FALSE)</f>
        <v>www.americanretailsupply.com\64864\12523\Merchandising-Aids\Front-Runners.html</v>
      </c>
    </row>
    <row r="972" spans="1:4" hidden="1" x14ac:dyDescent="0.25">
      <c r="A972" t="str">
        <f>IF(LEN('categories-old'!G972) &gt; 0, "INSERT INTO `catalog_category_entity_varchar` (attribute_id,store_id,entity_id,value) VALUES (48,0,"&amp;'categories-old'!B972&amp;",'"&amp;RIGHT('categories-old'!G972,LEN('categories-old'!G972)-1)&amp;"');","")</f>
        <v>INSERT INTO `catalog_category_entity_varchar` (attribute_id,store_id,entity_id,value) VALUES (48,0,886,'img1/img72d2.jpg');</v>
      </c>
      <c r="B972" t="str">
        <f>IF(LEN(categories!G972) &gt; 0, "INSERT INTO `catalog_category_entity_varchar` (attribute_id,store_id,entity_id,value) VALUES (48,0,"&amp;categories!B972&amp;",'"&amp;RIGHT(categories!G972,LEN(categories!G972)-1)&amp;"');","")</f>
        <v>INSERT INTO `catalog_category_entity_varchar` (attribute_id,store_id,entity_id,value) VALUES (48,0,887,'img2/img0541.jpg');</v>
      </c>
      <c r="C972" t="str">
        <f>VLOOKUP(categories!B972,'categories-old'!B:G,6,FALSE)</f>
        <v>/img2/img0541.jpg</v>
      </c>
      <c r="D972" t="str">
        <f>VLOOKUP(categories!B972,'categories-old'!B:H,7,FALSE)</f>
        <v>www.americanretailsupply.com\64864\12524\Merchandising-Aids\Adhesive-Hang-Tags.html</v>
      </c>
    </row>
    <row r="973" spans="1:4" hidden="1" x14ac:dyDescent="0.25">
      <c r="A973" t="str">
        <f>IF(LEN('categories-old'!G973) &gt; 0, "INSERT INTO `catalog_category_entity_varchar` (attribute_id,store_id,entity_id,value) VALUES (48,0,"&amp;'categories-old'!B973&amp;",'"&amp;RIGHT('categories-old'!G973,LEN('categories-old'!G973)-1)&amp;"');","")</f>
        <v>INSERT INTO `catalog_category_entity_varchar` (attribute_id,store_id,entity_id,value) VALUES (48,0,887,'img2/img0541.jpg');</v>
      </c>
      <c r="B973" t="str">
        <f>IF(LEN(categories!G973) &gt; 0, "INSERT INTO `catalog_category_entity_varchar` (attribute_id,store_id,entity_id,value) VALUES (48,0,"&amp;categories!B973&amp;",'"&amp;RIGHT(categories!G973,LEN(categories!G973)-1)&amp;"');","")</f>
        <v>INSERT INTO `catalog_category_entity_varchar` (attribute_id,store_id,entity_id,value) VALUES (48,0,888,'img3/img462b.jpg');</v>
      </c>
      <c r="C973" t="str">
        <f>VLOOKUP(categories!B973,'categories-old'!B:G,6,FALSE)</f>
        <v>/img3/img462b.jpg</v>
      </c>
      <c r="D973" t="str">
        <f>VLOOKUP(categories!B973,'categories-old'!B:H,7,FALSE)</f>
        <v>www.americanretailsupply.com\64864\12526\Merchandising-Aids\Adhesive-Label-Release.html</v>
      </c>
    </row>
    <row r="974" spans="1:4" hidden="1" x14ac:dyDescent="0.25">
      <c r="A974" t="str">
        <f>IF(LEN('categories-old'!G974) &gt; 0, "INSERT INTO `catalog_category_entity_varchar` (attribute_id,store_id,entity_id,value) VALUES (48,0,"&amp;'categories-old'!B974&amp;",'"&amp;RIGHT('categories-old'!G974,LEN('categories-old'!G974)-1)&amp;"');","")</f>
        <v>INSERT INTO `catalog_category_entity_varchar` (attribute_id,store_id,entity_id,value) VALUES (48,0,888,'img3/img462b.jpg');</v>
      </c>
      <c r="B974" t="str">
        <f>IF(LEN(categories!G974) &gt; 0, "INSERT INTO `catalog_category_entity_varchar` (attribute_id,store_id,entity_id,value) VALUES (48,0,"&amp;categories!B974&amp;",'"&amp;RIGHT(categories!G974,LEN(categories!G974)-1)&amp;"');","")</f>
        <v>INSERT INTO `catalog_category_entity_varchar` (attribute_id,store_id,entity_id,value) VALUES (48,0,889,'img1/imgd19b.jpg');</v>
      </c>
      <c r="C974" t="str">
        <f>VLOOKUP(categories!B974,'categories-old'!B:G,6,FALSE)</f>
        <v>/img1/imgd19b.jpg</v>
      </c>
      <c r="D974" t="str">
        <f>VLOOKUP(categories!B974,'categories-old'!B:H,7,FALSE)</f>
        <v>www.americanretailsupply.com\64864\12527\Merchandising-Aids\Price-Channel-Molding.html</v>
      </c>
    </row>
    <row r="975" spans="1:4" hidden="1" x14ac:dyDescent="0.25">
      <c r="A975" t="str">
        <f>IF(LEN('categories-old'!G975) &gt; 0, "INSERT INTO `catalog_category_entity_varchar` (attribute_id,store_id,entity_id,value) VALUES (48,0,"&amp;'categories-old'!B975&amp;",'"&amp;RIGHT('categories-old'!G975,LEN('categories-old'!G975)-1)&amp;"');","")</f>
        <v>INSERT INTO `catalog_category_entity_varchar` (attribute_id,store_id,entity_id,value) VALUES (48,0,889,'img1/imgd19b.jpg');</v>
      </c>
      <c r="B975" t="str">
        <f>IF(LEN(categories!G975) &gt; 0, "INSERT INTO `catalog_category_entity_varchar` (attribute_id,store_id,entity_id,value) VALUES (48,0,"&amp;categories!B975&amp;",'"&amp;RIGHT(categories!G975,LEN(categories!G975)-1)&amp;"');","")</f>
        <v>INSERT INTO `catalog_category_entity_varchar` (attribute_id,store_id,entity_id,value) VALUES (48,0,890,'img1/img3ae1.jpg');</v>
      </c>
      <c r="C975" t="str">
        <f>VLOOKUP(categories!B975,'categories-old'!B:G,6,FALSE)</f>
        <v>/img1/img3ae1.jpg</v>
      </c>
      <c r="D975" t="str">
        <f>VLOOKUP(categories!B975,'categories-old'!B:H,7,FALSE)</f>
        <v>www.americanretailsupply.com\64864\48280\Merchandising-Aids\Junior-Flip-Up-Ostrich-Feather-Duster-Retractable.html</v>
      </c>
    </row>
    <row r="976" spans="1:4" hidden="1" x14ac:dyDescent="0.25">
      <c r="A976" t="str">
        <f>IF(LEN('categories-old'!G976) &gt; 0, "INSERT INTO `catalog_category_entity_varchar` (attribute_id,store_id,entity_id,value) VALUES (48,0,"&amp;'categories-old'!B976&amp;",'"&amp;RIGHT('categories-old'!G976,LEN('categories-old'!G976)-1)&amp;"');","")</f>
        <v>INSERT INTO `catalog_category_entity_varchar` (attribute_id,store_id,entity_id,value) VALUES (48,0,890,'img1/img3ae1.jpg');</v>
      </c>
      <c r="B976" t="str">
        <f>IF(LEN(categories!G976) &gt; 0, "INSERT INTO `catalog_category_entity_varchar` (attribute_id,store_id,entity_id,value) VALUES (48,0,"&amp;categories!B976&amp;",'"&amp;RIGHT(categories!G976,LEN(categories!G976)-1)&amp;"');","")</f>
        <v>INSERT INTO `catalog_category_entity_varchar` (attribute_id,store_id,entity_id,value) VALUES (48,0,891,'img1/img072c.jpg');</v>
      </c>
      <c r="C976" t="str">
        <f>VLOOKUP(categories!B976,'categories-old'!B:G,6,FALSE)</f>
        <v>/img1/img072c.jpg</v>
      </c>
      <c r="D976" t="str">
        <f>VLOOKUP(categories!B976,'categories-old'!B:H,7,FALSE)</f>
        <v>www.americanretailsupply.com\64864\173487\Merchandising-Aids\Label--Sign-Holders.html</v>
      </c>
    </row>
    <row r="977" spans="1:4" hidden="1" x14ac:dyDescent="0.25">
      <c r="A977" t="str">
        <f>IF(LEN('categories-old'!G977) &gt; 0, "INSERT INTO `catalog_category_entity_varchar` (attribute_id,store_id,entity_id,value) VALUES (48,0,"&amp;'categories-old'!B977&amp;",'"&amp;RIGHT('categories-old'!G977,LEN('categories-old'!G977)-1)&amp;"');","")</f>
        <v>INSERT INTO `catalog_category_entity_varchar` (attribute_id,store_id,entity_id,value) VALUES (48,0,891,'img1/img072c.jpg');</v>
      </c>
      <c r="B977" t="str">
        <f>IF(LEN(categories!G977) &gt; 0, "INSERT INTO `catalog_category_entity_varchar` (attribute_id,store_id,entity_id,value) VALUES (48,0,"&amp;categories!B977&amp;",'"&amp;RIGHT(categories!G977,LEN(categories!G977)-1)&amp;"');","")</f>
        <v>INSERT INTO `catalog_category_entity_varchar` (attribute_id,store_id,entity_id,value) VALUES (48,0,892,'img2/img7c4a.jpg');</v>
      </c>
      <c r="C977" t="str">
        <f>VLOOKUP(categories!B977,'categories-old'!B:G,6,FALSE)</f>
        <v>/img2/img7c4a.jpg</v>
      </c>
      <c r="D977" t="str">
        <f>VLOOKUP(categories!B977,'categories-old'!B:H,7,FALSE)</f>
        <v>www.americanretailsupply.com\64864\173488\Merchandising-Aids\Chain-Kits.html</v>
      </c>
    </row>
    <row r="978" spans="1:4" hidden="1" x14ac:dyDescent="0.25">
      <c r="A978" t="str">
        <f>IF(LEN('categories-old'!G978) &gt; 0, "INSERT INTO `catalog_category_entity_varchar` (attribute_id,store_id,entity_id,value) VALUES (48,0,"&amp;'categories-old'!B978&amp;",'"&amp;RIGHT('categories-old'!G978,LEN('categories-old'!G978)-1)&amp;"');","")</f>
        <v>INSERT INTO `catalog_category_entity_varchar` (attribute_id,store_id,entity_id,value) VALUES (48,0,892,'img2/img7c4a.jpg');</v>
      </c>
      <c r="B978" t="str">
        <f>IF(LEN(categories!G978) &gt; 0, "INSERT INTO `catalog_category_entity_varchar` (attribute_id,store_id,entity_id,value) VALUES (48,0,"&amp;categories!B978&amp;",'"&amp;RIGHT(categories!G978,LEN(categories!G978)-1)&amp;"');","")</f>
        <v>INSERT INTO `catalog_category_entity_varchar` (attribute_id,store_id,entity_id,value) VALUES (48,0,893,'img3/img60c1.jpg');</v>
      </c>
      <c r="C978" t="str">
        <f>VLOOKUP(categories!B978,'categories-old'!B:G,6,FALSE)</f>
        <v>/img3/img60c1.jpg</v>
      </c>
      <c r="D978" t="str">
        <f>VLOOKUP(categories!B978,'categories-old'!B:H,7,FALSE)</f>
        <v>www.americanretailsupply.com\17769\173489\Merchandising-Aids\Hooks-and-Clips.html</v>
      </c>
    </row>
    <row r="979" spans="1:4" hidden="1" x14ac:dyDescent="0.25">
      <c r="A979" t="str">
        <f>IF(LEN('categories-old'!G979) &gt; 0, "INSERT INTO `catalog_category_entity_varchar` (attribute_id,store_id,entity_id,value) VALUES (48,0,"&amp;'categories-old'!B979&amp;",'"&amp;RIGHT('categories-old'!G979,LEN('categories-old'!G979)-1)&amp;"');","")</f>
        <v>INSERT INTO `catalog_category_entity_varchar` (attribute_id,store_id,entity_id,value) VALUES (48,0,893,'img3/img60c1.jpg');</v>
      </c>
      <c r="B979" t="str">
        <f>IF(LEN(categories!G979) &gt; 0, "INSERT INTO `catalog_category_entity_varchar` (attribute_id,store_id,entity_id,value) VALUES (48,0,"&amp;categories!B979&amp;",'"&amp;RIGHT(categories!G979,LEN(categories!G979)-1)&amp;"');","")</f>
        <v>INSERT INTO `catalog_category_entity_varchar` (attribute_id,store_id,entity_id,value) VALUES (48,0,894,'img3/imgd78f.jpg');</v>
      </c>
      <c r="C979" t="str">
        <f>VLOOKUP(categories!B979,'categories-old'!B:G,6,FALSE)</f>
        <v>/img3/imgd78f.jpg</v>
      </c>
      <c r="D979" t="str">
        <f>VLOOKUP(categories!B979,'categories-old'!B:H,7,FALSE)</f>
        <v>www.americanretailsupply.com\64864\228911\Merchandising-Aids\SKU-Divider-Strips.html</v>
      </c>
    </row>
    <row r="980" spans="1:4" hidden="1" x14ac:dyDescent="0.25">
      <c r="A980" t="str">
        <f>IF(LEN('categories-old'!G980) &gt; 0, "INSERT INTO `catalog_category_entity_varchar` (attribute_id,store_id,entity_id,value) VALUES (48,0,"&amp;'categories-old'!B980&amp;",'"&amp;RIGHT('categories-old'!G980,LEN('categories-old'!G980)-1)&amp;"');","")</f>
        <v>INSERT INTO `catalog_category_entity_varchar` (attribute_id,store_id,entity_id,value) VALUES (48,0,894,'img3/imgd78f.jpg');</v>
      </c>
      <c r="B980" t="str">
        <f>IF(LEN(categories!G980) &gt; 0, "INSERT INTO `catalog_category_entity_varchar` (attribute_id,store_id,entity_id,value) VALUES (48,0,"&amp;categories!B980&amp;",'"&amp;RIGHT(categories!G980,LEN(categories!G980)-1)&amp;"');","")</f>
        <v>INSERT INTO `catalog_category_entity_varchar` (attribute_id,store_id,entity_id,value) VALUES (48,0,896,'img2/imgda09.jpg');</v>
      </c>
      <c r="C980" t="str">
        <f>VLOOKUP(categories!B980,'categories-old'!B:G,6,FALSE)</f>
        <v>/img2/imgda09.jpg</v>
      </c>
      <c r="D980" t="str">
        <f>VLOOKUP(categories!B980,'categories-old'!B:H,7,FALSE)</f>
        <v>www.americanretailsupply.com\64864\777693\Merchandising-Aids\Clear-Bumper-Buttons.html</v>
      </c>
    </row>
    <row r="981" spans="1:4" hidden="1" x14ac:dyDescent="0.25">
      <c r="A981" t="str">
        <f>IF(LEN('categories-old'!G981) &gt; 0, "INSERT INTO `catalog_category_entity_varchar` (attribute_id,store_id,entity_id,value) VALUES (48,0,"&amp;'categories-old'!B981&amp;",'"&amp;RIGHT('categories-old'!G981,LEN('categories-old'!G981)-1)&amp;"');","")</f>
        <v>INSERT INTO `catalog_category_entity_varchar` (attribute_id,store_id,entity_id,value) VALUES (48,0,895,'img2/img68c2.jpg');</v>
      </c>
      <c r="B981" t="str">
        <f>IF(LEN(categories!G981) &gt; 0, "INSERT INTO `catalog_category_entity_varchar` (attribute_id,store_id,entity_id,value) VALUES (48,0,"&amp;categories!B981&amp;",'"&amp;RIGHT(categories!G981,LEN(categories!G981)-1)&amp;"');","")</f>
        <v>INSERT INTO `catalog_category_entity_varchar` (attribute_id,store_id,entity_id,value) VALUES (48,0,898,'img1/img6c20.jpg');</v>
      </c>
      <c r="C981" t="str">
        <f>VLOOKUP(categories!B981,'categories-old'!B:G,6,FALSE)</f>
        <v>/img1/img6c20.jpg</v>
      </c>
      <c r="D981" t="str">
        <f>VLOOKUP(categories!B981,'categories-old'!B:H,7,FALSE)</f>
        <v>www.americanretailsupply.com\64959\37837\Merchandising-Bars\12-x-1-12-Rectangle-Merchandise-Bars.html</v>
      </c>
    </row>
    <row r="982" spans="1:4" hidden="1" x14ac:dyDescent="0.25">
      <c r="A982" t="str">
        <f>IF(LEN('categories-old'!G982) &gt; 0, "INSERT INTO `catalog_category_entity_varchar` (attribute_id,store_id,entity_id,value) VALUES (48,0,"&amp;'categories-old'!B982&amp;",'"&amp;RIGHT('categories-old'!G982,LEN('categories-old'!G982)-1)&amp;"');","")</f>
        <v>INSERT INTO `catalog_category_entity_varchar` (attribute_id,store_id,entity_id,value) VALUES (48,0,896,'img2/imgda09.jpg');</v>
      </c>
      <c r="B982" t="str">
        <f>IF(LEN(categories!G982) &gt; 0, "INSERT INTO `catalog_category_entity_varchar` (attribute_id,store_id,entity_id,value) VALUES (48,0,"&amp;categories!B982&amp;",'"&amp;RIGHT(categories!G982,LEN(categories!G982)-1)&amp;"');","")</f>
        <v>INSERT INTO `catalog_category_entity_varchar` (attribute_id,store_id,entity_id,value) VALUES (48,0,899,'img2/img3b62.jpg');</v>
      </c>
      <c r="C982" t="str">
        <f>VLOOKUP(categories!B982,'categories-old'!B:G,6,FALSE)</f>
        <v>/img2/img3b62.jpg</v>
      </c>
      <c r="D982" t="str">
        <f>VLOOKUP(categories!B982,'categories-old'!B:H,7,FALSE)</f>
        <v>www.americanretailsupply.com\64959\37839\Merchandising-Bars\Merchandise-Bar-Accessories.html</v>
      </c>
    </row>
    <row r="983" spans="1:4" hidden="1" x14ac:dyDescent="0.25">
      <c r="A983" t="str">
        <f>IF(LEN('categories-old'!G983) &gt; 0, "INSERT INTO `catalog_category_entity_varchar` (attribute_id,store_id,entity_id,value) VALUES (48,0,"&amp;'categories-old'!B983&amp;",'"&amp;RIGHT('categories-old'!G983,LEN('categories-old'!G983)-1)&amp;"');","")</f>
        <v>INSERT INTO `catalog_category_entity_varchar` (attribute_id,store_id,entity_id,value) VALUES (48,0,898,'img1/img6c20.jpg');</v>
      </c>
      <c r="B983" t="str">
        <f>IF(LEN(categories!G983) &gt; 0, "INSERT INTO `catalog_category_entity_varchar` (attribute_id,store_id,entity_id,value) VALUES (48,0,"&amp;categories!B983&amp;",'"&amp;RIGHT(categories!G983,LEN(categories!G983)-1)&amp;"');","")</f>
        <v>INSERT INTO `catalog_category_entity_varchar` (attribute_id,store_id,entity_id,value) VALUES (48,0,901,'img2/imge54a.jpg');</v>
      </c>
      <c r="C983" t="str">
        <f>VLOOKUP(categories!B983,'categories-old'!B:G,6,FALSE)</f>
        <v>/img2/imge54a.jpg</v>
      </c>
      <c r="D983" t="str">
        <f>VLOOKUP(categories!B983,'categories-old'!B:H,7,FALSE)</f>
        <v>www.americanretailsupply.com\64739\19682\Metallic-Bows--Ribbon\Glitter-Star-Bows.html</v>
      </c>
    </row>
    <row r="984" spans="1:4" hidden="1" x14ac:dyDescent="0.25">
      <c r="A984" t="str">
        <f>IF(LEN('categories-old'!G984) &gt; 0, "INSERT INTO `catalog_category_entity_varchar` (attribute_id,store_id,entity_id,value) VALUES (48,0,"&amp;'categories-old'!B984&amp;",'"&amp;RIGHT('categories-old'!G984,LEN('categories-old'!G984)-1)&amp;"');","")</f>
        <v>INSERT INTO `catalog_category_entity_varchar` (attribute_id,store_id,entity_id,value) VALUES (48,0,899,'img2/img3b62.jpg');</v>
      </c>
      <c r="B984" t="str">
        <f>IF(LEN(categories!G984) &gt; 0, "INSERT INTO `catalog_category_entity_varchar` (attribute_id,store_id,entity_id,value) VALUES (48,0,"&amp;categories!B984&amp;",'"&amp;RIGHT(categories!G984,LEN(categories!G984)-1)&amp;"');","")</f>
        <v>INSERT INTO `catalog_category_entity_varchar` (attribute_id,store_id,entity_id,value) VALUES (48,0,902,'img2/img34df.jpg');</v>
      </c>
      <c r="C984" t="str">
        <f>VLOOKUP(categories!B984,'categories-old'!B:G,6,FALSE)</f>
        <v>/img2/img34df.jpg</v>
      </c>
      <c r="D984" t="str">
        <f>VLOOKUP(categories!B984,'categories-old'!B:H,7,FALSE)</f>
        <v>www.americanretailsupply.com\64739\19864\Metallic-Bows--Ribbon\Glitter-Ribbon.html</v>
      </c>
    </row>
    <row r="985" spans="1:4" hidden="1" x14ac:dyDescent="0.25">
      <c r="A985" t="str">
        <f>IF(LEN('categories-old'!G985) &gt; 0, "INSERT INTO `catalog_category_entity_varchar` (attribute_id,store_id,entity_id,value) VALUES (48,0,"&amp;'categories-old'!B985&amp;",'"&amp;RIGHT('categories-old'!G985,LEN('categories-old'!G985)-1)&amp;"');","")</f>
        <v>INSERT INTO `catalog_category_entity_varchar` (attribute_id,store_id,entity_id,value) VALUES (48,0,901,'img2/imge54a.jpg');</v>
      </c>
      <c r="B985" t="str">
        <f>IF(LEN(categories!G985) &gt; 0, "INSERT INTO `catalog_category_entity_varchar` (attribute_id,store_id,entity_id,value) VALUES (48,0,"&amp;categories!B985&amp;",'"&amp;RIGHT(categories!G985,LEN(categories!G985)-1)&amp;"');","")</f>
        <v>INSERT INTO `catalog_category_entity_varchar` (attribute_id,store_id,entity_id,value) VALUES (48,0,903,'img3/img5ca8.jpg');</v>
      </c>
      <c r="C985" t="str">
        <f>VLOOKUP(categories!B985,'categories-old'!B:G,6,FALSE)</f>
        <v>/img3/img5ca8.jpg</v>
      </c>
      <c r="D985" t="str">
        <f>VLOOKUP(categories!B985,'categories-old'!B:H,7,FALSE)</f>
        <v>www.americanretailsupply.com\64739\19923\Metallic-Bows--Ribbon\Glitter-Perfect-Bows.html</v>
      </c>
    </row>
    <row r="986" spans="1:4" hidden="1" x14ac:dyDescent="0.25">
      <c r="A986" t="str">
        <f>IF(LEN('categories-old'!G986) &gt; 0, "INSERT INTO `catalog_category_entity_varchar` (attribute_id,store_id,entity_id,value) VALUES (48,0,"&amp;'categories-old'!B986&amp;",'"&amp;RIGHT('categories-old'!G986,LEN('categories-old'!G986)-1)&amp;"');","")</f>
        <v>INSERT INTO `catalog_category_entity_varchar` (attribute_id,store_id,entity_id,value) VALUES (48,0,902,'img2/img34df.jpg');</v>
      </c>
      <c r="B986" t="str">
        <f>IF(LEN(categories!G986) &gt; 0, "INSERT INTO `catalog_category_entity_varchar` (attribute_id,store_id,entity_id,value) VALUES (48,0,"&amp;categories!B986&amp;",'"&amp;RIGHT(categories!G986,LEN(categories!G986)-1)&amp;"');","")</f>
        <v>INSERT INTO `catalog_category_entity_varchar` (attribute_id,store_id,entity_id,value) VALUES (48,0,904,'img1/imgb8a7.jpg');</v>
      </c>
      <c r="C986" t="str">
        <f>VLOOKUP(categories!B986,'categories-old'!B:G,6,FALSE)</f>
        <v>/img1/imgb8a7.jpg</v>
      </c>
      <c r="D986" t="str">
        <f>VLOOKUP(categories!B986,'categories-old'!B:H,7,FALSE)</f>
        <v>www.americanretailsupply.com\64739\172822\Metallic-Bows--Ribbon\Herringbone-Tinsel-Ribbon.html</v>
      </c>
    </row>
    <row r="987" spans="1:4" hidden="1" x14ac:dyDescent="0.25">
      <c r="A987" t="str">
        <f>IF(LEN('categories-old'!G987) &gt; 0, "INSERT INTO `catalog_category_entity_varchar` (attribute_id,store_id,entity_id,value) VALUES (48,0,"&amp;'categories-old'!B987&amp;",'"&amp;RIGHT('categories-old'!G987,LEN('categories-old'!G987)-1)&amp;"');","")</f>
        <v>INSERT INTO `catalog_category_entity_varchar` (attribute_id,store_id,entity_id,value) VALUES (48,0,903,'img3/img5ca8.jpg');</v>
      </c>
      <c r="B987" t="str">
        <f>IF(LEN(categories!G987) &gt; 0, "INSERT INTO `catalog_category_entity_varchar` (attribute_id,store_id,entity_id,value) VALUES (48,0,"&amp;categories!B987&amp;",'"&amp;RIGHT(categories!G987,LEN(categories!G987)-1)&amp;"');","")</f>
        <v>INSERT INTO `catalog_category_entity_varchar` (attribute_id,store_id,entity_id,value) VALUES (48,0,907,'img1/img529c.jpg');</v>
      </c>
      <c r="C987" t="str">
        <f>VLOOKUP(categories!B987,'categories-old'!B:G,6,FALSE)</f>
        <v>/img1/img529c.jpg</v>
      </c>
      <c r="D987" t="str">
        <f>VLOOKUP(categories!B987,'categories-old'!B:H,7,FALSE)</f>
        <v>www.americanretailsupply.com\64930\1437\Meto-1--2-Line-Price-Guns\Meto-1600-1-Line-Price-Gun.html</v>
      </c>
    </row>
    <row r="988" spans="1:4" hidden="1" x14ac:dyDescent="0.25">
      <c r="A988" t="str">
        <f>IF(LEN('categories-old'!G988) &gt; 0, "INSERT INTO `catalog_category_entity_varchar` (attribute_id,store_id,entity_id,value) VALUES (48,0,"&amp;'categories-old'!B988&amp;",'"&amp;RIGHT('categories-old'!G988,LEN('categories-old'!G988)-1)&amp;"');","")</f>
        <v>INSERT INTO `catalog_category_entity_varchar` (attribute_id,store_id,entity_id,value) VALUES (48,0,904,'img1/imgb8a7.jpg');</v>
      </c>
      <c r="B988" t="str">
        <f>IF(LEN(categories!G988) &gt; 0, "INSERT INTO `catalog_category_entity_varchar` (attribute_id,store_id,entity_id,value) VALUES (48,0,"&amp;categories!B988&amp;",'"&amp;RIGHT(categories!G988,LEN(categories!G988)-1)&amp;"');","")</f>
        <v>INSERT INTO `catalog_category_entity_varchar` (attribute_id,store_id,entity_id,value) VALUES (48,0,908,'img2/imga073.jpg');</v>
      </c>
      <c r="C988" t="str">
        <f>VLOOKUP(categories!B988,'categories-old'!B:G,6,FALSE)</f>
        <v>/img2/imga073.jpg</v>
      </c>
      <c r="D988" t="str">
        <f>VLOOKUP(categories!B988,'categories-old'!B:H,7,FALSE)</f>
        <v>www.americanretailsupply.com\64930\1558\Meto-1--2-Line-Price-Guns\Meto-1600-Series-Labels.html</v>
      </c>
    </row>
    <row r="989" spans="1:4" hidden="1" x14ac:dyDescent="0.25">
      <c r="A989" t="str">
        <f>IF(LEN('categories-old'!G989) &gt; 0, "INSERT INTO `catalog_category_entity_varchar` (attribute_id,store_id,entity_id,value) VALUES (48,0,"&amp;'categories-old'!B989&amp;",'"&amp;RIGHT('categories-old'!G989,LEN('categories-old'!G989)-1)&amp;"');","")</f>
        <v>INSERT INTO `catalog_category_entity_varchar` (attribute_id,store_id,entity_id,value) VALUES (48,0,907,'img1/img529c.jpg');</v>
      </c>
      <c r="B989" t="str">
        <f>IF(LEN(categories!G989) &gt; 0, "INSERT INTO `catalog_category_entity_varchar` (attribute_id,store_id,entity_id,value) VALUES (48,0,"&amp;categories!B989&amp;",'"&amp;RIGHT(categories!G989,LEN(categories!G989)-1)&amp;"');","")</f>
        <v>INSERT INTO `catalog_category_entity_varchar` (attribute_id,store_id,entity_id,value) VALUES (48,0,909,'img1/img8a11.jpg');</v>
      </c>
      <c r="C989" t="str">
        <f>VLOOKUP(categories!B989,'categories-old'!B:G,6,FALSE)</f>
        <v>/img1/img8a11.jpg</v>
      </c>
      <c r="D989" t="str">
        <f>VLOOKUP(categories!B989,'categories-old'!B:H,7,FALSE)</f>
        <v>www.americanretailsupply.com\64930\1559\Meto-1--2-Line-Price-Guns\Meto-Ink-Rollers.html</v>
      </c>
    </row>
    <row r="990" spans="1:4" hidden="1" x14ac:dyDescent="0.25">
      <c r="A990" t="str">
        <f>IF(LEN('categories-old'!G990) &gt; 0, "INSERT INTO `catalog_category_entity_varchar` (attribute_id,store_id,entity_id,value) VALUES (48,0,"&amp;'categories-old'!B990&amp;",'"&amp;RIGHT('categories-old'!G990,LEN('categories-old'!G990)-1)&amp;"');","")</f>
        <v>INSERT INTO `catalog_category_entity_varchar` (attribute_id,store_id,entity_id,value) VALUES (48,0,908,'img2/imga073.jpg');</v>
      </c>
      <c r="B990" t="str">
        <f>IF(LEN(categories!G990) &gt; 0, "INSERT INTO `catalog_category_entity_varchar` (attribute_id,store_id,entity_id,value) VALUES (48,0,"&amp;categories!B990&amp;",'"&amp;RIGHT(categories!G990,LEN(categories!G990)-1)&amp;"');","")</f>
        <v>INSERT INTO `catalog_category_entity_varchar` (attribute_id,store_id,entity_id,value) VALUES (48,0,910,'img3/img942b.jpg');</v>
      </c>
      <c r="C990" t="str">
        <f>VLOOKUP(categories!B990,'categories-old'!B:G,6,FALSE)</f>
        <v>/img3/img942b.jpg</v>
      </c>
      <c r="D990" t="str">
        <f>VLOOKUP(categories!B990,'categories-old'!B:H,7,FALSE)</f>
        <v>www.americanretailsupply.com\64930\1560\Meto-1--2-Line-Price-Guns\Meto-Labeler-Holster.html</v>
      </c>
    </row>
    <row r="991" spans="1:4" hidden="1" x14ac:dyDescent="0.25">
      <c r="A991" t="str">
        <f>IF(LEN('categories-old'!G991) &gt; 0, "INSERT INTO `catalog_category_entity_varchar` (attribute_id,store_id,entity_id,value) VALUES (48,0,"&amp;'categories-old'!B991&amp;",'"&amp;RIGHT('categories-old'!G991,LEN('categories-old'!G991)-1)&amp;"');","")</f>
        <v>INSERT INTO `catalog_category_entity_varchar` (attribute_id,store_id,entity_id,value) VALUES (48,0,909,'img1/img8a11.jpg');</v>
      </c>
      <c r="B991" t="str">
        <f>IF(LEN(categories!G991) &gt; 0, "INSERT INTO `catalog_category_entity_varchar` (attribute_id,store_id,entity_id,value) VALUES (48,0,"&amp;categories!B991&amp;",'"&amp;RIGHT(categories!G991,LEN(categories!G991)-1)&amp;"');","")</f>
        <v>INSERT INTO `catalog_category_entity_varchar` (attribute_id,store_id,entity_id,value) VALUES (48,0,911,'img2/imgb6e5-2.jpg');</v>
      </c>
      <c r="C991" t="str">
        <f>VLOOKUP(categories!B991,'categories-old'!B:G,6,FALSE)</f>
        <v>/img2/imgb6e5-2.jpg</v>
      </c>
      <c r="D991" t="str">
        <f>VLOOKUP(categories!B991,'categories-old'!B:H,7,FALSE)</f>
        <v>www.americanretailsupply.com\64930\1570\Meto-1--2-Line-Price-Guns\Meto-2200-Series-Labels.html</v>
      </c>
    </row>
    <row r="992" spans="1:4" hidden="1" x14ac:dyDescent="0.25">
      <c r="A992" t="str">
        <f>IF(LEN('categories-old'!G992) &gt; 0, "INSERT INTO `catalog_category_entity_varchar` (attribute_id,store_id,entity_id,value) VALUES (48,0,"&amp;'categories-old'!B992&amp;",'"&amp;RIGHT('categories-old'!G992,LEN('categories-old'!G992)-1)&amp;"');","")</f>
        <v>INSERT INTO `catalog_category_entity_varchar` (attribute_id,store_id,entity_id,value) VALUES (48,0,910,'img3/img942b.jpg');</v>
      </c>
      <c r="B992" t="str">
        <f>IF(LEN(categories!G992) &gt; 0, "INSERT INTO `catalog_category_entity_varchar` (attribute_id,store_id,entity_id,value) VALUES (48,0,"&amp;categories!B992&amp;",'"&amp;RIGHT(categories!G992,LEN(categories!G992)-1)&amp;"');","")</f>
        <v>INSERT INTO `catalog_category_entity_varchar` (attribute_id,store_id,entity_id,value) VALUES (48,0,912,'img3/imgdf2d.jpg');</v>
      </c>
      <c r="C992" t="str">
        <f>VLOOKUP(categories!B992,'categories-old'!B:G,6,FALSE)</f>
        <v>/img3/imgdf2d.jpg</v>
      </c>
      <c r="D992" t="str">
        <f>VLOOKUP(categories!B992,'categories-old'!B:H,7,FALSE)</f>
        <v>www.americanretailsupply.com\64930\1574\Meto-1--2-Line-Price-Guns\Meto-2600-Series-Labels.html</v>
      </c>
    </row>
    <row r="993" spans="1:5" hidden="1" x14ac:dyDescent="0.25">
      <c r="A993" t="str">
        <f>IF(LEN('categories-old'!G993) &gt; 0, "INSERT INTO `catalog_category_entity_varchar` (attribute_id,store_id,entity_id,value) VALUES (48,0,"&amp;'categories-old'!B993&amp;",'"&amp;RIGHT('categories-old'!G993,LEN('categories-old'!G993)-1)&amp;"');","")</f>
        <v>INSERT INTO `catalog_category_entity_varchar` (attribute_id,store_id,entity_id,value) VALUES (48,0,911,'img2/imgb6e5-2.jpg');</v>
      </c>
      <c r="B993" t="str">
        <f>IF(LEN(categories!G993) &gt; 0, "INSERT INTO `catalog_category_entity_varchar` (attribute_id,store_id,entity_id,value) VALUES (48,0,"&amp;categories!B993&amp;",'"&amp;RIGHT(categories!G993,LEN(categories!G993)-1)&amp;"');","")</f>
        <v>INSERT INTO `catalog_category_entity_varchar` (attribute_id,store_id,entity_id,value) VALUES (48,0,913,'img1/imgfc90.jpg');</v>
      </c>
      <c r="C993" t="str">
        <f>VLOOKUP(categories!B993,'categories-old'!B:G,6,FALSE)</f>
        <v>/img1/imgfc90.jpg</v>
      </c>
      <c r="D993" t="str">
        <f>VLOOKUP(categories!B993,'categories-old'!B:H,7,FALSE)</f>
        <v>www.americanretailsupply.com\64930\1585\Meto-1--2-Line-Price-Guns\Meto-22002-Series-Labels.html</v>
      </c>
    </row>
    <row r="994" spans="1:5" hidden="1" x14ac:dyDescent="0.25">
      <c r="A994" t="str">
        <f>IF(LEN('categories-old'!G994) &gt; 0, "INSERT INTO `catalog_category_entity_varchar` (attribute_id,store_id,entity_id,value) VALUES (48,0,"&amp;'categories-old'!B994&amp;",'"&amp;RIGHT('categories-old'!G994,LEN('categories-old'!G994)-1)&amp;"');","")</f>
        <v>INSERT INTO `catalog_category_entity_varchar` (attribute_id,store_id,entity_id,value) VALUES (48,0,912,'img3/imgdf2d.jpg');</v>
      </c>
      <c r="B994" t="str">
        <f>IF(LEN(categories!G994) &gt; 0, "INSERT INTO `catalog_category_entity_varchar` (attribute_id,store_id,entity_id,value) VALUES (48,0,"&amp;categories!B994&amp;",'"&amp;RIGHT(categories!G994,LEN(categories!G994)-1)&amp;"');","")</f>
        <v>INSERT INTO `catalog_category_entity_varchar` (attribute_id,store_id,entity_id,value) VALUES (48,0,914,'img1/img529c.jpg');</v>
      </c>
      <c r="C994" t="str">
        <f>VLOOKUP(categories!B994,'categories-old'!B:G,6,FALSE)</f>
        <v>/img1/img529c.jpg</v>
      </c>
      <c r="D994" t="str">
        <f>VLOOKUP(categories!B994,'categories-old'!B:H,7,FALSE)</f>
        <v>www.americanretailsupply.com\64930\48171\Meto-1--2-Line-Price-Guns\Meto-2200-1-Line-Price-Gun.html</v>
      </c>
    </row>
    <row r="995" spans="1:5" hidden="1" x14ac:dyDescent="0.25">
      <c r="A995" t="str">
        <f>IF(LEN('categories-old'!G995) &gt; 0, "INSERT INTO `catalog_category_entity_varchar` (attribute_id,store_id,entity_id,value) VALUES (48,0,"&amp;'categories-old'!B995&amp;",'"&amp;RIGHT('categories-old'!G995,LEN('categories-old'!G995)-1)&amp;"');","")</f>
        <v>INSERT INTO `catalog_category_entity_varchar` (attribute_id,store_id,entity_id,value) VALUES (48,0,913,'img1/imgfc90.jpg');</v>
      </c>
      <c r="B995" t="str">
        <f>IF(LEN(categories!G995) &gt; 0, "INSERT INTO `catalog_category_entity_varchar` (attribute_id,store_id,entity_id,value) VALUES (48,0,"&amp;categories!B995&amp;",'"&amp;RIGHT(categories!G995,LEN(categories!G995)-1)&amp;"');","")</f>
        <v>INSERT INTO `catalog_category_entity_varchar` (attribute_id,store_id,entity_id,value) VALUES (48,0,915,'img2/imgb7ec.jpg');</v>
      </c>
      <c r="C995" t="str">
        <f>VLOOKUP(categories!B995,'categories-old'!B:G,6,FALSE)</f>
        <v>/img2/imgb7ec.jpg</v>
      </c>
      <c r="D995" t="str">
        <f>VLOOKUP(categories!B995,'categories-old'!B:H,7,FALSE)</f>
        <v>www.americanretailsupply.com\64930\48172\Meto-1--2-Line-Price-Guns\Meto-2600-1-Line-Price-Gun.html</v>
      </c>
    </row>
    <row r="996" spans="1:5" hidden="1" x14ac:dyDescent="0.25">
      <c r="A996" t="str">
        <f>IF(LEN('categories-old'!G996) &gt; 0, "INSERT INTO `catalog_category_entity_varchar` (attribute_id,store_id,entity_id,value) VALUES (48,0,"&amp;'categories-old'!B996&amp;",'"&amp;RIGHT('categories-old'!G996,LEN('categories-old'!G996)-1)&amp;"');","")</f>
        <v>INSERT INTO `catalog_category_entity_varchar` (attribute_id,store_id,entity_id,value) VALUES (48,0,914,'img1/img529c.jpg');</v>
      </c>
      <c r="B996" t="str">
        <f>IF(LEN(categories!G996) &gt; 0, "INSERT INTO `catalog_category_entity_varchar` (attribute_id,store_id,entity_id,value) VALUES (48,0,"&amp;categories!B996&amp;",'"&amp;RIGHT(categories!G996,LEN(categories!G996)-1)&amp;"');","")</f>
        <v>INSERT INTO `catalog_category_entity_varchar` (attribute_id,store_id,entity_id,value) VALUES (48,0,916,'img2/imgb7ec.jpg');</v>
      </c>
      <c r="C996" t="str">
        <f>VLOOKUP(categories!B996,'categories-old'!B:G,6,FALSE)</f>
        <v>/img2/imgb7ec.jpg</v>
      </c>
      <c r="D996" t="str">
        <f>VLOOKUP(categories!B996,'categories-old'!B:H,7,FALSE)</f>
        <v>www.americanretailsupply.com\64930\48173\Meto-1--2-Line-Price-Guns\Meto-22002-2-Line-Price-Gun.html</v>
      </c>
    </row>
    <row r="997" spans="1:5" hidden="1" x14ac:dyDescent="0.25">
      <c r="A997" t="str">
        <f>IF(LEN('categories-old'!G997) &gt; 0, "INSERT INTO `catalog_category_entity_varchar` (attribute_id,store_id,entity_id,value) VALUES (48,0,"&amp;'categories-old'!B997&amp;",'"&amp;RIGHT('categories-old'!G997,LEN('categories-old'!G997)-1)&amp;"');","")</f>
        <v>INSERT INTO `catalog_category_entity_varchar` (attribute_id,store_id,entity_id,value) VALUES (48,0,915,'img2/imgb7ec.jpg');</v>
      </c>
      <c r="B997" t="str">
        <f>IF(LEN(categories!G997) &gt; 0, "INSERT INTO `catalog_category_entity_varchar` (attribute_id,store_id,entity_id,value) VALUES (48,0,"&amp;categories!B997&amp;",'"&amp;RIGHT(categories!G997,LEN(categories!G997)-1)&amp;"');","")</f>
        <v>INSERT INTO `catalog_category_entity_varchar` (attribute_id,store_id,entity_id,value) VALUES (48,0,918,'img1/img3146.jpg');</v>
      </c>
      <c r="C997" t="str">
        <f>VLOOKUP(categories!B997,'categories-old'!B:G,6,FALSE)</f>
        <v>/img1/img3146.jpg</v>
      </c>
      <c r="D997" t="str">
        <f>VLOOKUP(categories!B997,'categories-old'!B:H,7,FALSE)</f>
        <v>www.americanretailsupply.com\64826\3993\Mini-Grid\Mini-Grid.html</v>
      </c>
    </row>
    <row r="998" spans="1:5" hidden="1" x14ac:dyDescent="0.25">
      <c r="A998" t="str">
        <f>IF(LEN('categories-old'!G998) &gt; 0, "INSERT INTO `catalog_category_entity_varchar` (attribute_id,store_id,entity_id,value) VALUES (48,0,"&amp;'categories-old'!B998&amp;",'"&amp;RIGHT('categories-old'!G998,LEN('categories-old'!G998)-1)&amp;"');","")</f>
        <v>INSERT INTO `catalog_category_entity_varchar` (attribute_id,store_id,entity_id,value) VALUES (48,0,916,'img2/imgb7ec.jpg');</v>
      </c>
      <c r="B998" t="str">
        <f>IF(LEN(categories!G998) &gt; 0, "INSERT INTO `catalog_category_entity_varchar` (attribute_id,store_id,entity_id,value) VALUES (48,0,"&amp;categories!B998&amp;",'"&amp;RIGHT(categories!G998,LEN(categories!G998)-1)&amp;"');","")</f>
        <v>INSERT INTO `catalog_category_entity_varchar` (attribute_id,store_id,entity_id,value) VALUES (48,0,919,'img1/img3146.jpg');</v>
      </c>
      <c r="C998" t="str">
        <f>VLOOKUP(categories!B998,'categories-old'!B:G,6,FALSE)</f>
        <v>/img1/img3146.jpg</v>
      </c>
      <c r="D998" t="str">
        <f>VLOOKUP(categories!B998,'categories-old'!B:H,7,FALSE)</f>
        <v>www.americanretailsupply.com\64826\41124\Mini-Grid\Acrylic-Shelves-with-Flat-Squares-no-Attachment.html</v>
      </c>
    </row>
    <row r="999" spans="1:5" hidden="1" x14ac:dyDescent="0.25">
      <c r="A999" t="str">
        <f>IF(LEN('categories-old'!G999) &gt; 0, "INSERT INTO `catalog_category_entity_varchar` (attribute_id,store_id,entity_id,value) VALUES (48,0,"&amp;'categories-old'!B999&amp;",'"&amp;RIGHT('categories-old'!G999,LEN('categories-old'!G999)-1)&amp;"');","")</f>
        <v>INSERT INTO `catalog_category_entity_varchar` (attribute_id,store_id,entity_id,value) VALUES (48,0,918,'img1/img3146.jpg');</v>
      </c>
      <c r="B999" t="str">
        <f>IF(LEN(categories!G999) &gt; 0, "INSERT INTO `catalog_category_entity_varchar` (attribute_id,store_id,entity_id,value) VALUES (48,0,"&amp;categories!B999&amp;",'"&amp;RIGHT(categories!G999,LEN(categories!G999)-1)&amp;"');","")</f>
        <v>INSERT INTO `catalog_category_entity_varchar` (attribute_id,store_id,entity_id,value) VALUES (48,0,920,'img2/imgf5c7.jpg');</v>
      </c>
      <c r="C999" t="str">
        <f>VLOOKUP(categories!B999,'categories-old'!B:G,6,FALSE)</f>
        <v>/img2/imgf5c7.jpg</v>
      </c>
      <c r="D999" t="str">
        <f>VLOOKUP(categories!B999,'categories-old'!B:H,7,FALSE)</f>
        <v>www.americanretailsupply.com\64826\47244\Mini-Grid\Mini-Grid-8-way-Connectors.html</v>
      </c>
    </row>
    <row r="1000" spans="1:5" hidden="1" x14ac:dyDescent="0.25">
      <c r="A1000" t="str">
        <f>IF(LEN('categories-old'!G1000) &gt; 0, "INSERT INTO `catalog_category_entity_varchar` (attribute_id,store_id,entity_id,value) VALUES (48,0,"&amp;'categories-old'!B1000&amp;",'"&amp;RIGHT('categories-old'!G1000,LEN('categories-old'!G1000)-1)&amp;"');","")</f>
        <v>INSERT INTO `catalog_category_entity_varchar` (attribute_id,store_id,entity_id,value) VALUES (48,0,919,'img1/img3146.jpg');</v>
      </c>
      <c r="B1000" t="str">
        <f>IF(LEN(categories!G1000) &gt; 0, "INSERT INTO `catalog_category_entity_varchar` (attribute_id,store_id,entity_id,value) VALUES (48,0,"&amp;categories!B1000&amp;",'"&amp;RIGHT(categories!G1000,LEN(categories!G1000)-1)&amp;"');","")</f>
        <v>INSERT INTO `catalog_category_entity_varchar` (attribute_id,store_id,entity_id,value) VALUES (48,0,921,'img3/imgfcd3.jpg');</v>
      </c>
      <c r="C1000" t="str">
        <f>VLOOKUP(categories!B1000,'categories-old'!B:G,6,FALSE)</f>
        <v>/img3/imgfcd3.jpg</v>
      </c>
      <c r="D1000" t="str">
        <f>VLOOKUP(categories!B1000,'categories-old'!B:H,7,FALSE)</f>
        <v>www.americanretailsupply.com\64826\47245\Mini-Grid\Mini-Grid-12-way-Connectors.html</v>
      </c>
    </row>
    <row r="1001" spans="1:5" hidden="1" x14ac:dyDescent="0.25">
      <c r="A1001" t="str">
        <f>IF(LEN('categories-old'!G1001) &gt; 0, "INSERT INTO `catalog_category_entity_varchar` (attribute_id,store_id,entity_id,value) VALUES (48,0,"&amp;'categories-old'!B1001&amp;",'"&amp;RIGHT('categories-old'!G1001,LEN('categories-old'!G1001)-1)&amp;"');","")</f>
        <v>INSERT INTO `catalog_category_entity_varchar` (attribute_id,store_id,entity_id,value) VALUES (48,0,920,'img2/imgf5c7.jpg');</v>
      </c>
      <c r="B1001" t="str">
        <f>IF(LEN(categories!G1001) &gt; 0, "INSERT INTO `catalog_category_entity_varchar` (attribute_id,store_id,entity_id,value) VALUES (48,0,"&amp;categories!B1001&amp;",'"&amp;RIGHT(categories!G1001,LEN(categories!G1001)-1)&amp;"');","")</f>
        <v>INSERT INTO `catalog_category_entity_varchar` (attribute_id,store_id,entity_id,value) VALUES (48,0,923,'img2/img5d9d.jpg');</v>
      </c>
      <c r="C1001" t="str">
        <f>VLOOKUP(categories!B1001,'categories-old'!B:G,6,FALSE)</f>
        <v>/img2/img5d9d.jpg</v>
      </c>
      <c r="D1001" t="str">
        <f>VLOOKUP(categories!B1001,'categories-old'!B:H,7,FALSE)</f>
        <v>www.americanretailsupply.com\64785\34263\Misc-Acrylic-Products\Acrylic-Cleaner.html</v>
      </c>
    </row>
    <row r="1002" spans="1:5" hidden="1" x14ac:dyDescent="0.25">
      <c r="A1002" t="str">
        <f>IF(LEN('categories-old'!G1002) &gt; 0, "INSERT INTO `catalog_category_entity_varchar` (attribute_id,store_id,entity_id,value) VALUES (48,0,"&amp;'categories-old'!B1002&amp;",'"&amp;RIGHT('categories-old'!G1002,LEN('categories-old'!G1002)-1)&amp;"');","")</f>
        <v>INSERT INTO `catalog_category_entity_varchar` (attribute_id,store_id,entity_id,value) VALUES (48,0,921,'img3/imgfcd3.jpg');</v>
      </c>
      <c r="B1002" t="str">
        <f>IF(LEN(categories!G1002) &gt; 0, "INSERT INTO `catalog_category_entity_varchar` (attribute_id,store_id,entity_id,value) VALUES (48,0,"&amp;categories!B1002&amp;",'"&amp;RIGHT(categories!G1002,LEN(categories!G1002)-1)&amp;"');","")</f>
        <v>INSERT INTO `catalog_category_entity_varchar` (attribute_id,store_id,entity_id,value) VALUES (48,0,924,'img1/img012d.jpg');</v>
      </c>
      <c r="C1002" t="str">
        <f>VLOOKUP(categories!B1002,'categories-old'!B:G,6,FALSE)</f>
        <v>/img1/img012d.jpg</v>
      </c>
      <c r="D1002" t="str">
        <f>VLOOKUP(categories!B1002,'categories-old'!B:H,7,FALSE)</f>
        <v>www.americanretailsupply.com\64785\34264\Misc-Acrylic-Products\Acrylic-Electric-Turntable.html</v>
      </c>
    </row>
    <row r="1003" spans="1:5" hidden="1" x14ac:dyDescent="0.25">
      <c r="A1003" t="str">
        <f>IF(LEN('categories-old'!G1003) &gt; 0, "INSERT INTO `catalog_category_entity_varchar` (attribute_id,store_id,entity_id,value) VALUES (48,0,"&amp;'categories-old'!B1003&amp;",'"&amp;RIGHT('categories-old'!G1003,LEN('categories-old'!G1003)-1)&amp;"');","")</f>
        <v>INSERT INTO `catalog_category_entity_varchar` (attribute_id,store_id,entity_id,value) VALUES (48,0,923,'img2/img5d9d.jpg');</v>
      </c>
      <c r="B1003" t="str">
        <f>IF(LEN(categories!G1003) &gt; 0, "INSERT INTO `catalog_category_entity_varchar` (attribute_id,store_id,entity_id,value) VALUES (48,0,"&amp;categories!B1003&amp;",'"&amp;RIGHT(categories!G1003,LEN(categories!G1003)-1)&amp;"');","")</f>
        <v>INSERT INTO `catalog_category_entity_varchar` (attribute_id,store_id,entity_id,value) VALUES (48,0,925,'img2/img896c.jpg');</v>
      </c>
      <c r="C1003" t="str">
        <f>VLOOKUP(categories!B1003,'categories-old'!B:G,6,FALSE)</f>
        <v>/img2/img896c.jpg</v>
      </c>
      <c r="D1003" t="str">
        <f>VLOOKUP(categories!B1003,'categories-old'!B:H,7,FALSE)</f>
        <v>www.americanretailsupply.com\64785\34265\Misc-Acrylic-Products\Acrylic-Beveled-Mirror.html</v>
      </c>
    </row>
    <row r="1004" spans="1:5" hidden="1" x14ac:dyDescent="0.25">
      <c r="A1004" t="str">
        <f>IF(LEN('categories-old'!G1004) &gt; 0, "INSERT INTO `catalog_category_entity_varchar` (attribute_id,store_id,entity_id,value) VALUES (48,0,"&amp;'categories-old'!B1004&amp;",'"&amp;RIGHT('categories-old'!G1004,LEN('categories-old'!G1004)-1)&amp;"');","")</f>
        <v>INSERT INTO `catalog_category_entity_varchar` (attribute_id,store_id,entity_id,value) VALUES (48,0,924,'img1/img012d.jpg');</v>
      </c>
      <c r="B1004" t="str">
        <f>IF(LEN(categories!G1004) &gt; 0, "INSERT INTO `catalog_category_entity_varchar` (attribute_id,store_id,entity_id,value) VALUES (48,0,"&amp;categories!B1004&amp;",'"&amp;RIGHT(categories!G1004,LEN(categories!G1004)-1)&amp;"');","")</f>
        <v>INSERT INTO `catalog_category_entity_varchar` (attribute_id,store_id,entity_id,value) VALUES (48,0,926,'img1/img27ca.jpg');</v>
      </c>
      <c r="C1004" t="str">
        <f>VLOOKUP(categories!B1004,'categories-old'!B:G,6,FALSE)</f>
        <v>/img1/img27ca.jpg</v>
      </c>
      <c r="D1004" t="str">
        <f>VLOOKUP(categories!B1004,'categories-old'!B:H,7,FALSE)</f>
        <v>www.americanretailsupply.com\64785\34268\Misc-Acrylic-Products\Acrylic-Pen-Display.html</v>
      </c>
    </row>
    <row r="1005" spans="1:5" hidden="1" x14ac:dyDescent="0.25">
      <c r="A1005" t="str">
        <f>IF(LEN('categories-old'!G1005) &gt; 0, "INSERT INTO `catalog_category_entity_varchar` (attribute_id,store_id,entity_id,value) VALUES (48,0,"&amp;'categories-old'!B1005&amp;",'"&amp;RIGHT('categories-old'!G1005,LEN('categories-old'!G1005)-1)&amp;"');","")</f>
        <v>INSERT INTO `catalog_category_entity_varchar` (attribute_id,store_id,entity_id,value) VALUES (48,0,925,'img2/img896c.jpg');</v>
      </c>
      <c r="B1005" t="str">
        <f>IF(LEN(categories!G1005) &gt; 0, "INSERT INTO `catalog_category_entity_varchar` (attribute_id,store_id,entity_id,value) VALUES (48,0,"&amp;categories!B1005&amp;",'"&amp;RIGHT(categories!G1005,LEN(categories!G1005)-1)&amp;"');","")</f>
        <v>INSERT INTO `catalog_category_entity_varchar` (attribute_id,store_id,entity_id,value) VALUES (48,0,928,'img3/img7f6b.jpg');</v>
      </c>
      <c r="C1005" t="str">
        <f>VLOOKUP(categories!B1005,'categories-old'!B:G,6,FALSE)</f>
        <v>/img3/img7f6b.jpg</v>
      </c>
      <c r="D1005" t="str">
        <f>VLOOKUP(categories!B1005,'categories-old'!B:H,7,FALSE)</f>
        <v>www.americanretailsupply.com\64905\236804\Miscellaneous-Closeout\Acrylic-Tape.html</v>
      </c>
    </row>
    <row r="1006" spans="1:5" hidden="1" x14ac:dyDescent="0.25">
      <c r="A1006" t="str">
        <f>IF(LEN('categories-old'!G1006) &gt; 0, "INSERT INTO `catalog_category_entity_varchar` (attribute_id,store_id,entity_id,value) VALUES (48,0,"&amp;'categories-old'!B1006&amp;",'"&amp;RIGHT('categories-old'!G1006,LEN('categories-old'!G1006)-1)&amp;"');","")</f>
        <v>INSERT INTO `catalog_category_entity_varchar` (attribute_id,store_id,entity_id,value) VALUES (48,0,926,'img1/img27ca.jpg');</v>
      </c>
      <c r="B1006" t="str">
        <f>IF(LEN(categories!G1006) &gt; 0, "INSERT INTO `catalog_category_entity_varchar` (attribute_id,store_id,entity_id,value) VALUES (48,0,"&amp;categories!B1006&amp;",'"&amp;RIGHT(categories!G1006,LEN(categories!G1006)-1)&amp;"');","")</f>
        <v/>
      </c>
      <c r="C1006">
        <f>VLOOKUP(categories!B1006,'categories-old'!B:G,6,FALSE)</f>
        <v>0</v>
      </c>
      <c r="D1006" t="str">
        <f>VLOOKUP(categories!B1006,'categories-old'!B:H,7,FALSE)</f>
        <v>www.americanretailsupply.com\64905\236819\Miscellaneous-Closeout\Lift-Off--2-22oz-Pump-Spray.html</v>
      </c>
      <c r="E1006" t="str">
        <f t="shared" ref="E1006:E1007" si="13">SUBSTITUTE(SUBSTITUTE(D1006,"\","/"),"www.americanretailsupply.com/","")</f>
        <v>64905/236819/Miscellaneous-Closeout/Lift-Off--2-22oz-Pump-Spray.html</v>
      </c>
    </row>
    <row r="1007" spans="1:5" hidden="1" x14ac:dyDescent="0.25">
      <c r="A1007" t="str">
        <f>IF(LEN('categories-old'!G1007) &gt; 0, "INSERT INTO `catalog_category_entity_varchar` (attribute_id,store_id,entity_id,value) VALUES (48,0,"&amp;'categories-old'!B1007&amp;",'"&amp;RIGHT('categories-old'!G1007,LEN('categories-old'!G1007)-1)&amp;"');","")</f>
        <v>INSERT INTO `catalog_category_entity_varchar` (attribute_id,store_id,entity_id,value) VALUES (48,0,928,'img3/img7f6b.jpg');</v>
      </c>
      <c r="B1007" t="str">
        <f>IF(LEN(categories!G1007) &gt; 0, "INSERT INTO `catalog_category_entity_varchar` (attribute_id,store_id,entity_id,value) VALUES (48,0,"&amp;categories!B1007&amp;",'"&amp;RIGHT(categories!G1007,LEN(categories!G1007)-1)&amp;"');","")</f>
        <v/>
      </c>
      <c r="C1007">
        <f>VLOOKUP(categories!B1007,'categories-old'!B:G,6,FALSE)</f>
        <v>0</v>
      </c>
      <c r="D1007" t="str">
        <f>VLOOKUP(categories!B1007,'categories-old'!B:H,7,FALSE)</f>
        <v>www.americanretailsupply.com\64905\236820\Miscellaneous-Closeout\Lift-Off--2-Gallon-Refill.html</v>
      </c>
      <c r="E1007" t="str">
        <f t="shared" si="13"/>
        <v>64905/236820/Miscellaneous-Closeout/Lift-Off--2-Gallon-Refill.html</v>
      </c>
    </row>
    <row r="1008" spans="1:5" hidden="1" x14ac:dyDescent="0.25">
      <c r="A1008" t="str">
        <f>IF(LEN('categories-old'!G1008) &gt; 0, "INSERT INTO `catalog_category_entity_varchar` (attribute_id,store_id,entity_id,value) VALUES (48,0,"&amp;'categories-old'!B1008&amp;",'"&amp;RIGHT('categories-old'!G1008,LEN('categories-old'!G1008)-1)&amp;"');","")</f>
        <v/>
      </c>
      <c r="B1008" t="str">
        <f>IF(LEN(categories!G1008) &gt; 0, "INSERT INTO `catalog_category_entity_varchar` (attribute_id,store_id,entity_id,value) VALUES (48,0,"&amp;categories!B1008&amp;",'"&amp;RIGHT(categories!G1008,LEN(categories!G1008)-1)&amp;"');","")</f>
        <v>INSERT INTO `catalog_category_entity_varchar` (attribute_id,store_id,entity_id,value) VALUES (48,0,931,'img2/imgbd60.jpg');</v>
      </c>
      <c r="C1008" t="str">
        <f>VLOOKUP(categories!B1008,'categories-old'!B:G,6,FALSE)</f>
        <v>/img2/imgbd60.jpg</v>
      </c>
      <c r="D1008" t="str">
        <f>VLOOKUP(categories!B1008,'categories-old'!B:H,7,FALSE)</f>
        <v>www.americanretailsupply.com\64905\239178\Miscellaneous-Closeout\Artline-Tempera-Markers.html</v>
      </c>
    </row>
    <row r="1009" spans="1:5" hidden="1" x14ac:dyDescent="0.25">
      <c r="A1009" t="str">
        <f>IF(LEN('categories-old'!G1009) &gt; 0, "INSERT INTO `catalog_category_entity_varchar` (attribute_id,store_id,entity_id,value) VALUES (48,0,"&amp;'categories-old'!B1009&amp;",'"&amp;RIGHT('categories-old'!G1009,LEN('categories-old'!G1009)-1)&amp;"');","")</f>
        <v/>
      </c>
      <c r="B1009" t="str">
        <f>IF(LEN(categories!G1009) &gt; 0, "INSERT INTO `catalog_category_entity_varchar` (attribute_id,store_id,entity_id,value) VALUES (48,0,"&amp;categories!B1009&amp;",'"&amp;RIGHT(categories!G1009,LEN(categories!G1009)-1)&amp;"');","")</f>
        <v>INSERT INTO `catalog_category_entity_varchar` (attribute_id,store_id,entity_id,value) VALUES (48,0,932,'img2/img7bdf-2.jpg');</v>
      </c>
      <c r="C1009" t="str">
        <f>VLOOKUP(categories!B1009,'categories-old'!B:G,6,FALSE)</f>
        <v>/img2/img7bdf-2.jpg</v>
      </c>
      <c r="D1009" t="str">
        <f>VLOOKUP(categories!B1009,'categories-old'!B:H,7,FALSE)</f>
        <v>www.americanretailsupply.com\64905\239179\Miscellaneous-Closeout\Artline-Aquafast-Markers.html</v>
      </c>
    </row>
    <row r="1010" spans="1:5" hidden="1" x14ac:dyDescent="0.25">
      <c r="A1010" t="str">
        <f>IF(LEN('categories-old'!G1010) &gt; 0, "INSERT INTO `catalog_category_entity_varchar` (attribute_id,store_id,entity_id,value) VALUES (48,0,"&amp;'categories-old'!B1010&amp;",'"&amp;RIGHT('categories-old'!G1010,LEN('categories-old'!G1010)-1)&amp;"');","")</f>
        <v>INSERT INTO `catalog_category_entity_varchar` (attribute_id,store_id,entity_id,value) VALUES (48,0,931,'img2/imgbd60.jpg');</v>
      </c>
      <c r="B1010" t="str">
        <f>IF(LEN(categories!G1010) &gt; 0, "INSERT INTO `catalog_category_entity_varchar` (attribute_id,store_id,entity_id,value) VALUES (48,0,"&amp;categories!B1010&amp;",'"&amp;RIGHT(categories!G1010,LEN(categories!G1010)-1)&amp;"');","")</f>
        <v>INSERT INTO `catalog_category_entity_varchar` (attribute_id,store_id,entity_id,value) VALUES (48,0,933,'img3/img5f02.jpg');</v>
      </c>
      <c r="C1010" t="str">
        <f>VLOOKUP(categories!B1010,'categories-old'!B:G,6,FALSE)</f>
        <v>/img3/img5f02.jpg</v>
      </c>
      <c r="D1010" t="str">
        <f>VLOOKUP(categories!B1010,'categories-old'!B:H,7,FALSE)</f>
        <v>www.americanretailsupply.com\64905\239182\Miscellaneous-Closeout\Artline-Whiteboard-Markers.html</v>
      </c>
    </row>
    <row r="1011" spans="1:5" hidden="1" x14ac:dyDescent="0.25">
      <c r="A1011" t="str">
        <f>IF(LEN('categories-old'!G1011) &gt; 0, "INSERT INTO `catalog_category_entity_varchar` (attribute_id,store_id,entity_id,value) VALUES (48,0,"&amp;'categories-old'!B1011&amp;",'"&amp;RIGHT('categories-old'!G1011,LEN('categories-old'!G1011)-1)&amp;"');","")</f>
        <v>INSERT INTO `catalog_category_entity_varchar` (attribute_id,store_id,entity_id,value) VALUES (48,0,932,'img2/img7bdf-2.jpg');</v>
      </c>
      <c r="B1011" t="str">
        <f>IF(LEN(categories!G1011) &gt; 0, "INSERT INTO `catalog_category_entity_varchar` (attribute_id,store_id,entity_id,value) VALUES (48,0,"&amp;categories!B1011&amp;",'"&amp;RIGHT(categories!G1011,LEN(categories!G1011)-1)&amp;"');","")</f>
        <v>INSERT INTO `catalog_category_entity_varchar` (attribute_id,store_id,entity_id,value) VALUES (48,0,934,'img1/imge454.jpg');</v>
      </c>
      <c r="C1011" t="str">
        <f>VLOOKUP(categories!B1011,'categories-old'!B:G,6,FALSE)</f>
        <v>/img1/imge454.jpg</v>
      </c>
      <c r="D1011" t="str">
        <f>VLOOKUP(categories!B1011,'categories-old'!B:H,7,FALSE)</f>
        <v>www.americanretailsupply.com\64905\239218\Miscellaneous-Closeout\Card-Frame-Miter-with-Base-11x14.html</v>
      </c>
    </row>
    <row r="1012" spans="1:5" hidden="1" x14ac:dyDescent="0.25">
      <c r="A1012" t="str">
        <f>IF(LEN('categories-old'!G1012) &gt; 0, "INSERT INTO `catalog_category_entity_varchar` (attribute_id,store_id,entity_id,value) VALUES (48,0,"&amp;'categories-old'!B1012&amp;",'"&amp;RIGHT('categories-old'!G1012,LEN('categories-old'!G1012)-1)&amp;"');","")</f>
        <v>INSERT INTO `catalog_category_entity_varchar` (attribute_id,store_id,entity_id,value) VALUES (48,0,933,'img3/img5f02.jpg');</v>
      </c>
      <c r="B1012" t="str">
        <f>IF(LEN(categories!G1012) &gt; 0, "INSERT INTO `catalog_category_entity_varchar` (attribute_id,store_id,entity_id,value) VALUES (48,0,"&amp;categories!B1012&amp;",'"&amp;RIGHT(categories!G1012,LEN(categories!G1012)-1)&amp;"');","")</f>
        <v>INSERT INTO `catalog_category_entity_varchar` (attribute_id,store_id,entity_id,value) VALUES (48,0,935,'img2/img6e63.jpg');</v>
      </c>
      <c r="C1012" t="str">
        <f>VLOOKUP(categories!B1012,'categories-old'!B:G,6,FALSE)</f>
        <v>/img2/img6e63.jpg</v>
      </c>
      <c r="D1012" t="str">
        <f>VLOOKUP(categories!B1012,'categories-old'!B:H,7,FALSE)</f>
        <v>www.americanretailsupply.com\64905\241272\Miscellaneous-Closeout\Economy-SlantbackSign-Holder.html</v>
      </c>
    </row>
    <row r="1013" spans="1:5" hidden="1" x14ac:dyDescent="0.25">
      <c r="A1013" t="str">
        <f>IF(LEN('categories-old'!G1013) &gt; 0, "INSERT INTO `catalog_category_entity_varchar` (attribute_id,store_id,entity_id,value) VALUES (48,0,"&amp;'categories-old'!B1013&amp;",'"&amp;RIGHT('categories-old'!G1013,LEN('categories-old'!G1013)-1)&amp;"');","")</f>
        <v>INSERT INTO `catalog_category_entity_varchar` (attribute_id,store_id,entity_id,value) VALUES (48,0,934,'img1/imge454.jpg');</v>
      </c>
      <c r="B1013" t="str">
        <f>IF(LEN(categories!G1013) &gt; 0, "INSERT INTO `catalog_category_entity_varchar` (attribute_id,store_id,entity_id,value) VALUES (48,0,"&amp;categories!B1013&amp;",'"&amp;RIGHT(categories!G1013,LEN(categories!G1013)-1)&amp;"');","")</f>
        <v>INSERT INTO `catalog_category_entity_varchar` (attribute_id,store_id,entity_id,value) VALUES (48,0,936,'img3/imgac74.jpg');</v>
      </c>
      <c r="C1013" t="str">
        <f>VLOOKUP(categories!B1013,'categories-old'!B:G,6,FALSE)</f>
        <v>/img3/imgac74.jpg</v>
      </c>
      <c r="D1013" t="str">
        <f>VLOOKUP(categories!B1013,'categories-old'!B:H,7,FALSE)</f>
        <v>www.americanretailsupply.com\64905\241273\Miscellaneous-Closeout\Economy-Tent-Style-Sign-Holder.html</v>
      </c>
    </row>
    <row r="1014" spans="1:5" hidden="1" x14ac:dyDescent="0.25">
      <c r="A1014" t="str">
        <f>IF(LEN('categories-old'!G1014) &gt; 0, "INSERT INTO `catalog_category_entity_varchar` (attribute_id,store_id,entity_id,value) VALUES (48,0,"&amp;'categories-old'!B1014&amp;",'"&amp;RIGHT('categories-old'!G1014,LEN('categories-old'!G1014)-1)&amp;"');","")</f>
        <v>INSERT INTO `catalog_category_entity_varchar` (attribute_id,store_id,entity_id,value) VALUES (48,0,935,'img2/img6e63.jpg');</v>
      </c>
      <c r="B1014" t="str">
        <f>IF(LEN(categories!G1014) &gt; 0, "INSERT INTO `catalog_category_entity_varchar` (attribute_id,store_id,entity_id,value) VALUES (48,0,"&amp;categories!B1014&amp;",'"&amp;RIGHT(categories!G1014,LEN(categories!G1014)-1)&amp;"');","")</f>
        <v/>
      </c>
      <c r="C1014">
        <f>VLOOKUP(categories!B1014,'categories-old'!B:G,6,FALSE)</f>
        <v>0</v>
      </c>
      <c r="D1014" t="str">
        <f>VLOOKUP(categories!B1014,'categories-old'!B:H,7,FALSE)</f>
        <v>www.americanretailsupply.com\64905\243054\Miscellaneous-Closeout\Counter-Top-Frame.html</v>
      </c>
      <c r="E1014" t="str">
        <f>SUBSTITUTE(SUBSTITUTE(D1014,"\","/"),"www.americanretailsupply.com/","")</f>
        <v>64905/243054/Miscellaneous-Closeout/Counter-Top-Frame.html</v>
      </c>
    </row>
    <row r="1015" spans="1:5" hidden="1" x14ac:dyDescent="0.25">
      <c r="A1015" t="str">
        <f>IF(LEN('categories-old'!G1015) &gt; 0, "INSERT INTO `catalog_category_entity_varchar` (attribute_id,store_id,entity_id,value) VALUES (48,0,"&amp;'categories-old'!B1015&amp;",'"&amp;RIGHT('categories-old'!G1015,LEN('categories-old'!G1015)-1)&amp;"');","")</f>
        <v>INSERT INTO `catalog_category_entity_varchar` (attribute_id,store_id,entity_id,value) VALUES (48,0,936,'img3/imgac74.jpg');</v>
      </c>
      <c r="B1015" t="str">
        <f>IF(LEN(categories!G1015) &gt; 0, "INSERT INTO `catalog_category_entity_varchar` (attribute_id,store_id,entity_id,value) VALUES (48,0,"&amp;categories!B1015&amp;",'"&amp;RIGHT(categories!G1015,LEN(categories!G1015)-1)&amp;"');","")</f>
        <v>INSERT INTO `catalog_category_entity_varchar` (attribute_id,store_id,entity_id,value) VALUES (48,0,938,'img2/imgc364.jpg');</v>
      </c>
      <c r="C1015" t="str">
        <f>VLOOKUP(categories!B1015,'categories-old'!B:G,6,FALSE)</f>
        <v>/img2/imgc364.jpg</v>
      </c>
      <c r="D1015" t="str">
        <f>VLOOKUP(categories!B1015,'categories-old'!B:H,7,FALSE)</f>
        <v>www.americanretailsupply.com\64905\243708\Miscellaneous-Closeout\Price-Channel-Numbers.html</v>
      </c>
    </row>
    <row r="1016" spans="1:5" hidden="1" x14ac:dyDescent="0.25">
      <c r="A1016" t="str">
        <f>IF(LEN('categories-old'!G1016) &gt; 0, "INSERT INTO `catalog_category_entity_varchar` (attribute_id,store_id,entity_id,value) VALUES (48,0,"&amp;'categories-old'!B1016&amp;",'"&amp;RIGHT('categories-old'!G1016,LEN('categories-old'!G1016)-1)&amp;"');","")</f>
        <v/>
      </c>
      <c r="B1016" t="str">
        <f>IF(LEN(categories!G1016) &gt; 0, "INSERT INTO `catalog_category_entity_varchar` (attribute_id,store_id,entity_id,value) VALUES (48,0,"&amp;categories!B1016&amp;",'"&amp;RIGHT(categories!G1016,LEN(categories!G1016)-1)&amp;"');","")</f>
        <v>INSERT INTO `catalog_category_entity_varchar` (attribute_id,store_id,entity_id,value) VALUES (48,0,939,'img3/imgbb9f.jpg');</v>
      </c>
      <c r="C1016" t="str">
        <f>VLOOKUP(categories!B1016,'categories-old'!B:G,6,FALSE)</f>
        <v>/img3/imgbb9f.jpg</v>
      </c>
      <c r="D1016" t="str">
        <f>VLOOKUP(categories!B1016,'categories-old'!B:H,7,FALSE)</f>
        <v>www.americanretailsupply.com\64905\244591\Miscellaneous-Closeout\Corrugated-Contest-Boxes.html</v>
      </c>
    </row>
    <row r="1017" spans="1:5" hidden="1" x14ac:dyDescent="0.25">
      <c r="A1017" t="str">
        <f>IF(LEN('categories-old'!G1017) &gt; 0, "INSERT INTO `catalog_category_entity_varchar` (attribute_id,store_id,entity_id,value) VALUES (48,0,"&amp;'categories-old'!B1017&amp;",'"&amp;RIGHT('categories-old'!G1017,LEN('categories-old'!G1017)-1)&amp;"');","")</f>
        <v>INSERT INTO `catalog_category_entity_varchar` (attribute_id,store_id,entity_id,value) VALUES (48,0,938,'img2/imgc364.jpg');</v>
      </c>
      <c r="B1017" t="str">
        <f>IF(LEN(categories!G1017) &gt; 0, "INSERT INTO `catalog_category_entity_varchar` (attribute_id,store_id,entity_id,value) VALUES (48,0,"&amp;categories!B1017&amp;",'"&amp;RIGHT(categories!G1017,LEN(categories!G1017)-1)&amp;"');","")</f>
        <v>INSERT INTO `catalog_category_entity_varchar` (attribute_id,store_id,entity_id,value) VALUES (48,0,940,'img2/img22e4.jpg');</v>
      </c>
      <c r="C1017" t="str">
        <f>VLOOKUP(categories!B1017,'categories-old'!B:G,6,FALSE)</f>
        <v>/img2/img22e4.jpg</v>
      </c>
      <c r="D1017" t="str">
        <f>VLOOKUP(categories!B1017,'categories-old'!B:H,7,FALSE)</f>
        <v>www.americanretailsupply.com\64905\244695\Miscellaneous-Closeout\Inventory-Tag-2-Part-Carbonless.html</v>
      </c>
    </row>
    <row r="1018" spans="1:5" hidden="1" x14ac:dyDescent="0.25">
      <c r="A1018" t="str">
        <f>IF(LEN('categories-old'!G1018) &gt; 0, "INSERT INTO `catalog_category_entity_varchar` (attribute_id,store_id,entity_id,value) VALUES (48,0,"&amp;'categories-old'!B1018&amp;",'"&amp;RIGHT('categories-old'!G1018,LEN('categories-old'!G1018)-1)&amp;"');","")</f>
        <v>INSERT INTO `catalog_category_entity_varchar` (attribute_id,store_id,entity_id,value) VALUES (48,0,939,'img3/imgbb9f.jpg');</v>
      </c>
      <c r="B1018" t="str">
        <f>IF(LEN(categories!G1018) &gt; 0, "INSERT INTO `catalog_category_entity_varchar` (attribute_id,store_id,entity_id,value) VALUES (48,0,"&amp;categories!B1018&amp;",'"&amp;RIGHT(categories!G1018,LEN(categories!G1018)-1)&amp;"');","")</f>
        <v>INSERT INTO `catalog_category_entity_varchar` (attribute_id,store_id,entity_id,value) VALUES (48,0,941,'img3/img597c.jpg');</v>
      </c>
      <c r="C1018" t="str">
        <f>VLOOKUP(categories!B1018,'categories-old'!B:G,6,FALSE)</f>
        <v>/img3/img597c.jpg</v>
      </c>
      <c r="D1018" t="str">
        <f>VLOOKUP(categories!B1018,'categories-old'!B:H,7,FALSE)</f>
        <v>www.americanretailsupply.com\64905\246267\Miscellaneous-Closeout\Wire-Fixture-Sign-Holder-Clear-PVC-Plastic.html</v>
      </c>
    </row>
    <row r="1019" spans="1:5" hidden="1" x14ac:dyDescent="0.25">
      <c r="A1019" t="str">
        <f>IF(LEN('categories-old'!G1019) &gt; 0, "INSERT INTO `catalog_category_entity_varchar` (attribute_id,store_id,entity_id,value) VALUES (48,0,"&amp;'categories-old'!B1019&amp;",'"&amp;RIGHT('categories-old'!G1019,LEN('categories-old'!G1019)-1)&amp;"');","")</f>
        <v>INSERT INTO `catalog_category_entity_varchar` (attribute_id,store_id,entity_id,value) VALUES (48,0,940,'img2/img22e4.jpg');</v>
      </c>
      <c r="B1019" t="str">
        <f>IF(LEN(categories!G1019) &gt; 0, "INSERT INTO `catalog_category_entity_varchar` (attribute_id,store_id,entity_id,value) VALUES (48,0,"&amp;categories!B1019&amp;",'"&amp;RIGHT(categories!G1019,LEN(categories!G1019)-1)&amp;"');","")</f>
        <v>INSERT INTO `catalog_category_entity_varchar` (attribute_id,store_id,entity_id,value) VALUES (48,0,942,'img3/imgc052.jpg');</v>
      </c>
      <c r="C1019" t="str">
        <f>VLOOKUP(categories!B1019,'categories-old'!B:G,6,FALSE)</f>
        <v>/img3/imgc052.jpg</v>
      </c>
      <c r="D1019" t="str">
        <f>VLOOKUP(categories!B1019,'categories-old'!B:H,7,FALSE)</f>
        <v>www.americanretailsupply.com\64905\434067\Miscellaneous-Closeout\Deluxe-Clip.html</v>
      </c>
    </row>
    <row r="1020" spans="1:5" hidden="1" x14ac:dyDescent="0.25">
      <c r="A1020" t="str">
        <f>IF(LEN('categories-old'!G1020) &gt; 0, "INSERT INTO `catalog_category_entity_varchar` (attribute_id,store_id,entity_id,value) VALUES (48,0,"&amp;'categories-old'!B1020&amp;",'"&amp;RIGHT('categories-old'!G1020,LEN('categories-old'!G1020)-1)&amp;"');","")</f>
        <v>INSERT INTO `catalog_category_entity_varchar` (attribute_id,store_id,entity_id,value) VALUES (48,0,941,'img3/img597c.jpg');</v>
      </c>
      <c r="B1020" t="str">
        <f>IF(LEN(categories!G1020) &gt; 0, "INSERT INTO `catalog_category_entity_varchar` (attribute_id,store_id,entity_id,value) VALUES (48,0,"&amp;categories!B1020&amp;",'"&amp;RIGHT(categories!G1020,LEN(categories!G1020)-1)&amp;"');","")</f>
        <v>INSERT INTO `catalog_category_entity_varchar` (attribute_id,store_id,entity_id,value) VALUES (48,0,943,'img2/img68f9.jpg');</v>
      </c>
      <c r="C1020" t="str">
        <f>VLOOKUP(categories!B1020,'categories-old'!B:G,6,FALSE)</f>
        <v>/img2/img68f9.jpg</v>
      </c>
      <c r="D1020" t="str">
        <f>VLOOKUP(categories!B1020,'categories-old'!B:H,7,FALSE)</f>
        <v>www.americanretailsupply.com\64905\434403\Miscellaneous-Closeout\Standard-Clip.html</v>
      </c>
    </row>
    <row r="1021" spans="1:5" hidden="1" x14ac:dyDescent="0.25">
      <c r="A1021" t="str">
        <f>IF(LEN('categories-old'!G1021) &gt; 0, "INSERT INTO `catalog_category_entity_varchar` (attribute_id,store_id,entity_id,value) VALUES (48,0,"&amp;'categories-old'!B1021&amp;",'"&amp;RIGHT('categories-old'!G1021,LEN('categories-old'!G1021)-1)&amp;"');","")</f>
        <v>INSERT INTO `catalog_category_entity_varchar` (attribute_id,store_id,entity_id,value) VALUES (48,0,942,'img3/imgc052.jpg');</v>
      </c>
      <c r="B1021" t="str">
        <f>IF(LEN(categories!G1021) &gt; 0, "INSERT INTO `catalog_category_entity_varchar` (attribute_id,store_id,entity_id,value) VALUES (48,0,"&amp;categories!B1021&amp;",'"&amp;RIGHT(categories!G1021,LEN(categories!G1021)-1)&amp;"');","")</f>
        <v/>
      </c>
      <c r="C1021">
        <f>VLOOKUP(categories!B1021,'categories-old'!B:G,6,FALSE)</f>
        <v>0</v>
      </c>
      <c r="D1021" t="str">
        <f>VLOOKUP(categories!B1021,'categories-old'!B:H,7,FALSE)</f>
        <v>www.americanretailsupply.com\64905\437273\Miscellaneous-Closeout\Pig-Tail-Card-Holder-Closeout.html</v>
      </c>
      <c r="E1021" t="str">
        <f>SUBSTITUTE(SUBSTITUTE(D1021,"\","/"),"www.americanretailsupply.com/","")</f>
        <v>64905/437273/Miscellaneous-Closeout/Pig-Tail-Card-Holder-Closeout.html</v>
      </c>
    </row>
    <row r="1022" spans="1:5" hidden="1" x14ac:dyDescent="0.25">
      <c r="A1022" t="str">
        <f>IF(LEN('categories-old'!G1022) &gt; 0, "INSERT INTO `catalog_category_entity_varchar` (attribute_id,store_id,entity_id,value) VALUES (48,0,"&amp;'categories-old'!B1022&amp;",'"&amp;RIGHT('categories-old'!G1022,LEN('categories-old'!G1022)-1)&amp;"');","")</f>
        <v>INSERT INTO `catalog_category_entity_varchar` (attribute_id,store_id,entity_id,value) VALUES (48,0,943,'img2/img68f9.jpg');</v>
      </c>
      <c r="B1022" t="str">
        <f>IF(LEN(categories!G1022) &gt; 0, "INSERT INTO `catalog_category_entity_varchar` (attribute_id,store_id,entity_id,value) VALUES (48,0,"&amp;categories!B1022&amp;",'"&amp;RIGHT(categories!G1022,LEN(categories!G1022)-1)&amp;"');","")</f>
        <v>INSERT INTO `catalog_category_entity_varchar` (attribute_id,store_id,entity_id,value) VALUES (48,0,945,'img2/img1499.jpg');</v>
      </c>
      <c r="C1022" t="str">
        <f>VLOOKUP(categories!B1022,'categories-old'!B:G,6,FALSE)</f>
        <v>/img2/img1499.jpg</v>
      </c>
      <c r="D1022" t="str">
        <f>VLOOKUP(categories!B1022,'categories-old'!B:H,7,FALSE)</f>
        <v>www.americanretailsupply.com\64905\733508\Miscellaneous-Closeout\Sign-Cards.html</v>
      </c>
    </row>
    <row r="1023" spans="1:5" hidden="1" x14ac:dyDescent="0.25">
      <c r="A1023" t="str">
        <f>IF(LEN('categories-old'!G1023) &gt; 0, "INSERT INTO `catalog_category_entity_varchar` (attribute_id,store_id,entity_id,value) VALUES (48,0,"&amp;'categories-old'!B1023&amp;",'"&amp;RIGHT('categories-old'!G1023,LEN('categories-old'!G1023)-1)&amp;"');","")</f>
        <v/>
      </c>
      <c r="B1023" t="str">
        <f>IF(LEN(categories!G1023) &gt; 0, "INSERT INTO `catalog_category_entity_varchar` (attribute_id,store_id,entity_id,value) VALUES (48,0,"&amp;categories!B1023&amp;",'"&amp;RIGHT(categories!G1023,LEN(categories!G1023)-1)&amp;"');","")</f>
        <v>INSERT INTO `catalog_category_entity_varchar` (attribute_id,store_id,entity_id,value) VALUES (48,0,947,'img3/imgf2be.jpg');</v>
      </c>
      <c r="C1023" t="str">
        <f>VLOOKUP(categories!B1023,'categories-old'!B:G,6,FALSE)</f>
        <v>/img3/imgf2be.jpg</v>
      </c>
      <c r="D1023" t="str">
        <f>VLOOKUP(categories!B1023,'categories-old'!B:H,7,FALSE)</f>
        <v>www.americanretailsupply.com\64981\783043\Miscellaneous-Sign-Holders\Sign-Holder-with-Clamp.html</v>
      </c>
    </row>
    <row r="1024" spans="1:5" hidden="1" x14ac:dyDescent="0.25">
      <c r="A1024" t="str">
        <f>IF(LEN('categories-old'!G1024) &gt; 0, "INSERT INTO `catalog_category_entity_varchar` (attribute_id,store_id,entity_id,value) VALUES (48,0,"&amp;'categories-old'!B1024&amp;",'"&amp;RIGHT('categories-old'!G1024,LEN('categories-old'!G1024)-1)&amp;"');","")</f>
        <v>INSERT INTO `catalog_category_entity_varchar` (attribute_id,store_id,entity_id,value) VALUES (48,0,945,'img2/img1499.jpg');</v>
      </c>
      <c r="B1024" t="str">
        <f>IF(LEN(categories!G1024) &gt; 0, "INSERT INTO `catalog_category_entity_varchar` (attribute_id,store_id,entity_id,value) VALUES (48,0,"&amp;categories!B1024&amp;",'"&amp;RIGHT(categories!G1024,LEN(categories!G1024)-1)&amp;"');","")</f>
        <v>INSERT INTO `catalog_category_entity_varchar` (attribute_id,store_id,entity_id,value) VALUES (48,0,948,'img1/imgd306.jpg');</v>
      </c>
      <c r="C1024" t="str">
        <f>VLOOKUP(categories!B1024,'categories-old'!B:G,6,FALSE)</f>
        <v>/img1/imgd306.jpg</v>
      </c>
      <c r="D1024" t="str">
        <f>VLOOKUP(categories!B1024,'categories-old'!B:H,7,FALSE)</f>
        <v>www.americanretailsupply.com\64981\783044\Miscellaneous-Sign-Holders\Sign-and-or-Menu-Card-Holder.html</v>
      </c>
    </row>
    <row r="1025" spans="1:4" hidden="1" x14ac:dyDescent="0.25">
      <c r="A1025" t="str">
        <f>IF(LEN('categories-old'!G1025) &gt; 0, "INSERT INTO `catalog_category_entity_varchar` (attribute_id,store_id,entity_id,value) VALUES (48,0,"&amp;'categories-old'!B1025&amp;",'"&amp;RIGHT('categories-old'!G1025,LEN('categories-old'!G1025)-1)&amp;"');","")</f>
        <v>INSERT INTO `catalog_category_entity_varchar` (attribute_id,store_id,entity_id,value) VALUES (48,0,947,'img3/imgf2be.jpg');</v>
      </c>
      <c r="B1025" t="str">
        <f>IF(LEN(categories!G1025) &gt; 0, "INSERT INTO `catalog_category_entity_varchar` (attribute_id,store_id,entity_id,value) VALUES (48,0,"&amp;categories!B1025&amp;",'"&amp;RIGHT(categories!G1025,LEN(categories!G1025)-1)&amp;"');","")</f>
        <v>INSERT INTO `catalog_category_entity_varchar` (attribute_id,store_id,entity_id,value) VALUES (48,0,950,'img2/imgd737.jpg');</v>
      </c>
      <c r="C1025" t="str">
        <f>VLOOKUP(categories!B1025,'categories-old'!B:G,6,FALSE)</f>
        <v>/img2/imgd737.jpg</v>
      </c>
      <c r="D1025" t="str">
        <f>VLOOKUP(categories!B1025,'categories-old'!B:H,7,FALSE)</f>
        <v>www.americanretailsupply.com\65209\586734\Modular-Birch-Displays\Spinning-Tower-Displays.html</v>
      </c>
    </row>
    <row r="1026" spans="1:4" hidden="1" x14ac:dyDescent="0.25">
      <c r="A1026" t="str">
        <f>IF(LEN('categories-old'!G1026) &gt; 0, "INSERT INTO `catalog_category_entity_varchar` (attribute_id,store_id,entity_id,value) VALUES (48,0,"&amp;'categories-old'!B1026&amp;",'"&amp;RIGHT('categories-old'!G1026,LEN('categories-old'!G1026)-1)&amp;"');","")</f>
        <v>INSERT INTO `catalog_category_entity_varchar` (attribute_id,store_id,entity_id,value) VALUES (48,0,948,'img1/imgd306.jpg');</v>
      </c>
      <c r="B1026" t="str">
        <f>IF(LEN(categories!G1026) &gt; 0, "INSERT INTO `catalog_category_entity_varchar` (attribute_id,store_id,entity_id,value) VALUES (48,0,"&amp;categories!B1026&amp;",'"&amp;RIGHT(categories!G1026,LEN(categories!G1026)-1)&amp;"');","")</f>
        <v>INSERT INTO `catalog_category_entity_varchar` (attribute_id,store_id,entity_id,value) VALUES (48,0,951,'img2/img505c.jpg');</v>
      </c>
      <c r="C1026" t="str">
        <f>VLOOKUP(categories!B1026,'categories-old'!B:G,6,FALSE)</f>
        <v>/img2/img505c.jpg</v>
      </c>
      <c r="D1026" t="str">
        <f>VLOOKUP(categories!B1026,'categories-old'!B:H,7,FALSE)</f>
        <v>www.americanretailsupply.com\65209\586836\Modular-Birch-Displays\Display-Pedestals.html</v>
      </c>
    </row>
    <row r="1027" spans="1:4" hidden="1" x14ac:dyDescent="0.25">
      <c r="A1027" t="str">
        <f>IF(LEN('categories-old'!G1027) &gt; 0, "INSERT INTO `catalog_category_entity_varchar` (attribute_id,store_id,entity_id,value) VALUES (48,0,"&amp;'categories-old'!B1027&amp;",'"&amp;RIGHT('categories-old'!G1027,LEN('categories-old'!G1027)-1)&amp;"');","")</f>
        <v>INSERT INTO `catalog_category_entity_varchar` (attribute_id,store_id,entity_id,value) VALUES (48,0,950,'img2/imgd737.jpg');</v>
      </c>
      <c r="B1027" t="str">
        <f>IF(LEN(categories!G1027) &gt; 0, "INSERT INTO `catalog_category_entity_varchar` (attribute_id,store_id,entity_id,value) VALUES (48,0,"&amp;categories!B1027&amp;",'"&amp;RIGHT(categories!G1027,LEN(categories!G1027)-1)&amp;"');","")</f>
        <v>INSERT INTO `catalog_category_entity_varchar` (attribute_id,store_id,entity_id,value) VALUES (48,0,952,'img2/img5130.jpg');</v>
      </c>
      <c r="C1027" t="str">
        <f>VLOOKUP(categories!B1027,'categories-old'!B:G,6,FALSE)</f>
        <v>/img2/img5130.jpg</v>
      </c>
      <c r="D1027" t="str">
        <f>VLOOKUP(categories!B1027,'categories-old'!B:H,7,FALSE)</f>
        <v>www.americanretailsupply.com\65209\586837\Modular-Birch-Displays\Modular-Shelving-Units.html</v>
      </c>
    </row>
    <row r="1028" spans="1:4" hidden="1" x14ac:dyDescent="0.25">
      <c r="A1028" t="str">
        <f>IF(LEN('categories-old'!G1028) &gt; 0, "INSERT INTO `catalog_category_entity_varchar` (attribute_id,store_id,entity_id,value) VALUES (48,0,"&amp;'categories-old'!B1028&amp;",'"&amp;RIGHT('categories-old'!G1028,LEN('categories-old'!G1028)-1)&amp;"');","")</f>
        <v>INSERT INTO `catalog_category_entity_varchar` (attribute_id,store_id,entity_id,value) VALUES (48,0,951,'img2/img505c.jpg');</v>
      </c>
      <c r="B1028" t="str">
        <f>IF(LEN(categories!G1028) &gt; 0, "INSERT INTO `catalog_category_entity_varchar` (attribute_id,store_id,entity_id,value) VALUES (48,0,"&amp;categories!B1028&amp;",'"&amp;RIGHT(categories!G1028,LEN(categories!G1028)-1)&amp;"');","")</f>
        <v>INSERT INTO `catalog_category_entity_varchar` (attribute_id,store_id,entity_id,value) VALUES (48,0,954,'img3/img6b00.jpg');</v>
      </c>
      <c r="C1028" t="str">
        <f>VLOOKUP(categories!B1028,'categories-old'!B:G,6,FALSE)</f>
        <v>/img3/img6b00.jpg</v>
      </c>
      <c r="D1028" t="str">
        <f>VLOOKUP(categories!B1028,'categories-old'!B:H,7,FALSE)</f>
        <v>www.americanretailsupply.com\65357\785883\Modular-Display-Shelving\Complete-Units.html</v>
      </c>
    </row>
    <row r="1029" spans="1:4" hidden="1" x14ac:dyDescent="0.25">
      <c r="A1029" t="str">
        <f>IF(LEN('categories-old'!G1029) &gt; 0, "INSERT INTO `catalog_category_entity_varchar` (attribute_id,store_id,entity_id,value) VALUES (48,0,"&amp;'categories-old'!B1029&amp;",'"&amp;RIGHT('categories-old'!G1029,LEN('categories-old'!G1029)-1)&amp;"');","")</f>
        <v>INSERT INTO `catalog_category_entity_varchar` (attribute_id,store_id,entity_id,value) VALUES (48,0,952,'img2/img5130.jpg');</v>
      </c>
      <c r="B1029" t="str">
        <f>IF(LEN(categories!G1029) &gt; 0, "INSERT INTO `catalog_category_entity_varchar` (attribute_id,store_id,entity_id,value) VALUES (48,0,"&amp;categories!B1029&amp;",'"&amp;RIGHT(categories!G1029,LEN(categories!G1029)-1)&amp;"');","")</f>
        <v>INSERT INTO `catalog_category_entity_varchar` (attribute_id,store_id,entity_id,value) VALUES (48,0,955,'img3/img0149.jpg');</v>
      </c>
      <c r="C1029" t="str">
        <f>VLOOKUP(categories!B1029,'categories-old'!B:G,6,FALSE)</f>
        <v>/img3/img0149.jpg</v>
      </c>
      <c r="D1029" t="str">
        <f>VLOOKUP(categories!B1029,'categories-old'!B:H,7,FALSE)</f>
        <v>www.americanretailsupply.com\65357\785884\Modular-Display-Shelving\Modular-Display-Uprights.html</v>
      </c>
    </row>
    <row r="1030" spans="1:4" hidden="1" x14ac:dyDescent="0.25">
      <c r="A1030" t="str">
        <f>IF(LEN('categories-old'!G1030) &gt; 0, "INSERT INTO `catalog_category_entity_varchar` (attribute_id,store_id,entity_id,value) VALUES (48,0,"&amp;'categories-old'!B1030&amp;",'"&amp;RIGHT('categories-old'!G1030,LEN('categories-old'!G1030)-1)&amp;"');","")</f>
        <v>INSERT INTO `catalog_category_entity_varchar` (attribute_id,store_id,entity_id,value) VALUES (48,0,954,'img3/img6b00.jpg');</v>
      </c>
      <c r="B1030" t="str">
        <f>IF(LEN(categories!G1030) &gt; 0, "INSERT INTO `catalog_category_entity_varchar` (attribute_id,store_id,entity_id,value) VALUES (48,0,"&amp;categories!B1030&amp;",'"&amp;RIGHT(categories!G1030,LEN(categories!G1030)-1)&amp;"');","")</f>
        <v>INSERT INTO `catalog_category_entity_varchar` (attribute_id,store_id,entity_id,value) VALUES (48,0,956,'img3/imgcbb5.jpg');</v>
      </c>
      <c r="C1030" t="str">
        <f>VLOOKUP(categories!B1030,'categories-old'!B:G,6,FALSE)</f>
        <v>/img3/imgcbb5.jpg</v>
      </c>
      <c r="D1030" t="str">
        <f>VLOOKUP(categories!B1030,'categories-old'!B:H,7,FALSE)</f>
        <v>www.americanretailsupply.com\65357\785885\Modular-Display-Shelving\Modular-Display-Shelves.html</v>
      </c>
    </row>
    <row r="1031" spans="1:4" hidden="1" x14ac:dyDescent="0.25">
      <c r="A1031" t="str">
        <f>IF(LEN('categories-old'!G1031) &gt; 0, "INSERT INTO `catalog_category_entity_varchar` (attribute_id,store_id,entity_id,value) VALUES (48,0,"&amp;'categories-old'!B1031&amp;",'"&amp;RIGHT('categories-old'!G1031,LEN('categories-old'!G1031)-1)&amp;"');","")</f>
        <v>INSERT INTO `catalog_category_entity_varchar` (attribute_id,store_id,entity_id,value) VALUES (48,0,955,'img3/img0149.jpg');</v>
      </c>
      <c r="B1031" t="str">
        <f>IF(LEN(categories!G1031) &gt; 0, "INSERT INTO `catalog_category_entity_varchar` (attribute_id,store_id,entity_id,value) VALUES (48,0,"&amp;categories!B1031&amp;",'"&amp;RIGHT(categories!G1031,LEN(categories!G1031)-1)&amp;"');","")</f>
        <v>INSERT INTO `catalog_category_entity_varchar` (attribute_id,store_id,entity_id,value) VALUES (48,0,957,'img1/img015e.jpg');</v>
      </c>
      <c r="C1031" t="str">
        <f>VLOOKUP(categories!B1031,'categories-old'!B:G,6,FALSE)</f>
        <v>/img1/img015e.jpg</v>
      </c>
      <c r="D1031" t="str">
        <f>VLOOKUP(categories!B1031,'categories-old'!B:H,7,FALSE)</f>
        <v>www.americanretailsupply.com\65357\785886\Modular-Display-Shelving\Modular-Display-Cross-Pieces.html</v>
      </c>
    </row>
    <row r="1032" spans="1:4" hidden="1" x14ac:dyDescent="0.25">
      <c r="A1032" t="str">
        <f>IF(LEN('categories-old'!G1032) &gt; 0, "INSERT INTO `catalog_category_entity_varchar` (attribute_id,store_id,entity_id,value) VALUES (48,0,"&amp;'categories-old'!B1032&amp;",'"&amp;RIGHT('categories-old'!G1032,LEN('categories-old'!G1032)-1)&amp;"');","")</f>
        <v>INSERT INTO `catalog_category_entity_varchar` (attribute_id,store_id,entity_id,value) VALUES (48,0,956,'img3/imgcbb5.jpg');</v>
      </c>
      <c r="B1032" t="str">
        <f>IF(LEN(categories!G1032) &gt; 0, "INSERT INTO `catalog_category_entity_varchar` (attribute_id,store_id,entity_id,value) VALUES (48,0,"&amp;categories!B1032&amp;",'"&amp;RIGHT(categories!G1032,LEN(categories!G1032)-1)&amp;"');","")</f>
        <v>INSERT INTO `catalog_category_entity_varchar` (attribute_id,store_id,entity_id,value) VALUES (48,0,958,'img2/img87eb.jpg');</v>
      </c>
      <c r="C1032" t="str">
        <f>VLOOKUP(categories!B1032,'categories-old'!B:G,6,FALSE)</f>
        <v>/img2/img87eb.jpg</v>
      </c>
      <c r="D1032" t="str">
        <f>VLOOKUP(categories!B1032,'categories-old'!B:H,7,FALSE)</f>
        <v>www.americanretailsupply.com\65357\785887\Modular-Display-Shelving\Modular-Display-Accessories.html</v>
      </c>
    </row>
    <row r="1033" spans="1:4" hidden="1" x14ac:dyDescent="0.25">
      <c r="A1033" t="str">
        <f>IF(LEN('categories-old'!G1033) &gt; 0, "INSERT INTO `catalog_category_entity_varchar` (attribute_id,store_id,entity_id,value) VALUES (48,0,"&amp;'categories-old'!B1033&amp;",'"&amp;RIGHT('categories-old'!G1033,LEN('categories-old'!G1033)-1)&amp;"');","")</f>
        <v>INSERT INTO `catalog_category_entity_varchar` (attribute_id,store_id,entity_id,value) VALUES (48,0,957,'img1/img015e.jpg');</v>
      </c>
      <c r="B1033" t="str">
        <f>IF(LEN(categories!G1033) &gt; 0, "INSERT INTO `catalog_category_entity_varchar` (attribute_id,store_id,entity_id,value) VALUES (48,0,"&amp;categories!B1033&amp;",'"&amp;RIGHT(categories!G1033,LEN(categories!G1033)-1)&amp;"');","")</f>
        <v>INSERT INTO `catalog_category_entity_varchar` (attribute_id,store_id,entity_id,value) VALUES (48,0,960,'img1/img5e2f.jpg');</v>
      </c>
      <c r="C1033" t="str">
        <f>VLOOKUP(categories!B1033,'categories-old'!B:G,6,FALSE)</f>
        <v>/img1/img5e2f.jpg</v>
      </c>
      <c r="D1033" t="str">
        <f>VLOOKUP(categories!B1033,'categories-old'!B:H,7,FALSE)</f>
        <v>www.americanretailsupply.com\65153\17039\Molded-Forms\Soft-Silhouette-Forms.html</v>
      </c>
    </row>
    <row r="1034" spans="1:4" hidden="1" x14ac:dyDescent="0.25">
      <c r="A1034" t="str">
        <f>IF(LEN('categories-old'!G1034) &gt; 0, "INSERT INTO `catalog_category_entity_varchar` (attribute_id,store_id,entity_id,value) VALUES (48,0,"&amp;'categories-old'!B1034&amp;",'"&amp;RIGHT('categories-old'!G1034,LEN('categories-old'!G1034)-1)&amp;"');","")</f>
        <v>INSERT INTO `catalog_category_entity_varchar` (attribute_id,store_id,entity_id,value) VALUES (48,0,958,'img2/img87eb.jpg');</v>
      </c>
      <c r="B1034" t="str">
        <f>IF(LEN(categories!G1034) &gt; 0, "INSERT INTO `catalog_category_entity_varchar` (attribute_id,store_id,entity_id,value) VALUES (48,0,"&amp;categories!B1034&amp;",'"&amp;RIGHT(categories!G1034,LEN(categories!G1034)-1)&amp;"');","")</f>
        <v>INSERT INTO `catalog_category_entity_varchar` (attribute_id,store_id,entity_id,value) VALUES (48,0,961,'img3/imgb80f.jpg');</v>
      </c>
      <c r="C1034" t="str">
        <f>VLOOKUP(categories!B1034,'categories-old'!B:G,6,FALSE)</f>
        <v>/img3/imgb80f.jpg</v>
      </c>
      <c r="D1034" t="str">
        <f>VLOOKUP(categories!B1034,'categories-old'!B:H,7,FALSE)</f>
        <v>www.americanretailsupply.com\65153\36391\Molded-Forms\Junior-Size-Molded-Forms.html</v>
      </c>
    </row>
    <row r="1035" spans="1:4" hidden="1" x14ac:dyDescent="0.25">
      <c r="A1035" t="str">
        <f>IF(LEN('categories-old'!G1035) &gt; 0, "INSERT INTO `catalog_category_entity_varchar` (attribute_id,store_id,entity_id,value) VALUES (48,0,"&amp;'categories-old'!B1035&amp;",'"&amp;RIGHT('categories-old'!G1035,LEN('categories-old'!G1035)-1)&amp;"');","")</f>
        <v>INSERT INTO `catalog_category_entity_varchar` (attribute_id,store_id,entity_id,value) VALUES (48,0,960,'img1/img5e2f.jpg');</v>
      </c>
      <c r="B1035" t="str">
        <f>IF(LEN(categories!G1035) &gt; 0, "INSERT INTO `catalog_category_entity_varchar` (attribute_id,store_id,entity_id,value) VALUES (48,0,"&amp;categories!B1035&amp;",'"&amp;RIGHT(categories!G1035,LEN(categories!G1035)-1)&amp;"');","")</f>
        <v>INSERT INTO `catalog_category_entity_varchar` (attribute_id,store_id,entity_id,value) VALUES (48,0,962,'img3/img8de8.jpg');</v>
      </c>
      <c r="C1035" t="str">
        <f>VLOOKUP(categories!B1035,'categories-old'!B:G,6,FALSE)</f>
        <v>/img3/img8de8.jpg</v>
      </c>
      <c r="D1035" t="str">
        <f>VLOOKUP(categories!B1035,'categories-old'!B:H,7,FALSE)</f>
        <v>www.americanretailsupply.com\65153\36393\Molded-Forms\Junior-Swimwear-Molded-Forms.html</v>
      </c>
    </row>
    <row r="1036" spans="1:4" hidden="1" x14ac:dyDescent="0.25">
      <c r="A1036" t="str">
        <f>IF(LEN('categories-old'!G1036) &gt; 0, "INSERT INTO `catalog_category_entity_varchar` (attribute_id,store_id,entity_id,value) VALUES (48,0,"&amp;'categories-old'!B1036&amp;",'"&amp;RIGHT('categories-old'!G1036,LEN('categories-old'!G1036)-1)&amp;"');","")</f>
        <v>INSERT INTO `catalog_category_entity_varchar` (attribute_id,store_id,entity_id,value) VALUES (48,0,961,'img3/imgb80f.jpg');</v>
      </c>
      <c r="B1036" t="str">
        <f>IF(LEN(categories!G1036) &gt; 0, "INSERT INTO `catalog_category_entity_varchar` (attribute_id,store_id,entity_id,value) VALUES (48,0,"&amp;categories!B1036&amp;",'"&amp;RIGHT(categories!G1036,LEN(categories!G1036)-1)&amp;"');","")</f>
        <v>INSERT INTO `catalog_category_entity_varchar` (attribute_id,store_id,entity_id,value) VALUES (48,0,963,'img2/img7d07.jpg');</v>
      </c>
      <c r="C1036" t="str">
        <f>VLOOKUP(categories!B1036,'categories-old'!B:G,6,FALSE)</f>
        <v>/img2/img7d07.jpg</v>
      </c>
      <c r="D1036" t="str">
        <f>VLOOKUP(categories!B1036,'categories-old'!B:H,7,FALSE)</f>
        <v>www.americanretailsupply.com\65153\36394\Molded-Forms\Misses-Molded-Forms.html</v>
      </c>
    </row>
    <row r="1037" spans="1:4" hidden="1" x14ac:dyDescent="0.25">
      <c r="A1037" t="str">
        <f>IF(LEN('categories-old'!G1037) &gt; 0, "INSERT INTO `catalog_category_entity_varchar` (attribute_id,store_id,entity_id,value) VALUES (48,0,"&amp;'categories-old'!B1037&amp;",'"&amp;RIGHT('categories-old'!G1037,LEN('categories-old'!G1037)-1)&amp;"');","")</f>
        <v>INSERT INTO `catalog_category_entity_varchar` (attribute_id,store_id,entity_id,value) VALUES (48,0,962,'img3/img8de8.jpg');</v>
      </c>
      <c r="B1037" t="str">
        <f>IF(LEN(categories!G1037) &gt; 0, "INSERT INTO `catalog_category_entity_varchar` (attribute_id,store_id,entity_id,value) VALUES (48,0,"&amp;categories!B1037&amp;",'"&amp;RIGHT(categories!G1037,LEN(categories!G1037)-1)&amp;"');","")</f>
        <v>INSERT INTO `catalog_category_entity_varchar` (attribute_id,store_id,entity_id,value) VALUES (48,0,964,'img3/img2293-2.jpg');</v>
      </c>
      <c r="C1037" t="str">
        <f>VLOOKUP(categories!B1037,'categories-old'!B:G,6,FALSE)</f>
        <v>/img3/img2293-2.jpg</v>
      </c>
      <c r="D1037" t="str">
        <f>VLOOKUP(categories!B1037,'categories-old'!B:H,7,FALSE)</f>
        <v>www.americanretailsupply.com\65153\36395\Molded-Forms\Male-Full-Torso-Molded-Forms.html</v>
      </c>
    </row>
    <row r="1038" spans="1:4" hidden="1" x14ac:dyDescent="0.25">
      <c r="A1038" t="str">
        <f>IF(LEN('categories-old'!G1038) &gt; 0, "INSERT INTO `catalog_category_entity_varchar` (attribute_id,store_id,entity_id,value) VALUES (48,0,"&amp;'categories-old'!B1038&amp;",'"&amp;RIGHT('categories-old'!G1038,LEN('categories-old'!G1038)-1)&amp;"');","")</f>
        <v>INSERT INTO `catalog_category_entity_varchar` (attribute_id,store_id,entity_id,value) VALUES (48,0,963,'img2/img7d07.jpg');</v>
      </c>
      <c r="B1038" t="str">
        <f>IF(LEN(categories!G1038) &gt; 0, "INSERT INTO `catalog_category_entity_varchar` (attribute_id,store_id,entity_id,value) VALUES (48,0,"&amp;categories!B1038&amp;",'"&amp;RIGHT(categories!G1038,LEN(categories!G1038)-1)&amp;"');","")</f>
        <v>INSERT INTO `catalog_category_entity_varchar` (attribute_id,store_id,entity_id,value) VALUES (48,0,965,'img2/img5964.jpg');</v>
      </c>
      <c r="C1038" t="str">
        <f>VLOOKUP(categories!B1038,'categories-old'!B:G,6,FALSE)</f>
        <v>/img2/img5964.jpg</v>
      </c>
      <c r="D1038" t="str">
        <f>VLOOKUP(categories!B1038,'categories-old'!B:H,7,FALSE)</f>
        <v>www.americanretailsupply.com\65153\156945\Molded-Forms\Ladies-Full-Round-58-Flange-Black.html</v>
      </c>
    </row>
    <row r="1039" spans="1:4" hidden="1" x14ac:dyDescent="0.25">
      <c r="A1039" t="str">
        <f>IF(LEN('categories-old'!G1039) &gt; 0, "INSERT INTO `catalog_category_entity_varchar` (attribute_id,store_id,entity_id,value) VALUES (48,0,"&amp;'categories-old'!B1039&amp;",'"&amp;RIGHT('categories-old'!G1039,LEN('categories-old'!G1039)-1)&amp;"');","")</f>
        <v>INSERT INTO `catalog_category_entity_varchar` (attribute_id,store_id,entity_id,value) VALUES (48,0,964,'img3/img2293-2.jpg');</v>
      </c>
      <c r="B1039" t="str">
        <f>IF(LEN(categories!G1039) &gt; 0, "INSERT INTO `catalog_category_entity_varchar` (attribute_id,store_id,entity_id,value) VALUES (48,0,"&amp;categories!B1039&amp;",'"&amp;RIGHT(categories!G1039,LEN(categories!G1039)-1)&amp;"');","")</f>
        <v>INSERT INTO `catalog_category_entity_varchar` (attribute_id,store_id,entity_id,value) VALUES (48,0,966,'img1/img6b4f.jpg');</v>
      </c>
      <c r="C1039" t="str">
        <f>VLOOKUP(categories!B1039,'categories-old'!B:G,6,FALSE)</f>
        <v>/img1/img6b4f.jpg</v>
      </c>
      <c r="D1039" t="str">
        <f>VLOOKUP(categories!B1039,'categories-old'!B:H,7,FALSE)</f>
        <v>www.americanretailsupply.com\65153\156946\Molded-Forms\Mens-Full-Round-58-Flange-Black.html</v>
      </c>
    </row>
    <row r="1040" spans="1:4" hidden="1" x14ac:dyDescent="0.25">
      <c r="A1040" t="str">
        <f>IF(LEN('categories-old'!G1040) &gt; 0, "INSERT INTO `catalog_category_entity_varchar` (attribute_id,store_id,entity_id,value) VALUES (48,0,"&amp;'categories-old'!B1040&amp;",'"&amp;RIGHT('categories-old'!G1040,LEN('categories-old'!G1040)-1)&amp;"');","")</f>
        <v>INSERT INTO `catalog_category_entity_varchar` (attribute_id,store_id,entity_id,value) VALUES (48,0,965,'img2/img5964.jpg');</v>
      </c>
      <c r="B1040" t="str">
        <f>IF(LEN(categories!G1040) &gt; 0, "INSERT INTO `catalog_category_entity_varchar` (attribute_id,store_id,entity_id,value) VALUES (48,0,"&amp;categories!B1040&amp;",'"&amp;RIGHT(categories!G1040,LEN(categories!G1040)-1)&amp;"');","")</f>
        <v>INSERT INTO `catalog_category_entity_varchar` (attribute_id,store_id,entity_id,value) VALUES (48,0,967,'img1/imgcf36.jpg');</v>
      </c>
      <c r="C1040" t="str">
        <f>VLOOKUP(categories!B1040,'categories-old'!B:G,6,FALSE)</f>
        <v>/img1/imgcf36.jpg</v>
      </c>
      <c r="D1040" t="str">
        <f>VLOOKUP(categories!B1040,'categories-old'!B:H,7,FALSE)</f>
        <v>www.americanretailsupply.com\65153\156947\Molded-Forms\Female-Full-Round-Butt-Form.html</v>
      </c>
    </row>
    <row r="1041" spans="1:4" hidden="1" x14ac:dyDescent="0.25">
      <c r="A1041" t="str">
        <f>IF(LEN('categories-old'!G1041) &gt; 0, "INSERT INTO `catalog_category_entity_varchar` (attribute_id,store_id,entity_id,value) VALUES (48,0,"&amp;'categories-old'!B1041&amp;",'"&amp;RIGHT('categories-old'!G1041,LEN('categories-old'!G1041)-1)&amp;"');","")</f>
        <v>INSERT INTO `catalog_category_entity_varchar` (attribute_id,store_id,entity_id,value) VALUES (48,0,966,'img1/img6b4f.jpg');</v>
      </c>
      <c r="B1041" t="str">
        <f>IF(LEN(categories!G1041) &gt; 0, "INSERT INTO `catalog_category_entity_varchar` (attribute_id,store_id,entity_id,value) VALUES (48,0,"&amp;categories!B1041&amp;",'"&amp;RIGHT(categories!G1041,LEN(categories!G1041)-1)&amp;"');","")</f>
        <v>INSERT INTO `catalog_category_entity_varchar` (attribute_id,store_id,entity_id,value) VALUES (48,0,968,'img3/img6ed1.jpg');</v>
      </c>
      <c r="C1041" t="str">
        <f>VLOOKUP(categories!B1041,'categories-old'!B:G,6,FALSE)</f>
        <v>/img3/img6ed1.jpg</v>
      </c>
      <c r="D1041" t="str">
        <f>VLOOKUP(categories!B1041,'categories-old'!B:H,7,FALSE)</f>
        <v>www.americanretailsupply.com\65153\156948\Molded-Forms\Full-Round-Active-Wear-Cameo.html</v>
      </c>
    </row>
    <row r="1042" spans="1:4" hidden="1" x14ac:dyDescent="0.25">
      <c r="A1042" t="str">
        <f>IF(LEN('categories-old'!G1042) &gt; 0, "INSERT INTO `catalog_category_entity_varchar` (attribute_id,store_id,entity_id,value) VALUES (48,0,"&amp;'categories-old'!B1042&amp;",'"&amp;RIGHT('categories-old'!G1042,LEN('categories-old'!G1042)-1)&amp;"');","")</f>
        <v>INSERT INTO `catalog_category_entity_varchar` (attribute_id,store_id,entity_id,value) VALUES (48,0,967,'img1/imgcf36.jpg');</v>
      </c>
      <c r="B1042" t="str">
        <f>IF(LEN(categories!G1042) &gt; 0, "INSERT INTO `catalog_category_entity_varchar` (attribute_id,store_id,entity_id,value) VALUES (48,0,"&amp;categories!B1042&amp;",'"&amp;RIGHT(categories!G1042,LEN(categories!G1042)-1)&amp;"');","")</f>
        <v>INSERT INTO `catalog_category_entity_varchar` (attribute_id,store_id,entity_id,value) VALUES (48,0,969,'img2/imgd66b.jpg');</v>
      </c>
      <c r="C1042" t="str">
        <f>VLOOKUP(categories!B1042,'categories-old'!B:G,6,FALSE)</f>
        <v>/img2/imgd66b.jpg</v>
      </c>
      <c r="D1042" t="str">
        <f>VLOOKUP(categories!B1042,'categories-old'!B:H,7,FALSE)</f>
        <v>www.americanretailsupply.com\65153\156949\Molded-Forms\Male-Full-Round-Butt-Form.html</v>
      </c>
    </row>
    <row r="1043" spans="1:4" hidden="1" x14ac:dyDescent="0.25">
      <c r="A1043" t="str">
        <f>IF(LEN('categories-old'!G1043) &gt; 0, "INSERT INTO `catalog_category_entity_varchar` (attribute_id,store_id,entity_id,value) VALUES (48,0,"&amp;'categories-old'!B1043&amp;",'"&amp;RIGHT('categories-old'!G1043,LEN('categories-old'!G1043)-1)&amp;"');","")</f>
        <v>INSERT INTO `catalog_category_entity_varchar` (attribute_id,store_id,entity_id,value) VALUES (48,0,968,'img3/img6ed1.jpg');</v>
      </c>
      <c r="B1043" t="str">
        <f>IF(LEN(categories!G1043) &gt; 0, "INSERT INTO `catalog_category_entity_varchar` (attribute_id,store_id,entity_id,value) VALUES (48,0,"&amp;categories!B1043&amp;",'"&amp;RIGHT(categories!G1043,LEN(categories!G1043)-1)&amp;"');","")</f>
        <v>INSERT INTO `catalog_category_entity_varchar` (attribute_id,store_id,entity_id,value) VALUES (48,0,970,'img2/imgb501.jpg');</v>
      </c>
      <c r="C1043" t="str">
        <f>VLOOKUP(categories!B1043,'categories-old'!B:G,6,FALSE)</f>
        <v>/img2/imgb501.jpg</v>
      </c>
      <c r="D1043" t="str">
        <f>VLOOKUP(categories!B1043,'categories-old'!B:H,7,FALSE)</f>
        <v>www.americanretailsupply.com\65153\253861\Molded-Forms\Contemporary-Design-Metal-Dress-Forms.html</v>
      </c>
    </row>
    <row r="1044" spans="1:4" hidden="1" x14ac:dyDescent="0.25">
      <c r="A1044" t="str">
        <f>IF(LEN('categories-old'!G1044) &gt; 0, "INSERT INTO `catalog_category_entity_varchar` (attribute_id,store_id,entity_id,value) VALUES (48,0,"&amp;'categories-old'!B1044&amp;",'"&amp;RIGHT('categories-old'!G1044,LEN('categories-old'!G1044)-1)&amp;"');","")</f>
        <v>INSERT INTO `catalog_category_entity_varchar` (attribute_id,store_id,entity_id,value) VALUES (48,0,969,'img2/imgd66b.jpg');</v>
      </c>
      <c r="B1044" t="str">
        <f>IF(LEN(categories!G1044) &gt; 0, "INSERT INTO `catalog_category_entity_varchar` (attribute_id,store_id,entity_id,value) VALUES (48,0,"&amp;categories!B1044&amp;",'"&amp;RIGHT(categories!G1044,LEN(categories!G1044)-1)&amp;"');","")</f>
        <v>INSERT INTO `catalog_category_entity_varchar` (attribute_id,store_id,entity_id,value) VALUES (48,0,971,'img1/imgd996.jpg');</v>
      </c>
      <c r="C1044" t="str">
        <f>VLOOKUP(categories!B1044,'categories-old'!B:G,6,FALSE)</f>
        <v>/img1/imgd996.jpg</v>
      </c>
      <c r="D1044" t="str">
        <f>VLOOKUP(categories!B1044,'categories-old'!B:H,7,FALSE)</f>
        <v>www.americanretailsupply.com\65153\741246\Molded-Forms\Ladies-Torso.html</v>
      </c>
    </row>
    <row r="1045" spans="1:4" hidden="1" x14ac:dyDescent="0.25">
      <c r="A1045" t="str">
        <f>IF(LEN('categories-old'!G1045) &gt; 0, "INSERT INTO `catalog_category_entity_varchar` (attribute_id,store_id,entity_id,value) VALUES (48,0,"&amp;'categories-old'!B1045&amp;",'"&amp;RIGHT('categories-old'!G1045,LEN('categories-old'!G1045)-1)&amp;"');","")</f>
        <v>INSERT INTO `catalog_category_entity_varchar` (attribute_id,store_id,entity_id,value) VALUES (48,0,970,'img2/imgb501.jpg');</v>
      </c>
      <c r="B1045" t="str">
        <f>IF(LEN(categories!G1045) &gt; 0, "INSERT INTO `catalog_category_entity_varchar` (attribute_id,store_id,entity_id,value) VALUES (48,0,"&amp;categories!B1045&amp;",'"&amp;RIGHT(categories!G1045,LEN(categories!G1045)-1)&amp;"');","")</f>
        <v>INSERT INTO `catalog_category_entity_varchar` (attribute_id,store_id,entity_id,value) VALUES (48,0,972,'img3/img4018.jpg');</v>
      </c>
      <c r="C1045" t="str">
        <f>VLOOKUP(categories!B1045,'categories-old'!B:G,6,FALSE)</f>
        <v>/img3/img4018.jpg</v>
      </c>
      <c r="D1045" t="str">
        <f>VLOOKUP(categories!B1045,'categories-old'!B:H,7,FALSE)</f>
        <v>www.americanretailsupply.com\65153\741247\Molded-Forms\Mens-Torso.html</v>
      </c>
    </row>
    <row r="1046" spans="1:4" hidden="1" x14ac:dyDescent="0.25">
      <c r="A1046" t="str">
        <f>IF(LEN('categories-old'!G1046) &gt; 0, "INSERT INTO `catalog_category_entity_varchar` (attribute_id,store_id,entity_id,value) VALUES (48,0,"&amp;'categories-old'!B1046&amp;",'"&amp;RIGHT('categories-old'!G1046,LEN('categories-old'!G1046)-1)&amp;"');","")</f>
        <v>INSERT INTO `catalog_category_entity_varchar` (attribute_id,store_id,entity_id,value) VALUES (48,0,971,'img1/imgd996.jpg');</v>
      </c>
      <c r="B1046" t="str">
        <f>IF(LEN(categories!G1046) &gt; 0, "INSERT INTO `catalog_category_entity_varchar` (attribute_id,store_id,entity_id,value) VALUES (48,0,"&amp;categories!B1046&amp;",'"&amp;RIGHT(categories!G1046,LEN(categories!G1046)-1)&amp;"');","")</f>
        <v>INSERT INTO `catalog_category_entity_varchar` (attribute_id,store_id,entity_id,value) VALUES (48,0,974,'img1/imgb0db.jpg');</v>
      </c>
      <c r="C1046" t="str">
        <f>VLOOKUP(categories!B1046,'categories-old'!B:G,6,FALSE)</f>
        <v>/img1/imgb0db.jpg</v>
      </c>
      <c r="D1046" t="str">
        <f>VLOOKUP(categories!B1046,'categories-old'!B:H,7,FALSE)</f>
        <v>www.americanretailsupply.com\64734\19772\Natural-Curling-Ribbon\Ribbon-Slitters.html</v>
      </c>
    </row>
    <row r="1047" spans="1:4" hidden="1" x14ac:dyDescent="0.25">
      <c r="A1047" t="str">
        <f>IF(LEN('categories-old'!G1047) &gt; 0, "INSERT INTO `catalog_category_entity_varchar` (attribute_id,store_id,entity_id,value) VALUES (48,0,"&amp;'categories-old'!B1047&amp;",'"&amp;RIGHT('categories-old'!G1047,LEN('categories-old'!G1047)-1)&amp;"');","")</f>
        <v>INSERT INTO `catalog_category_entity_varchar` (attribute_id,store_id,entity_id,value) VALUES (48,0,972,'img3/img4018.jpg');</v>
      </c>
      <c r="B1047" t="str">
        <f>IF(LEN(categories!G1047) &gt; 0, "INSERT INTO `catalog_category_entity_varchar` (attribute_id,store_id,entity_id,value) VALUES (48,0,"&amp;categories!B1047&amp;",'"&amp;RIGHT(categories!G1047,LEN(categories!G1047)-1)&amp;"');","")</f>
        <v>INSERT INTO `catalog_category_entity_varchar` (attribute_id,store_id,entity_id,value) VALUES (48,0,975,'img1/img450a.jpg');</v>
      </c>
      <c r="C1047" t="str">
        <f>VLOOKUP(categories!B1047,'categories-old'!B:G,6,FALSE)</f>
        <v>/img1/img450a.jpg</v>
      </c>
      <c r="D1047" t="str">
        <f>VLOOKUP(categories!B1047,'categories-old'!B:H,7,FALSE)</f>
        <v>www.americanretailsupply.com\64734\19643\Natural-Curling-Ribbon\Solid-Natural-Curling-Ribbon.html</v>
      </c>
    </row>
    <row r="1048" spans="1:4" hidden="1" x14ac:dyDescent="0.25">
      <c r="A1048" t="str">
        <f>IF(LEN('categories-old'!G1048) &gt; 0, "INSERT INTO `catalog_category_entity_varchar` (attribute_id,store_id,entity_id,value) VALUES (48,0,"&amp;'categories-old'!B1048&amp;",'"&amp;RIGHT('categories-old'!G1048,LEN('categories-old'!G1048)-1)&amp;"');","")</f>
        <v>INSERT INTO `catalog_category_entity_varchar` (attribute_id,store_id,entity_id,value) VALUES (48,0,974,'img1/imgb0db.jpg');</v>
      </c>
      <c r="B1048" t="str">
        <f>IF(LEN(categories!G1048) &gt; 0, "INSERT INTO `catalog_category_entity_varchar` (attribute_id,store_id,entity_id,value) VALUES (48,0,"&amp;categories!B1048&amp;",'"&amp;RIGHT(categories!G1048,LEN(categories!G1048)-1)&amp;"');","")</f>
        <v>INSERT INTO `catalog_category_entity_varchar` (attribute_id,store_id,entity_id,value) VALUES (48,0,976,'img1/img5128.jpg');</v>
      </c>
      <c r="C1048" t="str">
        <f>VLOOKUP(categories!B1048,'categories-old'!B:G,6,FALSE)</f>
        <v>/img1/img5128.jpg</v>
      </c>
      <c r="D1048" t="str">
        <f>VLOOKUP(categories!B1048,'categories-old'!B:H,7,FALSE)</f>
        <v>www.americanretailsupply.com\64734\172812\Natural-Curling-Ribbon\Hot-Dots-Natural-Curling-Ribbon.html</v>
      </c>
    </row>
    <row r="1049" spans="1:4" hidden="1" x14ac:dyDescent="0.25">
      <c r="A1049" t="str">
        <f>IF(LEN('categories-old'!G1049) &gt; 0, "INSERT INTO `catalog_category_entity_varchar` (attribute_id,store_id,entity_id,value) VALUES (48,0,"&amp;'categories-old'!B1049&amp;",'"&amp;RIGHT('categories-old'!G1049,LEN('categories-old'!G1049)-1)&amp;"');","")</f>
        <v>INSERT INTO `catalog_category_entity_varchar` (attribute_id,store_id,entity_id,value) VALUES (48,0,975,'img1/img450a.jpg');</v>
      </c>
      <c r="B1049" t="str">
        <f>IF(LEN(categories!G1049) &gt; 0, "INSERT INTO `catalog_category_entity_varchar` (attribute_id,store_id,entity_id,value) VALUES (48,0,"&amp;categories!B1049&amp;",'"&amp;RIGHT(categories!G1049,LEN(categories!G1049)-1)&amp;"');","")</f>
        <v>INSERT INTO `catalog_category_entity_varchar` (attribute_id,store_id,entity_id,value) VALUES (48,0,977,'img1/img3a64.jpg');</v>
      </c>
      <c r="C1049" t="str">
        <f>VLOOKUP(categories!B1049,'categories-old'!B:G,6,FALSE)</f>
        <v>/img1/img3a64.jpg</v>
      </c>
      <c r="D1049" t="str">
        <f>VLOOKUP(categories!B1049,'categories-old'!B:H,7,FALSE)</f>
        <v>www.americanretailsupply.com\64734\172813\Natural-Curling-Ribbon\Chambray-Natural-Curling-Ribbon.html</v>
      </c>
    </row>
    <row r="1050" spans="1:4" hidden="1" x14ac:dyDescent="0.25">
      <c r="A1050" t="str">
        <f>IF(LEN('categories-old'!G1050) &gt; 0, "INSERT INTO `catalog_category_entity_varchar` (attribute_id,store_id,entity_id,value) VALUES (48,0,"&amp;'categories-old'!B1050&amp;",'"&amp;RIGHT('categories-old'!G1050,LEN('categories-old'!G1050)-1)&amp;"');","")</f>
        <v>INSERT INTO `catalog_category_entity_varchar` (attribute_id,store_id,entity_id,value) VALUES (48,0,976,'img1/img5128.jpg');</v>
      </c>
      <c r="B1050" t="str">
        <f>IF(LEN(categories!G1050) &gt; 0, "INSERT INTO `catalog_category_entity_varchar` (attribute_id,store_id,entity_id,value) VALUES (48,0,"&amp;categories!B1050&amp;",'"&amp;RIGHT(categories!G1050,LEN(categories!G1050)-1)&amp;"');","")</f>
        <v>INSERT INTO `catalog_category_entity_varchar` (attribute_id,store_id,entity_id,value) VALUES (48,0,978,'img1/img9863.jpg');</v>
      </c>
      <c r="C1050" t="str">
        <f>VLOOKUP(categories!B1050,'categories-old'!B:G,6,FALSE)</f>
        <v>/img1/img9863.jpg</v>
      </c>
      <c r="D1050" t="str">
        <f>VLOOKUP(categories!B1050,'categories-old'!B:H,7,FALSE)</f>
        <v>www.americanretailsupply.com\64734\172814\Natural-Curling-Ribbon\Metallic-Crimped-Natural-Curling-Ribbon.html</v>
      </c>
    </row>
    <row r="1051" spans="1:4" hidden="1" x14ac:dyDescent="0.25">
      <c r="A1051" t="str">
        <f>IF(LEN('categories-old'!G1051) &gt; 0, "INSERT INTO `catalog_category_entity_varchar` (attribute_id,store_id,entity_id,value) VALUES (48,0,"&amp;'categories-old'!B1051&amp;",'"&amp;RIGHT('categories-old'!G1051,LEN('categories-old'!G1051)-1)&amp;"');","")</f>
        <v>INSERT INTO `catalog_category_entity_varchar` (attribute_id,store_id,entity_id,value) VALUES (48,0,977,'img1/img3a64.jpg');</v>
      </c>
      <c r="B1051" t="str">
        <f>IF(LEN(categories!G1051) &gt; 0, "INSERT INTO `catalog_category_entity_varchar` (attribute_id,store_id,entity_id,value) VALUES (48,0,"&amp;categories!B1051&amp;",'"&amp;RIGHT(categories!G1051,LEN(categories!G1051)-1)&amp;"');","")</f>
        <v>INSERT INTO `catalog_category_entity_varchar` (attribute_id,store_id,entity_id,value) VALUES (48,0,979,'img2/img83a5.jpg');</v>
      </c>
      <c r="C1051" t="str">
        <f>VLOOKUP(categories!B1051,'categories-old'!B:G,6,FALSE)</f>
        <v>/img2/img83a5.jpg</v>
      </c>
      <c r="D1051" t="str">
        <f>VLOOKUP(categories!B1051,'categories-old'!B:H,7,FALSE)</f>
        <v>www.americanretailsupply.com\64734\172815\Natural-Curling-Ribbon\Stripe-Natural-Curling-Ribbon.html</v>
      </c>
    </row>
    <row r="1052" spans="1:4" hidden="1" x14ac:dyDescent="0.25">
      <c r="A1052" t="str">
        <f>IF(LEN('categories-old'!G1052) &gt; 0, "INSERT INTO `catalog_category_entity_varchar` (attribute_id,store_id,entity_id,value) VALUES (48,0,"&amp;'categories-old'!B1052&amp;",'"&amp;RIGHT('categories-old'!G1052,LEN('categories-old'!G1052)-1)&amp;"');","")</f>
        <v>INSERT INTO `catalog_category_entity_varchar` (attribute_id,store_id,entity_id,value) VALUES (48,0,978,'img1/img9863.jpg');</v>
      </c>
      <c r="B1052" t="str">
        <f>IF(LEN(categories!G1052) &gt; 0, "INSERT INTO `catalog_category_entity_varchar` (attribute_id,store_id,entity_id,value) VALUES (48,0,"&amp;categories!B1052&amp;",'"&amp;RIGHT(categories!G1052,LEN(categories!G1052)-1)&amp;"');","")</f>
        <v>INSERT INTO `catalog_category_entity_varchar` (attribute_id,store_id,entity_id,value) VALUES (48,0,980,'img3/imgc48c.jpg');</v>
      </c>
      <c r="C1052" t="str">
        <f>VLOOKUP(categories!B1052,'categories-old'!B:G,6,FALSE)</f>
        <v>/img3/imgc48c.jpg</v>
      </c>
      <c r="D1052" t="str">
        <f>VLOOKUP(categories!B1052,'categories-old'!B:H,7,FALSE)</f>
        <v>www.americanretailsupply.com\64734\745607\Natural-Curling-Ribbon\Animal-Prints-Natural-Curling-Ribbon.html</v>
      </c>
    </row>
    <row r="1053" spans="1:4" hidden="1" x14ac:dyDescent="0.25">
      <c r="A1053" t="str">
        <f>IF(LEN('categories-old'!G1053) &gt; 0, "INSERT INTO `catalog_category_entity_varchar` (attribute_id,store_id,entity_id,value) VALUES (48,0,"&amp;'categories-old'!B1053&amp;",'"&amp;RIGHT('categories-old'!G1053,LEN('categories-old'!G1053)-1)&amp;"');","")</f>
        <v>INSERT INTO `catalog_category_entity_varchar` (attribute_id,store_id,entity_id,value) VALUES (48,0,979,'img2/img83a5.jpg');</v>
      </c>
      <c r="B1053" t="str">
        <f>IF(LEN(categories!G1053) &gt; 0, "INSERT INTO `catalog_category_entity_varchar` (attribute_id,store_id,entity_id,value) VALUES (48,0,"&amp;categories!B1053&amp;",'"&amp;RIGHT(categories!G1053,LEN(categories!G1053)-1)&amp;"');","")</f>
        <v>INSERT INTO `catalog_category_entity_varchar` (attribute_id,store_id,entity_id,value) VALUES (48,0,982,'img3/img4943.jpg');</v>
      </c>
      <c r="C1053" t="str">
        <f>VLOOKUP(categories!B1053,'categories-old'!B:G,6,FALSE)</f>
        <v>/img3/img4943.jpg</v>
      </c>
      <c r="D1053" t="str">
        <f>VLOOKUP(categories!B1053,'categories-old'!B:H,7,FALSE)</f>
        <v>www.americanretailsupply.com\64787\37280\Necklace--Bracelet-Displays\Bracelet-Oval-2-Bar-T--Bar.html</v>
      </c>
    </row>
    <row r="1054" spans="1:4" hidden="1" x14ac:dyDescent="0.25">
      <c r="A1054" t="str">
        <f>IF(LEN('categories-old'!G1054) &gt; 0, "INSERT INTO `catalog_category_entity_varchar` (attribute_id,store_id,entity_id,value) VALUES (48,0,"&amp;'categories-old'!B1054&amp;",'"&amp;RIGHT('categories-old'!G1054,LEN('categories-old'!G1054)-1)&amp;"');","")</f>
        <v>INSERT INTO `catalog_category_entity_varchar` (attribute_id,store_id,entity_id,value) VALUES (48,0,980,'img3/imgc48c.jpg');</v>
      </c>
      <c r="B1054" t="str">
        <f>IF(LEN(categories!G1054) &gt; 0, "INSERT INTO `catalog_category_entity_varchar` (attribute_id,store_id,entity_id,value) VALUES (48,0,"&amp;categories!B1054&amp;",'"&amp;RIGHT(categories!G1054,LEN(categories!G1054)-1)&amp;"');","")</f>
        <v>INSERT INTO `catalog_category_entity_varchar` (attribute_id,store_id,entity_id,value) VALUES (48,0,983,'img1/img25da.jpg');</v>
      </c>
      <c r="C1054" t="str">
        <f>VLOOKUP(categories!B1054,'categories-old'!B:G,6,FALSE)</f>
        <v>/img1/img25da.jpg</v>
      </c>
      <c r="D1054" t="str">
        <f>VLOOKUP(categories!B1054,'categories-old'!B:H,7,FALSE)</f>
        <v>www.americanretailsupply.com\64787\37281\Necklace--Bracelet-Displays\Oval-Single-T--Bar-for-Bracelets.html</v>
      </c>
    </row>
    <row r="1055" spans="1:4" hidden="1" x14ac:dyDescent="0.25">
      <c r="A1055" t="str">
        <f>IF(LEN('categories-old'!G1055) &gt; 0, "INSERT INTO `catalog_category_entity_varchar` (attribute_id,store_id,entity_id,value) VALUES (48,0,"&amp;'categories-old'!B1055&amp;",'"&amp;RIGHT('categories-old'!G1055,LEN('categories-old'!G1055)-1)&amp;"');","")</f>
        <v>INSERT INTO `catalog_category_entity_varchar` (attribute_id,store_id,entity_id,value) VALUES (48,0,982,'img3/img4943.jpg');</v>
      </c>
      <c r="B1055" t="str">
        <f>IF(LEN(categories!G1055) &gt; 0, "INSERT INTO `catalog_category_entity_varchar` (attribute_id,store_id,entity_id,value) VALUES (48,0,"&amp;categories!B1055&amp;",'"&amp;RIGHT(categories!G1055,LEN(categories!G1055)-1)&amp;"');","")</f>
        <v>INSERT INTO `catalog_category_entity_varchar` (attribute_id,store_id,entity_id,value) VALUES (48,0,984,'img2/img5e0e.jpg');</v>
      </c>
      <c r="C1055" t="str">
        <f>VLOOKUP(categories!B1055,'categories-old'!B:G,6,FALSE)</f>
        <v>/img2/img5e0e.jpg</v>
      </c>
      <c r="D1055" t="str">
        <f>VLOOKUP(categories!B1055,'categories-old'!B:H,7,FALSE)</f>
        <v>www.americanretailsupply.com\64787\37282\Necklace--Bracelet-Displays\Slotted-Bracelet-Ramp.html</v>
      </c>
    </row>
    <row r="1056" spans="1:4" hidden="1" x14ac:dyDescent="0.25">
      <c r="A1056" t="str">
        <f>IF(LEN('categories-old'!G1056) &gt; 0, "INSERT INTO `catalog_category_entity_varchar` (attribute_id,store_id,entity_id,value) VALUES (48,0,"&amp;'categories-old'!B1056&amp;",'"&amp;RIGHT('categories-old'!G1056,LEN('categories-old'!G1056)-1)&amp;"');","")</f>
        <v>INSERT INTO `catalog_category_entity_varchar` (attribute_id,store_id,entity_id,value) VALUES (48,0,983,'img1/img25da.jpg');</v>
      </c>
      <c r="B1056" t="str">
        <f>IF(LEN(categories!G1056) &gt; 0, "INSERT INTO `catalog_category_entity_varchar` (attribute_id,store_id,entity_id,value) VALUES (48,0,"&amp;categories!B1056&amp;",'"&amp;RIGHT(categories!G1056,LEN(categories!G1056)-1)&amp;"');","")</f>
        <v>INSERT INTO `catalog_category_entity_varchar` (attribute_id,store_id,entity_id,value) VALUES (48,0,985,'img3/img29bc.jpg');</v>
      </c>
      <c r="C1056" t="str">
        <f>VLOOKUP(categories!B1056,'categories-old'!B:G,6,FALSE)</f>
        <v>/img3/img29bc.jpg</v>
      </c>
      <c r="D1056" t="str">
        <f>VLOOKUP(categories!B1056,'categories-old'!B:H,7,FALSE)</f>
        <v>www.americanretailsupply.com\64787\37785\Necklace--Bracelet-Displays\Venus-Figure-Jewelry-Display.html</v>
      </c>
    </row>
    <row r="1057" spans="1:4" hidden="1" x14ac:dyDescent="0.25">
      <c r="A1057" t="str">
        <f>IF(LEN('categories-old'!G1057) &gt; 0, "INSERT INTO `catalog_category_entity_varchar` (attribute_id,store_id,entity_id,value) VALUES (48,0,"&amp;'categories-old'!B1057&amp;",'"&amp;RIGHT('categories-old'!G1057,LEN('categories-old'!G1057)-1)&amp;"');","")</f>
        <v>INSERT INTO `catalog_category_entity_varchar` (attribute_id,store_id,entity_id,value) VALUES (48,0,984,'img2/img5e0e.jpg');</v>
      </c>
      <c r="B1057" t="str">
        <f>IF(LEN(categories!G1057) &gt; 0, "INSERT INTO `catalog_category_entity_varchar` (attribute_id,store_id,entity_id,value) VALUES (48,0,"&amp;categories!B1057&amp;",'"&amp;RIGHT(categories!G1057,LEN(categories!G1057)-1)&amp;"');","")</f>
        <v>INSERT INTO `catalog_category_entity_varchar` (attribute_id,store_id,entity_id,value) VALUES (48,0,986,'img3/img91c6.jpg');</v>
      </c>
      <c r="C1057" t="str">
        <f>VLOOKUP(categories!B1057,'categories-old'!B:G,6,FALSE)</f>
        <v>/img3/img91c6.jpg</v>
      </c>
      <c r="D1057" t="str">
        <f>VLOOKUP(categories!B1057,'categories-old'!B:H,7,FALSE)</f>
        <v>www.americanretailsupply.com\64787\37787\Necklace--Bracelet-Displays\Round-T-Bar-Necklace-Display.html</v>
      </c>
    </row>
    <row r="1058" spans="1:4" hidden="1" x14ac:dyDescent="0.25">
      <c r="A1058" t="str">
        <f>IF(LEN('categories-old'!G1058) &gt; 0, "INSERT INTO `catalog_category_entity_varchar` (attribute_id,store_id,entity_id,value) VALUES (48,0,"&amp;'categories-old'!B1058&amp;",'"&amp;RIGHT('categories-old'!G1058,LEN('categories-old'!G1058)-1)&amp;"');","")</f>
        <v>INSERT INTO `catalog_category_entity_varchar` (attribute_id,store_id,entity_id,value) VALUES (48,0,985,'img3/img29bc.jpg');</v>
      </c>
      <c r="B1058" t="str">
        <f>IF(LEN(categories!G1058) &gt; 0, "INSERT INTO `catalog_category_entity_varchar` (attribute_id,store_id,entity_id,value) VALUES (48,0,"&amp;categories!B1058&amp;",'"&amp;RIGHT(categories!G1058,LEN(categories!G1058)-1)&amp;"');","")</f>
        <v>INSERT INTO `catalog_category_entity_varchar` (attribute_id,store_id,entity_id,value) VALUES (48,0,987,'img3/img6082.jpg');</v>
      </c>
      <c r="C1058" t="str">
        <f>VLOOKUP(categories!B1058,'categories-old'!B:G,6,FALSE)</f>
        <v>/img3/img6082.jpg</v>
      </c>
      <c r="D1058" t="str">
        <f>VLOOKUP(categories!B1058,'categories-old'!B:H,7,FALSE)</f>
        <v>www.americanretailsupply.com\64787\47218\Necklace--Bracelet-Displays\Flat-Multi--Necklace-Display-with-Easel.html</v>
      </c>
    </row>
    <row r="1059" spans="1:4" hidden="1" x14ac:dyDescent="0.25">
      <c r="A1059" t="str">
        <f>IF(LEN('categories-old'!G1059) &gt; 0, "INSERT INTO `catalog_category_entity_varchar` (attribute_id,store_id,entity_id,value) VALUES (48,0,"&amp;'categories-old'!B1059&amp;",'"&amp;RIGHT('categories-old'!G1059,LEN('categories-old'!G1059)-1)&amp;"');","")</f>
        <v>INSERT INTO `catalog_category_entity_varchar` (attribute_id,store_id,entity_id,value) VALUES (48,0,986,'img3/img91c6.jpg');</v>
      </c>
      <c r="B1059" t="str">
        <f>IF(LEN(categories!G1059) &gt; 0, "INSERT INTO `catalog_category_entity_varchar` (attribute_id,store_id,entity_id,value) VALUES (48,0,"&amp;categories!B1059&amp;",'"&amp;RIGHT(categories!G1059,LEN(categories!G1059)-1)&amp;"');","")</f>
        <v>INSERT INTO `catalog_category_entity_varchar` (attribute_id,store_id,entity_id,value) VALUES (48,0,988,'img2/imgf538.jpg');</v>
      </c>
      <c r="C1059" t="str">
        <f>VLOOKUP(categories!B1059,'categories-old'!B:G,6,FALSE)</f>
        <v>/img2/imgf538.jpg</v>
      </c>
      <c r="D1059" t="str">
        <f>VLOOKUP(categories!B1059,'categories-old'!B:H,7,FALSE)</f>
        <v>www.americanretailsupply.com\64787\47219\Necklace--Bracelet-Displays\Round-2-Level-T-Bar-NecklaceBracelet-Stand.html</v>
      </c>
    </row>
    <row r="1060" spans="1:4" hidden="1" x14ac:dyDescent="0.25">
      <c r="A1060" t="str">
        <f>IF(LEN('categories-old'!G1060) &gt; 0, "INSERT INTO `catalog_category_entity_varchar` (attribute_id,store_id,entity_id,value) VALUES (48,0,"&amp;'categories-old'!B1060&amp;",'"&amp;RIGHT('categories-old'!G1060,LEN('categories-old'!G1060)-1)&amp;"');","")</f>
        <v>INSERT INTO `catalog_category_entity_varchar` (attribute_id,store_id,entity_id,value) VALUES (48,0,987,'img3/img6082.jpg');</v>
      </c>
      <c r="B1060" t="str">
        <f>IF(LEN(categories!G1060) &gt; 0, "INSERT INTO `catalog_category_entity_varchar` (attribute_id,store_id,entity_id,value) VALUES (48,0,"&amp;categories!B1060&amp;",'"&amp;RIGHT(categories!G1060,LEN(categories!G1060)-1)&amp;"');","")</f>
        <v>INSERT INTO `catalog_category_entity_varchar` (attribute_id,store_id,entity_id,value) VALUES (48,0,989,'img1/img621c.jpg');</v>
      </c>
      <c r="C1060" t="str">
        <f>VLOOKUP(categories!B1060,'categories-old'!B:G,6,FALSE)</f>
        <v>/img1/img621c.jpg</v>
      </c>
      <c r="D1060" t="str">
        <f>VLOOKUP(categories!B1060,'categories-old'!B:H,7,FALSE)</f>
        <v>www.americanretailsupply.com\64787\47220\Necklace--Bracelet-Displays\Necklace-Padded-Display-with-Easel.html</v>
      </c>
    </row>
    <row r="1061" spans="1:4" hidden="1" x14ac:dyDescent="0.25">
      <c r="A1061" t="str">
        <f>IF(LEN('categories-old'!G1061) &gt; 0, "INSERT INTO `catalog_category_entity_varchar` (attribute_id,store_id,entity_id,value) VALUES (48,0,"&amp;'categories-old'!B1061&amp;",'"&amp;RIGHT('categories-old'!G1061,LEN('categories-old'!G1061)-1)&amp;"');","")</f>
        <v>INSERT INTO `catalog_category_entity_varchar` (attribute_id,store_id,entity_id,value) VALUES (48,0,988,'img2/imgf538.jpg');</v>
      </c>
      <c r="B1061" t="str">
        <f>IF(LEN(categories!G1061) &gt; 0, "INSERT INTO `catalog_category_entity_varchar` (attribute_id,store_id,entity_id,value) VALUES (48,0,"&amp;categories!B1061&amp;",'"&amp;RIGHT(categories!G1061,LEN(categories!G1061)-1)&amp;"');","")</f>
        <v>INSERT INTO `catalog_category_entity_varchar` (attribute_id,store_id,entity_id,value) VALUES (48,0,990,'img2/img10aa.jpg');</v>
      </c>
      <c r="C1061" t="str">
        <f>VLOOKUP(categories!B1061,'categories-old'!B:G,6,FALSE)</f>
        <v>/img2/img10aa.jpg</v>
      </c>
      <c r="D1061" t="str">
        <f>VLOOKUP(categories!B1061,'categories-old'!B:H,7,FALSE)</f>
        <v>www.americanretailsupply.com\64787\47870\Necklace--Bracelet-Displays\Small-Necklace-Bust-Display.html</v>
      </c>
    </row>
    <row r="1062" spans="1:4" hidden="1" x14ac:dyDescent="0.25">
      <c r="A1062" t="str">
        <f>IF(LEN('categories-old'!G1062) &gt; 0, "INSERT INTO `catalog_category_entity_varchar` (attribute_id,store_id,entity_id,value) VALUES (48,0,"&amp;'categories-old'!B1062&amp;",'"&amp;RIGHT('categories-old'!G1062,LEN('categories-old'!G1062)-1)&amp;"');","")</f>
        <v>INSERT INTO `catalog_category_entity_varchar` (attribute_id,store_id,entity_id,value) VALUES (48,0,989,'img1/img621c.jpg');</v>
      </c>
      <c r="B1062" t="str">
        <f>IF(LEN(categories!G1062) &gt; 0, "INSERT INTO `catalog_category_entity_varchar` (attribute_id,store_id,entity_id,value) VALUES (48,0,"&amp;categories!B1062&amp;",'"&amp;RIGHT(categories!G1062,LEN(categories!G1062)-1)&amp;"');","")</f>
        <v>INSERT INTO `catalog_category_entity_varchar` (attribute_id,store_id,entity_id,value) VALUES (48,0,991,'img3/imga42f.jpg');</v>
      </c>
      <c r="C1062" t="str">
        <f>VLOOKUP(categories!B1062,'categories-old'!B:G,6,FALSE)</f>
        <v>/img3/imga42f.jpg</v>
      </c>
      <c r="D1062" t="str">
        <f>VLOOKUP(categories!B1062,'categories-old'!B:H,7,FALSE)</f>
        <v>www.americanretailsupply.com\64787\47871\Necklace--Bracelet-Displays\Necklace-Bust-Display.html</v>
      </c>
    </row>
    <row r="1063" spans="1:4" hidden="1" x14ac:dyDescent="0.25">
      <c r="A1063" t="str">
        <f>IF(LEN('categories-old'!G1063) &gt; 0, "INSERT INTO `catalog_category_entity_varchar` (attribute_id,store_id,entity_id,value) VALUES (48,0,"&amp;'categories-old'!B1063&amp;",'"&amp;RIGHT('categories-old'!G1063,LEN('categories-old'!G1063)-1)&amp;"');","")</f>
        <v>INSERT INTO `catalog_category_entity_varchar` (attribute_id,store_id,entity_id,value) VALUES (48,0,990,'img2/img10aa.jpg');</v>
      </c>
      <c r="B1063" t="str">
        <f>IF(LEN(categories!G1063) &gt; 0, "INSERT INTO `catalog_category_entity_varchar` (attribute_id,store_id,entity_id,value) VALUES (48,0,"&amp;categories!B1063&amp;",'"&amp;RIGHT(categories!G1063,LEN(categories!G1063)-1)&amp;"');","")</f>
        <v>INSERT INTO `catalog_category_entity_varchar` (attribute_id,store_id,entity_id,value) VALUES (48,0,992,'img1/img2b1d.jpg');</v>
      </c>
      <c r="C1063" t="str">
        <f>VLOOKUP(categories!B1063,'categories-old'!B:G,6,FALSE)</f>
        <v>/img1/img2b1d.jpg</v>
      </c>
      <c r="D1063" t="str">
        <f>VLOOKUP(categories!B1063,'categories-old'!B:H,7,FALSE)</f>
        <v>www.americanretailsupply.com\64787\47872\Necklace--Bracelet-Displays\Neck-Form-Necklace-Display-with-Adjustable-Stand.html</v>
      </c>
    </row>
    <row r="1064" spans="1:4" hidden="1" x14ac:dyDescent="0.25">
      <c r="A1064" t="str">
        <f>IF(LEN('categories-old'!G1064) &gt; 0, "INSERT INTO `catalog_category_entity_varchar` (attribute_id,store_id,entity_id,value) VALUES (48,0,"&amp;'categories-old'!B1064&amp;",'"&amp;RIGHT('categories-old'!G1064,LEN('categories-old'!G1064)-1)&amp;"');","")</f>
        <v>INSERT INTO `catalog_category_entity_varchar` (attribute_id,store_id,entity_id,value) VALUES (48,0,991,'img3/imga42f.jpg');</v>
      </c>
      <c r="B1064" t="str">
        <f>IF(LEN(categories!G1064) &gt; 0, "INSERT INTO `catalog_category_entity_varchar` (attribute_id,store_id,entity_id,value) VALUES (48,0,"&amp;categories!B1064&amp;",'"&amp;RIGHT(categories!G1064,LEN(categories!G1064)-1)&amp;"');","")</f>
        <v>INSERT INTO `catalog_category_entity_varchar` (attribute_id,store_id,entity_id,value) VALUES (48,0,993,'img1/img8d8d.jpg');</v>
      </c>
      <c r="C1064" t="str">
        <f>VLOOKUP(categories!B1064,'categories-old'!B:G,6,FALSE)</f>
        <v>/img1/img8d8d.jpg</v>
      </c>
      <c r="D1064" t="str">
        <f>VLOOKUP(categories!B1064,'categories-old'!B:H,7,FALSE)</f>
        <v>www.americanretailsupply.com\64787\231607\Necklace--Bracelet-Displays\Vertical-Single-Watch-Display.html</v>
      </c>
    </row>
    <row r="1065" spans="1:4" hidden="1" x14ac:dyDescent="0.25">
      <c r="A1065" t="str">
        <f>IF(LEN('categories-old'!G1065) &gt; 0, "INSERT INTO `catalog_category_entity_varchar` (attribute_id,store_id,entity_id,value) VALUES (48,0,"&amp;'categories-old'!B1065&amp;",'"&amp;RIGHT('categories-old'!G1065,LEN('categories-old'!G1065)-1)&amp;"');","")</f>
        <v>INSERT INTO `catalog_category_entity_varchar` (attribute_id,store_id,entity_id,value) VALUES (48,0,992,'img1/img2b1d.jpg');</v>
      </c>
      <c r="B1065" t="str">
        <f>IF(LEN(categories!G1065) &gt; 0, "INSERT INTO `catalog_category_entity_varchar` (attribute_id,store_id,entity_id,value) VALUES (48,0,"&amp;categories!B1065&amp;",'"&amp;RIGHT(categories!G1065,LEN(categories!G1065)-1)&amp;"');","")</f>
        <v>INSERT INTO `catalog_category_entity_varchar` (attribute_id,store_id,entity_id,value) VALUES (48,0,994,'img2/img57b5.jpg');</v>
      </c>
      <c r="C1065" t="str">
        <f>VLOOKUP(categories!B1065,'categories-old'!B:G,6,FALSE)</f>
        <v>/img2/img57b5.jpg</v>
      </c>
      <c r="D1065" t="str">
        <f>VLOOKUP(categories!B1065,'categories-old'!B:H,7,FALSE)</f>
        <v>www.americanretailsupply.com\64787\255318\Necklace--Bracelet-Displays\Bracelet--Oval-T--Bar-3-Bar.html</v>
      </c>
    </row>
    <row r="1066" spans="1:4" hidden="1" x14ac:dyDescent="0.25">
      <c r="A1066" t="str">
        <f>IF(LEN('categories-old'!G1066) &gt; 0, "INSERT INTO `catalog_category_entity_varchar` (attribute_id,store_id,entity_id,value) VALUES (48,0,"&amp;'categories-old'!B1066&amp;",'"&amp;RIGHT('categories-old'!G1066,LEN('categories-old'!G1066)-1)&amp;"');","")</f>
        <v>INSERT INTO `catalog_category_entity_varchar` (attribute_id,store_id,entity_id,value) VALUES (48,0,993,'img1/img8d8d.jpg');</v>
      </c>
      <c r="B1066" t="str">
        <f>IF(LEN(categories!G1066) &gt; 0, "INSERT INTO `catalog_category_entity_varchar` (attribute_id,store_id,entity_id,value) VALUES (48,0,"&amp;categories!B1066&amp;",'"&amp;RIGHT(categories!G1066,LEN(categories!G1066)-1)&amp;"');","")</f>
        <v>INSERT INTO `catalog_category_entity_varchar` (attribute_id,store_id,entity_id,value) VALUES (48,0,995,'img3/imgadbe.jpg');</v>
      </c>
      <c r="C1066" t="str">
        <f>VLOOKUP(categories!B1066,'categories-old'!B:G,6,FALSE)</f>
        <v>/img3/imgadbe.jpg</v>
      </c>
      <c r="D1066" t="str">
        <f>VLOOKUP(categories!B1066,'categories-old'!B:H,7,FALSE)</f>
        <v>www.americanretailsupply.com\64787\746245\Necklace--Bracelet-Displays\Tall-Bust-Necklace-Display.html</v>
      </c>
    </row>
    <row r="1067" spans="1:4" hidden="1" x14ac:dyDescent="0.25">
      <c r="A1067" t="str">
        <f>IF(LEN('categories-old'!G1067) &gt; 0, "INSERT INTO `catalog_category_entity_varchar` (attribute_id,store_id,entity_id,value) VALUES (48,0,"&amp;'categories-old'!B1067&amp;",'"&amp;RIGHT('categories-old'!G1067,LEN('categories-old'!G1067)-1)&amp;"');","")</f>
        <v>INSERT INTO `catalog_category_entity_varchar` (attribute_id,store_id,entity_id,value) VALUES (48,0,994,'img2/img57b5.jpg');</v>
      </c>
      <c r="B1067" t="str">
        <f>IF(LEN(categories!G1067) &gt; 0, "INSERT INTO `catalog_category_entity_varchar` (attribute_id,store_id,entity_id,value) VALUES (48,0,"&amp;categories!B1067&amp;",'"&amp;RIGHT(categories!G1067,LEN(categories!G1067)-1)&amp;"');","")</f>
        <v>INSERT INTO `catalog_category_entity_varchar` (attribute_id,store_id,entity_id,value) VALUES (48,0,996,'img1/img9e67.jpg');</v>
      </c>
      <c r="C1067" t="str">
        <f>VLOOKUP(categories!B1067,'categories-old'!B:G,6,FALSE)</f>
        <v>/img1/img9e67.jpg</v>
      </c>
      <c r="D1067" t="str">
        <f>VLOOKUP(categories!B1067,'categories-old'!B:H,7,FALSE)</f>
        <v>www.americanretailsupply.com\64787\746246\Necklace--Bracelet-Displays\Padded-Necklace-Stand-with-Easel.html</v>
      </c>
    </row>
    <row r="1068" spans="1:4" hidden="1" x14ac:dyDescent="0.25">
      <c r="A1068" t="str">
        <f>IF(LEN('categories-old'!G1068) &gt; 0, "INSERT INTO `catalog_category_entity_varchar` (attribute_id,store_id,entity_id,value) VALUES (48,0,"&amp;'categories-old'!B1068&amp;",'"&amp;RIGHT('categories-old'!G1068,LEN('categories-old'!G1068)-1)&amp;"');","")</f>
        <v>INSERT INTO `catalog_category_entity_varchar` (attribute_id,store_id,entity_id,value) VALUES (48,0,995,'img3/imgadbe.jpg');</v>
      </c>
      <c r="B1068" t="str">
        <f>IF(LEN(categories!G1068) &gt; 0, "INSERT INTO `catalog_category_entity_varchar` (attribute_id,store_id,entity_id,value) VALUES (48,0,"&amp;categories!B1068&amp;",'"&amp;RIGHT(categories!G1068,LEN(categories!G1068)-1)&amp;"');","")</f>
        <v>INSERT INTO `catalog_category_entity_varchar` (attribute_id,store_id,entity_id,value) VALUES (48,0,997,'img2/img6345.jpg');</v>
      </c>
      <c r="C1068" t="str">
        <f>VLOOKUP(categories!B1068,'categories-old'!B:G,6,FALSE)</f>
        <v>/img2/img6345.jpg</v>
      </c>
      <c r="D1068" t="str">
        <f>VLOOKUP(categories!B1068,'categories-old'!B:H,7,FALSE)</f>
        <v>www.americanretailsupply.com\64787\746289\Necklace--Bracelet-Displays\Tall-Contoured-Necklace-Display-Forms.html</v>
      </c>
    </row>
    <row r="1069" spans="1:4" hidden="1" x14ac:dyDescent="0.25">
      <c r="A1069" t="str">
        <f>IF(LEN('categories-old'!G1069) &gt; 0, "INSERT INTO `catalog_category_entity_varchar` (attribute_id,store_id,entity_id,value) VALUES (48,0,"&amp;'categories-old'!B1069&amp;",'"&amp;RIGHT('categories-old'!G1069,LEN('categories-old'!G1069)-1)&amp;"');","")</f>
        <v>INSERT INTO `catalog_category_entity_varchar` (attribute_id,store_id,entity_id,value) VALUES (48,0,996,'img1/img9e67.jpg');</v>
      </c>
      <c r="B1069" t="str">
        <f>IF(LEN(categories!G1069) &gt; 0, "INSERT INTO `catalog_category_entity_varchar` (attribute_id,store_id,entity_id,value) VALUES (48,0,"&amp;categories!B1069&amp;",'"&amp;RIGHT(categories!G1069,LEN(categories!G1069)-1)&amp;"');","")</f>
        <v>INSERT INTO `catalog_category_entity_varchar` (attribute_id,store_id,entity_id,value) VALUES (48,0,998,'img2/imgf6e3.jpg');</v>
      </c>
      <c r="C1069" t="str">
        <f>VLOOKUP(categories!B1069,'categories-old'!B:G,6,FALSE)</f>
        <v>/img2/imgf6e3.jpg</v>
      </c>
      <c r="D1069" t="str">
        <f>VLOOKUP(categories!B1069,'categories-old'!B:H,7,FALSE)</f>
        <v>www.americanretailsupply.com\64787\756144\Necklace--Bracelet-Displays\Countertop-Bracelet-Display.html</v>
      </c>
    </row>
    <row r="1070" spans="1:4" hidden="1" x14ac:dyDescent="0.25">
      <c r="A1070" t="str">
        <f>IF(LEN('categories-old'!G1070) &gt; 0, "INSERT INTO `catalog_category_entity_varchar` (attribute_id,store_id,entity_id,value) VALUES (48,0,"&amp;'categories-old'!B1070&amp;",'"&amp;RIGHT('categories-old'!G1070,LEN('categories-old'!G1070)-1)&amp;"');","")</f>
        <v>INSERT INTO `catalog_category_entity_varchar` (attribute_id,store_id,entity_id,value) VALUES (48,0,997,'img2/img6345.jpg');</v>
      </c>
      <c r="B1070" t="str">
        <f>IF(LEN(categories!G1070) &gt; 0, "INSERT INTO `catalog_category_entity_varchar` (attribute_id,store_id,entity_id,value) VALUES (48,0,"&amp;categories!B1070&amp;",'"&amp;RIGHT(categories!G1070,LEN(categories!G1070)-1)&amp;"');","")</f>
        <v>INSERT INTO `catalog_category_entity_varchar` (attribute_id,store_id,entity_id,value) VALUES (48,0,999,'img1/img060b.jpg');</v>
      </c>
      <c r="C1070" t="str">
        <f>VLOOKUP(categories!B1070,'categories-old'!B:G,6,FALSE)</f>
        <v>/img1/img060b.jpg</v>
      </c>
      <c r="D1070" t="str">
        <f>VLOOKUP(categories!B1070,'categories-old'!B:H,7,FALSE)</f>
        <v>www.americanretailsupply.com\64787\773582\Necklace--Bracelet-Displays\12-Round-Bracelet-Display.html</v>
      </c>
    </row>
    <row r="1071" spans="1:4" hidden="1" x14ac:dyDescent="0.25">
      <c r="A1071" t="str">
        <f>IF(LEN('categories-old'!G1071) &gt; 0, "INSERT INTO `catalog_category_entity_varchar` (attribute_id,store_id,entity_id,value) VALUES (48,0,"&amp;'categories-old'!B1071&amp;",'"&amp;RIGHT('categories-old'!G1071,LEN('categories-old'!G1071)-1)&amp;"');","")</f>
        <v>INSERT INTO `catalog_category_entity_varchar` (attribute_id,store_id,entity_id,value) VALUES (48,0,998,'img2/imgf6e3.jpg');</v>
      </c>
      <c r="B1071" t="str">
        <f>IF(LEN(categories!G1071) &gt; 0, "INSERT INTO `catalog_category_entity_varchar` (attribute_id,store_id,entity_id,value) VALUES (48,0,"&amp;categories!B1071&amp;",'"&amp;RIGHT(categories!G1071,LEN(categories!G1071)-1)&amp;"');","")</f>
        <v>INSERT INTO `catalog_category_entity_varchar` (attribute_id,store_id,entity_id,value) VALUES (48,0,1001,'img1/imge1af.jpg');</v>
      </c>
      <c r="C1071" t="str">
        <f>VLOOKUP(categories!B1071,'categories-old'!B:G,6,FALSE)</f>
        <v>/img1/imge1af.jpg</v>
      </c>
      <c r="D1071" t="str">
        <f>VLOOKUP(categories!B1071,'categories-old'!B:H,7,FALSE)</f>
        <v>www.americanretailsupply.com\64595\792833\New-Arrivals\Ready-to-Assemble-Wall-Case.html</v>
      </c>
    </row>
    <row r="1072" spans="1:4" hidden="1" x14ac:dyDescent="0.25">
      <c r="A1072" t="str">
        <f>IF(LEN('categories-old'!G1072) &gt; 0, "INSERT INTO `catalog_category_entity_varchar` (attribute_id,store_id,entity_id,value) VALUES (48,0,"&amp;'categories-old'!B1072&amp;",'"&amp;RIGHT('categories-old'!G1072,LEN('categories-old'!G1072)-1)&amp;"');","")</f>
        <v>INSERT INTO `catalog_category_entity_varchar` (attribute_id,store_id,entity_id,value) VALUES (48,0,999,'img1/img060b.jpg');</v>
      </c>
      <c r="B1072" t="str">
        <f>IF(LEN(categories!G1072) &gt; 0, "INSERT INTO `catalog_category_entity_varchar` (attribute_id,store_id,entity_id,value) VALUES (48,0,"&amp;categories!B1072&amp;",'"&amp;RIGHT(categories!G1072,LEN(categories!G1072)-1)&amp;"');","")</f>
        <v>INSERT INTO `catalog_category_entity_varchar` (attribute_id,store_id,entity_id,value) VALUES (48,0,1002,'img3/img97fc.jpg');</v>
      </c>
      <c r="C1072" t="str">
        <f>VLOOKUP(categories!B1072,'categories-old'!B:G,6,FALSE)</f>
        <v>/img3/img97fc.jpg</v>
      </c>
      <c r="D1072" t="str">
        <f>VLOOKUP(categories!B1072,'categories-old'!B:H,7,FALSE)</f>
        <v>www.americanretailsupply.com\64595\792840\New-Arrivals\Pipeline-Garment-Racks.html</v>
      </c>
    </row>
    <row r="1073" spans="1:4" hidden="1" x14ac:dyDescent="0.25">
      <c r="A1073" t="str">
        <f>IF(LEN('categories-old'!G1073) &gt; 0, "INSERT INTO `catalog_category_entity_varchar` (attribute_id,store_id,entity_id,value) VALUES (48,0,"&amp;'categories-old'!B1073&amp;",'"&amp;RIGHT('categories-old'!G1073,LEN('categories-old'!G1073)-1)&amp;"');","")</f>
        <v>INSERT INTO `catalog_category_entity_varchar` (attribute_id,store_id,entity_id,value) VALUES (48,0,1001,'img1/imge1af.jpg');</v>
      </c>
      <c r="B1073" t="str">
        <f>IF(LEN(categories!G1073) &gt; 0, "INSERT INTO `catalog_category_entity_varchar` (attribute_id,store_id,entity_id,value) VALUES (48,0,"&amp;categories!B1073&amp;",'"&amp;RIGHT(categories!G1073,LEN(categories!G1073)-1)&amp;"');","")</f>
        <v>INSERT INTO `catalog_category_entity_varchar` (attribute_id,store_id,entity_id,value) VALUES (48,0,1003,'img1/imgc92e.jpg');</v>
      </c>
      <c r="C1073" t="str">
        <f>VLOOKUP(categories!B1073,'categories-old'!B:G,6,FALSE)</f>
        <v>/img1/imgc92e.jpg</v>
      </c>
      <c r="D1073" t="str">
        <f>VLOOKUP(categories!B1073,'categories-old'!B:H,7,FALSE)</f>
        <v>www.americanretailsupply.com\64595\792841\New-Arrivals\Pipeline-Wood-Top.html</v>
      </c>
    </row>
    <row r="1074" spans="1:4" hidden="1" x14ac:dyDescent="0.25">
      <c r="A1074" t="str">
        <f>IF(LEN('categories-old'!G1074) &gt; 0, "INSERT INTO `catalog_category_entity_varchar` (attribute_id,store_id,entity_id,value) VALUES (48,0,"&amp;'categories-old'!B1074&amp;",'"&amp;RIGHT('categories-old'!G1074,LEN('categories-old'!G1074)-1)&amp;"');","")</f>
        <v>INSERT INTO `catalog_category_entity_varchar` (attribute_id,store_id,entity_id,value) VALUES (48,0,1002,'img3/img97fc.jpg');</v>
      </c>
      <c r="B1074" t="str">
        <f>IF(LEN(categories!G1074) &gt; 0, "INSERT INTO `catalog_category_entity_varchar` (attribute_id,store_id,entity_id,value) VALUES (48,0,"&amp;categories!B1074&amp;",'"&amp;RIGHT(categories!G1074,LEN(categories!G1074)-1)&amp;"');","")</f>
        <v>INSERT INTO `catalog_category_entity_varchar` (attribute_id,store_id,entity_id,value) VALUES (48,0,1004,'img2/img9a2f.jpg');</v>
      </c>
      <c r="C1074" t="str">
        <f>VLOOKUP(categories!B1074,'categories-old'!B:G,6,FALSE)</f>
        <v>/img2/img9a2f.jpg</v>
      </c>
      <c r="D1074" t="str">
        <f>VLOOKUP(categories!B1074,'categories-old'!B:H,7,FALSE)</f>
        <v>www.americanretailsupply.com\64595\792842\New-Arrivals\Pipeline-Counter-Displays.html</v>
      </c>
    </row>
    <row r="1075" spans="1:4" hidden="1" x14ac:dyDescent="0.25">
      <c r="A1075" t="str">
        <f>IF(LEN('categories-old'!G1075) &gt; 0, "INSERT INTO `catalog_category_entity_varchar` (attribute_id,store_id,entity_id,value) VALUES (48,0,"&amp;'categories-old'!B1075&amp;",'"&amp;RIGHT('categories-old'!G1075,LEN('categories-old'!G1075)-1)&amp;"');","")</f>
        <v>INSERT INTO `catalog_category_entity_varchar` (attribute_id,store_id,entity_id,value) VALUES (48,0,1003,'img1/imgc92e.jpg');</v>
      </c>
      <c r="B1075" t="str">
        <f>IF(LEN(categories!G1075) &gt; 0, "INSERT INTO `catalog_category_entity_varchar` (attribute_id,store_id,entity_id,value) VALUES (48,0,"&amp;categories!B1075&amp;",'"&amp;RIGHT(categories!G1075,LEN(categories!G1075)-1)&amp;"');","")</f>
        <v>INSERT INTO `catalog_category_entity_varchar` (attribute_id,store_id,entity_id,value) VALUES (48,0,1005,'img1/img41fd.jpg');</v>
      </c>
      <c r="C1075" t="str">
        <f>VLOOKUP(categories!B1075,'categories-old'!B:G,6,FALSE)</f>
        <v>/img1/img41fd.jpg</v>
      </c>
      <c r="D1075" t="str">
        <f>VLOOKUP(categories!B1075,'categories-old'!B:H,7,FALSE)</f>
        <v>www.americanretailsupply.com\64595\792843\New-Arrivals\Pipeline-Brackets-and-Outriggers.html</v>
      </c>
    </row>
    <row r="1076" spans="1:4" hidden="1" x14ac:dyDescent="0.25">
      <c r="A1076" t="str">
        <f>IF(LEN('categories-old'!G1076) &gt; 0, "INSERT INTO `catalog_category_entity_varchar` (attribute_id,store_id,entity_id,value) VALUES (48,0,"&amp;'categories-old'!B1076&amp;",'"&amp;RIGHT('categories-old'!G1076,LEN('categories-old'!G1076)-1)&amp;"');","")</f>
        <v>INSERT INTO `catalog_category_entity_varchar` (attribute_id,store_id,entity_id,value) VALUES (48,0,1004,'img2/img9a2f.jpg');</v>
      </c>
      <c r="B1076" t="str">
        <f>IF(LEN(categories!G1076) &gt; 0, "INSERT INTO `catalog_category_entity_varchar` (attribute_id,store_id,entity_id,value) VALUES (48,0,"&amp;categories!B1076&amp;",'"&amp;RIGHT(categories!G1076,LEN(categories!G1076)-1)&amp;"');","")</f>
        <v>INSERT INTO `catalog_category_entity_varchar` (attribute_id,store_id,entity_id,value) VALUES (48,0,1006,'img3/imgc53f.jpg');</v>
      </c>
      <c r="C1076" t="str">
        <f>VLOOKUP(categories!B1076,'categories-old'!B:G,6,FALSE)</f>
        <v>/img3/imgc53f.jpg</v>
      </c>
      <c r="D1076" t="str">
        <f>VLOOKUP(categories!B1076,'categories-old'!B:H,7,FALSE)</f>
        <v>www.americanretailsupply.com\64595\792973\New-Arrivals\Ready-to-Assemble-Combo-Showcase.html</v>
      </c>
    </row>
    <row r="1077" spans="1:4" hidden="1" x14ac:dyDescent="0.25">
      <c r="A1077" t="str">
        <f>IF(LEN('categories-old'!G1077) &gt; 0, "INSERT INTO `catalog_category_entity_varchar` (attribute_id,store_id,entity_id,value) VALUES (48,0,"&amp;'categories-old'!B1077&amp;",'"&amp;RIGHT('categories-old'!G1077,LEN('categories-old'!G1077)-1)&amp;"');","")</f>
        <v>INSERT INTO `catalog_category_entity_varchar` (attribute_id,store_id,entity_id,value) VALUES (48,0,1005,'img1/img41fd.jpg');</v>
      </c>
      <c r="B1077" t="str">
        <f>IF(LEN(categories!G1077) &gt; 0, "INSERT INTO `catalog_category_entity_varchar` (attribute_id,store_id,entity_id,value) VALUES (48,0,"&amp;categories!B1077&amp;",'"&amp;RIGHT(categories!G1077,LEN(categories!G1077)-1)&amp;"');","")</f>
        <v>INSERT INTO `catalog_category_entity_varchar` (attribute_id,store_id,entity_id,value) VALUES (48,0,1007,'img2/img49e0.jpg');</v>
      </c>
      <c r="C1077" t="str">
        <f>VLOOKUP(categories!B1077,'categories-old'!B:G,6,FALSE)</f>
        <v>/img2/img49e0.jpg</v>
      </c>
      <c r="D1077" t="str">
        <f>VLOOKUP(categories!B1077,'categories-old'!B:H,7,FALSE)</f>
        <v>www.americanretailsupply.com\64595\792999\New-Arrivals\Pipe--Panel-Fixtures.html</v>
      </c>
    </row>
    <row r="1078" spans="1:4" hidden="1" x14ac:dyDescent="0.25">
      <c r="A1078" t="str">
        <f>IF(LEN('categories-old'!G1078) &gt; 0, "INSERT INTO `catalog_category_entity_varchar` (attribute_id,store_id,entity_id,value) VALUES (48,0,"&amp;'categories-old'!B1078&amp;",'"&amp;RIGHT('categories-old'!G1078,LEN('categories-old'!G1078)-1)&amp;"');","")</f>
        <v>INSERT INTO `catalog_category_entity_varchar` (attribute_id,store_id,entity_id,value) VALUES (48,0,1006,'img3/imgc53f.jpg');</v>
      </c>
      <c r="B1078" t="str">
        <f>IF(LEN(categories!G1078) &gt; 0, "INSERT INTO `catalog_category_entity_varchar` (attribute_id,store_id,entity_id,value) VALUES (48,0,"&amp;categories!B1078&amp;",'"&amp;RIGHT(categories!G1078,LEN(categories!G1078)-1)&amp;"');","")</f>
        <v>INSERT INTO `catalog_category_entity_varchar` (attribute_id,store_id,entity_id,value) VALUES (48,0,1009,'img1/img2ad1.jpg');</v>
      </c>
      <c r="C1078" t="str">
        <f>VLOOKUP(categories!B1078,'categories-old'!B:G,6,FALSE)</f>
        <v>/img1/img2ad1.jpg</v>
      </c>
      <c r="D1078" t="str">
        <f>VLOOKUP(categories!B1078,'categories-old'!B:H,7,FALSE)</f>
        <v>www.americanretailsupply.com\64749\19620\Organza--Velvet-Bags\Flat-Organza-Bags.html</v>
      </c>
    </row>
    <row r="1079" spans="1:4" hidden="1" x14ac:dyDescent="0.25">
      <c r="A1079" t="str">
        <f>IF(LEN('categories-old'!G1079) &gt; 0, "INSERT INTO `catalog_category_entity_varchar` (attribute_id,store_id,entity_id,value) VALUES (48,0,"&amp;'categories-old'!B1079&amp;",'"&amp;RIGHT('categories-old'!G1079,LEN('categories-old'!G1079)-1)&amp;"');","")</f>
        <v>INSERT INTO `catalog_category_entity_varchar` (attribute_id,store_id,entity_id,value) VALUES (48,0,1007,'img2/img49e0.jpg');</v>
      </c>
      <c r="B1079" t="str">
        <f>IF(LEN(categories!G1079) &gt; 0, "INSERT INTO `catalog_category_entity_varchar` (attribute_id,store_id,entity_id,value) VALUES (48,0,"&amp;categories!B1079&amp;",'"&amp;RIGHT(categories!G1079,LEN(categories!G1079)-1)&amp;"');","")</f>
        <v>INSERT INTO `catalog_category_entity_varchar` (attribute_id,store_id,entity_id,value) VALUES (48,0,1011,'img2/img3c7c.jpg');</v>
      </c>
      <c r="C1079" t="str">
        <f>VLOOKUP(categories!B1079,'categories-old'!B:G,6,FALSE)</f>
        <v>/img2/img3c7c.jpg</v>
      </c>
      <c r="D1079" t="str">
        <f>VLOOKUP(categories!B1079,'categories-old'!B:H,7,FALSE)</f>
        <v>www.americanretailsupply.com\64749\172736\Organza--Velvet-Bags\Gusseted-Organza-Bags.html</v>
      </c>
    </row>
    <row r="1080" spans="1:4" hidden="1" x14ac:dyDescent="0.25">
      <c r="A1080" t="str">
        <f>IF(LEN('categories-old'!G1080) &gt; 0, "INSERT INTO `catalog_category_entity_varchar` (attribute_id,store_id,entity_id,value) VALUES (48,0,"&amp;'categories-old'!B1080&amp;",'"&amp;RIGHT('categories-old'!G1080,LEN('categories-old'!G1080)-1)&amp;"');","")</f>
        <v>INSERT INTO `catalog_category_entity_varchar` (attribute_id,store_id,entity_id,value) VALUES (48,0,1009,'img1/img2ad1.jpg');</v>
      </c>
      <c r="B1080" t="str">
        <f>IF(LEN(categories!G1080) &gt; 0, "INSERT INTO `catalog_category_entity_varchar` (attribute_id,store_id,entity_id,value) VALUES (48,0,"&amp;categories!B1080&amp;",'"&amp;RIGHT(categories!G1080,LEN(categories!G1080)-1)&amp;"');","")</f>
        <v>INSERT INTO `catalog_category_entity_varchar` (attribute_id,store_id,entity_id,value) VALUES (48,0,1013,'img3/img6a70.jpg');</v>
      </c>
      <c r="C1080" t="str">
        <f>VLOOKUP(categories!B1080,'categories-old'!B:G,6,FALSE)</f>
        <v>/img3/img6a70.jpg</v>
      </c>
      <c r="D1080" t="str">
        <f>VLOOKUP(categories!B1080,'categories-old'!B:H,7,FALSE)</f>
        <v>www.americanretailsupply.com\65071\20021\Paper-Merchandise-Bags\White-or-Natural-Kraft-Paper-Merchandise-Bags.html</v>
      </c>
    </row>
    <row r="1081" spans="1:4" hidden="1" x14ac:dyDescent="0.25">
      <c r="A1081" t="str">
        <f>IF(LEN('categories-old'!G1081) &gt; 0, "INSERT INTO `catalog_category_entity_varchar` (attribute_id,store_id,entity_id,value) VALUES (48,0,"&amp;'categories-old'!B1081&amp;",'"&amp;RIGHT('categories-old'!G1081,LEN('categories-old'!G1081)-1)&amp;"');","")</f>
        <v>INSERT INTO `catalog_category_entity_varchar` (attribute_id,store_id,entity_id,value) VALUES (48,0,1010,'img3/img4368.jpg');</v>
      </c>
      <c r="B1081" t="str">
        <f>IF(LEN(categories!G1081) &gt; 0, "INSERT INTO `catalog_category_entity_varchar` (attribute_id,store_id,entity_id,value) VALUES (48,0,"&amp;categories!B1081&amp;",'"&amp;RIGHT(categories!G1081,LEN(categories!G1081)-1)&amp;"');","")</f>
        <v>INSERT INTO `catalog_category_entity_varchar` (attribute_id,store_id,entity_id,value) VALUES (48,0,1014,'img2/img2c2e.jpg');</v>
      </c>
      <c r="C1081" t="str">
        <f>VLOOKUP(categories!B1081,'categories-old'!B:G,6,FALSE)</f>
        <v>/img2/img2c2e.jpg</v>
      </c>
      <c r="D1081" t="str">
        <f>VLOOKUP(categories!B1081,'categories-old'!B:H,7,FALSE)</f>
        <v>www.americanretailsupply.com\65071\20023\Paper-Merchandise-Bags\SOS-Paper-Bags.html</v>
      </c>
    </row>
    <row r="1082" spans="1:4" hidden="1" x14ac:dyDescent="0.25">
      <c r="A1082" t="str">
        <f>IF(LEN('categories-old'!G1082) &gt; 0, "INSERT INTO `catalog_category_entity_varchar` (attribute_id,store_id,entity_id,value) VALUES (48,0,"&amp;'categories-old'!B1082&amp;",'"&amp;RIGHT('categories-old'!G1082,LEN('categories-old'!G1082)-1)&amp;"');","")</f>
        <v>INSERT INTO `catalog_category_entity_varchar` (attribute_id,store_id,entity_id,value) VALUES (48,0,1011,'img2/img3c7c.jpg');</v>
      </c>
      <c r="B1082" t="str">
        <f>IF(LEN(categories!G1082) &gt; 0, "INSERT INTO `catalog_category_entity_varchar` (attribute_id,store_id,entity_id,value) VALUES (48,0,"&amp;categories!B1082&amp;",'"&amp;RIGHT(categories!G1082,LEN(categories!G1082)-1)&amp;"');","")</f>
        <v>INSERT INTO `catalog_category_entity_varchar` (attribute_id,store_id,entity_id,value) VALUES (48,0,1015,'img3/imgb9c1.jpg');</v>
      </c>
      <c r="C1082" t="str">
        <f>VLOOKUP(categories!B1082,'categories-old'!B:G,6,FALSE)</f>
        <v>/img3/imgb9c1.jpg</v>
      </c>
      <c r="D1082" t="str">
        <f>VLOOKUP(categories!B1082,'categories-old'!B:H,7,FALSE)</f>
        <v>www.americanretailsupply.com\65071\234663\Paper-Merchandise-Bags\Colored-Paper-Merchandise-Bags.html</v>
      </c>
    </row>
    <row r="1083" spans="1:4" hidden="1" x14ac:dyDescent="0.25">
      <c r="A1083" t="str">
        <f>IF(LEN('categories-old'!G1083) &gt; 0, "INSERT INTO `catalog_category_entity_varchar` (attribute_id,store_id,entity_id,value) VALUES (48,0,"&amp;'categories-old'!B1083&amp;",'"&amp;RIGHT('categories-old'!G1083,LEN('categories-old'!G1083)-1)&amp;"');","")</f>
        <v>INSERT INTO `catalog_category_entity_varchar` (attribute_id,store_id,entity_id,value) VALUES (48,0,1013,'img3/img6a70.jpg');</v>
      </c>
      <c r="B1083" t="str">
        <f>IF(LEN(categories!G1083) &gt; 0, "INSERT INTO `catalog_category_entity_varchar` (attribute_id,store_id,entity_id,value) VALUES (48,0,"&amp;categories!B1083&amp;",'"&amp;RIGHT(categories!G1083,LEN(categories!G1083)-1)&amp;"');","")</f>
        <v>INSERT INTO `catalog_category_entity_varchar` (attribute_id,store_id,entity_id,value) VALUES (48,0,1016,'img3/img1171.jpg');</v>
      </c>
      <c r="C1083" t="str">
        <f>VLOOKUP(categories!B1083,'categories-old'!B:G,6,FALSE)</f>
        <v>/img3/img1171.jpg</v>
      </c>
      <c r="D1083" t="str">
        <f>VLOOKUP(categories!B1083,'categories-old'!B:H,7,FALSE)</f>
        <v>www.americanretailsupply.com\65071\754551\Paper-Merchandise-Bags\Natural-Kraft-Paper-Liquor-Bags.html</v>
      </c>
    </row>
    <row r="1084" spans="1:4" hidden="1" x14ac:dyDescent="0.25">
      <c r="A1084" t="str">
        <f>IF(LEN('categories-old'!G1084) &gt; 0, "INSERT INTO `catalog_category_entity_varchar` (attribute_id,store_id,entity_id,value) VALUES (48,0,"&amp;'categories-old'!B1084&amp;",'"&amp;RIGHT('categories-old'!G1084,LEN('categories-old'!G1084)-1)&amp;"');","")</f>
        <v>INSERT INTO `catalog_category_entity_varchar` (attribute_id,store_id,entity_id,value) VALUES (48,0,1014,'img2/img2c2e.jpg');</v>
      </c>
      <c r="B1084" t="str">
        <f>IF(LEN(categories!G1084) &gt; 0, "INSERT INTO `catalog_category_entity_varchar` (attribute_id,store_id,entity_id,value) VALUES (48,0,"&amp;categories!B1084&amp;",'"&amp;RIGHT(categories!G1084,LEN(categories!G1084)-1)&amp;"');","")</f>
        <v>INSERT INTO `catalog_category_entity_varchar` (attribute_id,store_id,entity_id,value) VALUES (48,0,1017,'img1/img9656.jpg');</v>
      </c>
      <c r="C1084" t="str">
        <f>VLOOKUP(categories!B1084,'categories-old'!B:G,6,FALSE)</f>
        <v>/img1/img9656.jpg</v>
      </c>
      <c r="D1084" t="str">
        <f>VLOOKUP(categories!B1084,'categories-old'!B:H,7,FALSE)</f>
        <v>www.americanretailsupply.com\65071\774077\Paper-Merchandise-Bags\Unprinted-Paper-Glassine-Lined-Bags.html</v>
      </c>
    </row>
    <row r="1085" spans="1:4" hidden="1" x14ac:dyDescent="0.25">
      <c r="A1085" t="str">
        <f>IF(LEN('categories-old'!G1085) &gt; 0, "INSERT INTO `catalog_category_entity_varchar` (attribute_id,store_id,entity_id,value) VALUES (48,0,"&amp;'categories-old'!B1085&amp;",'"&amp;RIGHT('categories-old'!G1085,LEN('categories-old'!G1085)-1)&amp;"');","")</f>
        <v>INSERT INTO `catalog_category_entity_varchar` (attribute_id,store_id,entity_id,value) VALUES (48,0,1015,'img3/imgb9c1.jpg');</v>
      </c>
      <c r="B1085" t="str">
        <f>IF(LEN(categories!G1085) &gt; 0, "INSERT INTO `catalog_category_entity_varchar` (attribute_id,store_id,entity_id,value) VALUES (48,0,"&amp;categories!B1085&amp;",'"&amp;RIGHT(categories!G1085,LEN(categories!G1085)-1)&amp;"');","")</f>
        <v>INSERT INTO `catalog_category_entity_varchar` (attribute_id,store_id,entity_id,value) VALUES (48,0,1019,'img3/imgf663.jpg');</v>
      </c>
      <c r="C1085" t="str">
        <f>VLOOKUP(categories!B1085,'categories-old'!B:G,6,FALSE)</f>
        <v>/img3/imgf663.jpg</v>
      </c>
      <c r="D1085" t="str">
        <f>VLOOKUP(categories!B1085,'categories-old'!B:H,7,FALSE)</f>
        <v>www.americanretailsupply.com\65070\20194\Paper-Shopping-Bags\Metallic-Colors-on-Brown-Kraft-Shopping-Bags.html</v>
      </c>
    </row>
    <row r="1086" spans="1:4" hidden="1" x14ac:dyDescent="0.25">
      <c r="A1086" t="str">
        <f>IF(LEN('categories-old'!G1086) &gt; 0, "INSERT INTO `catalog_category_entity_varchar` (attribute_id,store_id,entity_id,value) VALUES (48,0,"&amp;'categories-old'!B1086&amp;",'"&amp;RIGHT('categories-old'!G1086,LEN('categories-old'!G1086)-1)&amp;"');","")</f>
        <v>INSERT INTO `catalog_category_entity_varchar` (attribute_id,store_id,entity_id,value) VALUES (48,0,1016,'img3/img1171.jpg');</v>
      </c>
      <c r="B1086" t="str">
        <f>IF(LEN(categories!G1086) &gt; 0, "INSERT INTO `catalog_category_entity_varchar` (attribute_id,store_id,entity_id,value) VALUES (48,0,"&amp;categories!B1086&amp;",'"&amp;RIGHT(categories!G1086,LEN(categories!G1086)-1)&amp;"');","")</f>
        <v>INSERT INTO `catalog_category_entity_varchar` (attribute_id,store_id,entity_id,value) VALUES (48,0,1022,'img2/imgbdf9.jpg');</v>
      </c>
      <c r="C1086" t="str">
        <f>VLOOKUP(categories!B1086,'categories-old'!B:G,6,FALSE)</f>
        <v>/img2/imgbdf9.jpg</v>
      </c>
      <c r="D1086" t="str">
        <f>VLOOKUP(categories!B1086,'categories-old'!B:H,7,FALSE)</f>
        <v>www.americanretailsupply.com\65070\172695\Paper-Shopping-Bags\Gloss-Paper-Shoppers.html</v>
      </c>
    </row>
    <row r="1087" spans="1:4" hidden="1" x14ac:dyDescent="0.25">
      <c r="A1087" t="str">
        <f>IF(LEN('categories-old'!G1087) &gt; 0, "INSERT INTO `catalog_category_entity_varchar` (attribute_id,store_id,entity_id,value) VALUES (48,0,"&amp;'categories-old'!B1087&amp;",'"&amp;RIGHT('categories-old'!G1087,LEN('categories-old'!G1087)-1)&amp;"');","")</f>
        <v>INSERT INTO `catalog_category_entity_varchar` (attribute_id,store_id,entity_id,value) VALUES (48,0,1017,'img1/img9656.jpg');</v>
      </c>
      <c r="B1087" t="str">
        <f>IF(LEN(categories!G1087) &gt; 0, "INSERT INTO `catalog_category_entity_varchar` (attribute_id,store_id,entity_id,value) VALUES (48,0,"&amp;categories!B1087&amp;",'"&amp;RIGHT(categories!G1087,LEN(categories!G1087)-1)&amp;"');","")</f>
        <v>INSERT INTO `catalog_category_entity_varchar` (attribute_id,store_id,entity_id,value) VALUES (48,0,1023,'img3/img46c7.jpg');</v>
      </c>
      <c r="C1087" t="str">
        <f>VLOOKUP(categories!B1087,'categories-old'!B:G,6,FALSE)</f>
        <v>/img3/img46c7.jpg</v>
      </c>
      <c r="D1087" t="str">
        <f>VLOOKUP(categories!B1087,'categories-old'!B:H,7,FALSE)</f>
        <v>www.americanretailsupply.com\65070\178194\Paper-Shopping-Bags\Western-Patterned-Paper-Shopping-Bags.html</v>
      </c>
    </row>
    <row r="1088" spans="1:4" hidden="1" x14ac:dyDescent="0.25">
      <c r="A1088" t="str">
        <f>IF(LEN('categories-old'!G1088) &gt; 0, "INSERT INTO `catalog_category_entity_varchar` (attribute_id,store_id,entity_id,value) VALUES (48,0,"&amp;'categories-old'!B1088&amp;",'"&amp;RIGHT('categories-old'!G1088,LEN('categories-old'!G1088)-1)&amp;"');","")</f>
        <v>INSERT INTO `catalog_category_entity_varchar` (attribute_id,store_id,entity_id,value) VALUES (48,0,1019,'img3/imgf663.jpg');</v>
      </c>
      <c r="B1088" t="str">
        <f>IF(LEN(categories!G1088) &gt; 0, "INSERT INTO `catalog_category_entity_varchar` (attribute_id,store_id,entity_id,value) VALUES (48,0,"&amp;categories!B1088&amp;",'"&amp;RIGHT(categories!G1088,LEN(categories!G1088)-1)&amp;"');","")</f>
        <v>INSERT INTO `catalog_category_entity_varchar` (attribute_id,store_id,entity_id,value) VALUES (48,0,1024,'img2/img6a6b.jpg');</v>
      </c>
      <c r="C1088" t="str">
        <f>VLOOKUP(categories!B1088,'categories-old'!B:G,6,FALSE)</f>
        <v>/img2/img6a6b.jpg</v>
      </c>
      <c r="D1088" t="str">
        <f>VLOOKUP(categories!B1088,'categories-old'!B:H,7,FALSE)</f>
        <v>www.americanretailsupply.com\10418\255424\Paper-Shopping-Bags\Natural-Kraft-Paper-Shopping-Bags.html</v>
      </c>
    </row>
    <row r="1089" spans="1:4" hidden="1" x14ac:dyDescent="0.25">
      <c r="A1089" t="str">
        <f>IF(LEN('categories-old'!G1089) &gt; 0, "INSERT INTO `catalog_category_entity_varchar` (attribute_id,store_id,entity_id,value) VALUES (48,0,"&amp;'categories-old'!B1089&amp;",'"&amp;RIGHT('categories-old'!G1089,LEN('categories-old'!G1089)-1)&amp;"');","")</f>
        <v>INSERT INTO `catalog_category_entity_varchar` (attribute_id,store_id,entity_id,value) VALUES (48,0,1020,'img1/img0f3a.jpg');</v>
      </c>
      <c r="B1089" t="str">
        <f>IF(LEN(categories!G1089) &gt; 0, "INSERT INTO `catalog_category_entity_varchar` (attribute_id,store_id,entity_id,value) VALUES (48,0,"&amp;categories!B1089&amp;",'"&amp;RIGHT(categories!G1089,LEN(categories!G1089)-1)&amp;"');","")</f>
        <v>INSERT INTO `catalog_category_entity_varchar` (attribute_id,store_id,entity_id,value) VALUES (48,0,1025,'img3/imgceb4.jpg');</v>
      </c>
      <c r="C1089" t="str">
        <f>VLOOKUP(categories!B1089,'categories-old'!B:G,6,FALSE)</f>
        <v>/img3/imgceb4.jpg</v>
      </c>
      <c r="D1089" t="str">
        <f>VLOOKUP(categories!B1089,'categories-old'!B:H,7,FALSE)</f>
        <v>www.americanretailsupply.com\65070\255452\Paper-Shopping-Bags\White-Kraft-Paper-Shopping-Bags.html</v>
      </c>
    </row>
    <row r="1090" spans="1:4" hidden="1" x14ac:dyDescent="0.25">
      <c r="A1090" t="str">
        <f>IF(LEN('categories-old'!G1090) &gt; 0, "INSERT INTO `catalog_category_entity_varchar` (attribute_id,store_id,entity_id,value) VALUES (48,0,"&amp;'categories-old'!B1090&amp;",'"&amp;RIGHT('categories-old'!G1090,LEN('categories-old'!G1090)-1)&amp;"');","")</f>
        <v>INSERT INTO `catalog_category_entity_varchar` (attribute_id,store_id,entity_id,value) VALUES (48,0,1021,'img2/imgcfb7.jpg');</v>
      </c>
      <c r="B1090" t="str">
        <f>IF(LEN(categories!G1090) &gt; 0, "INSERT INTO `catalog_category_entity_varchar` (attribute_id,store_id,entity_id,value) VALUES (48,0,"&amp;categories!B1090&amp;",'"&amp;RIGHT(categories!G1090,LEN(categories!G1090)-1)&amp;"');","")</f>
        <v>INSERT INTO `catalog_category_entity_varchar` (attribute_id,store_id,entity_id,value) VALUES (48,0,1026,'img3/imgb3f1.jpg');</v>
      </c>
      <c r="C1090" t="str">
        <f>VLOOKUP(categories!B1090,'categories-old'!B:G,6,FALSE)</f>
        <v>/img3/imgb3f1.jpg</v>
      </c>
      <c r="D1090" t="str">
        <f>VLOOKUP(categories!B1090,'categories-old'!B:H,7,FALSE)</f>
        <v>www.americanretailsupply.com\65070\773532\Paper-Shopping-Bags\Ice-Collection-Paper-Shoppers.html</v>
      </c>
    </row>
    <row r="1091" spans="1:4" hidden="1" x14ac:dyDescent="0.25">
      <c r="A1091" t="str">
        <f>IF(LEN('categories-old'!G1091) &gt; 0, "INSERT INTO `catalog_category_entity_varchar` (attribute_id,store_id,entity_id,value) VALUES (48,0,"&amp;'categories-old'!B1091&amp;",'"&amp;RIGHT('categories-old'!G1091,LEN('categories-old'!G1091)-1)&amp;"');","")</f>
        <v>INSERT INTO `catalog_category_entity_varchar` (attribute_id,store_id,entity_id,value) VALUES (48,0,1022,'img2/imgbdf9.jpg');</v>
      </c>
      <c r="B1091" t="str">
        <f>IF(LEN(categories!G1091) &gt; 0, "INSERT INTO `catalog_category_entity_varchar` (attribute_id,store_id,entity_id,value) VALUES (48,0,"&amp;categories!B1091&amp;",'"&amp;RIGHT(categories!G1091,LEN(categories!G1091)-1)&amp;"');","")</f>
        <v>INSERT INTO `catalog_category_entity_varchar` (attribute_id,store_id,entity_id,value) VALUES (48,0,1028,'img3/img3f8d.jpg');</v>
      </c>
      <c r="C1091" t="str">
        <f>VLOOKUP(categories!B1091,'categories-old'!B:G,6,FALSE)</f>
        <v>/img3/img3f8d.jpg</v>
      </c>
      <c r="D1091" t="str">
        <f>VLOOKUP(categories!B1091,'categories-old'!B:H,7,FALSE)</f>
        <v>www.americanretailsupply.com\65210\735556\Pearl-District-Displays\Pearl-District-Nesting-Tables.html</v>
      </c>
    </row>
    <row r="1092" spans="1:4" hidden="1" x14ac:dyDescent="0.25">
      <c r="A1092" t="str">
        <f>IF(LEN('categories-old'!G1092) &gt; 0, "INSERT INTO `catalog_category_entity_varchar` (attribute_id,store_id,entity_id,value) VALUES (48,0,"&amp;'categories-old'!B1092&amp;",'"&amp;RIGHT('categories-old'!G1092,LEN('categories-old'!G1092)-1)&amp;"');","")</f>
        <v>INSERT INTO `catalog_category_entity_varchar` (attribute_id,store_id,entity_id,value) VALUES (48,0,1023,'img3/img46c7.jpg');</v>
      </c>
      <c r="B1092" t="str">
        <f>IF(LEN(categories!G1092) &gt; 0, "INSERT INTO `catalog_category_entity_varchar` (attribute_id,store_id,entity_id,value) VALUES (48,0,"&amp;categories!B1092&amp;",'"&amp;RIGHT(categories!G1092,LEN(categories!G1092)-1)&amp;"');","")</f>
        <v>INSERT INTO `catalog_category_entity_varchar` (attribute_id,store_id,entity_id,value) VALUES (48,0,1029,'img2/img38f6.jpg');</v>
      </c>
      <c r="C1092" t="str">
        <f>VLOOKUP(categories!B1092,'categories-old'!B:G,6,FALSE)</f>
        <v>/img2/img38f6.jpg</v>
      </c>
      <c r="D1092" t="str">
        <f>VLOOKUP(categories!B1092,'categories-old'!B:H,7,FALSE)</f>
        <v>www.americanretailsupply.com\65210\735569\Pearl-District-Displays\Pearl-District-2-Way-and-3-Way-Frames-and-Accessories.html</v>
      </c>
    </row>
    <row r="1093" spans="1:4" hidden="1" x14ac:dyDescent="0.25">
      <c r="A1093" t="str">
        <f>IF(LEN('categories-old'!G1093) &gt; 0, "INSERT INTO `catalog_category_entity_varchar` (attribute_id,store_id,entity_id,value) VALUES (48,0,"&amp;'categories-old'!B1093&amp;",'"&amp;RIGHT('categories-old'!G1093,LEN('categories-old'!G1093)-1)&amp;"');","")</f>
        <v>INSERT INTO `catalog_category_entity_varchar` (attribute_id,store_id,entity_id,value) VALUES (48,0,1024,'img2/img6a6b.jpg');</v>
      </c>
      <c r="B1093" t="str">
        <f>IF(LEN(categories!G1093) &gt; 0, "INSERT INTO `catalog_category_entity_varchar` (attribute_id,store_id,entity_id,value) VALUES (48,0,"&amp;categories!B1093&amp;",'"&amp;RIGHT(categories!G1093,LEN(categories!G1093)-1)&amp;"');","")</f>
        <v>INSERT INTO `catalog_category_entity_varchar` (attribute_id,store_id,entity_id,value) VALUES (48,0,1030,'img1/img9a00.jpg');</v>
      </c>
      <c r="C1093" t="str">
        <f>VLOOKUP(categories!B1093,'categories-old'!B:G,6,FALSE)</f>
        <v>/img1/img9a00.jpg</v>
      </c>
      <c r="D1093" t="str">
        <f>VLOOKUP(categories!B1093,'categories-old'!B:H,7,FALSE)</f>
        <v>www.americanretailsupply.com\65210\735570\Pearl-District-Displays\Pearl-District-Outrigger-Frames-and-Accessories.html</v>
      </c>
    </row>
    <row r="1094" spans="1:4" hidden="1" x14ac:dyDescent="0.25">
      <c r="A1094" t="str">
        <f>IF(LEN('categories-old'!G1094) &gt; 0, "INSERT INTO `catalog_category_entity_varchar` (attribute_id,store_id,entity_id,value) VALUES (48,0,"&amp;'categories-old'!B1094&amp;",'"&amp;RIGHT('categories-old'!G1094,LEN('categories-old'!G1094)-1)&amp;"');","")</f>
        <v>INSERT INTO `catalog_category_entity_varchar` (attribute_id,store_id,entity_id,value) VALUES (48,0,1025,'img3/imgceb4.jpg');</v>
      </c>
      <c r="B1094" t="str">
        <f>IF(LEN(categories!G1094) &gt; 0, "INSERT INTO `catalog_category_entity_varchar` (attribute_id,store_id,entity_id,value) VALUES (48,0,"&amp;categories!B1094&amp;",'"&amp;RIGHT(categories!G1094,LEN(categories!G1094)-1)&amp;"');","")</f>
        <v>INSERT INTO `catalog_category_entity_varchar` (attribute_id,store_id,entity_id,value) VALUES (48,0,1032,'img3/img601d.jpg');</v>
      </c>
      <c r="C1094" t="str">
        <f>VLOOKUP(categories!B1094,'categories-old'!B:G,6,FALSE)</f>
        <v>/img3/img601d.jpg</v>
      </c>
      <c r="D1094" t="str">
        <f>VLOOKUP(categories!B1094,'categories-old'!B:H,7,FALSE)</f>
        <v>www.americanretailsupply.com\64689\47421\Pennants\Multi-Colored-Penants.html</v>
      </c>
    </row>
    <row r="1095" spans="1:4" hidden="1" x14ac:dyDescent="0.25">
      <c r="A1095" t="str">
        <f>IF(LEN('categories-old'!G1095) &gt; 0, "INSERT INTO `catalog_category_entity_varchar` (attribute_id,store_id,entity_id,value) VALUES (48,0,"&amp;'categories-old'!B1095&amp;",'"&amp;RIGHT('categories-old'!G1095,LEN('categories-old'!G1095)-1)&amp;"');","")</f>
        <v>INSERT INTO `catalog_category_entity_varchar` (attribute_id,store_id,entity_id,value) VALUES (48,0,1026,'img3/imgb3f1.jpg');</v>
      </c>
      <c r="B1095" t="str">
        <f>IF(LEN(categories!G1095) &gt; 0, "INSERT INTO `catalog_category_entity_varchar` (attribute_id,store_id,entity_id,value) VALUES (48,0,"&amp;categories!B1095&amp;",'"&amp;RIGHT(categories!G1095,LEN(categories!G1095)-1)&amp;"');","")</f>
        <v>INSERT INTO `catalog_category_entity_varchar` (attribute_id,store_id,entity_id,value) VALUES (48,0,1033,'img1/img0e73.jpg');</v>
      </c>
      <c r="C1095" t="str">
        <f>VLOOKUP(categories!B1095,'categories-old'!B:G,6,FALSE)</f>
        <v>/img1/img0e73.jpg</v>
      </c>
      <c r="D1095" t="str">
        <f>VLOOKUP(categories!B1095,'categories-old'!B:H,7,FALSE)</f>
        <v>www.americanretailsupply.com\64689\47422\Pennants\Red-White--Blue-Pennants.html</v>
      </c>
    </row>
    <row r="1096" spans="1:4" hidden="1" x14ac:dyDescent="0.25">
      <c r="A1096" t="str">
        <f>IF(LEN('categories-old'!G1096) &gt; 0, "INSERT INTO `catalog_category_entity_varchar` (attribute_id,store_id,entity_id,value) VALUES (48,0,"&amp;'categories-old'!B1096&amp;",'"&amp;RIGHT('categories-old'!G1096,LEN('categories-old'!G1096)-1)&amp;"');","")</f>
        <v>INSERT INTO `catalog_category_entity_varchar` (attribute_id,store_id,entity_id,value) VALUES (48,0,1028,'img3/img3f8d.jpg');</v>
      </c>
      <c r="B1096" t="str">
        <f>IF(LEN(categories!G1096) &gt; 0, "INSERT INTO `catalog_category_entity_varchar` (attribute_id,store_id,entity_id,value) VALUES (48,0,"&amp;categories!B1096&amp;",'"&amp;RIGHT(categories!G1096,LEN(categories!G1096)-1)&amp;"');","")</f>
        <v>INSERT INTO `catalog_category_entity_varchar` (attribute_id,store_id,entity_id,value) VALUES (48,0,1034,'img2/imgb85d.jpg');</v>
      </c>
      <c r="C1096" t="str">
        <f>VLOOKUP(categories!B1096,'categories-old'!B:G,6,FALSE)</f>
        <v>/img2/imgb85d.jpg</v>
      </c>
      <c r="D1096" t="str">
        <f>VLOOKUP(categories!B1096,'categories-old'!B:H,7,FALSE)</f>
        <v>www.americanretailsupply.com\64689\173677\Pennants\Blue-and-White-Penants.html</v>
      </c>
    </row>
    <row r="1097" spans="1:4" hidden="1" x14ac:dyDescent="0.25">
      <c r="A1097" t="str">
        <f>IF(LEN('categories-old'!G1097) &gt; 0, "INSERT INTO `catalog_category_entity_varchar` (attribute_id,store_id,entity_id,value) VALUES (48,0,"&amp;'categories-old'!B1097&amp;",'"&amp;RIGHT('categories-old'!G1097,LEN('categories-old'!G1097)-1)&amp;"');","")</f>
        <v>INSERT INTO `catalog_category_entity_varchar` (attribute_id,store_id,entity_id,value) VALUES (48,0,1029,'img2/img38f6.jpg');</v>
      </c>
      <c r="B1097" t="str">
        <f>IF(LEN(categories!G1097) &gt; 0, "INSERT INTO `catalog_category_entity_varchar` (attribute_id,store_id,entity_id,value) VALUES (48,0,"&amp;categories!B1097&amp;",'"&amp;RIGHT(categories!G1097,LEN(categories!G1097)-1)&amp;"');","")</f>
        <v>INSERT INTO `catalog_category_entity_varchar` (attribute_id,store_id,entity_id,value) VALUES (48,0,1035,'img3/imgae4c.jpg');</v>
      </c>
      <c r="C1097" t="str">
        <f>VLOOKUP(categories!B1097,'categories-old'!B:G,6,FALSE)</f>
        <v>/img3/imgae4c.jpg</v>
      </c>
      <c r="D1097" t="str">
        <f>VLOOKUP(categories!B1097,'categories-old'!B:H,7,FALSE)</f>
        <v>www.americanretailsupply.com\64689\173679\Pennants\Red-and-Yellow-Pennants.html</v>
      </c>
    </row>
    <row r="1098" spans="1:4" hidden="1" x14ac:dyDescent="0.25">
      <c r="A1098" t="str">
        <f>IF(LEN('categories-old'!G1098) &gt; 0, "INSERT INTO `catalog_category_entity_varchar` (attribute_id,store_id,entity_id,value) VALUES (48,0,"&amp;'categories-old'!B1098&amp;",'"&amp;RIGHT('categories-old'!G1098,LEN('categories-old'!G1098)-1)&amp;"');","")</f>
        <v>INSERT INTO `catalog_category_entity_varchar` (attribute_id,store_id,entity_id,value) VALUES (48,0,1030,'img1/img9a00.jpg');</v>
      </c>
      <c r="B1098" t="str">
        <f>IF(LEN(categories!G1098) &gt; 0, "INSERT INTO `catalog_category_entity_varchar` (attribute_id,store_id,entity_id,value) VALUES (48,0,"&amp;categories!B1098&amp;",'"&amp;RIGHT(categories!G1098,LEN(categories!G1098)-1)&amp;"');","")</f>
        <v>INSERT INTO `catalog_category_entity_varchar` (attribute_id,store_id,entity_id,value) VALUES (48,0,1037,'img1/img2602.jpg');</v>
      </c>
      <c r="C1098" t="str">
        <f>VLOOKUP(categories!B1098,'categories-old'!B:G,6,FALSE)</f>
        <v>/img1/img2602.jpg</v>
      </c>
      <c r="D1098" t="str">
        <f>VLOOKUP(categories!B1098,'categories-old'!B:H,7,FALSE)</f>
        <v>www.americanretailsupply.com\64736\19922\Perfect-Bows--Ribbon\Perfect-Bows.html</v>
      </c>
    </row>
    <row r="1099" spans="1:4" hidden="1" x14ac:dyDescent="0.25">
      <c r="A1099" t="str">
        <f>IF(LEN('categories-old'!G1099) &gt; 0, "INSERT INTO `catalog_category_entity_varchar` (attribute_id,store_id,entity_id,value) VALUES (48,0,"&amp;'categories-old'!B1099&amp;",'"&amp;RIGHT('categories-old'!G1099,LEN('categories-old'!G1099)-1)&amp;"');","")</f>
        <v>INSERT INTO `catalog_category_entity_varchar` (attribute_id,store_id,entity_id,value) VALUES (48,0,1032,'img3/img601d.jpg');</v>
      </c>
      <c r="B1099" t="str">
        <f>IF(LEN(categories!G1099) &gt; 0, "INSERT INTO `catalog_category_entity_varchar` (attribute_id,store_id,entity_id,value) VALUES (48,0,"&amp;categories!B1099&amp;",'"&amp;RIGHT(categories!G1099,LEN(categories!G1099)-1)&amp;"');","")</f>
        <v>INSERT INTO `catalog_category_entity_varchar` (attribute_id,store_id,entity_id,value) VALUES (48,0,1038,'img3/img8e27.jpg');</v>
      </c>
      <c r="C1099" t="str">
        <f>VLOOKUP(categories!B1099,'categories-old'!B:G,6,FALSE)</f>
        <v>/img3/img8e27.jpg</v>
      </c>
      <c r="D1099" t="str">
        <f>VLOOKUP(categories!B1099,'categories-old'!B:H,7,FALSE)</f>
        <v>www.americanretailsupply.com\64736\19926\Perfect-Bows--Ribbon\Flora-Satin-Ribbon.html</v>
      </c>
    </row>
    <row r="1100" spans="1:4" hidden="1" x14ac:dyDescent="0.25">
      <c r="A1100" t="str">
        <f>IF(LEN('categories-old'!G1100) &gt; 0, "INSERT INTO `catalog_category_entity_varchar` (attribute_id,store_id,entity_id,value) VALUES (48,0,"&amp;'categories-old'!B1100&amp;",'"&amp;RIGHT('categories-old'!G1100,LEN('categories-old'!G1100)-1)&amp;"');","")</f>
        <v>INSERT INTO `catalog_category_entity_varchar` (attribute_id,store_id,entity_id,value) VALUES (48,0,1033,'img1/img0e73.jpg');</v>
      </c>
      <c r="B1100" t="str">
        <f>IF(LEN(categories!G1100) &gt; 0, "INSERT INTO `catalog_category_entity_varchar` (attribute_id,store_id,entity_id,value) VALUES (48,0,"&amp;categories!B1100&amp;",'"&amp;RIGHT(categories!G1100,LEN(categories!G1100)-1)&amp;"');","")</f>
        <v>INSERT INTO `catalog_category_entity_varchar` (attribute_id,store_id,entity_id,value) VALUES (48,0,1040,'img3/img21c3.jpg');</v>
      </c>
      <c r="C1100" t="str">
        <f>VLOOKUP(categories!B1100,'categories-old'!B:G,6,FALSE)</f>
        <v>/img3/img21c3.jpg</v>
      </c>
      <c r="D1100" t="str">
        <f>VLOOKUP(categories!B1100,'categories-old'!B:H,7,FALSE)</f>
        <v>www.americanretailsupply.com\65079\48311\Polypropylene-Bags\Clear-Gusseted-Polypropylene-Bags.html</v>
      </c>
    </row>
    <row r="1101" spans="1:4" hidden="1" x14ac:dyDescent="0.25">
      <c r="A1101" t="str">
        <f>IF(LEN('categories-old'!G1101) &gt; 0, "INSERT INTO `catalog_category_entity_varchar` (attribute_id,store_id,entity_id,value) VALUES (48,0,"&amp;'categories-old'!B1101&amp;",'"&amp;RIGHT('categories-old'!G1101,LEN('categories-old'!G1101)-1)&amp;"');","")</f>
        <v>INSERT INTO `catalog_category_entity_varchar` (attribute_id,store_id,entity_id,value) VALUES (48,0,1034,'img2/imgb85d.jpg');</v>
      </c>
      <c r="B1101" t="str">
        <f>IF(LEN(categories!G1101) &gt; 0, "INSERT INTO `catalog_category_entity_varchar` (attribute_id,store_id,entity_id,value) VALUES (48,0,"&amp;categories!B1101&amp;",'"&amp;RIGHT(categories!G1101,LEN(categories!G1101)-1)&amp;"');","")</f>
        <v>INSERT INTO `catalog_category_entity_varchar` (attribute_id,store_id,entity_id,value) VALUES (48,0,1041,'img2/imge9c4.jpg');</v>
      </c>
      <c r="C1101" t="str">
        <f>VLOOKUP(categories!B1101,'categories-old'!B:G,6,FALSE)</f>
        <v>/img2/imge9c4.jpg</v>
      </c>
      <c r="D1101" t="str">
        <f>VLOOKUP(categories!B1101,'categories-old'!B:H,7,FALSE)</f>
        <v>www.americanretailsupply.com\65079\48313\Polypropylene-Bags\Clear-Flat-Polypropylene-Bags-with-Lip-n-Tape-Closure.html</v>
      </c>
    </row>
    <row r="1102" spans="1:4" hidden="1" x14ac:dyDescent="0.25">
      <c r="A1102" t="str">
        <f>IF(LEN('categories-old'!G1102) &gt; 0, "INSERT INTO `catalog_category_entity_varchar` (attribute_id,store_id,entity_id,value) VALUES (48,0,"&amp;'categories-old'!B1102&amp;",'"&amp;RIGHT('categories-old'!G1102,LEN('categories-old'!G1102)-1)&amp;"');","")</f>
        <v>INSERT INTO `catalog_category_entity_varchar` (attribute_id,store_id,entity_id,value) VALUES (48,0,1035,'img3/imgae4c.jpg');</v>
      </c>
      <c r="B1102" t="str">
        <f>IF(LEN(categories!G1102) &gt; 0, "INSERT INTO `catalog_category_entity_varchar` (attribute_id,store_id,entity_id,value) VALUES (48,0,"&amp;categories!B1102&amp;",'"&amp;RIGHT(categories!G1102,LEN(categories!G1102)-1)&amp;"');","")</f>
        <v>INSERT INTO `catalog_category_entity_varchar` (attribute_id,store_id,entity_id,value) VALUES (48,0,1042,'img2/img5016.jpg');</v>
      </c>
      <c r="C1102" t="str">
        <f>VLOOKUP(categories!B1102,'categories-old'!B:G,6,FALSE)</f>
        <v>/img2/img5016.jpg</v>
      </c>
      <c r="D1102" t="str">
        <f>VLOOKUP(categories!B1102,'categories-old'!B:H,7,FALSE)</f>
        <v>www.americanretailsupply.com\65079\48315\Polypropylene-Bags\Metallic-Twist-Ties.html</v>
      </c>
    </row>
    <row r="1103" spans="1:4" hidden="1" x14ac:dyDescent="0.25">
      <c r="A1103" t="str">
        <f>IF(LEN('categories-old'!G1103) &gt; 0, "INSERT INTO `catalog_category_entity_varchar` (attribute_id,store_id,entity_id,value) VALUES (48,0,"&amp;'categories-old'!B1103&amp;",'"&amp;RIGHT('categories-old'!G1103,LEN('categories-old'!G1103)-1)&amp;"');","")</f>
        <v>INSERT INTO `catalog_category_entity_varchar` (attribute_id,store_id,entity_id,value) VALUES (48,0,1037,'img1/img2602.jpg');</v>
      </c>
      <c r="B1103" t="str">
        <f>IF(LEN(categories!G1103) &gt; 0, "INSERT INTO `catalog_category_entity_varchar` (attribute_id,store_id,entity_id,value) VALUES (48,0,"&amp;categories!B1103&amp;",'"&amp;RIGHT(categories!G1103,LEN(categories!G1103)-1)&amp;"');","")</f>
        <v>INSERT INTO `catalog_category_entity_varchar` (attribute_id,store_id,entity_id,value) VALUES (48,0,1043,'img2/imgd19e.jpg');</v>
      </c>
      <c r="C1103" t="str">
        <f>VLOOKUP(categories!B1103,'categories-old'!B:G,6,FALSE)</f>
        <v>/img2/imgd19e.jpg</v>
      </c>
      <c r="D1103" t="str">
        <f>VLOOKUP(categories!B1103,'categories-old'!B:H,7,FALSE)</f>
        <v>www.americanretailsupply.com\65079\48316\Polypropylene-Bags\Clear-Flat-Polypropylene-Bags.html</v>
      </c>
    </row>
    <row r="1104" spans="1:4" hidden="1" x14ac:dyDescent="0.25">
      <c r="A1104" t="str">
        <f>IF(LEN('categories-old'!G1104) &gt; 0, "INSERT INTO `catalog_category_entity_varchar` (attribute_id,store_id,entity_id,value) VALUES (48,0,"&amp;'categories-old'!B1104&amp;",'"&amp;RIGHT('categories-old'!G1104,LEN('categories-old'!G1104)-1)&amp;"');","")</f>
        <v>INSERT INTO `catalog_category_entity_varchar` (attribute_id,store_id,entity_id,value) VALUES (48,0,1038,'img3/img8e27.jpg');</v>
      </c>
      <c r="B1104" t="str">
        <f>IF(LEN(categories!G1104) &gt; 0, "INSERT INTO `catalog_category_entity_varchar` (attribute_id,store_id,entity_id,value) VALUES (48,0,"&amp;categories!B1104&amp;",'"&amp;RIGHT(categories!G1104,LEN(categories!G1104)-1)&amp;"');","")</f>
        <v>INSERT INTO `catalog_category_entity_varchar` (attribute_id,store_id,entity_id,value) VALUES (48,0,1044,'img1/imgea27.jpg');</v>
      </c>
      <c r="C1104" t="str">
        <f>VLOOKUP(categories!B1104,'categories-old'!B:G,6,FALSE)</f>
        <v>/img1/imgea27.jpg</v>
      </c>
      <c r="D1104" t="str">
        <f>VLOOKUP(categories!B1104,'categories-old'!B:H,7,FALSE)</f>
        <v>www.americanretailsupply.com\65079\48319\Polypropylene-Bags\Printed-Polypropylene-Bags.html</v>
      </c>
    </row>
    <row r="1105" spans="1:4" hidden="1" x14ac:dyDescent="0.25">
      <c r="A1105" t="str">
        <f>IF(LEN('categories-old'!G1105) &gt; 0, "INSERT INTO `catalog_category_entity_varchar` (attribute_id,store_id,entity_id,value) VALUES (48,0,"&amp;'categories-old'!B1105&amp;",'"&amp;RIGHT('categories-old'!G1105,LEN('categories-old'!G1105)-1)&amp;"');","")</f>
        <v>INSERT INTO `catalog_category_entity_varchar` (attribute_id,store_id,entity_id,value) VALUES (48,0,1040,'img3/img21c3.jpg');</v>
      </c>
      <c r="B1105" t="str">
        <f>IF(LEN(categories!G1105) &gt; 0, "INSERT INTO `catalog_category_entity_varchar` (attribute_id,store_id,entity_id,value) VALUES (48,0,"&amp;categories!B1105&amp;",'"&amp;RIGHT(categories!G1105,LEN(categories!G1105)-1)&amp;"');","")</f>
        <v>INSERT INTO `catalog_category_entity_varchar` (attribute_id,store_id,entity_id,value) VALUES (48,0,1045,'img3/img21c3.jpg');</v>
      </c>
      <c r="C1105" t="str">
        <f>VLOOKUP(categories!B1105,'categories-old'!B:G,6,FALSE)</f>
        <v>/img3/img21c3.jpg</v>
      </c>
      <c r="D1105" t="str">
        <f>VLOOKUP(categories!B1105,'categories-old'!B:H,7,FALSE)</f>
        <v>www.americanretailsupply.com\65079\435987\Polypropylene-Bags\Heavy-Duty-Clear-Polypropylene-Bags.html</v>
      </c>
    </row>
    <row r="1106" spans="1:4" hidden="1" x14ac:dyDescent="0.25">
      <c r="A1106" t="str">
        <f>IF(LEN('categories-old'!G1106) &gt; 0, "INSERT INTO `catalog_category_entity_varchar` (attribute_id,store_id,entity_id,value) VALUES (48,0,"&amp;'categories-old'!B1106&amp;",'"&amp;RIGHT('categories-old'!G1106,LEN('categories-old'!G1106)-1)&amp;"');","")</f>
        <v>INSERT INTO `catalog_category_entity_varchar` (attribute_id,store_id,entity_id,value) VALUES (48,0,1041,'img2/imge9c4.jpg');</v>
      </c>
      <c r="B1106" t="str">
        <f>IF(LEN(categories!G1106) &gt; 0, "INSERT INTO `catalog_category_entity_varchar` (attribute_id,store_id,entity_id,value) VALUES (48,0,"&amp;categories!B1106&amp;",'"&amp;RIGHT(categories!G1106,LEN(categories!G1106)-1)&amp;"');","")</f>
        <v>INSERT INTO `catalog_category_entity_varchar` (attribute_id,store_id,entity_id,value) VALUES (48,0,1047,'img1/img3a92.jpg');</v>
      </c>
      <c r="C1106" t="str">
        <f>VLOOKUP(categories!B1106,'categories-old'!B:G,6,FALSE)</f>
        <v>/img1/img3a92.jpg</v>
      </c>
      <c r="D1106" t="str">
        <f>VLOOKUP(categories!B1106,'categories-old'!B:H,7,FALSE)</f>
        <v>www.americanretailsupply.com\64705\19619\Polypropylene-Rolls--Bags\Clear--Colored-Clearphane-Film-Rolls.html</v>
      </c>
    </row>
    <row r="1107" spans="1:4" hidden="1" x14ac:dyDescent="0.25">
      <c r="A1107" t="str">
        <f>IF(LEN('categories-old'!G1107) &gt; 0, "INSERT INTO `catalog_category_entity_varchar` (attribute_id,store_id,entity_id,value) VALUES (48,0,"&amp;'categories-old'!B1107&amp;",'"&amp;RIGHT('categories-old'!G1107,LEN('categories-old'!G1107)-1)&amp;"');","")</f>
        <v>INSERT INTO `catalog_category_entity_varchar` (attribute_id,store_id,entity_id,value) VALUES (48,0,1042,'img2/img5016.jpg');</v>
      </c>
      <c r="B1107" t="str">
        <f>IF(LEN(categories!G1107) &gt; 0, "INSERT INTO `catalog_category_entity_varchar` (attribute_id,store_id,entity_id,value) VALUES (48,0,"&amp;categories!B1107&amp;",'"&amp;RIGHT(categories!G1107,LEN(categories!G1107)-1)&amp;"');","")</f>
        <v>INSERT INTO `catalog_category_entity_varchar` (attribute_id,store_id,entity_id,value) VALUES (48,0,1048,'img1/imgab2e.jpg');</v>
      </c>
      <c r="C1107" t="str">
        <f>VLOOKUP(categories!B1107,'categories-old'!B:G,6,FALSE)</f>
        <v>/img1/imgab2e.jpg</v>
      </c>
      <c r="D1107" t="str">
        <f>VLOOKUP(categories!B1107,'categories-old'!B:H,7,FALSE)</f>
        <v>www.americanretailsupply.com\25203\48312\Polypropylene-Rolls--Bags\Clear-Polypropylene-Basket-Bags.html</v>
      </c>
    </row>
    <row r="1108" spans="1:4" hidden="1" x14ac:dyDescent="0.25">
      <c r="A1108" t="str">
        <f>IF(LEN('categories-old'!G1108) &gt; 0, "INSERT INTO `catalog_category_entity_varchar` (attribute_id,store_id,entity_id,value) VALUES (48,0,"&amp;'categories-old'!B1108&amp;",'"&amp;RIGHT('categories-old'!G1108,LEN('categories-old'!G1108)-1)&amp;"');","")</f>
        <v>INSERT INTO `catalog_category_entity_varchar` (attribute_id,store_id,entity_id,value) VALUES (48,0,1043,'img2/imgd19e.jpg');</v>
      </c>
      <c r="B1108" t="str">
        <f>IF(LEN(categories!G1108) &gt; 0, "INSERT INTO `catalog_category_entity_varchar` (attribute_id,store_id,entity_id,value) VALUES (48,0,"&amp;categories!B1108&amp;",'"&amp;RIGHT(categories!G1108,LEN(categories!G1108)-1)&amp;"');","")</f>
        <v>INSERT INTO `catalog_category_entity_varchar` (attribute_id,store_id,entity_id,value) VALUES (48,0,1050,'img2/img0cbe.jpg');</v>
      </c>
      <c r="C1108" t="str">
        <f>VLOOKUP(categories!B1108,'categories-old'!B:G,6,FALSE)</f>
        <v>/img2/img0cbe.jpg</v>
      </c>
      <c r="D1108" t="str">
        <f>VLOOKUP(categories!B1108,'categories-old'!B:H,7,FALSE)</f>
        <v>www.americanretailsupply.com\65086\228051\Polyproylene-Bags--Rolls\Printed-Polypropylene-Rolls.html</v>
      </c>
    </row>
    <row r="1109" spans="1:4" hidden="1" x14ac:dyDescent="0.25">
      <c r="A1109" t="str">
        <f>IF(LEN('categories-old'!G1109) &gt; 0, "INSERT INTO `catalog_category_entity_varchar` (attribute_id,store_id,entity_id,value) VALUES (48,0,"&amp;'categories-old'!B1109&amp;",'"&amp;RIGHT('categories-old'!G1109,LEN('categories-old'!G1109)-1)&amp;"');","")</f>
        <v>INSERT INTO `catalog_category_entity_varchar` (attribute_id,store_id,entity_id,value) VALUES (48,0,1044,'img1/imgea27.jpg');</v>
      </c>
      <c r="B1109" t="str">
        <f>IF(LEN(categories!G1109) &gt; 0, "INSERT INTO `catalog_category_entity_varchar` (attribute_id,store_id,entity_id,value) VALUES (48,0,"&amp;categories!B1109&amp;",'"&amp;RIGHT(categories!G1109,LEN(categories!G1109)-1)&amp;"');","")</f>
        <v>INSERT INTO `catalog_category_entity_varchar` (attribute_id,store_id,entity_id,value) VALUES (48,0,1052,'img1/imge671.jpg');</v>
      </c>
      <c r="C1109" t="str">
        <f>VLOOKUP(categories!B1109,'categories-old'!B:G,6,FALSE)</f>
        <v>/img1/imge671.jpg</v>
      </c>
      <c r="D1109" t="str">
        <f>VLOOKUP(categories!B1109,'categories-old'!B:H,7,FALSE)</f>
        <v>www.americanretailsupply.com\64929\1453\Primark-1--2-Line-Price-Guns\Primark-P-14-1-Line-Price-Gun.html</v>
      </c>
    </row>
    <row r="1110" spans="1:4" hidden="1" x14ac:dyDescent="0.25">
      <c r="A1110" t="str">
        <f>IF(LEN('categories-old'!G1110) &gt; 0, "INSERT INTO `catalog_category_entity_varchar` (attribute_id,store_id,entity_id,value) VALUES (48,0,"&amp;'categories-old'!B1110&amp;",'"&amp;RIGHT('categories-old'!G1110,LEN('categories-old'!G1110)-1)&amp;"');","")</f>
        <v>INSERT INTO `catalog_category_entity_varchar` (attribute_id,store_id,entity_id,value) VALUES (48,0,1045,'img3/img21c3.jpg');</v>
      </c>
      <c r="B1110" t="str">
        <f>IF(LEN(categories!G1110) &gt; 0, "INSERT INTO `catalog_category_entity_varchar` (attribute_id,store_id,entity_id,value) VALUES (48,0,"&amp;categories!B1110&amp;",'"&amp;RIGHT(categories!G1110,LEN(categories!G1110)-1)&amp;"');","")</f>
        <v>INSERT INTO `catalog_category_entity_varchar` (attribute_id,store_id,entity_id,value) VALUES (48,0,1053,'img1/img4cd9.jpg');</v>
      </c>
      <c r="C1110" t="str">
        <f>VLOOKUP(categories!B1110,'categories-old'!B:G,6,FALSE)</f>
        <v>/img1/img4cd9.jpg</v>
      </c>
      <c r="D1110" t="str">
        <f>VLOOKUP(categories!B1110,'categories-old'!B:H,7,FALSE)</f>
        <v>www.americanretailsupply.com\64929\1554\Primark-1--2-Line-Price-Guns\Primark-P-14-Labels.html</v>
      </c>
    </row>
    <row r="1111" spans="1:4" hidden="1" x14ac:dyDescent="0.25">
      <c r="A1111" t="str">
        <f>IF(LEN('categories-old'!G1111) &gt; 0, "INSERT INTO `catalog_category_entity_varchar` (attribute_id,store_id,entity_id,value) VALUES (48,0,"&amp;'categories-old'!B1111&amp;",'"&amp;RIGHT('categories-old'!G1111,LEN('categories-old'!G1111)-1)&amp;"');","")</f>
        <v>INSERT INTO `catalog_category_entity_varchar` (attribute_id,store_id,entity_id,value) VALUES (48,0,1047,'img1/img3a92.jpg');</v>
      </c>
      <c r="B1111" t="str">
        <f>IF(LEN(categories!G1111) &gt; 0, "INSERT INTO `catalog_category_entity_varchar` (attribute_id,store_id,entity_id,value) VALUES (48,0,"&amp;categories!B1111&amp;",'"&amp;RIGHT(categories!G1111,LEN(categories!G1111)-1)&amp;"');","")</f>
        <v>INSERT INTO `catalog_category_entity_varchar` (attribute_id,store_id,entity_id,value) VALUES (48,0,1054,'img1/imge43e.jpg');</v>
      </c>
      <c r="C1111" t="str">
        <f>VLOOKUP(categories!B1111,'categories-old'!B:G,6,FALSE)</f>
        <v>/img1/imge43e.jpg</v>
      </c>
      <c r="D1111" t="str">
        <f>VLOOKUP(categories!B1111,'categories-old'!B:H,7,FALSE)</f>
        <v>www.americanretailsupply.com\64929\1557\Primark-1--2-Line-Price-Guns\Primark-P-14-Ink-Roller.html</v>
      </c>
    </row>
    <row r="1112" spans="1:4" hidden="1" x14ac:dyDescent="0.25">
      <c r="A1112" t="str">
        <f>IF(LEN('categories-old'!G1112) &gt; 0, "INSERT INTO `catalog_category_entity_varchar` (attribute_id,store_id,entity_id,value) VALUES (48,0,"&amp;'categories-old'!B1112&amp;",'"&amp;RIGHT('categories-old'!G1112,LEN('categories-old'!G1112)-1)&amp;"');","")</f>
        <v>INSERT INTO `catalog_category_entity_varchar` (attribute_id,store_id,entity_id,value) VALUES (48,0,1048,'img1/imgab2e.jpg');</v>
      </c>
      <c r="B1112" t="str">
        <f>IF(LEN(categories!G1112) &gt; 0, "INSERT INTO `catalog_category_entity_varchar` (attribute_id,store_id,entity_id,value) VALUES (48,0,"&amp;categories!B1112&amp;",'"&amp;RIGHT(categories!G1112,LEN(categories!G1112)-1)&amp;"');","")</f>
        <v>INSERT INTO `catalog_category_entity_varchar` (attribute_id,store_id,entity_id,value) VALUES (48,0,1055,'img2/imgda04.jpg');</v>
      </c>
      <c r="C1112" t="str">
        <f>VLOOKUP(categories!B1112,'categories-old'!B:G,6,FALSE)</f>
        <v>/img2/imgda04.jpg</v>
      </c>
      <c r="D1112" t="str">
        <f>VLOOKUP(categories!B1112,'categories-old'!B:H,7,FALSE)</f>
        <v>www.americanretailsupply.com\64929\1586\Primark-1--2-Line-Price-Guns\Primark-P-16-Labels.html</v>
      </c>
    </row>
    <row r="1113" spans="1:4" hidden="1" x14ac:dyDescent="0.25">
      <c r="A1113" t="str">
        <f>IF(LEN('categories-old'!G1113) &gt; 0, "INSERT INTO `catalog_category_entity_varchar` (attribute_id,store_id,entity_id,value) VALUES (48,0,"&amp;'categories-old'!B1113&amp;",'"&amp;RIGHT('categories-old'!G1113,LEN('categories-old'!G1113)-1)&amp;"');","")</f>
        <v>INSERT INTO `catalog_category_entity_varchar` (attribute_id,store_id,entity_id,value) VALUES (48,0,1050,'img2/img0cbe.jpg');</v>
      </c>
      <c r="B1113" t="str">
        <f>IF(LEN(categories!G1113) &gt; 0, "INSERT INTO `catalog_category_entity_varchar` (attribute_id,store_id,entity_id,value) VALUES (48,0,"&amp;categories!B1113&amp;",'"&amp;RIGHT(categories!G1113,LEN(categories!G1113)-1)&amp;"');","")</f>
        <v>INSERT INTO `catalog_category_entity_varchar` (attribute_id,store_id,entity_id,value) VALUES (48,0,1056,'img3/imgfcbc.jpg');</v>
      </c>
      <c r="C1113" t="str">
        <f>VLOOKUP(categories!B1113,'categories-old'!B:G,6,FALSE)</f>
        <v>/img3/imgfcbc.jpg</v>
      </c>
      <c r="D1113" t="str">
        <f>VLOOKUP(categories!B1113,'categories-old'!B:H,7,FALSE)</f>
        <v>www.americanretailsupply.com\64929\48179\Primark-1--2-Line-Price-Guns\Primark-P-16-2-Line-Price-Gun.html</v>
      </c>
    </row>
    <row r="1114" spans="1:4" hidden="1" x14ac:dyDescent="0.25">
      <c r="A1114" t="str">
        <f>IF(LEN('categories-old'!G1114) &gt; 0, "INSERT INTO `catalog_category_entity_varchar` (attribute_id,store_id,entity_id,value) VALUES (48,0,"&amp;'categories-old'!B1114&amp;",'"&amp;RIGHT('categories-old'!G1114,LEN('categories-old'!G1114)-1)&amp;"');","")</f>
        <v>INSERT INTO `catalog_category_entity_varchar` (attribute_id,store_id,entity_id,value) VALUES (48,0,1052,'img1/imge671.jpg');</v>
      </c>
      <c r="B1114" t="str">
        <f>IF(LEN(categories!G1114) &gt; 0, "INSERT INTO `catalog_category_entity_varchar` (attribute_id,store_id,entity_id,value) VALUES (48,0,"&amp;categories!B1114&amp;",'"&amp;RIGHT(categories!G1114,LEN(categories!G1114)-1)&amp;"');","")</f>
        <v>INSERT INTO `catalog_category_entity_varchar` (attribute_id,store_id,entity_id,value) VALUES (48,0,1057,'img2/imgcc07.jpg');</v>
      </c>
      <c r="C1114" t="str">
        <f>VLOOKUP(categories!B1114,'categories-old'!B:G,6,FALSE)</f>
        <v>/img2/imgcc07.jpg</v>
      </c>
      <c r="D1114" t="str">
        <f>VLOOKUP(categories!B1114,'categories-old'!B:H,7,FALSE)</f>
        <v>www.americanretailsupply.com\64929\48285\Primark-1--2-Line-Price-Guns\Primark-P-16-Ink-Roller.html</v>
      </c>
    </row>
    <row r="1115" spans="1:4" hidden="1" x14ac:dyDescent="0.25">
      <c r="A1115" t="str">
        <f>IF(LEN('categories-old'!G1115) &gt; 0, "INSERT INTO `catalog_category_entity_varchar` (attribute_id,store_id,entity_id,value) VALUES (48,0,"&amp;'categories-old'!B1115&amp;",'"&amp;RIGHT('categories-old'!G1115,LEN('categories-old'!G1115)-1)&amp;"');","")</f>
        <v>INSERT INTO `catalog_category_entity_varchar` (attribute_id,store_id,entity_id,value) VALUES (48,0,1053,'img1/img4cd9.jpg');</v>
      </c>
      <c r="B1115" t="str">
        <f>IF(LEN(categories!G1115) &gt; 0, "INSERT INTO `catalog_category_entity_varchar` (attribute_id,store_id,entity_id,value) VALUES (48,0,"&amp;categories!B1115&amp;",'"&amp;RIGHT(categories!G1115,LEN(categories!G1115)-1)&amp;"');","")</f>
        <v>INSERT INTO `catalog_category_entity_varchar` (attribute_id,store_id,entity_id,value) VALUES (48,0,1059,'img3/imgd1e5-2.jpg');</v>
      </c>
      <c r="C1115" t="str">
        <f>VLOOKUP(categories!B1115,'categories-old'!B:G,6,FALSE)</f>
        <v>/img3/imgd1e5-2.jpg</v>
      </c>
      <c r="D1115" t="str">
        <f>VLOOKUP(categories!B1115,'categories-old'!B:H,7,FALSE)</f>
        <v>www.americanretailsupply.com\64856\22349\Printer-Labels\Thermal-Transfer-Labels-and-Ribbon.html</v>
      </c>
    </row>
    <row r="1116" spans="1:4" hidden="1" x14ac:dyDescent="0.25">
      <c r="A1116" t="str">
        <f>IF(LEN('categories-old'!G1116) &gt; 0, "INSERT INTO `catalog_category_entity_varchar` (attribute_id,store_id,entity_id,value) VALUES (48,0,"&amp;'categories-old'!B1116&amp;",'"&amp;RIGHT('categories-old'!G1116,LEN('categories-old'!G1116)-1)&amp;"');","")</f>
        <v>INSERT INTO `catalog_category_entity_varchar` (attribute_id,store_id,entity_id,value) VALUES (48,0,1054,'img1/imge43e.jpg');</v>
      </c>
      <c r="B1116" t="str">
        <f>IF(LEN(categories!G1116) &gt; 0, "INSERT INTO `catalog_category_entity_varchar` (attribute_id,store_id,entity_id,value) VALUES (48,0,"&amp;categories!B1116&amp;",'"&amp;RIGHT(categories!G1116,LEN(categories!G1116)-1)&amp;"');","")</f>
        <v>INSERT INTO `catalog_category_entity_varchar` (attribute_id,store_id,entity_id,value) VALUES (48,0,1060,'img3/imgd1e5-2.jpg');</v>
      </c>
      <c r="C1116" t="str">
        <f>VLOOKUP(categories!B1116,'categories-old'!B:G,6,FALSE)</f>
        <v>/img3/imgd1e5-2.jpg</v>
      </c>
      <c r="D1116" t="str">
        <f>VLOOKUP(categories!B1116,'categories-old'!B:H,7,FALSE)</f>
        <v>www.americanretailsupply.com\64856\173888\Printer-Labels\Direct-Thermal-Labels.html</v>
      </c>
    </row>
    <row r="1117" spans="1:4" hidden="1" x14ac:dyDescent="0.25">
      <c r="A1117" t="str">
        <f>IF(LEN('categories-old'!G1117) &gt; 0, "INSERT INTO `catalog_category_entity_varchar` (attribute_id,store_id,entity_id,value) VALUES (48,0,"&amp;'categories-old'!B1117&amp;",'"&amp;RIGHT('categories-old'!G1117,LEN('categories-old'!G1117)-1)&amp;"');","")</f>
        <v>INSERT INTO `catalog_category_entity_varchar` (attribute_id,store_id,entity_id,value) VALUES (48,0,1055,'img2/imgda04.jpg');</v>
      </c>
      <c r="B1117" t="str">
        <f>IF(LEN(categories!G1117) &gt; 0, "INSERT INTO `catalog_category_entity_varchar` (attribute_id,store_id,entity_id,value) VALUES (48,0,"&amp;categories!B1117&amp;",'"&amp;RIGHT(categories!G1117,LEN(categories!G1117)-1)&amp;"');","")</f>
        <v>INSERT INTO `catalog_category_entity_varchar` (attribute_id,store_id,entity_id,value) VALUES (48,0,1061,'img1/imgc290.jpg');</v>
      </c>
      <c r="C1117" t="str">
        <f>VLOOKUP(categories!B1117,'categories-old'!B:G,6,FALSE)</f>
        <v>/img1/imgc290.jpg</v>
      </c>
      <c r="D1117" t="str">
        <f>VLOOKUP(categories!B1117,'categories-old'!B:H,7,FALSE)</f>
        <v>www.americanretailsupply.com\64856\173893\Printer-Labels\Paper-Laser-Labels.html</v>
      </c>
    </row>
    <row r="1118" spans="1:4" hidden="1" x14ac:dyDescent="0.25">
      <c r="A1118" t="str">
        <f>IF(LEN('categories-old'!G1118) &gt; 0, "INSERT INTO `catalog_category_entity_varchar` (attribute_id,store_id,entity_id,value) VALUES (48,0,"&amp;'categories-old'!B1118&amp;",'"&amp;RIGHT('categories-old'!G1118,LEN('categories-old'!G1118)-1)&amp;"');","")</f>
        <v>INSERT INTO `catalog_category_entity_varchar` (attribute_id,store_id,entity_id,value) VALUES (48,0,1056,'img3/imgfcbc.jpg');</v>
      </c>
      <c r="B1118" t="str">
        <f>IF(LEN(categories!G1118) &gt; 0, "INSERT INTO `catalog_category_entity_varchar` (attribute_id,store_id,entity_id,value) VALUES (48,0,"&amp;categories!B1118&amp;",'"&amp;RIGHT(categories!G1118,LEN(categories!G1118)-1)&amp;"');","")</f>
        <v>INSERT INTO `catalog_category_entity_varchar` (attribute_id,store_id,entity_id,value) VALUES (48,0,1063,'img3/img25db.jpg');</v>
      </c>
      <c r="C1118" t="str">
        <f>VLOOKUP(categories!B1118,'categories-old'!B:G,6,FALSE)</f>
        <v>/img3/img25db.jpg</v>
      </c>
      <c r="D1118" t="str">
        <f>VLOOKUP(categories!B1118,'categories-old'!B:H,7,FALSE)</f>
        <v>www.americanretailsupply.com\64969\37868\Quantum-Extra-HD-Brackets\Quantum-Standard-Brackets.html</v>
      </c>
    </row>
    <row r="1119" spans="1:4" hidden="1" x14ac:dyDescent="0.25">
      <c r="A1119" t="str">
        <f>IF(LEN('categories-old'!G1119) &gt; 0, "INSERT INTO `catalog_category_entity_varchar` (attribute_id,store_id,entity_id,value) VALUES (48,0,"&amp;'categories-old'!B1119&amp;",'"&amp;RIGHT('categories-old'!G1119,LEN('categories-old'!G1119)-1)&amp;"');","")</f>
        <v>INSERT INTO `catalog_category_entity_varchar` (attribute_id,store_id,entity_id,value) VALUES (48,0,1057,'img2/imgcc07.jpg');</v>
      </c>
      <c r="B1119" t="str">
        <f>IF(LEN(categories!G1119) &gt; 0, "INSERT INTO `catalog_category_entity_varchar` (attribute_id,store_id,entity_id,value) VALUES (48,0,"&amp;categories!B1119&amp;",'"&amp;RIGHT(categories!G1119,LEN(categories!G1119)-1)&amp;"');","")</f>
        <v>INSERT INTO `catalog_category_entity_varchar` (attribute_id,store_id,entity_id,value) VALUES (48,0,1064,'img1/img9e02.jpg');</v>
      </c>
      <c r="C1119" t="str">
        <f>VLOOKUP(categories!B1119,'categories-old'!B:G,6,FALSE)</f>
        <v>/img1/img9e02.jpg</v>
      </c>
      <c r="D1119" t="str">
        <f>VLOOKUP(categories!B1119,'categories-old'!B:H,7,FALSE)</f>
        <v>www.americanretailsupply.com\64969\37869\Quantum-Extra-HD-Brackets\Quantum-Standard-Brackets-with-Pin.html</v>
      </c>
    </row>
    <row r="1120" spans="1:4" hidden="1" x14ac:dyDescent="0.25">
      <c r="A1120" t="str">
        <f>IF(LEN('categories-old'!G1120) &gt; 0, "INSERT INTO `catalog_category_entity_varchar` (attribute_id,store_id,entity_id,value) VALUES (48,0,"&amp;'categories-old'!B1120&amp;",'"&amp;RIGHT('categories-old'!G1120,LEN('categories-old'!G1120)-1)&amp;"');","")</f>
        <v>INSERT INTO `catalog_category_entity_varchar` (attribute_id,store_id,entity_id,value) VALUES (48,0,1059,'img3/imgd1e5-2.jpg');</v>
      </c>
      <c r="B1120" t="str">
        <f>IF(LEN(categories!G1120) &gt; 0, "INSERT INTO `catalog_category_entity_varchar` (attribute_id,store_id,entity_id,value) VALUES (48,0,"&amp;categories!B1120&amp;",'"&amp;RIGHT(categories!G1120,LEN(categories!G1120)-1)&amp;"');","")</f>
        <v>INSERT INTO `catalog_category_entity_varchar` (attribute_id,store_id,entity_id,value) VALUES (48,0,1065,'img2/img1a3a.jpg');</v>
      </c>
      <c r="C1120" t="str">
        <f>VLOOKUP(categories!B1120,'categories-old'!B:G,6,FALSE)</f>
        <v>/img2/img1a3a.jpg</v>
      </c>
      <c r="D1120" t="str">
        <f>VLOOKUP(categories!B1120,'categories-old'!B:H,7,FALSE)</f>
        <v>www.americanretailsupply.com\64969\37870\Quantum-Extra-HD-Brackets\Quantum-Heavy-Duty-Brackets.html</v>
      </c>
    </row>
    <row r="1121" spans="1:4" hidden="1" x14ac:dyDescent="0.25">
      <c r="A1121" t="str">
        <f>IF(LEN('categories-old'!G1121) &gt; 0, "INSERT INTO `catalog_category_entity_varchar` (attribute_id,store_id,entity_id,value) VALUES (48,0,"&amp;'categories-old'!B1121&amp;",'"&amp;RIGHT('categories-old'!G1121,LEN('categories-old'!G1121)-1)&amp;"');","")</f>
        <v>INSERT INTO `catalog_category_entity_varchar` (attribute_id,store_id,entity_id,value) VALUES (48,0,1060,'img3/imgd1e5-2.jpg');</v>
      </c>
      <c r="B1121" t="str">
        <f>IF(LEN(categories!G1121) &gt; 0, "INSERT INTO `catalog_category_entity_varchar` (attribute_id,store_id,entity_id,value) VALUES (48,0,"&amp;categories!B1121&amp;",'"&amp;RIGHT(categories!G1121,LEN(categories!G1121)-1)&amp;"');","")</f>
        <v>INSERT INTO `catalog_category_entity_varchar` (attribute_id,store_id,entity_id,value) VALUES (48,0,1066,'img1/imgae39.jpg');</v>
      </c>
      <c r="C1121" t="str">
        <f>VLOOKUP(categories!B1121,'categories-old'!B:G,6,FALSE)</f>
        <v>/img1/imgae39.jpg</v>
      </c>
      <c r="D1121" t="str">
        <f>VLOOKUP(categories!B1121,'categories-old'!B:H,7,FALSE)</f>
        <v>www.americanretailsupply.com\64969\37871\Quantum-Extra-HD-Brackets\Quantum-Adjustable-Brackets.html</v>
      </c>
    </row>
    <row r="1122" spans="1:4" hidden="1" x14ac:dyDescent="0.25">
      <c r="A1122" t="str">
        <f>IF(LEN('categories-old'!G1122) &gt; 0, "INSERT INTO `catalog_category_entity_varchar` (attribute_id,store_id,entity_id,value) VALUES (48,0,"&amp;'categories-old'!B1122&amp;",'"&amp;RIGHT('categories-old'!G1122,LEN('categories-old'!G1122)-1)&amp;"');","")</f>
        <v>INSERT INTO `catalog_category_entity_varchar` (attribute_id,store_id,entity_id,value) VALUES (48,0,1061,'img1/imgc290.jpg');</v>
      </c>
      <c r="B1122" t="str">
        <f>IF(LEN(categories!G1122) &gt; 0, "INSERT INTO `catalog_category_entity_varchar` (attribute_id,store_id,entity_id,value) VALUES (48,0,"&amp;categories!B1122&amp;",'"&amp;RIGHT(categories!G1122,LEN(categories!G1122)-1)&amp;"');","")</f>
        <v>INSERT INTO `catalog_category_entity_varchar` (attribute_id,store_id,entity_id,value) VALUES (48,0,1067,'img2/img848c.jpg');</v>
      </c>
      <c r="C1122" t="str">
        <f>VLOOKUP(categories!B1122,'categories-old'!B:G,6,FALSE)</f>
        <v>/img2/img848c.jpg</v>
      </c>
      <c r="D1122" t="str">
        <f>VLOOKUP(categories!B1122,'categories-old'!B:H,7,FALSE)</f>
        <v>www.americanretailsupply.com\64969\37872\Quantum-Extra-HD-Brackets\Quantum-Flange-Brackets-Chrome.html</v>
      </c>
    </row>
    <row r="1123" spans="1:4" hidden="1" x14ac:dyDescent="0.25">
      <c r="A1123" t="str">
        <f>IF(LEN('categories-old'!G1123) &gt; 0, "INSERT INTO `catalog_category_entity_varchar` (attribute_id,store_id,entity_id,value) VALUES (48,0,"&amp;'categories-old'!B1123&amp;",'"&amp;RIGHT('categories-old'!G1123,LEN('categories-old'!G1123)-1)&amp;"');","")</f>
        <v>INSERT INTO `catalog_category_entity_varchar` (attribute_id,store_id,entity_id,value) VALUES (48,0,1063,'img3/img25db.jpg');</v>
      </c>
      <c r="B1123" t="str">
        <f>IF(LEN(categories!G1123) &gt; 0, "INSERT INTO `catalog_category_entity_varchar` (attribute_id,store_id,entity_id,value) VALUES (48,0,"&amp;categories!B1123&amp;",'"&amp;RIGHT(categories!G1123,LEN(categories!G1123)-1)&amp;"');","")</f>
        <v>INSERT INTO `catalog_category_entity_varchar` (attribute_id,store_id,entity_id,value) VALUES (48,0,1068,'img3/img1ed5.jpg');</v>
      </c>
      <c r="C1123" t="str">
        <f>VLOOKUP(categories!B1123,'categories-old'!B:G,6,FALSE)</f>
        <v>/img3/img1ed5.jpg</v>
      </c>
      <c r="D1123" t="str">
        <f>VLOOKUP(categories!B1123,'categories-old'!B:H,7,FALSE)</f>
        <v>www.americanretailsupply.com\64969\37873\Quantum-Extra-HD-Brackets\Quantum-Straight-Faceouts.html</v>
      </c>
    </row>
    <row r="1124" spans="1:4" hidden="1" x14ac:dyDescent="0.25">
      <c r="A1124" t="str">
        <f>IF(LEN('categories-old'!G1124) &gt; 0, "INSERT INTO `catalog_category_entity_varchar` (attribute_id,store_id,entity_id,value) VALUES (48,0,"&amp;'categories-old'!B1124&amp;",'"&amp;RIGHT('categories-old'!G1124,LEN('categories-old'!G1124)-1)&amp;"');","")</f>
        <v>INSERT INTO `catalog_category_entity_varchar` (attribute_id,store_id,entity_id,value) VALUES (48,0,1064,'img1/img9e02.jpg');</v>
      </c>
      <c r="B1124" t="str">
        <f>IF(LEN(categories!G1124) &gt; 0, "INSERT INTO `catalog_category_entity_varchar` (attribute_id,store_id,entity_id,value) VALUES (48,0,"&amp;categories!B1124&amp;",'"&amp;RIGHT(categories!G1124,LEN(categories!G1124)-1)&amp;"');","")</f>
        <v>INSERT INTO `catalog_category_entity_varchar` (attribute_id,store_id,entity_id,value) VALUES (48,0,1069,'img1/img95ee.jpg');</v>
      </c>
      <c r="C1124" t="str">
        <f>VLOOKUP(categories!B1124,'categories-old'!B:G,6,FALSE)</f>
        <v>/img1/img95ee.jpg</v>
      </c>
      <c r="D1124" t="str">
        <f>VLOOKUP(categories!B1124,'categories-old'!B:H,7,FALSE)</f>
        <v>www.americanretailsupply.com\64969\37874\Quantum-Extra-HD-Brackets\Quantum-Waterfall-with-Ball-Stops.html</v>
      </c>
    </row>
    <row r="1125" spans="1:4" hidden="1" x14ac:dyDescent="0.25">
      <c r="A1125" t="str">
        <f>IF(LEN('categories-old'!G1125) &gt; 0, "INSERT INTO `catalog_category_entity_varchar` (attribute_id,store_id,entity_id,value) VALUES (48,0,"&amp;'categories-old'!B1125&amp;",'"&amp;RIGHT('categories-old'!G1125,LEN('categories-old'!G1125)-1)&amp;"');","")</f>
        <v>INSERT INTO `catalog_category_entity_varchar` (attribute_id,store_id,entity_id,value) VALUES (48,0,1065,'img2/img1a3a.jpg');</v>
      </c>
      <c r="B1125" t="str">
        <f>IF(LEN(categories!G1125) &gt; 0, "INSERT INTO `catalog_category_entity_varchar` (attribute_id,store_id,entity_id,value) VALUES (48,0,"&amp;categories!B1125&amp;",'"&amp;RIGHT(categories!G1125,LEN(categories!G1125)-1)&amp;"');","")</f>
        <v>INSERT INTO `catalog_category_entity_varchar` (attribute_id,store_id,entity_id,value) VALUES (48,0,1070,'img2/img15fa.jpg');</v>
      </c>
      <c r="C1125" t="str">
        <f>VLOOKUP(categories!B1125,'categories-old'!B:G,6,FALSE)</f>
        <v>/img2/img15fa.jpg</v>
      </c>
      <c r="D1125" t="str">
        <f>VLOOKUP(categories!B1125,'categories-old'!B:H,7,FALSE)</f>
        <v>www.americanretailsupply.com\64969\37876\Quantum-Extra-HD-Brackets\Quantum-Bracket-for-Merchandising-Bar.html</v>
      </c>
    </row>
    <row r="1126" spans="1:4" hidden="1" x14ac:dyDescent="0.25">
      <c r="A1126" t="str">
        <f>IF(LEN('categories-old'!G1126) &gt; 0, "INSERT INTO `catalog_category_entity_varchar` (attribute_id,store_id,entity_id,value) VALUES (48,0,"&amp;'categories-old'!B1126&amp;",'"&amp;RIGHT('categories-old'!G1126,LEN('categories-old'!G1126)-1)&amp;"');","")</f>
        <v>INSERT INTO `catalog_category_entity_varchar` (attribute_id,store_id,entity_id,value) VALUES (48,0,1066,'img1/imgae39.jpg');</v>
      </c>
      <c r="B1126" t="str">
        <f>IF(LEN(categories!G1126) &gt; 0, "INSERT INTO `catalog_category_entity_varchar` (attribute_id,store_id,entity_id,value) VALUES (48,0,"&amp;categories!B1126&amp;",'"&amp;RIGHT(categories!G1126,LEN(categories!G1126)-1)&amp;"');","")</f>
        <v>INSERT INTO `catalog_category_entity_varchar` (attribute_id,store_id,entity_id,value) VALUES (48,0,1071,'img3/img78bb.jpg');</v>
      </c>
      <c r="C1126" t="str">
        <f>VLOOKUP(categories!B1126,'categories-old'!B:G,6,FALSE)</f>
        <v>/img3/img78bb.jpg</v>
      </c>
      <c r="D1126" t="str">
        <f>VLOOKUP(categories!B1126,'categories-old'!B:H,7,FALSE)</f>
        <v>www.americanretailsupply.com\64969\173813\Quantum-Extra-HD-Brackets\Quantum-Heavy-Duty-Brackets-with-Lock-Nut.html</v>
      </c>
    </row>
    <row r="1127" spans="1:4" hidden="1" x14ac:dyDescent="0.25">
      <c r="A1127" t="str">
        <f>IF(LEN('categories-old'!G1127) &gt; 0, "INSERT INTO `catalog_category_entity_varchar` (attribute_id,store_id,entity_id,value) VALUES (48,0,"&amp;'categories-old'!B1127&amp;",'"&amp;RIGHT('categories-old'!G1127,LEN('categories-old'!G1127)-1)&amp;"');","")</f>
        <v>INSERT INTO `catalog_category_entity_varchar` (attribute_id,store_id,entity_id,value) VALUES (48,0,1067,'img2/img848c.jpg');</v>
      </c>
      <c r="B1127" t="str">
        <f>IF(LEN(categories!G1127) &gt; 0, "INSERT INTO `catalog_category_entity_varchar` (attribute_id,store_id,entity_id,value) VALUES (48,0,"&amp;categories!B1127&amp;",'"&amp;RIGHT(categories!G1127,LEN(categories!G1127)-1)&amp;"');","")</f>
        <v>INSERT INTO `catalog_category_entity_varchar` (attribute_id,store_id,entity_id,value) VALUES (48,0,1072,'img2/img1838.jpg');</v>
      </c>
      <c r="C1127" t="str">
        <f>VLOOKUP(categories!B1127,'categories-old'!B:G,6,FALSE)</f>
        <v>/img2/img1838.jpg</v>
      </c>
      <c r="D1127" t="str">
        <f>VLOOKUP(categories!B1127,'categories-old'!B:H,7,FALSE)</f>
        <v>www.americanretailsupply.com\64969\173814\Quantum-Extra-HD-Brackets\Quantum-Waterfall-with-Hooks.html</v>
      </c>
    </row>
    <row r="1128" spans="1:4" hidden="1" x14ac:dyDescent="0.25">
      <c r="A1128" t="str">
        <f>IF(LEN('categories-old'!G1128) &gt; 0, "INSERT INTO `catalog_category_entity_varchar` (attribute_id,store_id,entity_id,value) VALUES (48,0,"&amp;'categories-old'!B1128&amp;",'"&amp;RIGHT('categories-old'!G1128,LEN('categories-old'!G1128)-1)&amp;"');","")</f>
        <v>INSERT INTO `catalog_category_entity_varchar` (attribute_id,store_id,entity_id,value) VALUES (48,0,1068,'img3/img1ed5.jpg');</v>
      </c>
      <c r="B1128" t="str">
        <f>IF(LEN(categories!G1128) &gt; 0, "INSERT INTO `catalog_category_entity_varchar` (attribute_id,store_id,entity_id,value) VALUES (48,0,"&amp;categories!B1128&amp;",'"&amp;RIGHT(categories!G1128,LEN(categories!G1128)-1)&amp;"');","")</f>
        <v>INSERT INTO `catalog_category_entity_varchar` (attribute_id,store_id,entity_id,value) VALUES (48,0,1073,'img3/img12c1.jpg');</v>
      </c>
      <c r="C1128" t="str">
        <f>VLOOKUP(categories!B1128,'categories-old'!B:G,6,FALSE)</f>
        <v>/img3/img12c1.jpg</v>
      </c>
      <c r="D1128" t="str">
        <f>VLOOKUP(categories!B1128,'categories-old'!B:H,7,FALSE)</f>
        <v>www.americanretailsupply.com\64969\244551\Quantum-Extra-HD-Brackets\Quantum-Bracket-Adjustable-Facia-30-to-40.html</v>
      </c>
    </row>
    <row r="1129" spans="1:4" hidden="1" x14ac:dyDescent="0.25">
      <c r="A1129" t="str">
        <f>IF(LEN('categories-old'!G1129) &gt; 0, "INSERT INTO `catalog_category_entity_varchar` (attribute_id,store_id,entity_id,value) VALUES (48,0,"&amp;'categories-old'!B1129&amp;",'"&amp;RIGHT('categories-old'!G1129,LEN('categories-old'!G1129)-1)&amp;"');","")</f>
        <v>INSERT INTO `catalog_category_entity_varchar` (attribute_id,store_id,entity_id,value) VALUES (48,0,1069,'img1/img95ee.jpg');</v>
      </c>
      <c r="B1129" t="str">
        <f>IF(LEN(categories!G1129) &gt; 0, "INSERT INTO `catalog_category_entity_varchar` (attribute_id,store_id,entity_id,value) VALUES (48,0,"&amp;categories!B1129&amp;",'"&amp;RIGHT(categories!G1129,LEN(categories!G1129)-1)&amp;"');","")</f>
        <v>INSERT INTO `catalog_category_entity_varchar` (attribute_id,store_id,entity_id,value) VALUES (48,0,1074,'img2/img848c.jpg');</v>
      </c>
      <c r="C1129" t="str">
        <f>VLOOKUP(categories!B1129,'categories-old'!B:G,6,FALSE)</f>
        <v>/img2/img848c.jpg</v>
      </c>
      <c r="D1129" t="str">
        <f>VLOOKUP(categories!B1129,'categories-old'!B:H,7,FALSE)</f>
        <v>www.americanretailsupply.com\64969\734159\Quantum-Extra-HD-Brackets\Quantum-Flange-Brackets-Zinc.html</v>
      </c>
    </row>
    <row r="1130" spans="1:4" hidden="1" x14ac:dyDescent="0.25">
      <c r="A1130" t="str">
        <f>IF(LEN('categories-old'!G1130) &gt; 0, "INSERT INTO `catalog_category_entity_varchar` (attribute_id,store_id,entity_id,value) VALUES (48,0,"&amp;'categories-old'!B1130&amp;",'"&amp;RIGHT('categories-old'!G1130,LEN('categories-old'!G1130)-1)&amp;"');","")</f>
        <v>INSERT INTO `catalog_category_entity_varchar` (attribute_id,store_id,entity_id,value) VALUES (48,0,1070,'img2/img15fa.jpg');</v>
      </c>
      <c r="B1130" t="str">
        <f>IF(LEN(categories!G1130) &gt; 0, "INSERT INTO `catalog_category_entity_varchar` (attribute_id,store_id,entity_id,value) VALUES (48,0,"&amp;categories!B1130&amp;",'"&amp;RIGHT(categories!G1130,LEN(categories!G1130)-1)&amp;"');","")</f>
        <v>INSERT INTO `catalog_category_entity_varchar` (attribute_id,store_id,entity_id,value) VALUES (48,0,1076,'img1/img5330.jpg');</v>
      </c>
      <c r="C1130" t="str">
        <f>VLOOKUP(categories!B1130,'categories-old'!B:G,6,FALSE)</f>
        <v>/img1/img5330.jpg</v>
      </c>
      <c r="D1130" t="str">
        <f>VLOOKUP(categories!B1130,'categories-old'!B:H,7,FALSE)</f>
        <v>www.americanretailsupply.com\64970\37877\Quantum-Extra-HD-Wall-Standards\Quantum-Single-Slotted-Standards.html</v>
      </c>
    </row>
    <row r="1131" spans="1:4" hidden="1" x14ac:dyDescent="0.25">
      <c r="A1131" t="str">
        <f>IF(LEN('categories-old'!G1131) &gt; 0, "INSERT INTO `catalog_category_entity_varchar` (attribute_id,store_id,entity_id,value) VALUES (48,0,"&amp;'categories-old'!B1131&amp;",'"&amp;RIGHT('categories-old'!G1131,LEN('categories-old'!G1131)-1)&amp;"');","")</f>
        <v>INSERT INTO `catalog_category_entity_varchar` (attribute_id,store_id,entity_id,value) VALUES (48,0,1071,'img3/img78bb.jpg');</v>
      </c>
      <c r="B1131" t="str">
        <f>IF(LEN(categories!G1131) &gt; 0, "INSERT INTO `catalog_category_entity_varchar` (attribute_id,store_id,entity_id,value) VALUES (48,0,"&amp;categories!B1131&amp;",'"&amp;RIGHT(categories!G1131,LEN(categories!G1131)-1)&amp;"');","")</f>
        <v>INSERT INTO `catalog_category_entity_varchar` (attribute_id,store_id,entity_id,value) VALUES (48,0,1077,'img3/img34e4.jpg');</v>
      </c>
      <c r="C1131" t="str">
        <f>VLOOKUP(categories!B1131,'categories-old'!B:G,6,FALSE)</f>
        <v>/img3/img34e4.jpg</v>
      </c>
      <c r="D1131" t="str">
        <f>VLOOKUP(categories!B1131,'categories-old'!B:H,7,FALSE)</f>
        <v>www.americanretailsupply.com\64970\37878\Quantum-Extra-HD-Wall-Standards\Quantum-T-Concealed-Standards.html</v>
      </c>
    </row>
    <row r="1132" spans="1:4" hidden="1" x14ac:dyDescent="0.25">
      <c r="A1132" t="str">
        <f>IF(LEN('categories-old'!G1132) &gt; 0, "INSERT INTO `catalog_category_entity_varchar` (attribute_id,store_id,entity_id,value) VALUES (48,0,"&amp;'categories-old'!B1132&amp;",'"&amp;RIGHT('categories-old'!G1132,LEN('categories-old'!G1132)-1)&amp;"');","")</f>
        <v>INSERT INTO `catalog_category_entity_varchar` (attribute_id,store_id,entity_id,value) VALUES (48,0,1072,'img2/img1838.jpg');</v>
      </c>
      <c r="B1132" t="str">
        <f>IF(LEN(categories!G1132) &gt; 0, "INSERT INTO `catalog_category_entity_varchar` (attribute_id,store_id,entity_id,value) VALUES (48,0,"&amp;categories!B1132&amp;",'"&amp;RIGHT(categories!G1132,LEN(categories!G1132)-1)&amp;"');","")</f>
        <v>INSERT INTO `catalog_category_entity_varchar` (attribute_id,store_id,entity_id,value) VALUES (48,0,1079,'img3/img9617.jpg');</v>
      </c>
      <c r="C1132" t="str">
        <f>VLOOKUP(categories!B1132,'categories-old'!B:G,6,FALSE)</f>
        <v>/img3/img9617.jpg</v>
      </c>
      <c r="D1132" t="str">
        <f>VLOOKUP(categories!B1132,'categories-old'!B:H,7,FALSE)</f>
        <v>www.americanretailsupply.com\64806\44182\Racks-Spinners-Dump-Bins\Collapsible-Round-Bin-Display.html</v>
      </c>
    </row>
    <row r="1133" spans="1:4" hidden="1" x14ac:dyDescent="0.25">
      <c r="A1133" t="str">
        <f>IF(LEN('categories-old'!G1133) &gt; 0, "INSERT INTO `catalog_category_entity_varchar` (attribute_id,store_id,entity_id,value) VALUES (48,0,"&amp;'categories-old'!B1133&amp;",'"&amp;RIGHT('categories-old'!G1133,LEN('categories-old'!G1133)-1)&amp;"');","")</f>
        <v>INSERT INTO `catalog_category_entity_varchar` (attribute_id,store_id,entity_id,value) VALUES (48,0,1073,'img3/img12c1.jpg');</v>
      </c>
      <c r="B1133" t="str">
        <f>IF(LEN(categories!G1133) &gt; 0, "INSERT INTO `catalog_category_entity_varchar` (attribute_id,store_id,entity_id,value) VALUES (48,0,"&amp;categories!B1133&amp;",'"&amp;RIGHT(categories!G1133,LEN(categories!G1133)-1)&amp;"');","")</f>
        <v>INSERT INTO `catalog_category_entity_varchar` (attribute_id,store_id,entity_id,value) VALUES (48,0,1080,'img3/img5284.jpg');</v>
      </c>
      <c r="C1133" t="str">
        <f>VLOOKUP(categories!B1133,'categories-old'!B:G,6,FALSE)</f>
        <v>/img3/img5284.jpg</v>
      </c>
      <c r="D1133" t="str">
        <f>VLOOKUP(categories!B1133,'categories-old'!B:H,7,FALSE)</f>
        <v>www.americanretailsupply.com\64806\44184\Racks-Spinners-Dump-Bins\3-Tier-Round-Bin.html</v>
      </c>
    </row>
    <row r="1134" spans="1:4" hidden="1" x14ac:dyDescent="0.25">
      <c r="A1134" t="str">
        <f>IF(LEN('categories-old'!G1134) &gt; 0, "INSERT INTO `catalog_category_entity_varchar` (attribute_id,store_id,entity_id,value) VALUES (48,0,"&amp;'categories-old'!B1134&amp;",'"&amp;RIGHT('categories-old'!G1134,LEN('categories-old'!G1134)-1)&amp;"');","")</f>
        <v>INSERT INTO `catalog_category_entity_varchar` (attribute_id,store_id,entity_id,value) VALUES (48,0,1074,'img2/img848c.jpg');</v>
      </c>
      <c r="B1134" t="str">
        <f>IF(LEN(categories!G1134) &gt; 0, "INSERT INTO `catalog_category_entity_varchar` (attribute_id,store_id,entity_id,value) VALUES (48,0,"&amp;categories!B1134&amp;",'"&amp;RIGHT(categories!G1134,LEN(categories!G1134)-1)&amp;"');","")</f>
        <v>INSERT INTO `catalog_category_entity_varchar` (attribute_id,store_id,entity_id,value) VALUES (48,0,1081,'img2/imgc587.jpg');</v>
      </c>
      <c r="C1134" t="str">
        <f>VLOOKUP(categories!B1134,'categories-old'!B:G,6,FALSE)</f>
        <v>/img2/imgc587.jpg</v>
      </c>
      <c r="D1134" t="str">
        <f>VLOOKUP(categories!B1134,'categories-old'!B:H,7,FALSE)</f>
        <v>www.americanretailsupply.com\64806\44185\Racks-Spinners-Dump-Bins\3-Tier-Dump-Bin.html</v>
      </c>
    </row>
    <row r="1135" spans="1:4" hidden="1" x14ac:dyDescent="0.25">
      <c r="A1135" t="str">
        <f>IF(LEN('categories-old'!G1135) &gt; 0, "INSERT INTO `catalog_category_entity_varchar` (attribute_id,store_id,entity_id,value) VALUES (48,0,"&amp;'categories-old'!B1135&amp;",'"&amp;RIGHT('categories-old'!G1135,LEN('categories-old'!G1135)-1)&amp;"');","")</f>
        <v>INSERT INTO `catalog_category_entity_varchar` (attribute_id,store_id,entity_id,value) VALUES (48,0,1076,'img1/img5330.jpg');</v>
      </c>
      <c r="B1135" t="str">
        <f>IF(LEN(categories!G1135) &gt; 0, "INSERT INTO `catalog_category_entity_varchar` (attribute_id,store_id,entity_id,value) VALUES (48,0,"&amp;categories!B1135&amp;",'"&amp;RIGHT(categories!G1135,LEN(categories!G1135)-1)&amp;"');","")</f>
        <v>INSERT INTO `catalog_category_entity_varchar` (attribute_id,store_id,entity_id,value) VALUES (48,0,1082,'img1/imgc971.jpg');</v>
      </c>
      <c r="C1135" t="str">
        <f>VLOOKUP(categories!B1135,'categories-old'!B:G,6,FALSE)</f>
        <v>/img1/imgc971.jpg</v>
      </c>
      <c r="D1135" t="str">
        <f>VLOOKUP(categories!B1135,'categories-old'!B:H,7,FALSE)</f>
        <v>www.americanretailsupply.com\64806\560461\Racks-Spinners-Dump-Bins\Impulse-Table.html</v>
      </c>
    </row>
    <row r="1136" spans="1:4" hidden="1" x14ac:dyDescent="0.25">
      <c r="A1136" t="str">
        <f>IF(LEN('categories-old'!G1136) &gt; 0, "INSERT INTO `catalog_category_entity_varchar` (attribute_id,store_id,entity_id,value) VALUES (48,0,"&amp;'categories-old'!B1136&amp;",'"&amp;RIGHT('categories-old'!G1136,LEN('categories-old'!G1136)-1)&amp;"');","")</f>
        <v>INSERT INTO `catalog_category_entity_varchar` (attribute_id,store_id,entity_id,value) VALUES (48,0,1077,'img3/img34e4.jpg');</v>
      </c>
      <c r="B1136" t="str">
        <f>IF(LEN(categories!G1136) &gt; 0, "INSERT INTO `catalog_category_entity_varchar` (attribute_id,store_id,entity_id,value) VALUES (48,0,"&amp;categories!B1136&amp;",'"&amp;RIGHT(categories!G1136,LEN(categories!G1136)-1)&amp;"');","")</f>
        <v>INSERT INTO `catalog_category_entity_varchar` (attribute_id,store_id,entity_id,value) VALUES (48,0,1083,'img2/imga10a.jpg');</v>
      </c>
      <c r="C1136" t="str">
        <f>VLOOKUP(categories!B1136,'categories-old'!B:G,6,FALSE)</f>
        <v>/img2/imga10a.jpg</v>
      </c>
      <c r="D1136" t="str">
        <f>VLOOKUP(categories!B1136,'categories-old'!B:H,7,FALSE)</f>
        <v>www.americanretailsupply.com\64806\560534\Racks-Spinners-Dump-Bins\Folding-Mobile-Dump-Table.html</v>
      </c>
    </row>
    <row r="1137" spans="1:4" hidden="1" x14ac:dyDescent="0.25">
      <c r="A1137" t="str">
        <f>IF(LEN('categories-old'!G1137) &gt; 0, "INSERT INTO `catalog_category_entity_varchar` (attribute_id,store_id,entity_id,value) VALUES (48,0,"&amp;'categories-old'!B1137&amp;",'"&amp;RIGHT('categories-old'!G1137,LEN('categories-old'!G1137)-1)&amp;"');","")</f>
        <v>INSERT INTO `catalog_category_entity_varchar` (attribute_id,store_id,entity_id,value) VALUES (48,0,1079,'img3/img9617.jpg');</v>
      </c>
      <c r="B1137" t="str">
        <f>IF(LEN(categories!G1137) &gt; 0, "INSERT INTO `catalog_category_entity_varchar` (attribute_id,store_id,entity_id,value) VALUES (48,0,"&amp;categories!B1137&amp;",'"&amp;RIGHT(categories!G1137,LEN(categories!G1137)-1)&amp;"');","")</f>
        <v>INSERT INTO `catalog_category_entity_varchar` (attribute_id,store_id,entity_id,value) VALUES (48,0,1084,'img1/imgcbca.jpg');</v>
      </c>
      <c r="C1137" t="str">
        <f>VLOOKUP(categories!B1137,'categories-old'!B:G,6,FALSE)</f>
        <v>/img1/imgcbca.jpg</v>
      </c>
      <c r="D1137" t="str">
        <f>VLOOKUP(categories!B1137,'categories-old'!B:H,7,FALSE)</f>
        <v>www.americanretailsupply.com\64806\560535\Racks-Spinners-Dump-Bins\Square-Dump-Bin.html</v>
      </c>
    </row>
    <row r="1138" spans="1:4" hidden="1" x14ac:dyDescent="0.25">
      <c r="A1138" t="str">
        <f>IF(LEN('categories-old'!G1138) &gt; 0, "INSERT INTO `catalog_category_entity_varchar` (attribute_id,store_id,entity_id,value) VALUES (48,0,"&amp;'categories-old'!B1138&amp;",'"&amp;RIGHT('categories-old'!G1138,LEN('categories-old'!G1138)-1)&amp;"');","")</f>
        <v>INSERT INTO `catalog_category_entity_varchar` (attribute_id,store_id,entity_id,value) VALUES (48,0,1080,'img3/img5284.jpg');</v>
      </c>
      <c r="B1138" t="str">
        <f>IF(LEN(categories!G1138) &gt; 0, "INSERT INTO `catalog_category_entity_varchar` (attribute_id,store_id,entity_id,value) VALUES (48,0,"&amp;categories!B1138&amp;",'"&amp;RIGHT(categories!G1138,LEN(categories!G1138)-1)&amp;"');","")</f>
        <v>INSERT INTO `catalog_category_entity_varchar` (attribute_id,store_id,entity_id,value) VALUES (48,0,1085,'img1/imgc446.jpg');</v>
      </c>
      <c r="C1138" t="str">
        <f>VLOOKUP(categories!B1138,'categories-old'!B:G,6,FALSE)</f>
        <v>/img1/imgc446.jpg</v>
      </c>
      <c r="D1138" t="str">
        <f>VLOOKUP(categories!B1138,'categories-old'!B:H,7,FALSE)</f>
        <v>www.americanretailsupply.com\64806\561799\Racks-Spinners-Dump-Bins\Rolling-Dump-Cube.html</v>
      </c>
    </row>
    <row r="1139" spans="1:4" hidden="1" x14ac:dyDescent="0.25">
      <c r="A1139" t="str">
        <f>IF(LEN('categories-old'!G1139) &gt; 0, "INSERT INTO `catalog_category_entity_varchar` (attribute_id,store_id,entity_id,value) VALUES (48,0,"&amp;'categories-old'!B1139&amp;",'"&amp;RIGHT('categories-old'!G1139,LEN('categories-old'!G1139)-1)&amp;"');","")</f>
        <v>INSERT INTO `catalog_category_entity_varchar` (attribute_id,store_id,entity_id,value) VALUES (48,0,1081,'img2/imgc587.jpg');</v>
      </c>
      <c r="B1139" t="str">
        <f>IF(LEN(categories!G1139) &gt; 0, "INSERT INTO `catalog_category_entity_varchar` (attribute_id,store_id,entity_id,value) VALUES (48,0,"&amp;categories!B1139&amp;",'"&amp;RIGHT(categories!G1139,LEN(categories!G1139)-1)&amp;"');","")</f>
        <v>INSERT INTO `catalog_category_entity_varchar` (attribute_id,store_id,entity_id,value) VALUES (48,0,1086,'img1/img9c5d.jpg');</v>
      </c>
      <c r="C1139" t="str">
        <f>VLOOKUP(categories!B1139,'categories-old'!B:G,6,FALSE)</f>
        <v>/img1/img9c5d.jpg</v>
      </c>
      <c r="D1139" t="str">
        <f>VLOOKUP(categories!B1139,'categories-old'!B:H,7,FALSE)</f>
        <v>www.americanretailsupply.com\64806\561800\Racks-Spinners-Dump-Bins\3-Tier-Graphics-Stand.html</v>
      </c>
    </row>
    <row r="1140" spans="1:4" hidden="1" x14ac:dyDescent="0.25">
      <c r="A1140" t="str">
        <f>IF(LEN('categories-old'!G1140) &gt; 0, "INSERT INTO `catalog_category_entity_varchar` (attribute_id,store_id,entity_id,value) VALUES (48,0,"&amp;'categories-old'!B1140&amp;",'"&amp;RIGHT('categories-old'!G1140,LEN('categories-old'!G1140)-1)&amp;"');","")</f>
        <v>INSERT INTO `catalog_category_entity_varchar` (attribute_id,store_id,entity_id,value) VALUES (48,0,1082,'img1/imgc971.jpg');</v>
      </c>
      <c r="B1140" t="str">
        <f>IF(LEN(categories!G1140) &gt; 0, "INSERT INTO `catalog_category_entity_varchar` (attribute_id,store_id,entity_id,value) VALUES (48,0,"&amp;categories!B1140&amp;",'"&amp;RIGHT(categories!G1140,LEN(categories!G1140)-1)&amp;"');","")</f>
        <v>INSERT INTO `catalog_category_entity_varchar` (attribute_id,store_id,entity_id,value) VALUES (48,0,1087,'img3/img1172.jpg');</v>
      </c>
      <c r="C1140" t="str">
        <f>VLOOKUP(categories!B1140,'categories-old'!B:G,6,FALSE)</f>
        <v>/img3/img1172.jpg</v>
      </c>
      <c r="D1140" t="str">
        <f>VLOOKUP(categories!B1140,'categories-old'!B:H,7,FALSE)</f>
        <v>www.americanretailsupply.com\64806\561821\Racks-Spinners-Dump-Bins\3-Tier-Decorative-Rack.html</v>
      </c>
    </row>
    <row r="1141" spans="1:4" hidden="1" x14ac:dyDescent="0.25">
      <c r="A1141" t="str">
        <f>IF(LEN('categories-old'!G1141) &gt; 0, "INSERT INTO `catalog_category_entity_varchar` (attribute_id,store_id,entity_id,value) VALUES (48,0,"&amp;'categories-old'!B1141&amp;",'"&amp;RIGHT('categories-old'!G1141,LEN('categories-old'!G1141)-1)&amp;"');","")</f>
        <v>INSERT INTO `catalog_category_entity_varchar` (attribute_id,store_id,entity_id,value) VALUES (48,0,1083,'img2/imga10a.jpg');</v>
      </c>
      <c r="B1141" t="str">
        <f>IF(LEN(categories!G1141) &gt; 0, "INSERT INTO `catalog_category_entity_varchar` (attribute_id,store_id,entity_id,value) VALUES (48,0,"&amp;categories!B1141&amp;",'"&amp;RIGHT(categories!G1141,LEN(categories!G1141)-1)&amp;"');","")</f>
        <v>INSERT INTO `catalog_category_entity_varchar` (attribute_id,store_id,entity_id,value) VALUES (48,0,1088,'img3/imgf05d.jpg');</v>
      </c>
      <c r="C1141" t="str">
        <f>VLOOKUP(categories!B1141,'categories-old'!B:G,6,FALSE)</f>
        <v>/img3/imgf05d.jpg</v>
      </c>
      <c r="D1141" t="str">
        <f>VLOOKUP(categories!B1141,'categories-old'!B:H,7,FALSE)</f>
        <v>www.americanretailsupply.com\64806\561822\Racks-Spinners-Dump-Bins\4-Tier-Corner-Rack.html</v>
      </c>
    </row>
    <row r="1142" spans="1:4" hidden="1" x14ac:dyDescent="0.25">
      <c r="A1142" t="str">
        <f>IF(LEN('categories-old'!G1142) &gt; 0, "INSERT INTO `catalog_category_entity_varchar` (attribute_id,store_id,entity_id,value) VALUES (48,0,"&amp;'categories-old'!B1142&amp;",'"&amp;RIGHT('categories-old'!G1142,LEN('categories-old'!G1142)-1)&amp;"');","")</f>
        <v>INSERT INTO `catalog_category_entity_varchar` (attribute_id,store_id,entity_id,value) VALUES (48,0,1084,'img1/imgcbca.jpg');</v>
      </c>
      <c r="B1142" t="str">
        <f>IF(LEN(categories!G1142) &gt; 0, "INSERT INTO `catalog_category_entity_varchar` (attribute_id,store_id,entity_id,value) VALUES (48,0,"&amp;categories!B1142&amp;",'"&amp;RIGHT(categories!G1142,LEN(categories!G1142)-1)&amp;"');","")</f>
        <v>INSERT INTO `catalog_category_entity_varchar` (attribute_id,store_id,entity_id,value) VALUES (48,0,1089,'img3/imga0e2.jpg');</v>
      </c>
      <c r="C1142" t="str">
        <f>VLOOKUP(categories!B1142,'categories-old'!B:G,6,FALSE)</f>
        <v>/img3/imga0e2.jpg</v>
      </c>
      <c r="D1142" t="str">
        <f>VLOOKUP(categories!B1142,'categories-old'!B:H,7,FALSE)</f>
        <v>www.americanretailsupply.com\64806\561826\Racks-Spinners-Dump-Bins\5-Tier-Adjustable-Merchandiser.html</v>
      </c>
    </row>
    <row r="1143" spans="1:4" hidden="1" x14ac:dyDescent="0.25">
      <c r="A1143" t="str">
        <f>IF(LEN('categories-old'!G1143) &gt; 0, "INSERT INTO `catalog_category_entity_varchar` (attribute_id,store_id,entity_id,value) VALUES (48,0,"&amp;'categories-old'!B1143&amp;",'"&amp;RIGHT('categories-old'!G1143,LEN('categories-old'!G1143)-1)&amp;"');","")</f>
        <v>INSERT INTO `catalog_category_entity_varchar` (attribute_id,store_id,entity_id,value) VALUES (48,0,1085,'img1/imgc446.jpg');</v>
      </c>
      <c r="B1143" t="str">
        <f>IF(LEN(categories!G1143) &gt; 0, "INSERT INTO `catalog_category_entity_varchar` (attribute_id,store_id,entity_id,value) VALUES (48,0,"&amp;categories!B1143&amp;",'"&amp;RIGHT(categories!G1143,LEN(categories!G1143)-1)&amp;"');","")</f>
        <v>INSERT INTO `catalog_category_entity_varchar` (attribute_id,store_id,entity_id,value) VALUES (48,0,1090,'img2/img066a.jpg');</v>
      </c>
      <c r="C1143" t="str">
        <f>VLOOKUP(categories!B1143,'categories-old'!B:G,6,FALSE)</f>
        <v>/img2/img066a.jpg</v>
      </c>
      <c r="D1143" t="str">
        <f>VLOOKUP(categories!B1143,'categories-old'!B:H,7,FALSE)</f>
        <v>www.americanretailsupply.com\64806\561827\Racks-Spinners-Dump-Bins\5-Tier-Adjustable-Wire-Shelf-Rack.html</v>
      </c>
    </row>
    <row r="1144" spans="1:4" hidden="1" x14ac:dyDescent="0.25">
      <c r="A1144" t="str">
        <f>IF(LEN('categories-old'!G1144) &gt; 0, "INSERT INTO `catalog_category_entity_varchar` (attribute_id,store_id,entity_id,value) VALUES (48,0,"&amp;'categories-old'!B1144&amp;",'"&amp;RIGHT('categories-old'!G1144,LEN('categories-old'!G1144)-1)&amp;"');","")</f>
        <v>INSERT INTO `catalog_category_entity_varchar` (attribute_id,store_id,entity_id,value) VALUES (48,0,1086,'img1/img9c5d.jpg');</v>
      </c>
      <c r="B1144" t="str">
        <f>IF(LEN(categories!G1144) &gt; 0, "INSERT INTO `catalog_category_entity_varchar` (attribute_id,store_id,entity_id,value) VALUES (48,0,"&amp;categories!B1144&amp;",'"&amp;RIGHT(categories!G1144,LEN(categories!G1144)-1)&amp;"');","")</f>
        <v>INSERT INTO `catalog_category_entity_varchar` (attribute_id,store_id,entity_id,value) VALUES (48,0,1091,'img2/img0664.jpg');</v>
      </c>
      <c r="C1144" t="str">
        <f>VLOOKUP(categories!B1144,'categories-old'!B:G,6,FALSE)</f>
        <v>/img2/img0664.jpg</v>
      </c>
      <c r="D1144" t="str">
        <f>VLOOKUP(categories!B1144,'categories-old'!B:H,7,FALSE)</f>
        <v>www.americanretailsupply.com\64806\561828\Racks-Spinners-Dump-Bins\Low-Rider-Wire-Bin-Display.html</v>
      </c>
    </row>
    <row r="1145" spans="1:4" hidden="1" x14ac:dyDescent="0.25">
      <c r="A1145" t="str">
        <f>IF(LEN('categories-old'!G1145) &gt; 0, "INSERT INTO `catalog_category_entity_varchar` (attribute_id,store_id,entity_id,value) VALUES (48,0,"&amp;'categories-old'!B1145&amp;",'"&amp;RIGHT('categories-old'!G1145,LEN('categories-old'!G1145)-1)&amp;"');","")</f>
        <v>INSERT INTO `catalog_category_entity_varchar` (attribute_id,store_id,entity_id,value) VALUES (48,0,1087,'img3/img1172.jpg');</v>
      </c>
      <c r="B1145" t="str">
        <f>IF(LEN(categories!G1145) &gt; 0, "INSERT INTO `catalog_category_entity_varchar` (attribute_id,store_id,entity_id,value) VALUES (48,0,"&amp;categories!B1145&amp;",'"&amp;RIGHT(categories!G1145,LEN(categories!G1145)-1)&amp;"');","")</f>
        <v>INSERT INTO `catalog_category_entity_varchar` (attribute_id,store_id,entity_id,value) VALUES (48,0,1092,'img3/imgd53f-2.jpg');</v>
      </c>
      <c r="C1145" t="str">
        <f>VLOOKUP(categories!B1145,'categories-old'!B:G,6,FALSE)</f>
        <v>/img3/imgd53f-2.jpg</v>
      </c>
      <c r="D1145" t="str">
        <f>VLOOKUP(categories!B1145,'categories-old'!B:H,7,FALSE)</f>
        <v>www.americanretailsupply.com\64806\561829\Racks-Spinners-Dump-Bins\Mobile-Wire-Grid-Risers.html</v>
      </c>
    </row>
    <row r="1146" spans="1:4" hidden="1" x14ac:dyDescent="0.25">
      <c r="A1146" t="str">
        <f>IF(LEN('categories-old'!G1146) &gt; 0, "INSERT INTO `catalog_category_entity_varchar` (attribute_id,store_id,entity_id,value) VALUES (48,0,"&amp;'categories-old'!B1146&amp;",'"&amp;RIGHT('categories-old'!G1146,LEN('categories-old'!G1146)-1)&amp;"');","")</f>
        <v>INSERT INTO `catalog_category_entity_varchar` (attribute_id,store_id,entity_id,value) VALUES (48,0,1088,'img3/imgf05d.jpg');</v>
      </c>
      <c r="B1146" t="str">
        <f>IF(LEN(categories!G1146) &gt; 0, "INSERT INTO `catalog_category_entity_varchar` (attribute_id,store_id,entity_id,value) VALUES (48,0,"&amp;categories!B1146&amp;",'"&amp;RIGHT(categories!G1146,LEN(categories!G1146)-1)&amp;"');","")</f>
        <v>INSERT INTO `catalog_category_entity_varchar` (attribute_id,store_id,entity_id,value) VALUES (48,0,1093,'img1/img1da4.jpg');</v>
      </c>
      <c r="C1146" t="str">
        <f>VLOOKUP(categories!B1146,'categories-old'!B:G,6,FALSE)</f>
        <v>/img1/img1da4.jpg</v>
      </c>
      <c r="D1146" t="str">
        <f>VLOOKUP(categories!B1146,'categories-old'!B:H,7,FALSE)</f>
        <v>www.americanretailsupply.com\64806\561832\Racks-Spinners-Dump-Bins\4-Way-Bag-Merchandiser.html</v>
      </c>
    </row>
    <row r="1147" spans="1:4" hidden="1" x14ac:dyDescent="0.25">
      <c r="A1147" t="str">
        <f>IF(LEN('categories-old'!G1147) &gt; 0, "INSERT INTO `catalog_category_entity_varchar` (attribute_id,store_id,entity_id,value) VALUES (48,0,"&amp;'categories-old'!B1147&amp;",'"&amp;RIGHT('categories-old'!G1147,LEN('categories-old'!G1147)-1)&amp;"');","")</f>
        <v>INSERT INTO `catalog_category_entity_varchar` (attribute_id,store_id,entity_id,value) VALUES (48,0,1089,'img3/imga0e2.jpg');</v>
      </c>
      <c r="B1147" t="str">
        <f>IF(LEN(categories!G1147) &gt; 0, "INSERT INTO `catalog_category_entity_varchar` (attribute_id,store_id,entity_id,value) VALUES (48,0,"&amp;categories!B1147&amp;",'"&amp;RIGHT(categories!G1147,LEN(categories!G1147)-1)&amp;"');","")</f>
        <v>INSERT INTO `catalog_category_entity_varchar` (attribute_id,store_id,entity_id,value) VALUES (48,0,1094,'img1/imgbe8c.jpg');</v>
      </c>
      <c r="C1147" t="str">
        <f>VLOOKUP(categories!B1147,'categories-old'!B:G,6,FALSE)</f>
        <v>/img1/imgbe8c.jpg</v>
      </c>
      <c r="D1147" t="str">
        <f>VLOOKUP(categories!B1147,'categories-old'!B:H,7,FALSE)</f>
        <v>www.americanretailsupply.com\64806\561834\Racks-Spinners-Dump-Bins\Double-Wide-Wood-Merchandisers.html</v>
      </c>
    </row>
    <row r="1148" spans="1:4" hidden="1" x14ac:dyDescent="0.25">
      <c r="A1148" t="str">
        <f>IF(LEN('categories-old'!G1148) &gt; 0, "INSERT INTO `catalog_category_entity_varchar` (attribute_id,store_id,entity_id,value) VALUES (48,0,"&amp;'categories-old'!B1148&amp;",'"&amp;RIGHT('categories-old'!G1148,LEN('categories-old'!G1148)-1)&amp;"');","")</f>
        <v>INSERT INTO `catalog_category_entity_varchar` (attribute_id,store_id,entity_id,value) VALUES (48,0,1090,'img2/img066a.jpg');</v>
      </c>
      <c r="B1148" t="str">
        <f>IF(LEN(categories!G1148) &gt; 0, "INSERT INTO `catalog_category_entity_varchar` (attribute_id,store_id,entity_id,value) VALUES (48,0,"&amp;categories!B1148&amp;",'"&amp;RIGHT(categories!G1148,LEN(categories!G1148)-1)&amp;"');","")</f>
        <v>INSERT INTO `catalog_category_entity_varchar` (attribute_id,store_id,entity_id,value) VALUES (48,0,1095,'img3/img9a41.jpg');</v>
      </c>
      <c r="C1148" t="str">
        <f>VLOOKUP(categories!B1148,'categories-old'!B:G,6,FALSE)</f>
        <v>/img3/img9a41.jpg</v>
      </c>
      <c r="D1148" t="str">
        <f>VLOOKUP(categories!B1148,'categories-old'!B:H,7,FALSE)</f>
        <v>www.americanretailsupply.com\64806\561835\Racks-Spinners-Dump-Bins\Single-Wide-Wood-Merchandisers.html</v>
      </c>
    </row>
    <row r="1149" spans="1:4" hidden="1" x14ac:dyDescent="0.25">
      <c r="A1149" t="str">
        <f>IF(LEN('categories-old'!G1149) &gt; 0, "INSERT INTO `catalog_category_entity_varchar` (attribute_id,store_id,entity_id,value) VALUES (48,0,"&amp;'categories-old'!B1149&amp;",'"&amp;RIGHT('categories-old'!G1149,LEN('categories-old'!G1149)-1)&amp;"');","")</f>
        <v>INSERT INTO `catalog_category_entity_varchar` (attribute_id,store_id,entity_id,value) VALUES (48,0,1091,'img2/img0664.jpg');</v>
      </c>
      <c r="B1149" t="str">
        <f>IF(LEN(categories!G1149) &gt; 0, "INSERT INTO `catalog_category_entity_varchar` (attribute_id,store_id,entity_id,value) VALUES (48,0,"&amp;categories!B1149&amp;",'"&amp;RIGHT(categories!G1149,LEN(categories!G1149)-1)&amp;"');","")</f>
        <v>INSERT INTO `catalog_category_entity_varchar` (attribute_id,store_id,entity_id,value) VALUES (48,0,1096,'img1/imge451.jpg');</v>
      </c>
      <c r="C1149" t="str">
        <f>VLOOKUP(categories!B1149,'categories-old'!B:G,6,FALSE)</f>
        <v>/img1/imge451.jpg</v>
      </c>
      <c r="D1149" t="str">
        <f>VLOOKUP(categories!B1149,'categories-old'!B:H,7,FALSE)</f>
        <v>www.americanretailsupply.com\64806\734989\Racks-Spinners-Dump-Bins\6-Tier-Floor-Spinner.html</v>
      </c>
    </row>
    <row r="1150" spans="1:4" hidden="1" x14ac:dyDescent="0.25">
      <c r="A1150" t="str">
        <f>IF(LEN('categories-old'!G1150) &gt; 0, "INSERT INTO `catalog_category_entity_varchar` (attribute_id,store_id,entity_id,value) VALUES (48,0,"&amp;'categories-old'!B1150&amp;",'"&amp;RIGHT('categories-old'!G1150,LEN('categories-old'!G1150)-1)&amp;"');","")</f>
        <v>INSERT INTO `catalog_category_entity_varchar` (attribute_id,store_id,entity_id,value) VALUES (48,0,1092,'img3/imgd53f-2.jpg');</v>
      </c>
      <c r="B1150" t="str">
        <f>IF(LEN(categories!G1150) &gt; 0, "INSERT INTO `catalog_category_entity_varchar` (attribute_id,store_id,entity_id,value) VALUES (48,0,"&amp;categories!B1150&amp;",'"&amp;RIGHT(categories!G1150,LEN(categories!G1150)-1)&amp;"');","")</f>
        <v>INSERT INTO `catalog_category_entity_varchar` (attribute_id,store_id,entity_id,value) VALUES (48,0,1098,'img3/imgb09d.jpg');</v>
      </c>
      <c r="C1150" t="str">
        <f>VLOOKUP(categories!B1150,'categories-old'!B:G,6,FALSE)</f>
        <v>/img3/imgb09d.jpg</v>
      </c>
      <c r="D1150" t="str">
        <f>VLOOKUP(categories!B1150,'categories-old'!B:H,7,FALSE)</f>
        <v>www.americanretailsupply.com\64693\47434\Ready-Flow-Pen-Sets\Trio-Pen-Set--Cannister-w32oz-Ink.html</v>
      </c>
    </row>
    <row r="1151" spans="1:4" hidden="1" x14ac:dyDescent="0.25">
      <c r="A1151" t="str">
        <f>IF(LEN('categories-old'!G1151) &gt; 0, "INSERT INTO `catalog_category_entity_varchar` (attribute_id,store_id,entity_id,value) VALUES (48,0,"&amp;'categories-old'!B1151&amp;",'"&amp;RIGHT('categories-old'!G1151,LEN('categories-old'!G1151)-1)&amp;"');","")</f>
        <v>INSERT INTO `catalog_category_entity_varchar` (attribute_id,store_id,entity_id,value) VALUES (48,0,1093,'img1/img1da4.jpg');</v>
      </c>
      <c r="B1151" t="str">
        <f>IF(LEN(categories!G1151) &gt; 0, "INSERT INTO `catalog_category_entity_varchar` (attribute_id,store_id,entity_id,value) VALUES (48,0,"&amp;categories!B1151&amp;",'"&amp;RIGHT(categories!G1151,LEN(categories!G1151)-1)&amp;"');","")</f>
        <v>INSERT INTO `catalog_category_entity_varchar` (attribute_id,store_id,entity_id,value) VALUES (48,0,1099,'img2/img73e7.jpg');</v>
      </c>
      <c r="C1151" t="str">
        <f>VLOOKUP(categories!B1151,'categories-old'!B:G,6,FALSE)</f>
        <v>/img2/img73e7.jpg</v>
      </c>
      <c r="D1151" t="str">
        <f>VLOOKUP(categories!B1151,'categories-old'!B:H,7,FALSE)</f>
        <v>www.americanretailsupply.com\64693\47437\Ready-Flow-Pen-Sets\Partner-Pen-Set-w8oz-Ink.html</v>
      </c>
    </row>
    <row r="1152" spans="1:4" hidden="1" x14ac:dyDescent="0.25">
      <c r="A1152" t="str">
        <f>IF(LEN('categories-old'!G1152) &gt; 0, "INSERT INTO `catalog_category_entity_varchar` (attribute_id,store_id,entity_id,value) VALUES (48,0,"&amp;'categories-old'!B1152&amp;",'"&amp;RIGHT('categories-old'!G1152,LEN('categories-old'!G1152)-1)&amp;"');","")</f>
        <v>INSERT INTO `catalog_category_entity_varchar` (attribute_id,store_id,entity_id,value) VALUES (48,0,1094,'img1/imgbe8c.jpg');</v>
      </c>
      <c r="B1152" t="str">
        <f>IF(LEN(categories!G1152) &gt; 0, "INSERT INTO `catalog_category_entity_varchar` (attribute_id,store_id,entity_id,value) VALUES (48,0,"&amp;categories!B1152&amp;",'"&amp;RIGHT(categories!G1152,LEN(categories!G1152)-1)&amp;"');","")</f>
        <v>INSERT INTO `catalog_category_entity_varchar` (attribute_id,store_id,entity_id,value) VALUES (48,0,1100,'img2/img3718.jpg');</v>
      </c>
      <c r="C1152" t="str">
        <f>VLOOKUP(categories!B1152,'categories-old'!B:G,6,FALSE)</f>
        <v>/img2/img3718.jpg</v>
      </c>
      <c r="D1152" t="str">
        <f>VLOOKUP(categories!B1152,'categories-old'!B:H,7,FALSE)</f>
        <v>www.americanretailsupply.com\64693\173630\Ready-Flow-Pen-Sets\32oz-Special-Performance-Ink.html</v>
      </c>
    </row>
    <row r="1153" spans="1:4" hidden="1" x14ac:dyDescent="0.25">
      <c r="A1153" t="str">
        <f>IF(LEN('categories-old'!G1153) &gt; 0, "INSERT INTO `catalog_category_entity_varchar` (attribute_id,store_id,entity_id,value) VALUES (48,0,"&amp;'categories-old'!B1153&amp;",'"&amp;RIGHT('categories-old'!G1153,LEN('categories-old'!G1153)-1)&amp;"');","")</f>
        <v>INSERT INTO `catalog_category_entity_varchar` (attribute_id,store_id,entity_id,value) VALUES (48,0,1095,'img3/img9a41.jpg');</v>
      </c>
      <c r="B1153" t="str">
        <f>IF(LEN(categories!G1153) &gt; 0, "INSERT INTO `catalog_category_entity_varchar` (attribute_id,store_id,entity_id,value) VALUES (48,0,"&amp;categories!B1153&amp;",'"&amp;RIGHT(categories!G1153,LEN(categories!G1153)-1)&amp;"');","")</f>
        <v>INSERT INTO `catalog_category_entity_varchar` (attribute_id,store_id,entity_id,value) VALUES (48,0,1101,'img1/imgacf2.jpg');</v>
      </c>
      <c r="C1153" t="str">
        <f>VLOOKUP(categories!B1153,'categories-old'!B:G,6,FALSE)</f>
        <v>/img1/imgacf2.jpg</v>
      </c>
      <c r="D1153" t="str">
        <f>VLOOKUP(categories!B1153,'categories-old'!B:H,7,FALSE)</f>
        <v>www.americanretailsupply.com\64693\173631\Ready-Flow-Pen-Sets\Refill-Pens-Felt-and-Cans.html</v>
      </c>
    </row>
    <row r="1154" spans="1:4" hidden="1" x14ac:dyDescent="0.25">
      <c r="A1154" t="str">
        <f>IF(LEN('categories-old'!G1154) &gt; 0, "INSERT INTO `catalog_category_entity_varchar` (attribute_id,store_id,entity_id,value) VALUES (48,0,"&amp;'categories-old'!B1154&amp;",'"&amp;RIGHT('categories-old'!G1154,LEN('categories-old'!G1154)-1)&amp;"');","")</f>
        <v>INSERT INTO `catalog_category_entity_varchar` (attribute_id,store_id,entity_id,value) VALUES (48,0,1096,'img1/imge451.jpg');</v>
      </c>
      <c r="B1154" t="str">
        <f>IF(LEN(categories!G1154) &gt; 0, "INSERT INTO `catalog_category_entity_varchar` (attribute_id,store_id,entity_id,value) VALUES (48,0,"&amp;categories!B1154&amp;",'"&amp;RIGHT(categories!G1154,LEN(categories!G1154)-1)&amp;"');","")</f>
        <v>INSERT INTO `catalog_category_entity_varchar` (attribute_id,store_id,entity_id,value) VALUES (48,0,1103,'img2/img9b67.jpg');</v>
      </c>
      <c r="C1154" t="str">
        <f>VLOOKUP(categories!B1154,'categories-old'!B:G,6,FALSE)</f>
        <v>/img2/img9b67.jpg</v>
      </c>
      <c r="D1154" t="str">
        <f>VLOOKUP(categories!B1154,'categories-old'!B:H,7,FALSE)</f>
        <v>www.americanretailsupply.com\64829\47236\Ready-To-Assemble-Showcases\Ready-To-Assemble-Corner-Unit-Display-Case.html</v>
      </c>
    </row>
    <row r="1155" spans="1:4" hidden="1" x14ac:dyDescent="0.25">
      <c r="A1155" t="str">
        <f>IF(LEN('categories-old'!G1155) &gt; 0, "INSERT INTO `catalog_category_entity_varchar` (attribute_id,store_id,entity_id,value) VALUES (48,0,"&amp;'categories-old'!B1155&amp;",'"&amp;RIGHT('categories-old'!G1155,LEN('categories-old'!G1155)-1)&amp;"');","")</f>
        <v>INSERT INTO `catalog_category_entity_varchar` (attribute_id,store_id,entity_id,value) VALUES (48,0,1098,'img3/imgb09d.jpg');</v>
      </c>
      <c r="B1155" t="str">
        <f>IF(LEN(categories!G1155) &gt; 0, "INSERT INTO `catalog_category_entity_varchar` (attribute_id,store_id,entity_id,value) VALUES (48,0,"&amp;categories!B1155&amp;",'"&amp;RIGHT(categories!G1155,LEN(categories!G1155)-1)&amp;"');","")</f>
        <v>INSERT INTO `catalog_category_entity_varchar` (attribute_id,store_id,entity_id,value) VALUES (48,0,1104,'img2/imgf94e.jpg');</v>
      </c>
      <c r="C1155" t="str">
        <f>VLOOKUP(categories!B1155,'categories-old'!B:G,6,FALSE)</f>
        <v>/img2/imgf94e.jpg</v>
      </c>
      <c r="D1155" t="str">
        <f>VLOOKUP(categories!B1155,'categories-old'!B:H,7,FALSE)</f>
        <v>www.americanretailsupply.com\64829\47237\Ready-To-Assemble-Showcases\Ready-To-Assemble-Wrap-Counter.html</v>
      </c>
    </row>
    <row r="1156" spans="1:4" hidden="1" x14ac:dyDescent="0.25">
      <c r="A1156" t="str">
        <f>IF(LEN('categories-old'!G1156) &gt; 0, "INSERT INTO `catalog_category_entity_varchar` (attribute_id,store_id,entity_id,value) VALUES (48,0,"&amp;'categories-old'!B1156&amp;",'"&amp;RIGHT('categories-old'!G1156,LEN('categories-old'!G1156)-1)&amp;"');","")</f>
        <v>INSERT INTO `catalog_category_entity_varchar` (attribute_id,store_id,entity_id,value) VALUES (48,0,1099,'img2/img73e7.jpg');</v>
      </c>
      <c r="B1156" t="str">
        <f>IF(LEN(categories!G1156) &gt; 0, "INSERT INTO `catalog_category_entity_varchar` (attribute_id,store_id,entity_id,value) VALUES (48,0,"&amp;categories!B1156&amp;",'"&amp;RIGHT(categories!G1156,LEN(categories!G1156)-1)&amp;"');","")</f>
        <v>INSERT INTO `catalog_category_entity_varchar` (attribute_id,store_id,entity_id,value) VALUES (48,0,1105,'img1/img3f24.jpg');</v>
      </c>
      <c r="C1156" t="str">
        <f>VLOOKUP(categories!B1156,'categories-old'!B:G,6,FALSE)</f>
        <v>/img1/img3f24.jpg</v>
      </c>
      <c r="D1156" t="str">
        <f>VLOOKUP(categories!B1156,'categories-old'!B:H,7,FALSE)</f>
        <v>www.americanretailsupply.com\64829\47238\Ready-To-Assemble-Showcases\Ready-To-Assemble-Cash-Register-Stand.html</v>
      </c>
    </row>
    <row r="1157" spans="1:4" hidden="1" x14ac:dyDescent="0.25">
      <c r="A1157" t="str">
        <f>IF(LEN('categories-old'!G1157) &gt; 0, "INSERT INTO `catalog_category_entity_varchar` (attribute_id,store_id,entity_id,value) VALUES (48,0,"&amp;'categories-old'!B1157&amp;",'"&amp;RIGHT('categories-old'!G1157,LEN('categories-old'!G1157)-1)&amp;"');","")</f>
        <v>INSERT INTO `catalog_category_entity_varchar` (attribute_id,store_id,entity_id,value) VALUES (48,0,1100,'img2/img3718.jpg');</v>
      </c>
      <c r="B1157" t="str">
        <f>IF(LEN(categories!G1157) &gt; 0, "INSERT INTO `catalog_category_entity_varchar` (attribute_id,store_id,entity_id,value) VALUES (48,0,"&amp;categories!B1157&amp;",'"&amp;RIGHT(categories!G1157,LEN(categories!G1157)-1)&amp;"');","")</f>
        <v>INSERT INTO `catalog_category_entity_varchar` (attribute_id,store_id,entity_id,value) VALUES (48,0,1106,'img1/img3253.jpg');</v>
      </c>
      <c r="C1157" t="str">
        <f>VLOOKUP(categories!B1157,'categories-old'!B:G,6,FALSE)</f>
        <v>/img1/img3253.jpg</v>
      </c>
      <c r="D1157" t="str">
        <f>VLOOKUP(categories!B1157,'categories-old'!B:H,7,FALSE)</f>
        <v>www.americanretailsupply.com\64829\47239\Ready-To-Assemble-Showcases\Ready-To-Assemble-Waterfall-Table.html</v>
      </c>
    </row>
    <row r="1158" spans="1:4" hidden="1" x14ac:dyDescent="0.25">
      <c r="A1158" t="str">
        <f>IF(LEN('categories-old'!G1158) &gt; 0, "INSERT INTO `catalog_category_entity_varchar` (attribute_id,store_id,entity_id,value) VALUES (48,0,"&amp;'categories-old'!B1158&amp;",'"&amp;RIGHT('categories-old'!G1158,LEN('categories-old'!G1158)-1)&amp;"');","")</f>
        <v>INSERT INTO `catalog_category_entity_varchar` (attribute_id,store_id,entity_id,value) VALUES (48,0,1101,'img1/imgacf2.jpg');</v>
      </c>
      <c r="B1158" t="str">
        <f>IF(LEN(categories!G1158) &gt; 0, "INSERT INTO `catalog_category_entity_varchar` (attribute_id,store_id,entity_id,value) VALUES (48,0,"&amp;categories!B1158&amp;",'"&amp;RIGHT(categories!G1158,LEN(categories!G1158)-1)&amp;"');","")</f>
        <v>INSERT INTO `catalog_category_entity_varchar` (attribute_id,store_id,entity_id,value) VALUES (48,0,1107,'img2/img1e8c.jpg');</v>
      </c>
      <c r="C1158" t="str">
        <f>VLOOKUP(categories!B1158,'categories-old'!B:G,6,FALSE)</f>
        <v>/img2/img1e8c.jpg</v>
      </c>
      <c r="D1158" t="str">
        <f>VLOOKUP(categories!B1158,'categories-old'!B:H,7,FALSE)</f>
        <v>www.americanretailsupply.com\64829\783964\Ready-To-Assemble-Showcases\Ready-To-Assemble-Top-Vision-Showcases.html</v>
      </c>
    </row>
    <row r="1159" spans="1:4" hidden="1" x14ac:dyDescent="0.25">
      <c r="A1159" t="str">
        <f>IF(LEN('categories-old'!G1159) &gt; 0, "INSERT INTO `catalog_category_entity_varchar` (attribute_id,store_id,entity_id,value) VALUES (48,0,"&amp;'categories-old'!B1159&amp;",'"&amp;RIGHT('categories-old'!G1159,LEN('categories-old'!G1159)-1)&amp;"');","")</f>
        <v>INSERT INTO `catalog_category_entity_varchar` (attribute_id,store_id,entity_id,value) VALUES (48,0,1103,'img2/img9b67.jpg');</v>
      </c>
      <c r="B1159" t="str">
        <f>IF(LEN(categories!G1159) &gt; 0, "INSERT INTO `catalog_category_entity_varchar` (attribute_id,store_id,entity_id,value) VALUES (48,0,"&amp;categories!B1159&amp;",'"&amp;RIGHT(categories!G1159,LEN(categories!G1159)-1)&amp;"');","")</f>
        <v>INSERT INTO `catalog_category_entity_varchar` (attribute_id,store_id,entity_id,value) VALUES (48,0,1108,'img1/img96a8-2.jpg');</v>
      </c>
      <c r="C1159" t="str">
        <f>VLOOKUP(categories!B1159,'categories-old'!B:G,6,FALSE)</f>
        <v>/img1/img96a8-2.jpg</v>
      </c>
      <c r="D1159" t="str">
        <f>VLOOKUP(categories!B1159,'categories-old'!B:H,7,FALSE)</f>
        <v>www.americanretailsupply.com\64829\47235\ReadyTo-Assemble-Showcases\Ready-To-Assemble-Full-Vision-Showcase.html</v>
      </c>
    </row>
    <row r="1160" spans="1:4" hidden="1" x14ac:dyDescent="0.25">
      <c r="A1160" t="str">
        <f>IF(LEN('categories-old'!G1160) &gt; 0, "INSERT INTO `catalog_category_entity_varchar` (attribute_id,store_id,entity_id,value) VALUES (48,0,"&amp;'categories-old'!B1160&amp;",'"&amp;RIGHT('categories-old'!G1160,LEN('categories-old'!G1160)-1)&amp;"');","")</f>
        <v>INSERT INTO `catalog_category_entity_varchar` (attribute_id,store_id,entity_id,value) VALUES (48,0,1104,'img2/imgf94e.jpg');</v>
      </c>
      <c r="B1160" t="str">
        <f>IF(LEN(categories!G1160) &gt; 0, "INSERT INTO `catalog_category_entity_varchar` (attribute_id,store_id,entity_id,value) VALUES (48,0,"&amp;categories!B1160&amp;",'"&amp;RIGHT(categories!G1160,LEN(categories!G1160)-1)&amp;"');","")</f>
        <v>INSERT INTO `catalog_category_entity_varchar` (attribute_id,store_id,entity_id,value) VALUES (48,0,1109,'img1/imgf0e9.jpg');</v>
      </c>
      <c r="C1160" t="str">
        <f>VLOOKUP(categories!B1160,'categories-old'!B:G,6,FALSE)</f>
        <v>/img1/imgf0e9.jpg</v>
      </c>
      <c r="D1160" t="str">
        <f>VLOOKUP(categories!B1160,'categories-old'!B:H,7,FALSE)</f>
        <v>www.americanretailsupply.com\25486\156623\Realistic-Mannequin-System\Round-Weighted-Base.html</v>
      </c>
    </row>
    <row r="1161" spans="1:4" hidden="1" x14ac:dyDescent="0.25">
      <c r="A1161" t="str">
        <f>IF(LEN('categories-old'!G1161) &gt; 0, "INSERT INTO `catalog_category_entity_varchar` (attribute_id,store_id,entity_id,value) VALUES (48,0,"&amp;'categories-old'!B1161&amp;",'"&amp;RIGHT('categories-old'!G1161,LEN('categories-old'!G1161)-1)&amp;"');","")</f>
        <v>INSERT INTO `catalog_category_entity_varchar` (attribute_id,store_id,entity_id,value) VALUES (48,0,1105,'img1/img3f24.jpg');</v>
      </c>
      <c r="B1161" t="str">
        <f>IF(LEN(categories!G1161) &gt; 0, "INSERT INTO `catalog_category_entity_varchar` (attribute_id,store_id,entity_id,value) VALUES (48,0,"&amp;categories!B1161&amp;",'"&amp;RIGHT(categories!G1161,LEN(categories!G1161)-1)&amp;"');","")</f>
        <v>INSERT INTO `catalog_category_entity_varchar` (attribute_id,store_id,entity_id,value) VALUES (48,0,1110,'img3/img4fcc.jpg');</v>
      </c>
      <c r="C1161" t="str">
        <f>VLOOKUP(categories!B1161,'categories-old'!B:G,6,FALSE)</f>
        <v>/img3/img4fcc.jpg</v>
      </c>
      <c r="D1161" t="str">
        <f>VLOOKUP(categories!B1161,'categories-old'!B:H,7,FALSE)</f>
        <v>www.americanretailsupply.com\12903\130400\Retail-Resources\WAYMISH.html</v>
      </c>
    </row>
    <row r="1162" spans="1:4" hidden="1" x14ac:dyDescent="0.25">
      <c r="A1162" t="str">
        <f>IF(LEN('categories-old'!G1162) &gt; 0, "INSERT INTO `catalog_category_entity_varchar` (attribute_id,store_id,entity_id,value) VALUES (48,0,"&amp;'categories-old'!B1162&amp;",'"&amp;RIGHT('categories-old'!G1162,LEN('categories-old'!G1162)-1)&amp;"');","")</f>
        <v>INSERT INTO `catalog_category_entity_varchar` (attribute_id,store_id,entity_id,value) VALUES (48,0,1106,'img1/img3253.jpg');</v>
      </c>
      <c r="B1162" t="str">
        <f>IF(LEN(categories!G1162) &gt; 0, "INSERT INTO `catalog_category_entity_varchar` (attribute_id,store_id,entity_id,value) VALUES (48,0,"&amp;categories!B1162&amp;",'"&amp;RIGHT(categories!G1162,LEN(categories!G1162)-1)&amp;"');","")</f>
        <v>INSERT INTO `catalog_category_entity_varchar` (attribute_id,store_id,entity_id,value) VALUES (48,0,1111,'img2/img9cc3.jpg');</v>
      </c>
      <c r="C1162" t="str">
        <f>VLOOKUP(categories!B1162,'categories-old'!B:G,6,FALSE)</f>
        <v>/img2/img9cc3.jpg</v>
      </c>
      <c r="D1162" t="str">
        <f>VLOOKUP(categories!B1162,'categories-old'!B:H,7,FALSE)</f>
        <v>www.americanretailsupply.com\12903\130402\Retail-Resources\Customer-Satisfaction-is-Worthless-Customer-Loyalty-is-Priceless.html</v>
      </c>
    </row>
    <row r="1163" spans="1:4" hidden="1" x14ac:dyDescent="0.25">
      <c r="A1163" t="str">
        <f>IF(LEN('categories-old'!G1163) &gt; 0, "INSERT INTO `catalog_category_entity_varchar` (attribute_id,store_id,entity_id,value) VALUES (48,0,"&amp;'categories-old'!B1163&amp;",'"&amp;RIGHT('categories-old'!G1163,LEN('categories-old'!G1163)-1)&amp;"');","")</f>
        <v>INSERT INTO `catalog_category_entity_varchar` (attribute_id,store_id,entity_id,value) VALUES (48,0,1107,'img2/img1e8c.jpg');</v>
      </c>
      <c r="B1163" t="str">
        <f>IF(LEN(categories!G1163) &gt; 0, "INSERT INTO `catalog_category_entity_varchar` (attribute_id,store_id,entity_id,value) VALUES (48,0,"&amp;categories!B1163&amp;",'"&amp;RIGHT(categories!G1163,LEN(categories!G1163)-1)&amp;"');","")</f>
        <v>INSERT INTO `catalog_category_entity_varchar` (attribute_id,store_id,entity_id,value) VALUES (48,0,1112,'img1/img2b40.jpg');</v>
      </c>
      <c r="C1163" t="str">
        <f>VLOOKUP(categories!B1163,'categories-old'!B:G,6,FALSE)</f>
        <v>/img1/img2b40.jpg</v>
      </c>
      <c r="D1163" t="str">
        <f>VLOOKUP(categories!B1163,'categories-old'!B:H,7,FALSE)</f>
        <v>www.americanretailsupply.com\12903\174437\Retail-Resources\Simple-Truths-of-Service.html</v>
      </c>
    </row>
    <row r="1164" spans="1:4" hidden="1" x14ac:dyDescent="0.25">
      <c r="A1164" t="str">
        <f>IF(LEN('categories-old'!G1164) &gt; 0, "INSERT INTO `catalog_category_entity_varchar` (attribute_id,store_id,entity_id,value) VALUES (48,0,"&amp;'categories-old'!B1164&amp;",'"&amp;RIGHT('categories-old'!G1164,LEN('categories-old'!G1164)-1)&amp;"');","")</f>
        <v>INSERT INTO `catalog_category_entity_varchar` (attribute_id,store_id,entity_id,value) VALUES (48,0,1108,'img1/img96a8-2.jpg');</v>
      </c>
      <c r="B1164" t="str">
        <f>IF(LEN(categories!G1164) &gt; 0, "INSERT INTO `catalog_category_entity_varchar` (attribute_id,store_id,entity_id,value) VALUES (48,0,"&amp;categories!B1164&amp;",'"&amp;RIGHT(categories!G1164,LEN(categories!G1164)-1)&amp;"');","")</f>
        <v>INSERT INTO `catalog_category_entity_varchar` (attribute_id,store_id,entity_id,value) VALUES (48,0,1113,'img1/img5cdb.jpg');</v>
      </c>
      <c r="C1164" t="str">
        <f>VLOOKUP(categories!B1164,'categories-old'!B:G,6,FALSE)</f>
        <v>/img1/img5cdb.jpg</v>
      </c>
      <c r="D1164" t="str">
        <f>VLOOKUP(categories!B1164,'categories-old'!B:H,7,FALSE)</f>
        <v>www.americanretailsupply.com\12903\174680\Retail-Resources\Inside-The-Magic-Kingdom.html</v>
      </c>
    </row>
    <row r="1165" spans="1:4" hidden="1" x14ac:dyDescent="0.25">
      <c r="A1165" t="str">
        <f>IF(LEN('categories-old'!G1165) &gt; 0, "INSERT INTO `catalog_category_entity_varchar` (attribute_id,store_id,entity_id,value) VALUES (48,0,"&amp;'categories-old'!B1165&amp;",'"&amp;RIGHT('categories-old'!G1165,LEN('categories-old'!G1165)-1)&amp;"');","")</f>
        <v>INSERT INTO `catalog_category_entity_varchar` (attribute_id,store_id,entity_id,value) VALUES (48,0,1109,'img1/imgf0e9.jpg');</v>
      </c>
      <c r="B1165" t="str">
        <f>IF(LEN(categories!G1165) &gt; 0, "INSERT INTO `catalog_category_entity_varchar` (attribute_id,store_id,entity_id,value) VALUES (48,0,"&amp;categories!B1165&amp;",'"&amp;RIGHT(categories!G1165,LEN(categories!G1165)-1)&amp;"');","")</f>
        <v>INSERT INTO `catalog_category_entity_varchar` (attribute_id,store_id,entity_id,value) VALUES (48,0,1114,'img3/img28a6.jpg');</v>
      </c>
      <c r="C1165" t="str">
        <f>VLOOKUP(categories!B1165,'categories-old'!B:G,6,FALSE)</f>
        <v>/img3/img28a6.jpg</v>
      </c>
      <c r="D1165" t="str">
        <f>VLOOKUP(categories!B1165,'categories-old'!B:H,7,FALSE)</f>
        <v>www.americanretailsupply.com\12903\635579\Retail-Resources\Out--Nordstrom-Nordstrom.html</v>
      </c>
    </row>
    <row r="1166" spans="1:4" hidden="1" x14ac:dyDescent="0.25">
      <c r="A1166" t="str">
        <f>IF(LEN('categories-old'!G1166) &gt; 0, "INSERT INTO `catalog_category_entity_varchar` (attribute_id,store_id,entity_id,value) VALUES (48,0,"&amp;'categories-old'!B1166&amp;",'"&amp;RIGHT('categories-old'!G1166,LEN('categories-old'!G1166)-1)&amp;"');","")</f>
        <v>INSERT INTO `catalog_category_entity_varchar` (attribute_id,store_id,entity_id,value) VALUES (48,0,1110,'img3/img4fcc.jpg');</v>
      </c>
      <c r="B1166" t="str">
        <f>IF(LEN(categories!G1166) &gt; 0, "INSERT INTO `catalog_category_entity_varchar` (attribute_id,store_id,entity_id,value) VALUES (48,0,"&amp;categories!B1166&amp;",'"&amp;RIGHT(categories!G1166,LEN(categories!G1166)-1)&amp;"');","")</f>
        <v>INSERT INTO `catalog_category_entity_varchar` (attribute_id,store_id,entity_id,value) VALUES (48,0,1116,'img2/img8f91.jpg');</v>
      </c>
      <c r="C1166" t="str">
        <f>VLOOKUP(categories!B1166,'categories-old'!B:G,6,FALSE)</f>
        <v>/img2/img8f91.jpg</v>
      </c>
      <c r="D1166" t="str">
        <f>VLOOKUP(categories!B1166,'categories-old'!B:H,7,FALSE)</f>
        <v>www.americanretailsupply.com\65006\742308\Ribbon-in-Animal-Prints\Splendorette-Printed-Curling-Ribbon.html</v>
      </c>
    </row>
    <row r="1167" spans="1:4" hidden="1" x14ac:dyDescent="0.25">
      <c r="A1167" t="str">
        <f>IF(LEN('categories-old'!G1167) &gt; 0, "INSERT INTO `catalog_category_entity_varchar` (attribute_id,store_id,entity_id,value) VALUES (48,0,"&amp;'categories-old'!B1167&amp;",'"&amp;RIGHT('categories-old'!G1167,LEN('categories-old'!G1167)-1)&amp;"');","")</f>
        <v>INSERT INTO `catalog_category_entity_varchar` (attribute_id,store_id,entity_id,value) VALUES (48,0,1111,'img2/img9cc3.jpg');</v>
      </c>
      <c r="B1167" t="str">
        <f>IF(LEN(categories!G1167) &gt; 0, "INSERT INTO `catalog_category_entity_varchar` (attribute_id,store_id,entity_id,value) VALUES (48,0,"&amp;categories!B1167&amp;",'"&amp;RIGHT(categories!G1167,LEN(categories!G1167)-1)&amp;"');","")</f>
        <v>INSERT INTO `catalog_category_entity_varchar` (attribute_id,store_id,entity_id,value) VALUES (48,0,1118,'img3/img4a46.jpg');</v>
      </c>
      <c r="C1167" t="str">
        <f>VLOOKUP(categories!B1167,'categories-old'!B:G,6,FALSE)</f>
        <v>/img3/img4a46.jpg</v>
      </c>
      <c r="D1167" t="str">
        <f>VLOOKUP(categories!B1167,'categories-old'!B:H,7,FALSE)</f>
        <v>www.americanretailsupply.com\64795\37285\Ring--Earring-Displays\PendantEarring-Angled-Display.html</v>
      </c>
    </row>
    <row r="1168" spans="1:4" hidden="1" x14ac:dyDescent="0.25">
      <c r="A1168" t="str">
        <f>IF(LEN('categories-old'!G1168) &gt; 0, "INSERT INTO `catalog_category_entity_varchar` (attribute_id,store_id,entity_id,value) VALUES (48,0,"&amp;'categories-old'!B1168&amp;",'"&amp;RIGHT('categories-old'!G1168,LEN('categories-old'!G1168)-1)&amp;"');","")</f>
        <v>INSERT INTO `catalog_category_entity_varchar` (attribute_id,store_id,entity_id,value) VALUES (48,0,1112,'img1/img2b40.jpg');</v>
      </c>
      <c r="B1168" t="str">
        <f>IF(LEN(categories!G1168) &gt; 0, "INSERT INTO `catalog_category_entity_varchar` (attribute_id,store_id,entity_id,value) VALUES (48,0,"&amp;categories!B1168&amp;",'"&amp;RIGHT(categories!G1168,LEN(categories!G1168)-1)&amp;"');","")</f>
        <v>INSERT INTO `catalog_category_entity_varchar` (attribute_id,store_id,entity_id,value) VALUES (48,0,1119,'img3/img86db.jpg');</v>
      </c>
      <c r="C1168" t="str">
        <f>VLOOKUP(categories!B1168,'categories-old'!B:G,6,FALSE)</f>
        <v>/img3/img86db.jpg</v>
      </c>
      <c r="D1168" t="str">
        <f>VLOOKUP(categories!B1168,'categories-old'!B:H,7,FALSE)</f>
        <v>www.americanretailsupply.com\64795\37286\Ring--Earring-Displays\Single-PendantEarring-Angled-Display.html</v>
      </c>
    </row>
    <row r="1169" spans="1:4" hidden="1" x14ac:dyDescent="0.25">
      <c r="A1169" t="str">
        <f>IF(LEN('categories-old'!G1169) &gt; 0, "INSERT INTO `catalog_category_entity_varchar` (attribute_id,store_id,entity_id,value) VALUES (48,0,"&amp;'categories-old'!B1169&amp;",'"&amp;RIGHT('categories-old'!G1169,LEN('categories-old'!G1169)-1)&amp;"');","")</f>
        <v>INSERT INTO `catalog_category_entity_varchar` (attribute_id,store_id,entity_id,value) VALUES (48,0,1113,'img1/img5cdb.jpg');</v>
      </c>
      <c r="B1169" t="str">
        <f>IF(LEN(categories!G1169) &gt; 0, "INSERT INTO `catalog_category_entity_varchar` (attribute_id,store_id,entity_id,value) VALUES (48,0,"&amp;categories!B1169&amp;",'"&amp;RIGHT(categories!G1169,LEN(categories!G1169)-1)&amp;"');","")</f>
        <v>INSERT INTO `catalog_category_entity_varchar` (attribute_id,store_id,entity_id,value) VALUES (48,0,1120,'img1/imgb31b.jpg');</v>
      </c>
      <c r="C1169" t="str">
        <f>VLOOKUP(categories!B1169,'categories-old'!B:G,6,FALSE)</f>
        <v>/img1/imgb31b.jpg</v>
      </c>
      <c r="D1169" t="str">
        <f>VLOOKUP(categories!B1169,'categories-old'!B:H,7,FALSE)</f>
        <v>www.americanretailsupply.com\64795\37287\Ring--Earring-Displays\Clip-On-Earring-Slant-Display.html</v>
      </c>
    </row>
    <row r="1170" spans="1:4" hidden="1" x14ac:dyDescent="0.25">
      <c r="A1170" t="str">
        <f>IF(LEN('categories-old'!G1170) &gt; 0, "INSERT INTO `catalog_category_entity_varchar` (attribute_id,store_id,entity_id,value) VALUES (48,0,"&amp;'categories-old'!B1170&amp;",'"&amp;RIGHT('categories-old'!G1170,LEN('categories-old'!G1170)-1)&amp;"');","")</f>
        <v>INSERT INTO `catalog_category_entity_varchar` (attribute_id,store_id,entity_id,value) VALUES (48,0,1114,'img3/img28a6.jpg');</v>
      </c>
      <c r="B1170" t="str">
        <f>IF(LEN(categories!G1170) &gt; 0, "INSERT INTO `catalog_category_entity_varchar` (attribute_id,store_id,entity_id,value) VALUES (48,0,"&amp;categories!B1170&amp;",'"&amp;RIGHT(categories!G1170,LEN(categories!G1170)-1)&amp;"');","")</f>
        <v>INSERT INTO `catalog_category_entity_varchar` (attribute_id,store_id,entity_id,value) VALUES (48,0,1121,'img2/img3371.jpg');</v>
      </c>
      <c r="C1170" t="str">
        <f>VLOOKUP(categories!B1170,'categories-old'!B:G,6,FALSE)</f>
        <v>/img2/img3371.jpg</v>
      </c>
      <c r="D1170" t="str">
        <f>VLOOKUP(categories!B1170,'categories-old'!B:H,7,FALSE)</f>
        <v>www.americanretailsupply.com\64795\37288\Ring--Earring-Displays\Earring-Winged-Display-Stand.html</v>
      </c>
    </row>
    <row r="1171" spans="1:4" hidden="1" x14ac:dyDescent="0.25">
      <c r="A1171" t="str">
        <f>IF(LEN('categories-old'!G1171) &gt; 0, "INSERT INTO `catalog_category_entity_varchar` (attribute_id,store_id,entity_id,value) VALUES (48,0,"&amp;'categories-old'!B1171&amp;",'"&amp;RIGHT('categories-old'!G1171,LEN('categories-old'!G1171)-1)&amp;"');","")</f>
        <v>INSERT INTO `catalog_category_entity_varchar` (attribute_id,store_id,entity_id,value) VALUES (48,0,1116,'img2/img8f91.jpg');</v>
      </c>
      <c r="B1171" t="str">
        <f>IF(LEN(categories!G1171) &gt; 0, "INSERT INTO `catalog_category_entity_varchar` (attribute_id,store_id,entity_id,value) VALUES (48,0,"&amp;categories!B1171&amp;",'"&amp;RIGHT(categories!G1171,LEN(categories!G1171)-1)&amp;"');","")</f>
        <v>INSERT INTO `catalog_category_entity_varchar` (attribute_id,store_id,entity_id,value) VALUES (48,0,1122,'img2/img5e0d.jpg');</v>
      </c>
      <c r="C1171" t="str">
        <f>VLOOKUP(categories!B1171,'categories-old'!B:G,6,FALSE)</f>
        <v>/img2/img5e0d.jpg</v>
      </c>
      <c r="D1171" t="str">
        <f>VLOOKUP(categories!B1171,'categories-old'!B:H,7,FALSE)</f>
        <v>www.americanretailsupply.com\64795\37290\Ring--Earring-Displays\Earring-T--Bar-Display.html</v>
      </c>
    </row>
    <row r="1172" spans="1:4" hidden="1" x14ac:dyDescent="0.25">
      <c r="A1172" t="str">
        <f>IF(LEN('categories-old'!G1172) &gt; 0, "INSERT INTO `catalog_category_entity_varchar` (attribute_id,store_id,entity_id,value) VALUES (48,0,"&amp;'categories-old'!B1172&amp;",'"&amp;RIGHT('categories-old'!G1172,LEN('categories-old'!G1172)-1)&amp;"');","")</f>
        <v>INSERT INTO `catalog_category_entity_varchar` (attribute_id,store_id,entity_id,value) VALUES (48,0,1118,'img3/img4a46.jpg');</v>
      </c>
      <c r="B1172" t="str">
        <f>IF(LEN(categories!G1172) &gt; 0, "INSERT INTO `catalog_category_entity_varchar` (attribute_id,store_id,entity_id,value) VALUES (48,0,"&amp;categories!B1172&amp;",'"&amp;RIGHT(categories!G1172,LEN(categories!G1172)-1)&amp;"');","")</f>
        <v>INSERT INTO `catalog_category_entity_varchar` (attribute_id,store_id,entity_id,value) VALUES (48,0,1123,'img1/img670d.jpg');</v>
      </c>
      <c r="C1172" t="str">
        <f>VLOOKUP(categories!B1172,'categories-old'!B:G,6,FALSE)</f>
        <v>/img1/img670d.jpg</v>
      </c>
      <c r="D1172" t="str">
        <f>VLOOKUP(categories!B1172,'categories-old'!B:H,7,FALSE)</f>
        <v>www.americanretailsupply.com\64795\37793\Ring--Earring-Displays\1-Finger-Ring-Display.html</v>
      </c>
    </row>
    <row r="1173" spans="1:4" hidden="1" x14ac:dyDescent="0.25">
      <c r="A1173" t="str">
        <f>IF(LEN('categories-old'!G1173) &gt; 0, "INSERT INTO `catalog_category_entity_varchar` (attribute_id,store_id,entity_id,value) VALUES (48,0,"&amp;'categories-old'!B1173&amp;",'"&amp;RIGHT('categories-old'!G1173,LEN('categories-old'!G1173)-1)&amp;"');","")</f>
        <v>INSERT INTO `catalog_category_entity_varchar` (attribute_id,store_id,entity_id,value) VALUES (48,0,1119,'img3/img86db.jpg');</v>
      </c>
      <c r="B1173" t="str">
        <f>IF(LEN(categories!G1173) &gt; 0, "INSERT INTO `catalog_category_entity_varchar` (attribute_id,store_id,entity_id,value) VALUES (48,0,"&amp;categories!B1173&amp;",'"&amp;RIGHT(categories!G1173,LEN(categories!G1173)-1)&amp;"');","")</f>
        <v>INSERT INTO `catalog_category_entity_varchar` (attribute_id,store_id,entity_id,value) VALUES (48,0,1124,'img1/img7a03.jpg');</v>
      </c>
      <c r="C1173" t="str">
        <f>VLOOKUP(categories!B1173,'categories-old'!B:G,6,FALSE)</f>
        <v>/img1/img7a03.jpg</v>
      </c>
      <c r="D1173" t="str">
        <f>VLOOKUP(categories!B1173,'categories-old'!B:H,7,FALSE)</f>
        <v>www.americanretailsupply.com\64795\37795\Ring--Earring-Displays\2-Finger-Ring-Display.html</v>
      </c>
    </row>
    <row r="1174" spans="1:4" hidden="1" x14ac:dyDescent="0.25">
      <c r="A1174" t="str">
        <f>IF(LEN('categories-old'!G1174) &gt; 0, "INSERT INTO `catalog_category_entity_varchar` (attribute_id,store_id,entity_id,value) VALUES (48,0,"&amp;'categories-old'!B1174&amp;",'"&amp;RIGHT('categories-old'!G1174,LEN('categories-old'!G1174)-1)&amp;"');","")</f>
        <v>INSERT INTO `catalog_category_entity_varchar` (attribute_id,store_id,entity_id,value) VALUES (48,0,1120,'img1/imgb31b.jpg');</v>
      </c>
      <c r="B1174" t="str">
        <f>IF(LEN(categories!G1174) &gt; 0, "INSERT INTO `catalog_category_entity_varchar` (attribute_id,store_id,entity_id,value) VALUES (48,0,"&amp;categories!B1174&amp;",'"&amp;RIGHT(categories!G1174,LEN(categories!G1174)-1)&amp;"');","")</f>
        <v>INSERT INTO `catalog_category_entity_varchar` (attribute_id,store_id,entity_id,value) VALUES (48,0,1125,'img1/img9dc8.jpg');</v>
      </c>
      <c r="C1174" t="str">
        <f>VLOOKUP(categories!B1174,'categories-old'!B:G,6,FALSE)</f>
        <v>/img1/img9dc8.jpg</v>
      </c>
      <c r="D1174" t="str">
        <f>VLOOKUP(categories!B1174,'categories-old'!B:H,7,FALSE)</f>
        <v>www.americanretailsupply.com\64795\37796\Ring--Earring-Displays\5-Finger-Ring-Displays.html</v>
      </c>
    </row>
    <row r="1175" spans="1:4" hidden="1" x14ac:dyDescent="0.25">
      <c r="A1175" t="str">
        <f>IF(LEN('categories-old'!G1175) &gt; 0, "INSERT INTO `catalog_category_entity_varchar` (attribute_id,store_id,entity_id,value) VALUES (48,0,"&amp;'categories-old'!B1175&amp;",'"&amp;RIGHT('categories-old'!G1175,LEN('categories-old'!G1175)-1)&amp;"');","")</f>
        <v>INSERT INTO `catalog_category_entity_varchar` (attribute_id,store_id,entity_id,value) VALUES (48,0,1121,'img2/img3371.jpg');</v>
      </c>
      <c r="B1175" t="str">
        <f>IF(LEN(categories!G1175) &gt; 0, "INSERT INTO `catalog_category_entity_varchar` (attribute_id,store_id,entity_id,value) VALUES (48,0,"&amp;categories!B1175&amp;",'"&amp;RIGHT(categories!G1175,LEN(categories!G1175)-1)&amp;"');","")</f>
        <v>INSERT INTO `catalog_category_entity_varchar` (attribute_id,store_id,entity_id,value) VALUES (48,0,1126,'img3/img2eab.jpg');</v>
      </c>
      <c r="C1175" t="str">
        <f>VLOOKUP(categories!B1175,'categories-old'!B:G,6,FALSE)</f>
        <v>/img3/img2eab.jpg</v>
      </c>
      <c r="D1175" t="str">
        <f>VLOOKUP(categories!B1175,'categories-old'!B:H,7,FALSE)</f>
        <v>www.americanretailsupply.com\64795\231608\Ring--Earring-Displays\18-Slot-Ring-Tray.html</v>
      </c>
    </row>
    <row r="1176" spans="1:4" hidden="1" x14ac:dyDescent="0.25">
      <c r="A1176" t="str">
        <f>IF(LEN('categories-old'!G1176) &gt; 0, "INSERT INTO `catalog_category_entity_varchar` (attribute_id,store_id,entity_id,value) VALUES (48,0,"&amp;'categories-old'!B1176&amp;",'"&amp;RIGHT('categories-old'!G1176,LEN('categories-old'!G1176)-1)&amp;"');","")</f>
        <v>INSERT INTO `catalog_category_entity_varchar` (attribute_id,store_id,entity_id,value) VALUES (48,0,1122,'img2/img5e0d.jpg');</v>
      </c>
      <c r="B1176" t="str">
        <f>IF(LEN(categories!G1176) &gt; 0, "INSERT INTO `catalog_category_entity_varchar` (attribute_id,store_id,entity_id,value) VALUES (48,0,"&amp;categories!B1176&amp;",'"&amp;RIGHT(categories!G1176,LEN(categories!G1176)-1)&amp;"');","")</f>
        <v>INSERT INTO `catalog_category_entity_varchar` (attribute_id,store_id,entity_id,value) VALUES (48,0,1128,'img2/imgd0db.jpg');</v>
      </c>
      <c r="C1176" t="str">
        <f>VLOOKUP(categories!B1176,'categories-old'!B:G,6,FALSE)</f>
        <v>/img2/imgd0db.jpg</v>
      </c>
      <c r="D1176" t="str">
        <f>VLOOKUP(categories!B1176,'categories-old'!B:H,7,FALSE)</f>
        <v>www.americanretailsupply.com\65158\154741\Rudy--Judy-Mannequins\Rudy.html</v>
      </c>
    </row>
    <row r="1177" spans="1:4" hidden="1" x14ac:dyDescent="0.25">
      <c r="A1177" t="str">
        <f>IF(LEN('categories-old'!G1177) &gt; 0, "INSERT INTO `catalog_category_entity_varchar` (attribute_id,store_id,entity_id,value) VALUES (48,0,"&amp;'categories-old'!B1177&amp;",'"&amp;RIGHT('categories-old'!G1177,LEN('categories-old'!G1177)-1)&amp;"');","")</f>
        <v>INSERT INTO `catalog_category_entity_varchar` (attribute_id,store_id,entity_id,value) VALUES (48,0,1123,'img1/img670d.jpg');</v>
      </c>
      <c r="B1177" t="str">
        <f>IF(LEN(categories!G1177) &gt; 0, "INSERT INTO `catalog_category_entity_varchar` (attribute_id,store_id,entity_id,value) VALUES (48,0,"&amp;categories!B1177&amp;",'"&amp;RIGHT(categories!G1177,LEN(categories!G1177)-1)&amp;"');","")</f>
        <v>INSERT INTO `catalog_category_entity_varchar` (attribute_id,store_id,entity_id,value) VALUES (48,0,1129,'img3/img6321.jpg');</v>
      </c>
      <c r="C1177" t="str">
        <f>VLOOKUP(categories!B1177,'categories-old'!B:G,6,FALSE)</f>
        <v>/img3/img6321.jpg</v>
      </c>
      <c r="D1177" t="str">
        <f>VLOOKUP(categories!B1177,'categories-old'!B:H,7,FALSE)</f>
        <v>www.americanretailsupply.com\65158\154743\Rudy--Judy-Mannequins\Headless-Rudy-and-Judy.html</v>
      </c>
    </row>
    <row r="1178" spans="1:4" hidden="1" x14ac:dyDescent="0.25">
      <c r="A1178" t="str">
        <f>IF(LEN('categories-old'!G1178) &gt; 0, "INSERT INTO `catalog_category_entity_varchar` (attribute_id,store_id,entity_id,value) VALUES (48,0,"&amp;'categories-old'!B1178&amp;",'"&amp;RIGHT('categories-old'!G1178,LEN('categories-old'!G1178)-1)&amp;"');","")</f>
        <v>INSERT INTO `catalog_category_entity_varchar` (attribute_id,store_id,entity_id,value) VALUES (48,0,1124,'img1/img7a03.jpg');</v>
      </c>
      <c r="B1178" t="str">
        <f>IF(LEN(categories!G1178) &gt; 0, "INSERT INTO `catalog_category_entity_varchar` (attribute_id,store_id,entity_id,value) VALUES (48,0,"&amp;categories!B1178&amp;",'"&amp;RIGHT(categories!G1178,LEN(categories!G1178)-1)&amp;"');","")</f>
        <v>INSERT INTO `catalog_category_entity_varchar` (attribute_id,store_id,entity_id,value) VALUES (48,0,1131,'img2/img6c75.jpg');</v>
      </c>
      <c r="C1178" t="str">
        <f>VLOOKUP(categories!B1178,'categories-old'!B:G,6,FALSE)</f>
        <v>/img2/img6c75.jpg</v>
      </c>
      <c r="D1178" t="str">
        <f>VLOOKUP(categories!B1178,'categories-old'!B:H,7,FALSE)</f>
        <v>www.americanretailsupply.com\65037\41138\Scanner-Hooks\1-and-2-Piece-Scanner-Hooks.html</v>
      </c>
    </row>
    <row r="1179" spans="1:4" hidden="1" x14ac:dyDescent="0.25">
      <c r="A1179" t="str">
        <f>IF(LEN('categories-old'!G1179) &gt; 0, "INSERT INTO `catalog_category_entity_varchar` (attribute_id,store_id,entity_id,value) VALUES (48,0,"&amp;'categories-old'!B1179&amp;",'"&amp;RIGHT('categories-old'!G1179,LEN('categories-old'!G1179)-1)&amp;"');","")</f>
        <v>INSERT INTO `catalog_category_entity_varchar` (attribute_id,store_id,entity_id,value) VALUES (48,0,1125,'img1/img9dc8.jpg');</v>
      </c>
      <c r="B1179" t="str">
        <f>IF(LEN(categories!G1179) &gt; 0, "INSERT INTO `catalog_category_entity_varchar` (attribute_id,store_id,entity_id,value) VALUES (48,0,"&amp;categories!B1179&amp;",'"&amp;RIGHT(categories!G1179,LEN(categories!G1179)-1)&amp;"');","")</f>
        <v>INSERT INTO `catalog_category_entity_varchar` (attribute_id,store_id,entity_id,value) VALUES (48,0,1132,'img3/img4427.jpg');</v>
      </c>
      <c r="C1179" t="str">
        <f>VLOOKUP(categories!B1179,'categories-old'!B:G,6,FALSE)</f>
        <v>/img3/img4427.jpg</v>
      </c>
      <c r="D1179" t="str">
        <f>VLOOKUP(categories!B1179,'categories-old'!B:H,7,FALSE)</f>
        <v>www.americanretailsupply.com\65037\41139\Scanner-Hooks\Scanner-Hook-Label-Holders.html</v>
      </c>
    </row>
    <row r="1180" spans="1:4" hidden="1" x14ac:dyDescent="0.25">
      <c r="A1180" t="str">
        <f>IF(LEN('categories-old'!G1180) &gt; 0, "INSERT INTO `catalog_category_entity_varchar` (attribute_id,store_id,entity_id,value) VALUES (48,0,"&amp;'categories-old'!B1180&amp;",'"&amp;RIGHT('categories-old'!G1180,LEN('categories-old'!G1180)-1)&amp;"');","")</f>
        <v>INSERT INTO `catalog_category_entity_varchar` (attribute_id,store_id,entity_id,value) VALUES (48,0,1126,'img3/img2eab.jpg');</v>
      </c>
      <c r="B1180" t="str">
        <f>IF(LEN(categories!G1180) &gt; 0, "INSERT INTO `catalog_category_entity_varchar` (attribute_id,store_id,entity_id,value) VALUES (48,0,"&amp;categories!B1180&amp;",'"&amp;RIGHT(categories!G1180,LEN(categories!G1180)-1)&amp;"');","")</f>
        <v>INSERT INTO `catalog_category_entity_varchar` (attribute_id,store_id,entity_id,value) VALUES (48,0,1134,'img2/img4da3.jpg');</v>
      </c>
      <c r="C1180" t="str">
        <f>VLOOKUP(categories!B1180,'categories-old'!B:G,6,FALSE)</f>
        <v>/img2/img4da3.jpg</v>
      </c>
      <c r="D1180" t="str">
        <f>VLOOKUP(categories!B1180,'categories-old'!B:H,7,FALSE)</f>
        <v>www.americanretailsupply.com\64800\560455\Scrapbooking-Racks\Paper-Rack-Tower.html</v>
      </c>
    </row>
    <row r="1181" spans="1:4" hidden="1" x14ac:dyDescent="0.25">
      <c r="A1181" t="str">
        <f>IF(LEN('categories-old'!G1181) &gt; 0, "INSERT INTO `catalog_category_entity_varchar` (attribute_id,store_id,entity_id,value) VALUES (48,0,"&amp;'categories-old'!B1181&amp;",'"&amp;RIGHT('categories-old'!G1181,LEN('categories-old'!G1181)-1)&amp;"');","")</f>
        <v>INSERT INTO `catalog_category_entity_varchar` (attribute_id,store_id,entity_id,value) VALUES (48,0,1128,'img2/imgd0db.jpg');</v>
      </c>
      <c r="B1181" t="str">
        <f>IF(LEN(categories!G1181) &gt; 0, "INSERT INTO `catalog_category_entity_varchar` (attribute_id,store_id,entity_id,value) VALUES (48,0,"&amp;categories!B1181&amp;",'"&amp;RIGHT(categories!G1181,LEN(categories!G1181)-1)&amp;"');","")</f>
        <v>INSERT INTO `catalog_category_entity_varchar` (attribute_id,store_id,entity_id,value) VALUES (48,0,1135,'img3/imgb1a3.jpg');</v>
      </c>
      <c r="C1181" t="str">
        <f>VLOOKUP(categories!B1181,'categories-old'!B:G,6,FALSE)</f>
        <v>/img3/imgb1a3.jpg</v>
      </c>
      <c r="D1181" t="str">
        <f>VLOOKUP(categories!B1181,'categories-old'!B:H,7,FALSE)</f>
        <v>www.americanretailsupply.com\64800\560456\Scrapbooking-Racks\Paper-Rack-for-8-12-x-11-Stock.html</v>
      </c>
    </row>
    <row r="1182" spans="1:4" hidden="1" x14ac:dyDescent="0.25">
      <c r="A1182" t="str">
        <f>IF(LEN('categories-old'!G1182) &gt; 0, "INSERT INTO `catalog_category_entity_varchar` (attribute_id,store_id,entity_id,value) VALUES (48,0,"&amp;'categories-old'!B1182&amp;",'"&amp;RIGHT('categories-old'!G1182,LEN('categories-old'!G1182)-1)&amp;"');","")</f>
        <v>INSERT INTO `catalog_category_entity_varchar` (attribute_id,store_id,entity_id,value) VALUES (48,0,1129,'img3/img6321.jpg');</v>
      </c>
      <c r="B1182" t="str">
        <f>IF(LEN(categories!G1182) &gt; 0, "INSERT INTO `catalog_category_entity_varchar` (attribute_id,store_id,entity_id,value) VALUES (48,0,"&amp;categories!B1182&amp;",'"&amp;RIGHT(categories!G1182,LEN(categories!G1182)-1)&amp;"');","")</f>
        <v>INSERT INTO `catalog_category_entity_varchar` (attribute_id,store_id,entity_id,value) VALUES (48,0,1136,'img2/img5503.jpg');</v>
      </c>
      <c r="C1182" t="str">
        <f>VLOOKUP(categories!B1182,'categories-old'!B:G,6,FALSE)</f>
        <v>/img2/img5503.jpg</v>
      </c>
      <c r="D1182" t="str">
        <f>VLOOKUP(categories!B1182,'categories-old'!B:H,7,FALSE)</f>
        <v>www.americanretailsupply.com\64800\560457\Scrapbooking-Racks\Paper-Rack-for-12x-12-Stock.html</v>
      </c>
    </row>
    <row r="1183" spans="1:4" hidden="1" x14ac:dyDescent="0.25">
      <c r="A1183" t="str">
        <f>IF(LEN('categories-old'!G1183) &gt; 0, "INSERT INTO `catalog_category_entity_varchar` (attribute_id,store_id,entity_id,value) VALUES (48,0,"&amp;'categories-old'!B1183&amp;",'"&amp;RIGHT('categories-old'!G1183,LEN('categories-old'!G1183)-1)&amp;"');","")</f>
        <v>INSERT INTO `catalog_category_entity_varchar` (attribute_id,store_id,entity_id,value) VALUES (48,0,1131,'img2/img6c75.jpg');</v>
      </c>
      <c r="B1183" t="str">
        <f>IF(LEN(categories!G1183) &gt; 0, "INSERT INTO `catalog_category_entity_varchar` (attribute_id,store_id,entity_id,value) VALUES (48,0,"&amp;categories!B1183&amp;",'"&amp;RIGHT(categories!G1183,LEN(categories!G1183)-1)&amp;"');","")</f>
        <v>INSERT INTO `catalog_category_entity_varchar` (attribute_id,store_id,entity_id,value) VALUES (48,0,1138,'img2/imga566.jpg');</v>
      </c>
      <c r="C1183" t="str">
        <f>VLOOKUP(categories!B1183,'categories-old'!B:G,6,FALSE)</f>
        <v>/img2/imga566.jpg</v>
      </c>
      <c r="D1183" t="str">
        <f>VLOOKUP(categories!B1183,'categories-old'!B:H,7,FALSE)</f>
        <v>www.americanretailsupply.com\64894\13364\Security-Locks-Announcers-Detectors-Mirrors\Entry-Alert-Motion-Sensor-Door-Chime.html</v>
      </c>
    </row>
    <row r="1184" spans="1:4" hidden="1" x14ac:dyDescent="0.25">
      <c r="A1184" t="str">
        <f>IF(LEN('categories-old'!G1184) &gt; 0, "INSERT INTO `catalog_category_entity_varchar` (attribute_id,store_id,entity_id,value) VALUES (48,0,"&amp;'categories-old'!B1184&amp;",'"&amp;RIGHT('categories-old'!G1184,LEN('categories-old'!G1184)-1)&amp;"');","")</f>
        <v>INSERT INTO `catalog_category_entity_varchar` (attribute_id,store_id,entity_id,value) VALUES (48,0,1132,'img3/img4427.jpg');</v>
      </c>
      <c r="B1184" t="str">
        <f>IF(LEN(categories!G1184) &gt; 0, "INSERT INTO `catalog_category_entity_varchar` (attribute_id,store_id,entity_id,value) VALUES (48,0,"&amp;categories!B1184&amp;",'"&amp;RIGHT(categories!G1184,LEN(categories!G1184)-1)&amp;"');","")</f>
        <v>INSERT INTO `catalog_category_entity_varchar` (attribute_id,store_id,entity_id,value) VALUES (48,0,1139,'img2/img202c.jpg');</v>
      </c>
      <c r="C1184" t="str">
        <f>VLOOKUP(categories!B1184,'categories-old'!B:G,6,FALSE)</f>
        <v>/img2/img202c.jpg</v>
      </c>
      <c r="D1184" t="str">
        <f>VLOOKUP(categories!B1184,'categories-old'!B:H,7,FALSE)</f>
        <v>www.americanretailsupply.com\64894\173921\Security-Locks-Announcers-Detectors-Mirrors\Wireless-Entrance-Motion-Detector.html</v>
      </c>
    </row>
    <row r="1185" spans="1:4" hidden="1" x14ac:dyDescent="0.25">
      <c r="A1185" t="str">
        <f>IF(LEN('categories-old'!G1185) &gt; 0, "INSERT INTO `catalog_category_entity_varchar` (attribute_id,store_id,entity_id,value) VALUES (48,0,"&amp;'categories-old'!B1185&amp;",'"&amp;RIGHT('categories-old'!G1185,LEN('categories-old'!G1185)-1)&amp;"');","")</f>
        <v>INSERT INTO `catalog_category_entity_varchar` (attribute_id,store_id,entity_id,value) VALUES (48,0,1134,'img2/img4da3.jpg');</v>
      </c>
      <c r="B1185" t="str">
        <f>IF(LEN(categories!G1185) &gt; 0, "INSERT INTO `catalog_category_entity_varchar` (attribute_id,store_id,entity_id,value) VALUES (48,0,"&amp;categories!B1185&amp;",'"&amp;RIGHT(categories!G1185,LEN(categories!G1185)-1)&amp;"');","")</f>
        <v>INSERT INTO `catalog_category_entity_varchar` (attribute_id,store_id,entity_id,value) VALUES (48,0,1140,'img1/img52b9.jpg');</v>
      </c>
      <c r="C1185" t="str">
        <f>VLOOKUP(categories!B1185,'categories-old'!B:G,6,FALSE)</f>
        <v>/img1/img52b9.jpg</v>
      </c>
      <c r="D1185" t="str">
        <f>VLOOKUP(categories!B1185,'categories-old'!B:H,7,FALSE)</f>
        <v>www.americanretailsupply.com\64894\173922\Security-Locks-Announcers-Detectors-Mirrors\Wired-Entrance-Motion-Detector.html</v>
      </c>
    </row>
    <row r="1186" spans="1:4" hidden="1" x14ac:dyDescent="0.25">
      <c r="A1186" t="str">
        <f>IF(LEN('categories-old'!G1186) &gt; 0, "INSERT INTO `catalog_category_entity_varchar` (attribute_id,store_id,entity_id,value) VALUES (48,0,"&amp;'categories-old'!B1186&amp;",'"&amp;RIGHT('categories-old'!G1186,LEN('categories-old'!G1186)-1)&amp;"');","")</f>
        <v>INSERT INTO `catalog_category_entity_varchar` (attribute_id,store_id,entity_id,value) VALUES (48,0,1135,'img3/imgb1a3.jpg');</v>
      </c>
      <c r="B1186" t="str">
        <f>IF(LEN(categories!G1186) &gt; 0, "INSERT INTO `catalog_category_entity_varchar` (attribute_id,store_id,entity_id,value) VALUES (48,0,"&amp;categories!B1186&amp;",'"&amp;RIGHT(categories!G1186,LEN(categories!G1186)-1)&amp;"');","")</f>
        <v>INSERT INTO `catalog_category_entity_varchar` (attribute_id,store_id,entity_id,value) VALUES (48,0,1141,'img3/img57a8.jpg');</v>
      </c>
      <c r="C1186" t="str">
        <f>VLOOKUP(categories!B1186,'categories-old'!B:G,6,FALSE)</f>
        <v>/img3/img57a8.jpg</v>
      </c>
      <c r="D1186" t="str">
        <f>VLOOKUP(categories!B1186,'categories-old'!B:H,7,FALSE)</f>
        <v>www.americanretailsupply.com\64894\173923\Security-Locks-Announcers-Detectors-Mirrors\Self-Contained-Entrance-Door-Announcer.html</v>
      </c>
    </row>
    <row r="1187" spans="1:4" hidden="1" x14ac:dyDescent="0.25">
      <c r="A1187" t="str">
        <f>IF(LEN('categories-old'!G1187) &gt; 0, "INSERT INTO `catalog_category_entity_varchar` (attribute_id,store_id,entity_id,value) VALUES (48,0,"&amp;'categories-old'!B1187&amp;",'"&amp;RIGHT('categories-old'!G1187,LEN('categories-old'!G1187)-1)&amp;"');","")</f>
        <v>INSERT INTO `catalog_category_entity_varchar` (attribute_id,store_id,entity_id,value) VALUES (48,0,1136,'img2/img5503.jpg');</v>
      </c>
      <c r="B1187" t="str">
        <f>IF(LEN(categories!G1187) &gt; 0, "INSERT INTO `catalog_category_entity_varchar` (attribute_id,store_id,entity_id,value) VALUES (48,0,"&amp;categories!B1187&amp;",'"&amp;RIGHT(categories!G1187,LEN(categories!G1187)-1)&amp;"');","")</f>
        <v>INSERT INTO `catalog_category_entity_varchar` (attribute_id,store_id,entity_id,value) VALUES (48,0,1142,'img1/img2688.jpg');</v>
      </c>
      <c r="C1187" t="str">
        <f>VLOOKUP(categories!B1187,'categories-old'!B:G,6,FALSE)</f>
        <v>/img1/img2688.jpg</v>
      </c>
      <c r="D1187" t="str">
        <f>VLOOKUP(categories!B1187,'categories-old'!B:H,7,FALSE)</f>
        <v>www.americanretailsupply.com\64894\775072\Security-Locks-Announcers-Detectors-Mirrors\Anti-Shoplifting-Convex-Glass-Mirrors.html</v>
      </c>
    </row>
    <row r="1188" spans="1:4" hidden="1" x14ac:dyDescent="0.25">
      <c r="A1188" t="str">
        <f>IF(LEN('categories-old'!G1188) &gt; 0, "INSERT INTO `catalog_category_entity_varchar` (attribute_id,store_id,entity_id,value) VALUES (48,0,"&amp;'categories-old'!B1188&amp;",'"&amp;RIGHT('categories-old'!G1188,LEN('categories-old'!G1188)-1)&amp;"');","")</f>
        <v>INSERT INTO `catalog_category_entity_varchar` (attribute_id,store_id,entity_id,value) VALUES (48,0,1138,'img2/imga566.jpg');</v>
      </c>
      <c r="B1188" t="str">
        <f>IF(LEN(categories!G1188) &gt; 0, "INSERT INTO `catalog_category_entity_varchar` (attribute_id,store_id,entity_id,value) VALUES (48,0,"&amp;categories!B1188&amp;",'"&amp;RIGHT(categories!G1188,LEN(categories!G1188)-1)&amp;"');","")</f>
        <v>INSERT INTO `catalog_category_entity_varchar` (attribute_id,store_id,entity_id,value) VALUES (48,0,1143,'img1/img0b5a.jpg');</v>
      </c>
      <c r="C1188" t="str">
        <f>VLOOKUP(categories!B1188,'categories-old'!B:G,6,FALSE)</f>
        <v>/img1/img0b5a.jpg</v>
      </c>
      <c r="D1188" t="str">
        <f>VLOOKUP(categories!B1188,'categories-old'!B:H,7,FALSE)</f>
        <v>www.americanretailsupply.com\64894\779398\Security-Locks-Announcers-Detectors-Mirrors\Security-Peg-Hook-Locks.html</v>
      </c>
    </row>
    <row r="1189" spans="1:4" hidden="1" x14ac:dyDescent="0.25">
      <c r="A1189" t="str">
        <f>IF(LEN('categories-old'!G1189) &gt; 0, "INSERT INTO `catalog_category_entity_varchar` (attribute_id,store_id,entity_id,value) VALUES (48,0,"&amp;'categories-old'!B1189&amp;",'"&amp;RIGHT('categories-old'!G1189,LEN('categories-old'!G1189)-1)&amp;"');","")</f>
        <v>INSERT INTO `catalog_category_entity_varchar` (attribute_id,store_id,entity_id,value) VALUES (48,0,1139,'img2/img202c.jpg');</v>
      </c>
      <c r="B1189" t="str">
        <f>IF(LEN(categories!G1189) &gt; 0, "INSERT INTO `catalog_category_entity_varchar` (attribute_id,store_id,entity_id,value) VALUES (48,0,"&amp;categories!B1189&amp;",'"&amp;RIGHT(categories!G1189,LEN(categories!G1189)-1)&amp;"');","")</f>
        <v>INSERT INTO `catalog_category_entity_varchar` (attribute_id,store_id,entity_id,value) VALUES (48,0,1145,'img3/imgda10.jpg');</v>
      </c>
      <c r="C1189" t="str">
        <f>VLOOKUP(categories!B1189,'categories-old'!B:G,6,FALSE)</f>
        <v>/img3/imgda10.jpg</v>
      </c>
      <c r="D1189" t="str">
        <f>VLOOKUP(categories!B1189,'categories-old'!B:H,7,FALSE)</f>
        <v>www.americanretailsupply.com\64685\1499\Security-Loops\Secur-A-Tach.html</v>
      </c>
    </row>
    <row r="1190" spans="1:4" hidden="1" x14ac:dyDescent="0.25">
      <c r="A1190" t="str">
        <f>IF(LEN('categories-old'!G1190) &gt; 0, "INSERT INTO `catalog_category_entity_varchar` (attribute_id,store_id,entity_id,value) VALUES (48,0,"&amp;'categories-old'!B1190&amp;",'"&amp;RIGHT('categories-old'!G1190,LEN('categories-old'!G1190)-1)&amp;"');","")</f>
        <v>INSERT INTO `catalog_category_entity_varchar` (attribute_id,store_id,entity_id,value) VALUES (48,0,1140,'img1/img52b9.jpg');</v>
      </c>
      <c r="B1190" t="str">
        <f>IF(LEN(categories!G1190) &gt; 0, "INSERT INTO `catalog_category_entity_varchar` (attribute_id,store_id,entity_id,value) VALUES (48,0,"&amp;categories!B1190&amp;",'"&amp;RIGHT(categories!G1190,LEN(categories!G1190)-1)&amp;"');","")</f>
        <v>INSERT INTO `catalog_category_entity_varchar` (attribute_id,store_id,entity_id,value) VALUES (48,0,1146,'img2/imgafda.jpg');</v>
      </c>
      <c r="C1190" t="str">
        <f>VLOOKUP(categories!B1190,'categories-old'!B:G,6,FALSE)</f>
        <v>/img2/imgafda.jpg</v>
      </c>
      <c r="D1190" t="str">
        <f>VLOOKUP(categories!B1190,'categories-old'!B:H,7,FALSE)</f>
        <v>www.americanretailsupply.com\64685\1528\Security-Loops\TG-Tacher-Security-Loops.html</v>
      </c>
    </row>
    <row r="1191" spans="1:4" hidden="1" x14ac:dyDescent="0.25">
      <c r="A1191" t="str">
        <f>IF(LEN('categories-old'!G1191) &gt; 0, "INSERT INTO `catalog_category_entity_varchar` (attribute_id,store_id,entity_id,value) VALUES (48,0,"&amp;'categories-old'!B1191&amp;",'"&amp;RIGHT('categories-old'!G1191,LEN('categories-old'!G1191)-1)&amp;"');","")</f>
        <v>INSERT INTO `catalog_category_entity_varchar` (attribute_id,store_id,entity_id,value) VALUES (48,0,1141,'img3/img57a8.jpg');</v>
      </c>
      <c r="B1191" t="str">
        <f>IF(LEN(categories!G1191) &gt; 0, "INSERT INTO `catalog_category_entity_varchar` (attribute_id,store_id,entity_id,value) VALUES (48,0,"&amp;categories!B1191&amp;",'"&amp;RIGHT(categories!G1191,LEN(categories!G1191)-1)&amp;"');","")</f>
        <v>INSERT INTO `catalog_category_entity_varchar` (attribute_id,store_id,entity_id,value) VALUES (48,0,1147,'img1/img5cae.jpg');</v>
      </c>
      <c r="C1191" t="str">
        <f>VLOOKUP(categories!B1191,'categories-old'!B:G,6,FALSE)</f>
        <v>/img1/img5cae.jpg</v>
      </c>
      <c r="D1191" t="str">
        <f>VLOOKUP(categories!B1191,'categories-old'!B:H,7,FALSE)</f>
        <v>www.americanretailsupply.com\64685\48135\Security-Loops\StringTach.html</v>
      </c>
    </row>
    <row r="1192" spans="1:4" hidden="1" x14ac:dyDescent="0.25">
      <c r="A1192" t="str">
        <f>IF(LEN('categories-old'!G1192) &gt; 0, "INSERT INTO `catalog_category_entity_varchar` (attribute_id,store_id,entity_id,value) VALUES (48,0,"&amp;'categories-old'!B1192&amp;",'"&amp;RIGHT('categories-old'!G1192,LEN('categories-old'!G1192)-1)&amp;"');","")</f>
        <v>INSERT INTO `catalog_category_entity_varchar` (attribute_id,store_id,entity_id,value) VALUES (48,0,1142,'img1/img2688.jpg');</v>
      </c>
      <c r="B1192" t="str">
        <f>IF(LEN(categories!G1192) &gt; 0, "INSERT INTO `catalog_category_entity_varchar` (attribute_id,store_id,entity_id,value) VALUES (48,0,"&amp;categories!B1192&amp;",'"&amp;RIGHT(categories!G1192,LEN(categories!G1192)-1)&amp;"');","")</f>
        <v>INSERT INTO `catalog_category_entity_varchar` (attribute_id,store_id,entity_id,value) VALUES (48,0,1148,'img2/img55a2.jpg');</v>
      </c>
      <c r="C1192" t="str">
        <f>VLOOKUP(categories!B1192,'categories-old'!B:G,6,FALSE)</f>
        <v>/img2/img55a2.jpg</v>
      </c>
      <c r="D1192" t="str">
        <f>VLOOKUP(categories!B1192,'categories-old'!B:H,7,FALSE)</f>
        <v>www.americanretailsupply.com\64685\48296\Security-Loops\Secur-A-Tie-Adjustable.html</v>
      </c>
    </row>
    <row r="1193" spans="1:4" hidden="1" x14ac:dyDescent="0.25">
      <c r="A1193" t="str">
        <f>IF(LEN('categories-old'!G1193) &gt; 0, "INSERT INTO `catalog_category_entity_varchar` (attribute_id,store_id,entity_id,value) VALUES (48,0,"&amp;'categories-old'!B1193&amp;",'"&amp;RIGHT('categories-old'!G1193,LEN('categories-old'!G1193)-1)&amp;"');","")</f>
        <v>INSERT INTO `catalog_category_entity_varchar` (attribute_id,store_id,entity_id,value) VALUES (48,0,1143,'img1/img0b5a.jpg');</v>
      </c>
      <c r="B1193" t="str">
        <f>IF(LEN(categories!G1193) &gt; 0, "INSERT INTO `catalog_category_entity_varchar` (attribute_id,store_id,entity_id,value) VALUES (48,0,"&amp;categories!B1193&amp;",'"&amp;RIGHT(categories!G1193,LEN(categories!G1193)-1)&amp;"');","")</f>
        <v>INSERT INTO `catalog_category_entity_varchar` (attribute_id,store_id,entity_id,value) VALUES (48,0,1150,'img2/img8db7.jpg');</v>
      </c>
      <c r="C1193" t="str">
        <f>VLOOKUP(categories!B1193,'categories-old'!B:G,6,FALSE)</f>
        <v>/img2/img8db7.jpg</v>
      </c>
      <c r="D1193" t="str">
        <f>VLOOKUP(categories!B1193,'categories-old'!B:H,7,FALSE)</f>
        <v>www.americanretailsupply.com\65799\788867\Shamrock\Baby-and-Juvenile-Giftwrap.html</v>
      </c>
    </row>
    <row r="1194" spans="1:4" hidden="1" x14ac:dyDescent="0.25">
      <c r="A1194" t="str">
        <f>IF(LEN('categories-old'!G1194) &gt; 0, "INSERT INTO `catalog_category_entity_varchar` (attribute_id,store_id,entity_id,value) VALUES (48,0,"&amp;'categories-old'!B1194&amp;",'"&amp;RIGHT('categories-old'!G1194,LEN('categories-old'!G1194)-1)&amp;"');","")</f>
        <v>INSERT INTO `catalog_category_entity_varchar` (attribute_id,store_id,entity_id,value) VALUES (48,0,1145,'img3/imgda10.jpg');</v>
      </c>
      <c r="B1194" t="str">
        <f>IF(LEN(categories!G1194) &gt; 0, "INSERT INTO `catalog_category_entity_varchar` (attribute_id,store_id,entity_id,value) VALUES (48,0,"&amp;categories!B1194&amp;",'"&amp;RIGHT(categories!G1194,LEN(categories!G1194)-1)&amp;"');","")</f>
        <v>INSERT INTO `catalog_category_entity_varchar` (attribute_id,store_id,entity_id,value) VALUES (48,0,1151,'img1/img439e.jpg');</v>
      </c>
      <c r="C1194" t="str">
        <f>VLOOKUP(categories!B1194,'categories-old'!B:G,6,FALSE)</f>
        <v>/img1/img439e.jpg</v>
      </c>
      <c r="D1194" t="str">
        <f>VLOOKUP(categories!B1194,'categories-old'!B:H,7,FALSE)</f>
        <v>www.americanretailsupply.com\65799\788868\Shamrock\Celebrate-Giftwrap.html</v>
      </c>
    </row>
    <row r="1195" spans="1:4" hidden="1" x14ac:dyDescent="0.25">
      <c r="A1195" t="str">
        <f>IF(LEN('categories-old'!G1195) &gt; 0, "INSERT INTO `catalog_category_entity_varchar` (attribute_id,store_id,entity_id,value) VALUES (48,0,"&amp;'categories-old'!B1195&amp;",'"&amp;RIGHT('categories-old'!G1195,LEN('categories-old'!G1195)-1)&amp;"');","")</f>
        <v>INSERT INTO `catalog_category_entity_varchar` (attribute_id,store_id,entity_id,value) VALUES (48,0,1146,'img2/imgafda.jpg');</v>
      </c>
      <c r="B1195" t="str">
        <f>IF(LEN(categories!G1195) &gt; 0, "INSERT INTO `catalog_category_entity_varchar` (attribute_id,store_id,entity_id,value) VALUES (48,0,"&amp;categories!B1195&amp;",'"&amp;RIGHT(categories!G1195,LEN(categories!G1195)-1)&amp;"');","")</f>
        <v>INSERT INTO `catalog_category_entity_varchar` (attribute_id,store_id,entity_id,value) VALUES (48,0,1152,'img2/img05eb.jpg');</v>
      </c>
      <c r="C1195" t="str">
        <f>VLOOKUP(categories!B1195,'categories-old'!B:G,6,FALSE)</f>
        <v>/img2/img05eb.jpg</v>
      </c>
      <c r="D1195" t="str">
        <f>VLOOKUP(categories!B1195,'categories-old'!B:H,7,FALSE)</f>
        <v>www.americanretailsupply.com\65799\788869\Shamrock\Christmas-and-Holiday-Giftwrap-5.html</v>
      </c>
    </row>
    <row r="1196" spans="1:4" hidden="1" x14ac:dyDescent="0.25">
      <c r="A1196" t="str">
        <f>IF(LEN('categories-old'!G1196) &gt; 0, "INSERT INTO `catalog_category_entity_varchar` (attribute_id,store_id,entity_id,value) VALUES (48,0,"&amp;'categories-old'!B1196&amp;",'"&amp;RIGHT('categories-old'!G1196,LEN('categories-old'!G1196)-1)&amp;"');","")</f>
        <v>INSERT INTO `catalog_category_entity_varchar` (attribute_id,store_id,entity_id,value) VALUES (48,0,1147,'img1/img5cae.jpg');</v>
      </c>
      <c r="B1196" t="str">
        <f>IF(LEN(categories!G1196) &gt; 0, "INSERT INTO `catalog_category_entity_varchar` (attribute_id,store_id,entity_id,value) VALUES (48,0,"&amp;categories!B1196&amp;",'"&amp;RIGHT(categories!G1196,LEN(categories!G1196)-1)&amp;"');","")</f>
        <v>INSERT INTO `catalog_category_entity_varchar` (attribute_id,store_id,entity_id,value) VALUES (48,0,1153,'img2/img223b.jpg');</v>
      </c>
      <c r="C1196" t="str">
        <f>VLOOKUP(categories!B1196,'categories-old'!B:G,6,FALSE)</f>
        <v>/img2/img223b.jpg</v>
      </c>
      <c r="D1196" t="str">
        <f>VLOOKUP(categories!B1196,'categories-old'!B:H,7,FALSE)</f>
        <v>www.americanretailsupply.com\65799\788870\Shamrock\Christmas-and-Holiday-Giftwrap-6.html</v>
      </c>
    </row>
    <row r="1197" spans="1:4" hidden="1" x14ac:dyDescent="0.25">
      <c r="A1197" t="str">
        <f>IF(LEN('categories-old'!G1197) &gt; 0, "INSERT INTO `catalog_category_entity_varchar` (attribute_id,store_id,entity_id,value) VALUES (48,0,"&amp;'categories-old'!B1197&amp;",'"&amp;RIGHT('categories-old'!G1197,LEN('categories-old'!G1197)-1)&amp;"');","")</f>
        <v>INSERT INTO `catalog_category_entity_varchar` (attribute_id,store_id,entity_id,value) VALUES (48,0,1148,'img2/img55a2.jpg');</v>
      </c>
      <c r="B1197" t="str">
        <f>IF(LEN(categories!G1197) &gt; 0, "INSERT INTO `catalog_category_entity_varchar` (attribute_id,store_id,entity_id,value) VALUES (48,0,"&amp;categories!B1197&amp;",'"&amp;RIGHT(categories!G1197,LEN(categories!G1197)-1)&amp;"');","")</f>
        <v>INSERT INTO `catalog_category_entity_varchar` (attribute_id,store_id,entity_id,value) VALUES (48,0,1154,'img1/img9a77.jpg');</v>
      </c>
      <c r="C1197" t="str">
        <f>VLOOKUP(categories!B1197,'categories-old'!B:G,6,FALSE)</f>
        <v>/img1/img9a77.jpg</v>
      </c>
      <c r="D1197" t="str">
        <f>VLOOKUP(categories!B1197,'categories-old'!B:H,7,FALSE)</f>
        <v>www.americanretailsupply.com\65799\788871\Shamrock\Feminine-and-Floral-Giftwrap.html</v>
      </c>
    </row>
    <row r="1198" spans="1:4" hidden="1" x14ac:dyDescent="0.25">
      <c r="A1198" t="str">
        <f>IF(LEN('categories-old'!G1198) &gt; 0, "INSERT INTO `catalog_category_entity_varchar` (attribute_id,store_id,entity_id,value) VALUES (48,0,"&amp;'categories-old'!B1198&amp;",'"&amp;RIGHT('categories-old'!G1198,LEN('categories-old'!G1198)-1)&amp;"');","")</f>
        <v>INSERT INTO `catalog_category_entity_varchar` (attribute_id,store_id,entity_id,value) VALUES (48,0,1150,'img2/img8db7.jpg');</v>
      </c>
      <c r="B1198" t="str">
        <f>IF(LEN(categories!G1198) &gt; 0, "INSERT INTO `catalog_category_entity_varchar` (attribute_id,store_id,entity_id,value) VALUES (48,0,"&amp;categories!B1198&amp;",'"&amp;RIGHT(categories!G1198,LEN(categories!G1198)-1)&amp;"');","")</f>
        <v>INSERT INTO `catalog_category_entity_varchar` (attribute_id,store_id,entity_id,value) VALUES (48,0,1155,'img2/imga721.jpg');</v>
      </c>
      <c r="C1198" t="str">
        <f>VLOOKUP(categories!B1198,'categories-old'!B:G,6,FALSE)</f>
        <v>/img2/imga721.jpg</v>
      </c>
      <c r="D1198" t="str">
        <f>VLOOKUP(categories!B1198,'categories-old'!B:H,7,FALSE)</f>
        <v>www.americanretailsupply.com\65799\788874\Shamrock\Special-Finishes-Solids-Foils--Specialty-Krafts-Giftwrap.html</v>
      </c>
    </row>
    <row r="1199" spans="1:4" hidden="1" x14ac:dyDescent="0.25">
      <c r="A1199" t="str">
        <f>IF(LEN('categories-old'!G1199) &gt; 0, "INSERT INTO `catalog_category_entity_varchar` (attribute_id,store_id,entity_id,value) VALUES (48,0,"&amp;'categories-old'!B1199&amp;",'"&amp;RIGHT('categories-old'!G1199,LEN('categories-old'!G1199)-1)&amp;"');","")</f>
        <v>INSERT INTO `catalog_category_entity_varchar` (attribute_id,store_id,entity_id,value) VALUES (48,0,1151,'img1/img439e.jpg');</v>
      </c>
      <c r="B1199" t="str">
        <f>IF(LEN(categories!G1199) &gt; 0, "INSERT INTO `catalog_category_entity_varchar` (attribute_id,store_id,entity_id,value) VALUES (48,0,"&amp;categories!B1199&amp;",'"&amp;RIGHT(categories!G1199,LEN(categories!G1199)-1)&amp;"');","")</f>
        <v>INSERT INTO `catalog_category_entity_varchar` (attribute_id,store_id,entity_id,value) VALUES (48,0,1156,'img3/img1777.jpg');</v>
      </c>
      <c r="C1199" t="str">
        <f>VLOOKUP(categories!B1199,'categories-old'!B:G,6,FALSE)</f>
        <v>/img3/img1777.jpg</v>
      </c>
      <c r="D1199" t="str">
        <f>VLOOKUP(categories!B1199,'categories-old'!B:H,7,FALSE)</f>
        <v>www.americanretailsupply.com\65799\788875\Shamrock\Wedding-and-Valentine-Giftwrap.html</v>
      </c>
    </row>
    <row r="1200" spans="1:4" hidden="1" x14ac:dyDescent="0.25">
      <c r="A1200" t="str">
        <f>IF(LEN('categories-old'!G1200) &gt; 0, "INSERT INTO `catalog_category_entity_varchar` (attribute_id,store_id,entity_id,value) VALUES (48,0,"&amp;'categories-old'!B1200&amp;",'"&amp;RIGHT('categories-old'!G1200,LEN('categories-old'!G1200)-1)&amp;"');","")</f>
        <v>INSERT INTO `catalog_category_entity_varchar` (attribute_id,store_id,entity_id,value) VALUES (48,0,1152,'img2/img05eb.jpg');</v>
      </c>
      <c r="B1200" t="str">
        <f>IF(LEN(categories!G1200) &gt; 0, "INSERT INTO `catalog_category_entity_varchar` (attribute_id,store_id,entity_id,value) VALUES (48,0,"&amp;categories!B1200&amp;",'"&amp;RIGHT(categories!G1200,LEN(categories!G1200)-1)&amp;"');","")</f>
        <v>INSERT INTO `catalog_category_entity_varchar` (attribute_id,store_id,entity_id,value) VALUES (48,0,1158,'img1/img65ba.jpg');</v>
      </c>
      <c r="C1200" t="str">
        <f>VLOOKUP(categories!B1200,'categories-old'!B:G,6,FALSE)</f>
        <v>/img1/img65ba.jpg</v>
      </c>
      <c r="D1200" t="str">
        <f>VLOOKUP(categories!B1200,'categories-old'!B:H,7,FALSE)</f>
        <v>www.americanretailsupply.com\64865\22330\Shipping-Envelopes\Jiffy-Mailing-Envelopes.html</v>
      </c>
    </row>
    <row r="1201" spans="1:4" hidden="1" x14ac:dyDescent="0.25">
      <c r="A1201" t="str">
        <f>IF(LEN('categories-old'!G1201) &gt; 0, "INSERT INTO `catalog_category_entity_varchar` (attribute_id,store_id,entity_id,value) VALUES (48,0,"&amp;'categories-old'!B1201&amp;",'"&amp;RIGHT('categories-old'!G1201,LEN('categories-old'!G1201)-1)&amp;"');","")</f>
        <v>INSERT INTO `catalog_category_entity_varchar` (attribute_id,store_id,entity_id,value) VALUES (48,0,1153,'img2/img223b.jpg');</v>
      </c>
      <c r="B1201" t="str">
        <f>IF(LEN(categories!G1201) &gt; 0, "INSERT INTO `catalog_category_entity_varchar` (attribute_id,store_id,entity_id,value) VALUES (48,0,"&amp;categories!B1201&amp;",'"&amp;RIGHT(categories!G1201,LEN(categories!G1201)-1)&amp;"');","")</f>
        <v>INSERT INTO `catalog_category_entity_varchar` (attribute_id,store_id,entity_id,value) VALUES (48,0,1159,'img1/imge86c.jpg');</v>
      </c>
      <c r="C1201" t="str">
        <f>VLOOKUP(categories!B1201,'categories-old'!B:G,6,FALSE)</f>
        <v>/img1/imge86c.jpg</v>
      </c>
      <c r="D1201" t="str">
        <f>VLOOKUP(categories!B1201,'categories-old'!B:H,7,FALSE)</f>
        <v>www.americanretailsupply.com\64865\639444\Shipping-Envelopes\Eco--Shipper-Peel--Seal-Mailers.html</v>
      </c>
    </row>
    <row r="1202" spans="1:4" hidden="1" x14ac:dyDescent="0.25">
      <c r="A1202" t="str">
        <f>IF(LEN('categories-old'!G1202) &gt; 0, "INSERT INTO `catalog_category_entity_varchar` (attribute_id,store_id,entity_id,value) VALUES (48,0,"&amp;'categories-old'!B1202&amp;",'"&amp;RIGHT('categories-old'!G1202,LEN('categories-old'!G1202)-1)&amp;"');","")</f>
        <v>INSERT INTO `catalog_category_entity_varchar` (attribute_id,store_id,entity_id,value) VALUES (48,0,1154,'img1/img9a77.jpg');</v>
      </c>
      <c r="B1202" t="str">
        <f>IF(LEN(categories!G1202) &gt; 0, "INSERT INTO `catalog_category_entity_varchar` (attribute_id,store_id,entity_id,value) VALUES (48,0,"&amp;categories!B1202&amp;",'"&amp;RIGHT(categories!G1202,LEN(categories!G1202)-1)&amp;"');","")</f>
        <v>INSERT INTO `catalog_category_entity_varchar` (attribute_id,store_id,entity_id,value) VALUES (48,0,1160,'img2/img913f.jpg');</v>
      </c>
      <c r="C1202" t="str">
        <f>VLOOKUP(categories!B1202,'categories-old'!B:G,6,FALSE)</f>
        <v>/img2/img913f.jpg</v>
      </c>
      <c r="D1202" t="str">
        <f>VLOOKUP(categories!B1202,'categories-old'!B:H,7,FALSE)</f>
        <v>www.americanretailsupply.com\64865\639445\Shipping-Envelopes\Dura-Bag-Peel--Seal-Mailers-80-basis-weight.html</v>
      </c>
    </row>
    <row r="1203" spans="1:4" hidden="1" x14ac:dyDescent="0.25">
      <c r="A1203" t="str">
        <f>IF(LEN('categories-old'!G1203) &gt; 0, "INSERT INTO `catalog_category_entity_varchar` (attribute_id,store_id,entity_id,value) VALUES (48,0,"&amp;'categories-old'!B1203&amp;",'"&amp;RIGHT('categories-old'!G1203,LEN('categories-old'!G1203)-1)&amp;"');","")</f>
        <v>INSERT INTO `catalog_category_entity_varchar` (attribute_id,store_id,entity_id,value) VALUES (48,0,1155,'img2/imga721.jpg');</v>
      </c>
      <c r="B1203" t="str">
        <f>IF(LEN(categories!G1203) &gt; 0, "INSERT INTO `catalog_category_entity_varchar` (attribute_id,store_id,entity_id,value) VALUES (48,0,"&amp;categories!B1203&amp;",'"&amp;RIGHT(categories!G1203,LEN(categories!G1203)-1)&amp;"');","")</f>
        <v>INSERT INTO `catalog_category_entity_varchar` (attribute_id,store_id,entity_id,value) VALUES (48,0,1162,'img1/img8feb.jpg');</v>
      </c>
      <c r="C1203" t="str">
        <f>VLOOKUP(categories!B1203,'categories-old'!B:G,6,FALSE)</f>
        <v>/img1/img8feb.jpg</v>
      </c>
      <c r="D1203" t="str">
        <f>VLOOKUP(categories!B1203,'categories-old'!B:H,7,FALSE)</f>
        <v>www.americanretailsupply.com\64859\48215\Shipping-Supplies\Single-Face-Corrugated-Rolls-B-Flute.html</v>
      </c>
    </row>
    <row r="1204" spans="1:4" hidden="1" x14ac:dyDescent="0.25">
      <c r="A1204" t="str">
        <f>IF(LEN('categories-old'!G1204) &gt; 0, "INSERT INTO `catalog_category_entity_varchar` (attribute_id,store_id,entity_id,value) VALUES (48,0,"&amp;'categories-old'!B1204&amp;",'"&amp;RIGHT('categories-old'!G1204,LEN('categories-old'!G1204)-1)&amp;"');","")</f>
        <v>INSERT INTO `catalog_category_entity_varchar` (attribute_id,store_id,entity_id,value) VALUES (48,0,1156,'img3/img1777.jpg');</v>
      </c>
      <c r="B1204" t="str">
        <f>IF(LEN(categories!G1204) &gt; 0, "INSERT INTO `catalog_category_entity_varchar` (attribute_id,store_id,entity_id,value) VALUES (48,0,"&amp;categories!B1204&amp;",'"&amp;RIGHT(categories!G1204,LEN(categories!G1204)-1)&amp;"');","")</f>
        <v>INSERT INTO `catalog_category_entity_varchar` (attribute_id,store_id,entity_id,value) VALUES (48,0,1163,'img2/imgdc97.jpg');</v>
      </c>
      <c r="C1204" t="str">
        <f>VLOOKUP(categories!B1204,'categories-old'!B:G,6,FALSE)</f>
        <v>/img2/imgdc97.jpg</v>
      </c>
      <c r="D1204" t="str">
        <f>VLOOKUP(categories!B1204,'categories-old'!B:H,7,FALSE)</f>
        <v>www.americanretailsupply.com\64859\48217\Shipping-Supplies\Kraft-Paper-Rolls.html</v>
      </c>
    </row>
    <row r="1205" spans="1:4" hidden="1" x14ac:dyDescent="0.25">
      <c r="A1205" t="str">
        <f>IF(LEN('categories-old'!G1205) &gt; 0, "INSERT INTO `catalog_category_entity_varchar` (attribute_id,store_id,entity_id,value) VALUES (48,0,"&amp;'categories-old'!B1205&amp;",'"&amp;RIGHT('categories-old'!G1205,LEN('categories-old'!G1205)-1)&amp;"');","")</f>
        <v>INSERT INTO `catalog_category_entity_varchar` (attribute_id,store_id,entity_id,value) VALUES (48,0,1158,'img1/img65ba.jpg');</v>
      </c>
      <c r="B1205" t="str">
        <f>IF(LEN(categories!G1205) &gt; 0, "INSERT INTO `catalog_category_entity_varchar` (attribute_id,store_id,entity_id,value) VALUES (48,0,"&amp;categories!B1205&amp;",'"&amp;RIGHT(categories!G1205,LEN(categories!G1205)-1)&amp;"');","")</f>
        <v>INSERT INTO `catalog_category_entity_varchar` (attribute_id,store_id,entity_id,value) VALUES (48,0,1164,'img3/img7635.jpg');</v>
      </c>
      <c r="C1205" t="str">
        <f>VLOOKUP(categories!B1205,'categories-old'!B:G,6,FALSE)</f>
        <v>/img3/img7635.jpg</v>
      </c>
      <c r="D1205" t="str">
        <f>VLOOKUP(categories!B1205,'categories-old'!B:H,7,FALSE)</f>
        <v>www.americanretailsupply.com\64859\48220\Shipping-Supplies\Bubble-Wrap-Packing-Rolls.html</v>
      </c>
    </row>
    <row r="1206" spans="1:4" hidden="1" x14ac:dyDescent="0.25">
      <c r="A1206" t="str">
        <f>IF(LEN('categories-old'!G1206) &gt; 0, "INSERT INTO `catalog_category_entity_varchar` (attribute_id,store_id,entity_id,value) VALUES (48,0,"&amp;'categories-old'!B1206&amp;",'"&amp;RIGHT('categories-old'!G1206,LEN('categories-old'!G1206)-1)&amp;"');","")</f>
        <v>INSERT INTO `catalog_category_entity_varchar` (attribute_id,store_id,entity_id,value) VALUES (48,0,1159,'img1/imge86c.jpg');</v>
      </c>
      <c r="B1206" t="str">
        <f>IF(LEN(categories!G1206) &gt; 0, "INSERT INTO `catalog_category_entity_varchar` (attribute_id,store_id,entity_id,value) VALUES (48,0,"&amp;categories!B1206&amp;",'"&amp;RIGHT(categories!G1206,LEN(categories!G1206)-1)&amp;"');","")</f>
        <v>INSERT INTO `catalog_category_entity_varchar` (attribute_id,store_id,entity_id,value) VALUES (48,0,1165,'img1/img604d.jpg');</v>
      </c>
      <c r="C1206" t="str">
        <f>VLOOKUP(categories!B1206,'categories-old'!B:G,6,FALSE)</f>
        <v>/img1/img604d.jpg</v>
      </c>
      <c r="D1206" t="str">
        <f>VLOOKUP(categories!B1206,'categories-old'!B:H,7,FALSE)</f>
        <v>www.americanretailsupply.com\64859\48221\Shipping-Supplies\Packaging-Peanuts-Green.html</v>
      </c>
    </row>
    <row r="1207" spans="1:4" hidden="1" x14ac:dyDescent="0.25">
      <c r="A1207" t="str">
        <f>IF(LEN('categories-old'!G1207) &gt; 0, "INSERT INTO `catalog_category_entity_varchar` (attribute_id,store_id,entity_id,value) VALUES (48,0,"&amp;'categories-old'!B1207&amp;",'"&amp;RIGHT('categories-old'!G1207,LEN('categories-old'!G1207)-1)&amp;"');","")</f>
        <v>INSERT INTO `catalog_category_entity_varchar` (attribute_id,store_id,entity_id,value) VALUES (48,0,1160,'img2/img913f.jpg');</v>
      </c>
      <c r="B1207" t="str">
        <f>IF(LEN(categories!G1207) &gt; 0, "INSERT INTO `catalog_category_entity_varchar` (attribute_id,store_id,entity_id,value) VALUES (48,0,"&amp;categories!B1207&amp;",'"&amp;RIGHT(categories!G1207,LEN(categories!G1207)-1)&amp;"');","")</f>
        <v>INSERT INTO `catalog_category_entity_varchar` (attribute_id,store_id,entity_id,value) VALUES (48,0,1166,'img3/img5301.jpg');</v>
      </c>
      <c r="C1207" t="str">
        <f>VLOOKUP(categories!B1207,'categories-old'!B:G,6,FALSE)</f>
        <v>/img3/img5301.jpg</v>
      </c>
      <c r="D1207" t="str">
        <f>VLOOKUP(categories!B1207,'categories-old'!B:H,7,FALSE)</f>
        <v>www.americanretailsupply.com\64859\176650\Shipping-Supplies\Polystyrene-Edge-Protectors.html</v>
      </c>
    </row>
    <row r="1208" spans="1:4" hidden="1" x14ac:dyDescent="0.25">
      <c r="A1208" t="str">
        <f>IF(LEN('categories-old'!G1208) &gt; 0, "INSERT INTO `catalog_category_entity_varchar` (attribute_id,store_id,entity_id,value) VALUES (48,0,"&amp;'categories-old'!B1208&amp;",'"&amp;RIGHT('categories-old'!G1208,LEN('categories-old'!G1208)-1)&amp;"');","")</f>
        <v>INSERT INTO `catalog_category_entity_varchar` (attribute_id,store_id,entity_id,value) VALUES (48,0,1162,'img1/img8feb.jpg');</v>
      </c>
      <c r="B1208" t="str">
        <f>IF(LEN(categories!G1208) &gt; 0, "INSERT INTO `catalog_category_entity_varchar` (attribute_id,store_id,entity_id,value) VALUES (48,0,"&amp;categories!B1208&amp;",'"&amp;RIGHT(categories!G1208,LEN(categories!G1208)-1)&amp;"');","")</f>
        <v>INSERT INTO `catalog_category_entity_varchar` (attribute_id,store_id,entity_id,value) VALUES (48,0,1167,'img3/img33d2.jpg');</v>
      </c>
      <c r="C1208" t="str">
        <f>VLOOKUP(categories!B1208,'categories-old'!B:G,6,FALSE)</f>
        <v>/img3/img33d2.jpg</v>
      </c>
      <c r="D1208" t="str">
        <f>VLOOKUP(categories!B1208,'categories-old'!B:H,7,FALSE)</f>
        <v>www.americanretailsupply.com\64859\176652\Shipping-Supplies\Corrugated-Corner-Protection-Pads.html</v>
      </c>
    </row>
    <row r="1209" spans="1:4" hidden="1" x14ac:dyDescent="0.25">
      <c r="A1209" t="str">
        <f>IF(LEN('categories-old'!G1209) &gt; 0, "INSERT INTO `catalog_category_entity_varchar` (attribute_id,store_id,entity_id,value) VALUES (48,0,"&amp;'categories-old'!B1209&amp;",'"&amp;RIGHT('categories-old'!G1209,LEN('categories-old'!G1209)-1)&amp;"');","")</f>
        <v>INSERT INTO `catalog_category_entity_varchar` (attribute_id,store_id,entity_id,value) VALUES (48,0,1163,'img2/imgdc97.jpg');</v>
      </c>
      <c r="B1209" t="str">
        <f>IF(LEN(categories!G1209) &gt; 0, "INSERT INTO `catalog_category_entity_varchar` (attribute_id,store_id,entity_id,value) VALUES (48,0,"&amp;categories!B1209&amp;",'"&amp;RIGHT(categories!G1209,LEN(categories!G1209)-1)&amp;"');","")</f>
        <v>INSERT INTO `catalog_category_entity_varchar` (attribute_id,store_id,entity_id,value) VALUES (48,0,1168,'img1/img195b.jpg');</v>
      </c>
      <c r="C1209" t="str">
        <f>VLOOKUP(categories!B1209,'categories-old'!B:G,6,FALSE)</f>
        <v>/img1/img195b.jpg</v>
      </c>
      <c r="D1209" t="str">
        <f>VLOOKUP(categories!B1209,'categories-old'!B:H,7,FALSE)</f>
        <v>www.americanretailsupply.com\64859\176661\Shipping-Supplies\Flat-Corrugated-White-Pads.html</v>
      </c>
    </row>
    <row r="1210" spans="1:4" hidden="1" x14ac:dyDescent="0.25">
      <c r="A1210" t="str">
        <f>IF(LEN('categories-old'!G1210) &gt; 0, "INSERT INTO `catalog_category_entity_varchar` (attribute_id,store_id,entity_id,value) VALUES (48,0,"&amp;'categories-old'!B1210&amp;",'"&amp;RIGHT('categories-old'!G1210,LEN('categories-old'!G1210)-1)&amp;"');","")</f>
        <v>INSERT INTO `catalog_category_entity_varchar` (attribute_id,store_id,entity_id,value) VALUES (48,0,1164,'img3/img7635.jpg');</v>
      </c>
      <c r="B1210" t="str">
        <f>IF(LEN(categories!G1210) &gt; 0, "INSERT INTO `catalog_category_entity_varchar` (attribute_id,store_id,entity_id,value) VALUES (48,0,"&amp;categories!B1210&amp;",'"&amp;RIGHT(categories!G1210,LEN(categories!G1210)-1)&amp;"');","")</f>
        <v>INSERT INTO `catalog_category_entity_varchar` (attribute_id,store_id,entity_id,value) VALUES (48,0,1169,'img3/imge1e2.jpg');</v>
      </c>
      <c r="C1210" t="str">
        <f>VLOOKUP(categories!B1210,'categories-old'!B:G,6,FALSE)</f>
        <v>/img3/imge1e2.jpg</v>
      </c>
      <c r="D1210" t="str">
        <f>VLOOKUP(categories!B1210,'categories-old'!B:H,7,FALSE)</f>
        <v>www.americanretailsupply.com\64859\176664\Shipping-Supplies\Five-Panel-Tube-Folders.html</v>
      </c>
    </row>
    <row r="1211" spans="1:4" hidden="1" x14ac:dyDescent="0.25">
      <c r="A1211" t="str">
        <f>IF(LEN('categories-old'!G1211) &gt; 0, "INSERT INTO `catalog_category_entity_varchar` (attribute_id,store_id,entity_id,value) VALUES (48,0,"&amp;'categories-old'!B1211&amp;",'"&amp;RIGHT('categories-old'!G1211,LEN('categories-old'!G1211)-1)&amp;"');","")</f>
        <v>INSERT INTO `catalog_category_entity_varchar` (attribute_id,store_id,entity_id,value) VALUES (48,0,1165,'img1/img604d.jpg');</v>
      </c>
      <c r="B1211" t="str">
        <f>IF(LEN(categories!G1211) &gt; 0, "INSERT INTO `catalog_category_entity_varchar` (attribute_id,store_id,entity_id,value) VALUES (48,0,"&amp;categories!B1211&amp;",'"&amp;RIGHT(categories!G1211,LEN(categories!G1211)-1)&amp;"');","")</f>
        <v>INSERT INTO `catalog_category_entity_varchar` (attribute_id,store_id,entity_id,value) VALUES (48,0,1170,'img3/imge1e2.jpg');</v>
      </c>
      <c r="C1211" t="str">
        <f>VLOOKUP(categories!B1211,'categories-old'!B:G,6,FALSE)</f>
        <v>/img3/imge1e2.jpg</v>
      </c>
      <c r="D1211" t="str">
        <f>VLOOKUP(categories!B1211,'categories-old'!B:H,7,FALSE)</f>
        <v>www.americanretailsupply.com\64859\176666\Shipping-Supplies\Triangle-Mailing-Tubes.html</v>
      </c>
    </row>
    <row r="1212" spans="1:4" hidden="1" x14ac:dyDescent="0.25">
      <c r="A1212" t="str">
        <f>IF(LEN('categories-old'!G1212) &gt; 0, "INSERT INTO `catalog_category_entity_varchar` (attribute_id,store_id,entity_id,value) VALUES (48,0,"&amp;'categories-old'!B1212&amp;",'"&amp;RIGHT('categories-old'!G1212,LEN('categories-old'!G1212)-1)&amp;"');","")</f>
        <v>INSERT INTO `catalog_category_entity_varchar` (attribute_id,store_id,entity_id,value) VALUES (48,0,1166,'img3/img5301.jpg');</v>
      </c>
      <c r="B1212" t="str">
        <f>IF(LEN(categories!G1212) &gt; 0, "INSERT INTO `catalog_category_entity_varchar` (attribute_id,store_id,entity_id,value) VALUES (48,0,"&amp;categories!B1212&amp;",'"&amp;RIGHT(categories!G1212,LEN(categories!G1212)-1)&amp;"');","")</f>
        <v>INSERT INTO `catalog_category_entity_varchar` (attribute_id,store_id,entity_id,value) VALUES (48,0,1171,'img3/img5433.jpg');</v>
      </c>
      <c r="C1212" t="str">
        <f>VLOOKUP(categories!B1212,'categories-old'!B:G,6,FALSE)</f>
        <v>/img3/img5433.jpg</v>
      </c>
      <c r="D1212" t="str">
        <f>VLOOKUP(categories!B1212,'categories-old'!B:H,7,FALSE)</f>
        <v>www.americanretailsupply.com\64859\177729\Shipping-Supplies\Flat-Corrugated-Brown-Pads.html</v>
      </c>
    </row>
    <row r="1213" spans="1:4" hidden="1" x14ac:dyDescent="0.25">
      <c r="A1213" t="str">
        <f>IF(LEN('categories-old'!G1213) &gt; 0, "INSERT INTO `catalog_category_entity_varchar` (attribute_id,store_id,entity_id,value) VALUES (48,0,"&amp;'categories-old'!B1213&amp;",'"&amp;RIGHT('categories-old'!G1213,LEN('categories-old'!G1213)-1)&amp;"');","")</f>
        <v>INSERT INTO `catalog_category_entity_varchar` (attribute_id,store_id,entity_id,value) VALUES (48,0,1167,'img3/img33d2.jpg');</v>
      </c>
      <c r="B1213" t="str">
        <f>IF(LEN(categories!G1213) &gt; 0, "INSERT INTO `catalog_category_entity_varchar` (attribute_id,store_id,entity_id,value) VALUES (48,0,"&amp;categories!B1213&amp;",'"&amp;RIGHT(categories!G1213,LEN(categories!G1213)-1)&amp;"');","")</f>
        <v>INSERT INTO `catalog_category_entity_varchar` (attribute_id,store_id,entity_id,value) VALUES (48,0,1172,'img3/img2213.jpg');</v>
      </c>
      <c r="C1213" t="str">
        <f>VLOOKUP(categories!B1213,'categories-old'!B:G,6,FALSE)</f>
        <v>/img3/img2213.jpg</v>
      </c>
      <c r="D1213" t="str">
        <f>VLOOKUP(categories!B1213,'categories-old'!B:H,7,FALSE)</f>
        <v>www.americanretailsupply.com\64859\778399\Shipping-Supplies\Packing-List-Enclosure-Envelopes.html</v>
      </c>
    </row>
    <row r="1214" spans="1:4" hidden="1" x14ac:dyDescent="0.25">
      <c r="A1214" t="str">
        <f>IF(LEN('categories-old'!G1214) &gt; 0, "INSERT INTO `catalog_category_entity_varchar` (attribute_id,store_id,entity_id,value) VALUES (48,0,"&amp;'categories-old'!B1214&amp;",'"&amp;RIGHT('categories-old'!G1214,LEN('categories-old'!G1214)-1)&amp;"');","")</f>
        <v>INSERT INTO `catalog_category_entity_varchar` (attribute_id,store_id,entity_id,value) VALUES (48,0,1168,'img1/img195b.jpg');</v>
      </c>
      <c r="B1214" t="str">
        <f>IF(LEN(categories!G1214) &gt; 0, "INSERT INTO `catalog_category_entity_varchar` (attribute_id,store_id,entity_id,value) VALUES (48,0,"&amp;categories!B1214&amp;",'"&amp;RIGHT(categories!G1214,LEN(categories!G1214)-1)&amp;"');","")</f>
        <v>INSERT INTO `catalog_category_entity_varchar` (attribute_id,store_id,entity_id,value) VALUES (48,0,1174,'img3/img4f07.jpg');</v>
      </c>
      <c r="C1214" t="str">
        <f>VLOOKUP(categories!B1214,'categories-old'!B:G,6,FALSE)</f>
        <v>/img3/img4f07.jpg</v>
      </c>
      <c r="D1214" t="str">
        <f>VLOOKUP(categories!B1214,'categories-old'!B:H,7,FALSE)</f>
        <v>www.americanretailsupply.com\64855\12529\Shopping-Baskets\Shopping-Baskets.html</v>
      </c>
    </row>
    <row r="1215" spans="1:4" hidden="1" x14ac:dyDescent="0.25">
      <c r="A1215" t="str">
        <f>IF(LEN('categories-old'!G1215) &gt; 0, "INSERT INTO `catalog_category_entity_varchar` (attribute_id,store_id,entity_id,value) VALUES (48,0,"&amp;'categories-old'!B1215&amp;",'"&amp;RIGHT('categories-old'!G1215,LEN('categories-old'!G1215)-1)&amp;"');","")</f>
        <v>INSERT INTO `catalog_category_entity_varchar` (attribute_id,store_id,entity_id,value) VALUES (48,0,1169,'img3/imge1e2.jpg');</v>
      </c>
      <c r="B1215" t="str">
        <f>IF(LEN(categories!G1215) &gt; 0, "INSERT INTO `catalog_category_entity_varchar` (attribute_id,store_id,entity_id,value) VALUES (48,0,"&amp;categories!B1215&amp;",'"&amp;RIGHT(categories!G1215,LEN(categories!G1215)-1)&amp;"');","")</f>
        <v>INSERT INTO `catalog_category_entity_varchar` (attribute_id,store_id,entity_id,value) VALUES (48,0,1175,'img1/img5217.jpg');</v>
      </c>
      <c r="C1215" t="str">
        <f>VLOOKUP(categories!B1215,'categories-old'!B:G,6,FALSE)</f>
        <v>/img1/img5217.jpg</v>
      </c>
      <c r="D1215" t="str">
        <f>VLOOKUP(categories!B1215,'categories-old'!B:H,7,FALSE)</f>
        <v>www.americanretailsupply.com\64855\48204\Shopping-Baskets\Hand-Carry-Wire-Mesh-Shopping-Baskets.html</v>
      </c>
    </row>
    <row r="1216" spans="1:4" hidden="1" x14ac:dyDescent="0.25">
      <c r="A1216" t="str">
        <f>IF(LEN('categories-old'!G1216) &gt; 0, "INSERT INTO `catalog_category_entity_varchar` (attribute_id,store_id,entity_id,value) VALUES (48,0,"&amp;'categories-old'!B1216&amp;",'"&amp;RIGHT('categories-old'!G1216,LEN('categories-old'!G1216)-1)&amp;"');","")</f>
        <v>INSERT INTO `catalog_category_entity_varchar` (attribute_id,store_id,entity_id,value) VALUES (48,0,1170,'img3/imge1e2.jpg');</v>
      </c>
      <c r="B1216" t="str">
        <f>IF(LEN(categories!G1216) &gt; 0, "INSERT INTO `catalog_category_entity_varchar` (attribute_id,store_id,entity_id,value) VALUES (48,0,"&amp;categories!B1216&amp;",'"&amp;RIGHT(categories!G1216,LEN(categories!G1216)-1)&amp;"');","")</f>
        <v>INSERT INTO `catalog_category_entity_varchar` (attribute_id,store_id,entity_id,value) VALUES (48,0,1177,'img2/imgcf26.jpg');</v>
      </c>
      <c r="C1216" t="str">
        <f>VLOOKUP(categories!B1216,'categories-old'!B:G,6,FALSE)</f>
        <v>/img2/imgcf26.jpg</v>
      </c>
      <c r="D1216" t="str">
        <f>VLOOKUP(categories!B1216,'categories-old'!B:H,7,FALSE)</f>
        <v>www.americanretailsupply.com\64704\19622\Shreds\Natural-Wood-Excelsior-Shred.html</v>
      </c>
    </row>
    <row r="1217" spans="1:4" hidden="1" x14ac:dyDescent="0.25">
      <c r="A1217" t="str">
        <f>IF(LEN('categories-old'!G1217) &gt; 0, "INSERT INTO `catalog_category_entity_varchar` (attribute_id,store_id,entity_id,value) VALUES (48,0,"&amp;'categories-old'!B1217&amp;",'"&amp;RIGHT('categories-old'!G1217,LEN('categories-old'!G1217)-1)&amp;"');","")</f>
        <v>INSERT INTO `catalog_category_entity_varchar` (attribute_id,store_id,entity_id,value) VALUES (48,0,1171,'img3/img5433.jpg');</v>
      </c>
      <c r="B1217" t="str">
        <f>IF(LEN(categories!G1217) &gt; 0, "INSERT INTO `catalog_category_entity_varchar` (attribute_id,store_id,entity_id,value) VALUES (48,0,"&amp;categories!B1217&amp;",'"&amp;RIGHT(categories!G1217,LEN(categories!G1217)-1)&amp;"');","")</f>
        <v>INSERT INTO `catalog_category_entity_varchar` (attribute_id,store_id,entity_id,value) VALUES (48,0,1178,'img2/img26bf.jpg');</v>
      </c>
      <c r="C1217" t="str">
        <f>VLOOKUP(categories!B1217,'categories-old'!B:G,6,FALSE)</f>
        <v>/img2/img26bf.jpg</v>
      </c>
      <c r="D1217" t="str">
        <f>VLOOKUP(categories!B1217,'categories-old'!B:H,7,FALSE)</f>
        <v>www.americanretailsupply.com\64704\19927\Shreds\Crinkle-Cut-Shred.html</v>
      </c>
    </row>
    <row r="1218" spans="1:4" hidden="1" x14ac:dyDescent="0.25">
      <c r="A1218" t="str">
        <f>IF(LEN('categories-old'!G1218) &gt; 0, "INSERT INTO `catalog_category_entity_varchar` (attribute_id,store_id,entity_id,value) VALUES (48,0,"&amp;'categories-old'!B1218&amp;",'"&amp;RIGHT('categories-old'!G1218,LEN('categories-old'!G1218)-1)&amp;"');","")</f>
        <v>INSERT INTO `catalog_category_entity_varchar` (attribute_id,store_id,entity_id,value) VALUES (48,0,1172,'img3/img2213.jpg');</v>
      </c>
      <c r="B1218" t="str">
        <f>IF(LEN(categories!G1218) &gt; 0, "INSERT INTO `catalog_category_entity_varchar` (attribute_id,store_id,entity_id,value) VALUES (48,0,"&amp;categories!B1218&amp;",'"&amp;RIGHT(categories!G1218,LEN(categories!G1218)-1)&amp;"');","")</f>
        <v>INSERT INTO `catalog_category_entity_varchar` (attribute_id,store_id,entity_id,value) VALUES (48,0,1179,'img2/img225f.jpg');</v>
      </c>
      <c r="C1218" t="str">
        <f>VLOOKUP(categories!B1218,'categories-old'!B:G,6,FALSE)</f>
        <v>/img2/img225f.jpg</v>
      </c>
      <c r="D1218" t="str">
        <f>VLOOKUP(categories!B1218,'categories-old'!B:H,7,FALSE)</f>
        <v>www.americanretailsupply.com\25199\19928\Shreds\Very-Fine-Cut-Shred.html</v>
      </c>
    </row>
    <row r="1219" spans="1:4" hidden="1" x14ac:dyDescent="0.25">
      <c r="A1219" t="str">
        <f>IF(LEN('categories-old'!G1219) &gt; 0, "INSERT INTO `catalog_category_entity_varchar` (attribute_id,store_id,entity_id,value) VALUES (48,0,"&amp;'categories-old'!B1219&amp;",'"&amp;RIGHT('categories-old'!G1219,LEN('categories-old'!G1219)-1)&amp;"');","")</f>
        <v>INSERT INTO `catalog_category_entity_varchar` (attribute_id,store_id,entity_id,value) VALUES (48,0,1174,'img3/img4f07.jpg');</v>
      </c>
      <c r="B1219" t="str">
        <f>IF(LEN(categories!G1219) &gt; 0, "INSERT INTO `catalog_category_entity_varchar` (attribute_id,store_id,entity_id,value) VALUES (48,0,"&amp;categories!B1219&amp;",'"&amp;RIGHT(categories!G1219,LEN(categories!G1219)-1)&amp;"');","")</f>
        <v>INSERT INTO `catalog_category_entity_varchar` (attribute_id,store_id,entity_id,value) VALUES (48,0,1181,'img1/img8861.jpg');</v>
      </c>
      <c r="C1219" t="str">
        <f>VLOOKUP(categories!B1219,'categories-old'!B:G,6,FALSE)</f>
        <v>/img1/img8861.jpg</v>
      </c>
      <c r="D1219" t="str">
        <f>VLOOKUP(categories!B1219,'categories-old'!B:H,7,FALSE)</f>
        <v>www.americanretailsupply.com\64691\647269\Sidewalk-Signs\QLA-Quick-Load-Rolling-A-Frame-Sidewalk-Signs.html</v>
      </c>
    </row>
    <row r="1220" spans="1:4" hidden="1" x14ac:dyDescent="0.25">
      <c r="A1220" t="str">
        <f>IF(LEN('categories-old'!G1220) &gt; 0, "INSERT INTO `catalog_category_entity_varchar` (attribute_id,store_id,entity_id,value) VALUES (48,0,"&amp;'categories-old'!B1220&amp;",'"&amp;RIGHT('categories-old'!G1220,LEN('categories-old'!G1220)-1)&amp;"');","")</f>
        <v>INSERT INTO `catalog_category_entity_varchar` (attribute_id,store_id,entity_id,value) VALUES (48,0,1175,'img1/img5217.jpg');</v>
      </c>
      <c r="B1220" t="str">
        <f>IF(LEN(categories!G1220) &gt; 0, "INSERT INTO `catalog_category_entity_varchar` (attribute_id,store_id,entity_id,value) VALUES (48,0,"&amp;categories!B1220&amp;",'"&amp;RIGHT(categories!G1220,LEN(categories!G1220)-1)&amp;"');","")</f>
        <v>INSERT INTO `catalog_category_entity_varchar` (attribute_id,store_id,entity_id,value) VALUES (48,0,1182,'img2/img28e7.jpg');</v>
      </c>
      <c r="C1220" t="str">
        <f>VLOOKUP(categories!B1220,'categories-old'!B:G,6,FALSE)</f>
        <v>/img2/img28e7.jpg</v>
      </c>
      <c r="D1220" t="str">
        <f>VLOOKUP(categories!B1220,'categories-old'!B:H,7,FALSE)</f>
        <v>www.americanretailsupply.com\64691\647270\Sidewalk-Signs\Swinger-Sidewalk--Roadside-Signs.html</v>
      </c>
    </row>
    <row r="1221" spans="1:4" hidden="1" x14ac:dyDescent="0.25">
      <c r="A1221" t="str">
        <f>IF(LEN('categories-old'!G1221) &gt; 0, "INSERT INTO `catalog_category_entity_varchar` (attribute_id,store_id,entity_id,value) VALUES (48,0,"&amp;'categories-old'!B1221&amp;",'"&amp;RIGHT('categories-old'!G1221,LEN('categories-old'!G1221)-1)&amp;"');","")</f>
        <v>INSERT INTO `catalog_category_entity_varchar` (attribute_id,store_id,entity_id,value) VALUES (48,0,1177,'img2/imgcf26.jpg');</v>
      </c>
      <c r="B1221" t="str">
        <f>IF(LEN(categories!G1221) &gt; 0, "INSERT INTO `catalog_category_entity_varchar` (attribute_id,store_id,entity_id,value) VALUES (48,0,"&amp;categories!B1221&amp;",'"&amp;RIGHT(categories!G1221,LEN(categories!G1221)-1)&amp;"');","")</f>
        <v>INSERT INTO `catalog_category_entity_varchar` (attribute_id,store_id,entity_id,value) VALUES (48,0,1183,'img3/img37c2.jpg');</v>
      </c>
      <c r="C1221" t="str">
        <f>VLOOKUP(categories!B1221,'categories-old'!B:G,6,FALSE)</f>
        <v>/img3/img37c2.jpg</v>
      </c>
      <c r="D1221" t="str">
        <f>VLOOKUP(categories!B1221,'categories-old'!B:H,7,FALSE)</f>
        <v>www.americanretailsupply.com\64691\753853\Sidewalk-Signs\Springer-Sidewalk-Signs.html</v>
      </c>
    </row>
    <row r="1222" spans="1:4" hidden="1" x14ac:dyDescent="0.25">
      <c r="A1222" t="str">
        <f>IF(LEN('categories-old'!G1222) &gt; 0, "INSERT INTO `catalog_category_entity_varchar` (attribute_id,store_id,entity_id,value) VALUES (48,0,"&amp;'categories-old'!B1222&amp;",'"&amp;RIGHT('categories-old'!G1222,LEN('categories-old'!G1222)-1)&amp;"');","")</f>
        <v>INSERT INTO `catalog_category_entity_varchar` (attribute_id,store_id,entity_id,value) VALUES (48,0,1178,'img2/img26bf.jpg');</v>
      </c>
      <c r="B1222" t="str">
        <f>IF(LEN(categories!G1222) &gt; 0, "INSERT INTO `catalog_category_entity_varchar` (attribute_id,store_id,entity_id,value) VALUES (48,0,"&amp;categories!B1222&amp;",'"&amp;RIGHT(categories!G1222,LEN(categories!G1222)-1)&amp;"');","")</f>
        <v>INSERT INTO `catalog_category_entity_varchar` (attribute_id,store_id,entity_id,value) VALUES (48,0,1184,'img1/img8eaf.jpg');</v>
      </c>
      <c r="C1222" t="str">
        <f>VLOOKUP(categories!B1222,'categories-old'!B:G,6,FALSE)</f>
        <v>/img1/img8eaf.jpg</v>
      </c>
      <c r="D1222" t="str">
        <f>VLOOKUP(categories!B1222,'categories-old'!B:H,7,FALSE)</f>
        <v>www.americanretailsupply.com\64691\753995\Sidewalk-Signs\Tip-N-Roll-Sidewalk-Signs.html</v>
      </c>
    </row>
    <row r="1223" spans="1:4" hidden="1" x14ac:dyDescent="0.25">
      <c r="A1223" t="str">
        <f>IF(LEN('categories-old'!G1223) &gt; 0, "INSERT INTO `catalog_category_entity_varchar` (attribute_id,store_id,entity_id,value) VALUES (48,0,"&amp;'categories-old'!B1223&amp;",'"&amp;RIGHT('categories-old'!G1223,LEN('categories-old'!G1223)-1)&amp;"');","")</f>
        <v>INSERT INTO `catalog_category_entity_varchar` (attribute_id,store_id,entity_id,value) VALUES (48,0,1179,'img2/img225f.jpg');</v>
      </c>
      <c r="B1223" t="str">
        <f>IF(LEN(categories!G1223) &gt; 0, "INSERT INTO `catalog_category_entity_varchar` (attribute_id,store_id,entity_id,value) VALUES (48,0,"&amp;categories!B1223&amp;",'"&amp;RIGHT(categories!G1223,LEN(categories!G1223)-1)&amp;"');","")</f>
        <v>INSERT INTO `catalog_category_entity_varchar` (attribute_id,store_id,entity_id,value) VALUES (48,0,1186,'img1/img44aa.jpg');</v>
      </c>
      <c r="C1223" t="str">
        <f>VLOOKUP(categories!B1223,'categories-old'!B:G,6,FALSE)</f>
        <v>/img1/img44aa.jpg</v>
      </c>
      <c r="D1223" t="str">
        <f>VLOOKUP(categories!B1223,'categories-old'!B:H,7,FALSE)</f>
        <v>www.americanretailsupply.com\64687\1608\Sign-Cards\Open-Closed-Sign.html</v>
      </c>
    </row>
    <row r="1224" spans="1:4" hidden="1" x14ac:dyDescent="0.25">
      <c r="A1224" t="str">
        <f>IF(LEN('categories-old'!G1224) &gt; 0, "INSERT INTO `catalog_category_entity_varchar` (attribute_id,store_id,entity_id,value) VALUES (48,0,"&amp;'categories-old'!B1224&amp;",'"&amp;RIGHT('categories-old'!G1224,LEN('categories-old'!G1224)-1)&amp;"');","")</f>
        <v>INSERT INTO `catalog_category_entity_varchar` (attribute_id,store_id,entity_id,value) VALUES (48,0,1181,'img1/img8861.jpg');</v>
      </c>
      <c r="B1224" t="str">
        <f>IF(LEN(categories!G1224) &gt; 0, "INSERT INTO `catalog_category_entity_varchar` (attribute_id,store_id,entity_id,value) VALUES (48,0,"&amp;categories!B1224&amp;",'"&amp;RIGHT(categories!G1224,LEN(categories!G1224)-1)&amp;"');","")</f>
        <v>INSERT INTO `catalog_category_entity_varchar` (attribute_id,store_id,entity_id,value) VALUES (48,0,1187,'img2/img9e9b.jpg');</v>
      </c>
      <c r="C1224" t="str">
        <f>VLOOKUP(categories!B1224,'categories-old'!B:G,6,FALSE)</f>
        <v>/img2/img9e9b.jpg</v>
      </c>
      <c r="D1224" t="str">
        <f>VLOOKUP(categories!B1224,'categories-old'!B:H,7,FALSE)</f>
        <v>www.americanretailsupply.com\64687\48119\Sign-Cards\Sign-Cards-with-Printed-Message.html</v>
      </c>
    </row>
    <row r="1225" spans="1:4" hidden="1" x14ac:dyDescent="0.25">
      <c r="A1225" t="str">
        <f>IF(LEN('categories-old'!G1225) &gt; 0, "INSERT INTO `catalog_category_entity_varchar` (attribute_id,store_id,entity_id,value) VALUES (48,0,"&amp;'categories-old'!B1225&amp;",'"&amp;RIGHT('categories-old'!G1225,LEN('categories-old'!G1225)-1)&amp;"');","")</f>
        <v>INSERT INTO `catalog_category_entity_varchar` (attribute_id,store_id,entity_id,value) VALUES (48,0,1182,'img2/img28e7.jpg');</v>
      </c>
      <c r="B1225" t="str">
        <f>IF(LEN(categories!G1225) &gt; 0, "INSERT INTO `catalog_category_entity_varchar` (attribute_id,store_id,entity_id,value) VALUES (48,0,"&amp;categories!B1225&amp;",'"&amp;RIGHT(categories!G1225,LEN(categories!G1225)-1)&amp;"');","")</f>
        <v>INSERT INTO `catalog_category_entity_varchar` (attribute_id,store_id,entity_id,value) VALUES (48,0,1188,'img3/img1db0.jpg');</v>
      </c>
      <c r="C1225" t="str">
        <f>VLOOKUP(categories!B1225,'categories-old'!B:G,6,FALSE)</f>
        <v>/img3/img1db0.jpg</v>
      </c>
      <c r="D1225" t="str">
        <f>VLOOKUP(categories!B1225,'categories-old'!B:H,7,FALSE)</f>
        <v>www.americanretailsupply.com\64687\173720\Sign-Cards\Sign-Cards-Laser-Print-Ready.html</v>
      </c>
    </row>
    <row r="1226" spans="1:4" hidden="1" x14ac:dyDescent="0.25">
      <c r="A1226" t="str">
        <f>IF(LEN('categories-old'!G1226) &gt; 0, "INSERT INTO `catalog_category_entity_varchar` (attribute_id,store_id,entity_id,value) VALUES (48,0,"&amp;'categories-old'!B1226&amp;",'"&amp;RIGHT('categories-old'!G1226,LEN('categories-old'!G1226)-1)&amp;"');","")</f>
        <v>INSERT INTO `catalog_category_entity_varchar` (attribute_id,store_id,entity_id,value) VALUES (48,0,1183,'img3/img37c2.jpg');</v>
      </c>
      <c r="B1226" t="str">
        <f>IF(LEN(categories!G1226) &gt; 0, "INSERT INTO `catalog_category_entity_varchar` (attribute_id,store_id,entity_id,value) VALUES (48,0,"&amp;categories!B1226&amp;",'"&amp;RIGHT(categories!G1226,LEN(categories!G1226)-1)&amp;"');","")</f>
        <v>INSERT INTO `catalog_category_entity_varchar` (attribute_id,store_id,entity_id,value) VALUES (48,0,1189,'img2/imgd901.jpg');</v>
      </c>
      <c r="C1226" t="str">
        <f>VLOOKUP(categories!B1226,'categories-old'!B:G,6,FALSE)</f>
        <v>/img2/imgd901.jpg</v>
      </c>
      <c r="D1226" t="str">
        <f>VLOOKUP(categories!B1226,'categories-old'!B:H,7,FALSE)</f>
        <v>www.americanretailsupply.com\64687\730332\Sign-Cards\Seasonal-Sign-Cards-Laser-Print-Ready.html</v>
      </c>
    </row>
    <row r="1227" spans="1:4" hidden="1" x14ac:dyDescent="0.25">
      <c r="A1227" t="str">
        <f>IF(LEN('categories-old'!G1227) &gt; 0, "INSERT INTO `catalog_category_entity_varchar` (attribute_id,store_id,entity_id,value) VALUES (48,0,"&amp;'categories-old'!B1227&amp;",'"&amp;RIGHT('categories-old'!G1227,LEN('categories-old'!G1227)-1)&amp;"');","")</f>
        <v>INSERT INTO `catalog_category_entity_varchar` (attribute_id,store_id,entity_id,value) VALUES (48,0,1184,'img1/img8eaf.jpg');</v>
      </c>
      <c r="B1227" t="str">
        <f>IF(LEN(categories!G1227) &gt; 0, "INSERT INTO `catalog_category_entity_varchar` (attribute_id,store_id,entity_id,value) VALUES (48,0,"&amp;categories!B1227&amp;",'"&amp;RIGHT(categories!G1227,LEN(categories!G1227)-1)&amp;"');","")</f>
        <v>INSERT INTO `catalog_category_entity_varchar` (attribute_id,store_id,entity_id,value) VALUES (48,0,1190,'img2/imgebdc.jpg');</v>
      </c>
      <c r="C1227" t="str">
        <f>VLOOKUP(categories!B1227,'categories-old'!B:G,6,FALSE)</f>
        <v>/img2/imgebdc.jpg</v>
      </c>
      <c r="D1227" t="str">
        <f>VLOOKUP(categories!B1227,'categories-old'!B:H,7,FALSE)</f>
        <v>www.americanretailsupply.com\64687\733219\Sign-Cards\Burst-Blank-Fluorescent-Sign-Cards.html</v>
      </c>
    </row>
    <row r="1228" spans="1:4" hidden="1" x14ac:dyDescent="0.25">
      <c r="A1228" t="str">
        <f>IF(LEN('categories-old'!G1228) &gt; 0, "INSERT INTO `catalog_category_entity_varchar` (attribute_id,store_id,entity_id,value) VALUES (48,0,"&amp;'categories-old'!B1228&amp;",'"&amp;RIGHT('categories-old'!G1228,LEN('categories-old'!G1228)-1)&amp;"');","")</f>
        <v>INSERT INTO `catalog_category_entity_varchar` (attribute_id,store_id,entity_id,value) VALUES (48,0,1186,'img1/img44aa.jpg');</v>
      </c>
      <c r="B1228" t="str">
        <f>IF(LEN(categories!G1228) &gt; 0, "INSERT INTO `catalog_category_entity_varchar` (attribute_id,store_id,entity_id,value) VALUES (48,0,"&amp;categories!B1228&amp;",'"&amp;RIGHT(categories!G1228,LEN(categories!G1228)-1)&amp;"');","")</f>
        <v>INSERT INTO `catalog_category_entity_varchar` (attribute_id,store_id,entity_id,value) VALUES (48,0,1191,'img3/img19fa.jpg');</v>
      </c>
      <c r="C1228" t="str">
        <f>VLOOKUP(categories!B1228,'categories-old'!B:G,6,FALSE)</f>
        <v>/img3/img19fa.jpg</v>
      </c>
      <c r="D1228" t="str">
        <f>VLOOKUP(categories!B1228,'categories-old'!B:H,7,FALSE)</f>
        <v>www.americanretailsupply.com\64687\733435\Sign-Cards\Rectangle-Blank-Fluorescent-Sign-Cards.html</v>
      </c>
    </row>
    <row r="1229" spans="1:4" hidden="1" x14ac:dyDescent="0.25">
      <c r="A1229" t="str">
        <f>IF(LEN('categories-old'!G1229) &gt; 0, "INSERT INTO `catalog_category_entity_varchar` (attribute_id,store_id,entity_id,value) VALUES (48,0,"&amp;'categories-old'!B1229&amp;",'"&amp;RIGHT('categories-old'!G1229,LEN('categories-old'!G1229)-1)&amp;"');","")</f>
        <v>INSERT INTO `catalog_category_entity_varchar` (attribute_id,store_id,entity_id,value) VALUES (48,0,1187,'img2/img9e9b.jpg');</v>
      </c>
      <c r="B1229" t="str">
        <f>IF(LEN(categories!G1229) &gt; 0, "INSERT INTO `catalog_category_entity_varchar` (attribute_id,store_id,entity_id,value) VALUES (48,0,"&amp;categories!B1229&amp;",'"&amp;RIGHT(categories!G1229,LEN(categories!G1229)-1)&amp;"');","")</f>
        <v>INSERT INTO `catalog_category_entity_varchar` (attribute_id,store_id,entity_id,value) VALUES (48,0,1193,'img3/img1151.jpg');</v>
      </c>
      <c r="C1229" t="str">
        <f>VLOOKUP(categories!B1229,'categories-old'!B:G,6,FALSE)</f>
        <v>/img3/img1151.jpg</v>
      </c>
      <c r="D1229" t="str">
        <f>VLOOKUP(categories!B1229,'categories-old'!B:H,7,FALSE)</f>
        <v>www.americanretailsupply.com\65196\36357\Sizers-Markers--Size-Labels\Mini-Size-Markers-for-Hangers.html</v>
      </c>
    </row>
    <row r="1230" spans="1:4" hidden="1" x14ac:dyDescent="0.25">
      <c r="A1230" t="str">
        <f>IF(LEN('categories-old'!G1230) &gt; 0, "INSERT INTO `catalog_category_entity_varchar` (attribute_id,store_id,entity_id,value) VALUES (48,0,"&amp;'categories-old'!B1230&amp;",'"&amp;RIGHT('categories-old'!G1230,LEN('categories-old'!G1230)-1)&amp;"');","")</f>
        <v>INSERT INTO `catalog_category_entity_varchar` (attribute_id,store_id,entity_id,value) VALUES (48,0,1188,'img3/img1db0.jpg');</v>
      </c>
      <c r="B1230" t="str">
        <f>IF(LEN(categories!G1230) &gt; 0, "INSERT INTO `catalog_category_entity_varchar` (attribute_id,store_id,entity_id,value) VALUES (48,0,"&amp;categories!B1230&amp;",'"&amp;RIGHT(categories!G1230,LEN(categories!G1230)-1)&amp;"');","")</f>
        <v>INSERT INTO `catalog_category_entity_varchar` (attribute_id,store_id,entity_id,value) VALUES (48,0,1194,'img2/imge2a3.jpg');</v>
      </c>
      <c r="C1230" t="str">
        <f>VLOOKUP(categories!B1230,'categories-old'!B:G,6,FALSE)</f>
        <v>/img2/imge2a3.jpg</v>
      </c>
      <c r="D1230" t="str">
        <f>VLOOKUP(categories!B1230,'categories-old'!B:H,7,FALSE)</f>
        <v>www.americanretailsupply.com\65196\36358\Sizers-Markers--Size-Labels\Regular-Size-Markers-for-Hangers.html</v>
      </c>
    </row>
    <row r="1231" spans="1:4" hidden="1" x14ac:dyDescent="0.25">
      <c r="A1231" t="str">
        <f>IF(LEN('categories-old'!G1231) &gt; 0, "INSERT INTO `catalog_category_entity_varchar` (attribute_id,store_id,entity_id,value) VALUES (48,0,"&amp;'categories-old'!B1231&amp;",'"&amp;RIGHT('categories-old'!G1231,LEN('categories-old'!G1231)-1)&amp;"');","")</f>
        <v>INSERT INTO `catalog_category_entity_varchar` (attribute_id,store_id,entity_id,value) VALUES (48,0,1189,'img2/imgd901.jpg');</v>
      </c>
      <c r="B1231" t="str">
        <f>IF(LEN(categories!G1231) &gt; 0, "INSERT INTO `catalog_category_entity_varchar` (attribute_id,store_id,entity_id,value) VALUES (48,0,"&amp;categories!B1231&amp;",'"&amp;RIGHT(categories!G1231,LEN(categories!G1231)-1)&amp;"');","")</f>
        <v>INSERT INTO `catalog_category_entity_varchar` (attribute_id,store_id,entity_id,value) VALUES (48,0,1195,'img1/img2fa8.jpg');</v>
      </c>
      <c r="C1231" t="str">
        <f>VLOOKUP(categories!B1231,'categories-old'!B:G,6,FALSE)</f>
        <v>/img1/img2fa8.jpg</v>
      </c>
      <c r="D1231" t="str">
        <f>VLOOKUP(categories!B1231,'categories-old'!B:H,7,FALSE)</f>
        <v>www.americanretailsupply.com\65196\36359\Sizers-Markers--Size-Labels\12-Clear-Circle-Size-Labels-with-Black-Print.html</v>
      </c>
    </row>
    <row r="1232" spans="1:4" hidden="1" x14ac:dyDescent="0.25">
      <c r="A1232" t="str">
        <f>IF(LEN('categories-old'!G1232) &gt; 0, "INSERT INTO `catalog_category_entity_varchar` (attribute_id,store_id,entity_id,value) VALUES (48,0,"&amp;'categories-old'!B1232&amp;",'"&amp;RIGHT('categories-old'!G1232,LEN('categories-old'!G1232)-1)&amp;"');","")</f>
        <v>INSERT INTO `catalog_category_entity_varchar` (attribute_id,store_id,entity_id,value) VALUES (48,0,1190,'img2/imgebdc.jpg');</v>
      </c>
      <c r="B1232" t="str">
        <f>IF(LEN(categories!G1232) &gt; 0, "INSERT INTO `catalog_category_entity_varchar` (attribute_id,store_id,entity_id,value) VALUES (48,0,"&amp;categories!B1232&amp;",'"&amp;RIGHT(categories!G1232,LEN(categories!G1232)-1)&amp;"');","")</f>
        <v>INSERT INTO `catalog_category_entity_varchar` (attribute_id,store_id,entity_id,value) VALUES (48,0,1196,'img2/img11a8.jpg');</v>
      </c>
      <c r="C1232" t="str">
        <f>VLOOKUP(categories!B1232,'categories-old'!B:G,6,FALSE)</f>
        <v>/img2/img11a8.jpg</v>
      </c>
      <c r="D1232" t="str">
        <f>VLOOKUP(categories!B1232,'categories-old'!B:H,7,FALSE)</f>
        <v>www.americanretailsupply.com\65196\36360\Sizers-Markers--Size-Labels\Storage-Box-for-Size-Markers.html</v>
      </c>
    </row>
    <row r="1233" spans="1:4" hidden="1" x14ac:dyDescent="0.25">
      <c r="A1233" t="str">
        <f>IF(LEN('categories-old'!G1233) &gt; 0, "INSERT INTO `catalog_category_entity_varchar` (attribute_id,store_id,entity_id,value) VALUES (48,0,"&amp;'categories-old'!B1233&amp;",'"&amp;RIGHT('categories-old'!G1233,LEN('categories-old'!G1233)-1)&amp;"');","")</f>
        <v>INSERT INTO `catalog_category_entity_varchar` (attribute_id,store_id,entity_id,value) VALUES (48,0,1191,'img3/img19fa.jpg');</v>
      </c>
      <c r="B1233" t="str">
        <f>IF(LEN(categories!G1233) &gt; 0, "INSERT INTO `catalog_category_entity_varchar` (attribute_id,store_id,entity_id,value) VALUES (48,0,"&amp;categories!B1233&amp;",'"&amp;RIGHT(categories!G1233,LEN(categories!G1233)-1)&amp;"');","")</f>
        <v>INSERT INTO `catalog_category_entity_varchar` (attribute_id,store_id,entity_id,value) VALUES (48,0,1197,'img3/img03db.jpg');</v>
      </c>
      <c r="C1233" t="str">
        <f>VLOOKUP(categories!B1233,'categories-old'!B:G,6,FALSE)</f>
        <v>/img3/img03db.jpg</v>
      </c>
      <c r="D1233" t="str">
        <f>VLOOKUP(categories!B1233,'categories-old'!B:H,7,FALSE)</f>
        <v>www.americanretailsupply.com\65196\36399\Sizers-Markers--Size-Labels\Size-Dividers-Round-White-with-Black-Numbers.html</v>
      </c>
    </row>
    <row r="1234" spans="1:4" hidden="1" x14ac:dyDescent="0.25">
      <c r="A1234" t="str">
        <f>IF(LEN('categories-old'!G1234) &gt; 0, "INSERT INTO `catalog_category_entity_varchar` (attribute_id,store_id,entity_id,value) VALUES (48,0,"&amp;'categories-old'!B1234&amp;",'"&amp;RIGHT('categories-old'!G1234,LEN('categories-old'!G1234)-1)&amp;"');","")</f>
        <v>INSERT INTO `catalog_category_entity_varchar` (attribute_id,store_id,entity_id,value) VALUES (48,0,1193,'img3/img1151.jpg');</v>
      </c>
      <c r="B1234" t="str">
        <f>IF(LEN(categories!G1234) &gt; 0, "INSERT INTO `catalog_category_entity_varchar` (attribute_id,store_id,entity_id,value) VALUES (48,0,"&amp;categories!B1234&amp;",'"&amp;RIGHT(categories!G1234,LEN(categories!G1234)-1)&amp;"');","")</f>
        <v>INSERT INTO `catalog_category_entity_varchar` (attribute_id,store_id,entity_id,value) VALUES (48,0,1198,'img1/img488e.jpg');</v>
      </c>
      <c r="C1234" t="str">
        <f>VLOOKUP(categories!B1234,'categories-old'!B:G,6,FALSE)</f>
        <v>/img1/img488e.jpg</v>
      </c>
      <c r="D1234" t="str">
        <f>VLOOKUP(categories!B1234,'categories-old'!B:H,7,FALSE)</f>
        <v>www.americanretailsupply.com\65196\36400\Sizers-Markers--Size-Labels\Size-Dividers-Oblong-White-with-Black-Numbers.html</v>
      </c>
    </row>
    <row r="1235" spans="1:4" hidden="1" x14ac:dyDescent="0.25">
      <c r="A1235" t="str">
        <f>IF(LEN('categories-old'!G1235) &gt; 0, "INSERT INTO `catalog_category_entity_varchar` (attribute_id,store_id,entity_id,value) VALUES (48,0,"&amp;'categories-old'!B1235&amp;",'"&amp;RIGHT('categories-old'!G1235,LEN('categories-old'!G1235)-1)&amp;"');","")</f>
        <v>INSERT INTO `catalog_category_entity_varchar` (attribute_id,store_id,entity_id,value) VALUES (48,0,1194,'img2/imge2a3.jpg');</v>
      </c>
      <c r="B1235" t="str">
        <f>IF(LEN(categories!G1235) &gt; 0, "INSERT INTO `catalog_category_entity_varchar` (attribute_id,store_id,entity_id,value) VALUES (48,0,"&amp;categories!B1235&amp;",'"&amp;RIGHT(categories!G1235,LEN(categories!G1235)-1)&amp;"');","")</f>
        <v>INSERT INTO `catalog_category_entity_varchar` (attribute_id,store_id,entity_id,value) VALUES (48,0,1199,'img3/imgcc1f.jpg');</v>
      </c>
      <c r="C1235" t="str">
        <f>VLOOKUP(categories!B1235,'categories-old'!B:G,6,FALSE)</f>
        <v>/img3/imgcc1f.jpg</v>
      </c>
      <c r="D1235" t="str">
        <f>VLOOKUP(categories!B1235,'categories-old'!B:H,7,FALSE)</f>
        <v>www.americanretailsupply.com\65196\47339\Sizers-Markers--Size-Labels\1-14-x-5-Clear-Rectangle-Size-Labels.html</v>
      </c>
    </row>
    <row r="1236" spans="1:4" hidden="1" x14ac:dyDescent="0.25">
      <c r="A1236" t="str">
        <f>IF(LEN('categories-old'!G1236) &gt; 0, "INSERT INTO `catalog_category_entity_varchar` (attribute_id,store_id,entity_id,value) VALUES (48,0,"&amp;'categories-old'!B1236&amp;",'"&amp;RIGHT('categories-old'!G1236,LEN('categories-old'!G1236)-1)&amp;"');","")</f>
        <v>INSERT INTO `catalog_category_entity_varchar` (attribute_id,store_id,entity_id,value) VALUES (48,0,1195,'img1/img2fa8.jpg');</v>
      </c>
      <c r="B1236" t="str">
        <f>IF(LEN(categories!G1236) &gt; 0, "INSERT INTO `catalog_category_entity_varchar` (attribute_id,store_id,entity_id,value) VALUES (48,0,"&amp;categories!B1236&amp;",'"&amp;RIGHT(categories!G1236,LEN(categories!G1236)-1)&amp;"');","")</f>
        <v>INSERT INTO `catalog_category_entity_varchar` (attribute_id,store_id,entity_id,value) VALUES (48,0,1200,'img3/imgb2a0.jpg');</v>
      </c>
      <c r="C1236" t="str">
        <f>VLOOKUP(categories!B1236,'categories-old'!B:G,6,FALSE)</f>
        <v>/img3/imgb2a0.jpg</v>
      </c>
      <c r="D1236" t="str">
        <f>VLOOKUP(categories!B1236,'categories-old'!B:H,7,FALSE)</f>
        <v>www.americanretailsupply.com\65196\754860\Sizers-Markers--Size-Labels\Rectangle-Size-Label-Dispenser-Box.html</v>
      </c>
    </row>
    <row r="1237" spans="1:4" hidden="1" x14ac:dyDescent="0.25">
      <c r="A1237" t="str">
        <f>IF(LEN('categories-old'!G1237) &gt; 0, "INSERT INTO `catalog_category_entity_varchar` (attribute_id,store_id,entity_id,value) VALUES (48,0,"&amp;'categories-old'!B1237&amp;",'"&amp;RIGHT('categories-old'!G1237,LEN('categories-old'!G1237)-1)&amp;"');","")</f>
        <v>INSERT INTO `catalog_category_entity_varchar` (attribute_id,store_id,entity_id,value) VALUES (48,0,1196,'img2/img11a8.jpg');</v>
      </c>
      <c r="B1237" t="str">
        <f>IF(LEN(categories!G1237) &gt; 0, "INSERT INTO `catalog_category_entity_varchar` (attribute_id,store_id,entity_id,value) VALUES (48,0,"&amp;categories!B1237&amp;",'"&amp;RIGHT(categories!G1237,LEN(categories!G1237)-1)&amp;"');","")</f>
        <v>INSERT INTO `catalog_category_entity_varchar` (attribute_id,store_id,entity_id,value) VALUES (48,0,1202,'img1/img5e4a.jpg');</v>
      </c>
      <c r="C1237" t="str">
        <f>VLOOKUP(categories!B1237,'categories-old'!B:G,6,FALSE)</f>
        <v>/img1/img5e4a.jpg</v>
      </c>
      <c r="D1237" t="str">
        <f>VLOOKUP(categories!B1237,'categories-old'!B:H,7,FALSE)</f>
        <v>www.americanretailsupply.com\64945\239521\Slatbox-Displays\Storbox-Standard-Display.html</v>
      </c>
    </row>
    <row r="1238" spans="1:4" hidden="1" x14ac:dyDescent="0.25">
      <c r="A1238" t="str">
        <f>IF(LEN('categories-old'!G1238) &gt; 0, "INSERT INTO `catalog_category_entity_varchar` (attribute_id,store_id,entity_id,value) VALUES (48,0,"&amp;'categories-old'!B1238&amp;",'"&amp;RIGHT('categories-old'!G1238,LEN('categories-old'!G1238)-1)&amp;"');","")</f>
        <v>INSERT INTO `catalog_category_entity_varchar` (attribute_id,store_id,entity_id,value) VALUES (48,0,1197,'img3/img03db.jpg');</v>
      </c>
      <c r="B1238" t="str">
        <f>IF(LEN(categories!G1238) &gt; 0, "INSERT INTO `catalog_category_entity_varchar` (attribute_id,store_id,entity_id,value) VALUES (48,0,"&amp;categories!B1238&amp;",'"&amp;RIGHT(categories!G1238,LEN(categories!G1238)-1)&amp;"');","")</f>
        <v>INSERT INTO `catalog_category_entity_varchar` (attribute_id,store_id,entity_id,value) VALUES (48,0,1203,'img2/img8e2e.jpg');</v>
      </c>
      <c r="C1238" t="str">
        <f>VLOOKUP(categories!B1238,'categories-old'!B:G,6,FALSE)</f>
        <v>/img2/img8e2e.jpg</v>
      </c>
      <c r="D1238" t="str">
        <f>VLOOKUP(categories!B1238,'categories-old'!B:H,7,FALSE)</f>
        <v>www.americanretailsupply.com\64945\239522\Slatbox-Displays\Storbox-Wide-Display.html</v>
      </c>
    </row>
    <row r="1239" spans="1:4" hidden="1" x14ac:dyDescent="0.25">
      <c r="A1239" t="str">
        <f>IF(LEN('categories-old'!G1239) &gt; 0, "INSERT INTO `catalog_category_entity_varchar` (attribute_id,store_id,entity_id,value) VALUES (48,0,"&amp;'categories-old'!B1239&amp;",'"&amp;RIGHT('categories-old'!G1239,LEN('categories-old'!G1239)-1)&amp;"');","")</f>
        <v>INSERT INTO `catalog_category_entity_varchar` (attribute_id,store_id,entity_id,value) VALUES (48,0,1198,'img1/img488e.jpg');</v>
      </c>
      <c r="B1239" t="str">
        <f>IF(LEN(categories!G1239) &gt; 0, "INSERT INTO `catalog_category_entity_varchar` (attribute_id,store_id,entity_id,value) VALUES (48,0,"&amp;categories!B1239&amp;",'"&amp;RIGHT(categories!G1239,LEN(categories!G1239)-1)&amp;"');","")</f>
        <v>INSERT INTO `catalog_category_entity_varchar` (attribute_id,store_id,entity_id,value) VALUES (48,0,1204,'img1/img3ba2.jpg');</v>
      </c>
      <c r="C1239" t="str">
        <f>VLOOKUP(categories!B1239,'categories-old'!B:G,6,FALSE)</f>
        <v>/img1/img3ba2.jpg</v>
      </c>
      <c r="D1239" t="str">
        <f>VLOOKUP(categories!B1239,'categories-old'!B:H,7,FALSE)</f>
        <v>www.americanretailsupply.com\64945\239523\Slatbox-Displays\Storbox-Cube-Display.html</v>
      </c>
    </row>
    <row r="1240" spans="1:4" hidden="1" x14ac:dyDescent="0.25">
      <c r="A1240" t="str">
        <f>IF(LEN('categories-old'!G1240) &gt; 0, "INSERT INTO `catalog_category_entity_varchar` (attribute_id,store_id,entity_id,value) VALUES (48,0,"&amp;'categories-old'!B1240&amp;",'"&amp;RIGHT('categories-old'!G1240,LEN('categories-old'!G1240)-1)&amp;"');","")</f>
        <v>INSERT INTO `catalog_category_entity_varchar` (attribute_id,store_id,entity_id,value) VALUES (48,0,1199,'img3/imgcc1f.jpg');</v>
      </c>
      <c r="B1240" t="str">
        <f>IF(LEN(categories!G1240) &gt; 0, "INSERT INTO `catalog_category_entity_varchar` (attribute_id,store_id,entity_id,value) VALUES (48,0,"&amp;categories!B1240&amp;",'"&amp;RIGHT(categories!G1240,LEN(categories!G1240)-1)&amp;"');","")</f>
        <v>INSERT INTO `catalog_category_entity_varchar` (attribute_id,store_id,entity_id,value) VALUES (48,0,1205,'img3/imgfdad.jpg');</v>
      </c>
      <c r="C1240" t="str">
        <f>VLOOKUP(categories!B1240,'categories-old'!B:G,6,FALSE)</f>
        <v>/img3/imgfdad.jpg</v>
      </c>
      <c r="D1240" t="str">
        <f>VLOOKUP(categories!B1240,'categories-old'!B:H,7,FALSE)</f>
        <v>www.americanretailsupply.com\64945\239524\Slatbox-Displays\Storbox-Large-Display.html</v>
      </c>
    </row>
    <row r="1241" spans="1:4" hidden="1" x14ac:dyDescent="0.25">
      <c r="A1241" t="str">
        <f>IF(LEN('categories-old'!G1241) &gt; 0, "INSERT INTO `catalog_category_entity_varchar` (attribute_id,store_id,entity_id,value) VALUES (48,0,"&amp;'categories-old'!B1241&amp;",'"&amp;RIGHT('categories-old'!G1241,LEN('categories-old'!G1241)-1)&amp;"');","")</f>
        <v>INSERT INTO `catalog_category_entity_varchar` (attribute_id,store_id,entity_id,value) VALUES (48,0,1200,'img3/imgb2a0.jpg');</v>
      </c>
      <c r="B1241" t="str">
        <f>IF(LEN(categories!G1241) &gt; 0, "INSERT INTO `catalog_category_entity_varchar` (attribute_id,store_id,entity_id,value) VALUES (48,0,"&amp;categories!B1241&amp;",'"&amp;RIGHT(categories!G1241,LEN(categories!G1241)-1)&amp;"');","")</f>
        <v>INSERT INTO `catalog_category_entity_varchar` (attribute_id,store_id,entity_id,value) VALUES (48,0,1206,'img2/img05fb.jpg');</v>
      </c>
      <c r="C1241" t="str">
        <f>VLOOKUP(categories!B1241,'categories-old'!B:G,6,FALSE)</f>
        <v>/img2/img05fb.jpg</v>
      </c>
      <c r="D1241" t="str">
        <f>VLOOKUP(categories!B1241,'categories-old'!B:H,7,FALSE)</f>
        <v>www.americanretailsupply.com\64945\239525\Slatbox-Displays\Shelfbox-Long-200-Display.html</v>
      </c>
    </row>
    <row r="1242" spans="1:4" hidden="1" x14ac:dyDescent="0.25">
      <c r="A1242" t="str">
        <f>IF(LEN('categories-old'!G1242) &gt; 0, "INSERT INTO `catalog_category_entity_varchar` (attribute_id,store_id,entity_id,value) VALUES (48,0,"&amp;'categories-old'!B1242&amp;",'"&amp;RIGHT('categories-old'!G1242,LEN('categories-old'!G1242)-1)&amp;"');","")</f>
        <v>INSERT INTO `catalog_category_entity_varchar` (attribute_id,store_id,entity_id,value) VALUES (48,0,1202,'img1/img5e4a.jpg');</v>
      </c>
      <c r="B1242" t="str">
        <f>IF(LEN(categories!G1242) &gt; 0, "INSERT INTO `catalog_category_entity_varchar` (attribute_id,store_id,entity_id,value) VALUES (48,0,"&amp;categories!B1242&amp;",'"&amp;RIGHT(categories!G1242,LEN(categories!G1242)-1)&amp;"');","")</f>
        <v>INSERT INTO `catalog_category_entity_varchar` (attribute_id,store_id,entity_id,value) VALUES (48,0,1207,'img2/img6b7b.jpg');</v>
      </c>
      <c r="C1242" t="str">
        <f>VLOOKUP(categories!B1242,'categories-old'!B:G,6,FALSE)</f>
        <v>/img2/img6b7b.jpg</v>
      </c>
      <c r="D1242" t="str">
        <f>VLOOKUP(categories!B1242,'categories-old'!B:H,7,FALSE)</f>
        <v>www.americanretailsupply.com\64945\239526\Slatbox-Displays\Shelfbox-Long-300-Display.html</v>
      </c>
    </row>
    <row r="1243" spans="1:4" hidden="1" x14ac:dyDescent="0.25">
      <c r="A1243" t="str">
        <f>IF(LEN('categories-old'!G1243) &gt; 0, "INSERT INTO `catalog_category_entity_varchar` (attribute_id,store_id,entity_id,value) VALUES (48,0,"&amp;'categories-old'!B1243&amp;",'"&amp;RIGHT('categories-old'!G1243,LEN('categories-old'!G1243)-1)&amp;"');","")</f>
        <v>INSERT INTO `catalog_category_entity_varchar` (attribute_id,store_id,entity_id,value) VALUES (48,0,1203,'img2/img8e2e.jpg');</v>
      </c>
      <c r="B1243" t="str">
        <f>IF(LEN(categories!G1243) &gt; 0, "INSERT INTO `catalog_category_entity_varchar` (attribute_id,store_id,entity_id,value) VALUES (48,0,"&amp;categories!B1243&amp;",'"&amp;RIGHT(categories!G1243,LEN(categories!G1243)-1)&amp;"');","")</f>
        <v>INSERT INTO `catalog_category_entity_varchar` (attribute_id,store_id,entity_id,value) VALUES (48,0,1208,'img1/img7d49.jpg');</v>
      </c>
      <c r="C1243" t="str">
        <f>VLOOKUP(categories!B1243,'categories-old'!B:G,6,FALSE)</f>
        <v>/img1/img7d49.jpg</v>
      </c>
      <c r="D1243" t="str">
        <f>VLOOKUP(categories!B1243,'categories-old'!B:H,7,FALSE)</f>
        <v>www.americanretailsupply.com\64945\239527\Slatbox-Displays\ShelfBox-Long-400-Display.html</v>
      </c>
    </row>
    <row r="1244" spans="1:4" hidden="1" x14ac:dyDescent="0.25">
      <c r="A1244" t="str">
        <f>IF(LEN('categories-old'!G1244) &gt; 0, "INSERT INTO `catalog_category_entity_varchar` (attribute_id,store_id,entity_id,value) VALUES (48,0,"&amp;'categories-old'!B1244&amp;",'"&amp;RIGHT('categories-old'!G1244,LEN('categories-old'!G1244)-1)&amp;"');","")</f>
        <v>INSERT INTO `catalog_category_entity_varchar` (attribute_id,store_id,entity_id,value) VALUES (48,0,1204,'img1/img3ba2.jpg');</v>
      </c>
      <c r="B1244" t="str">
        <f>IF(LEN(categories!G1244) &gt; 0, "INSERT INTO `catalog_category_entity_varchar` (attribute_id,store_id,entity_id,value) VALUES (48,0,"&amp;categories!B1244&amp;",'"&amp;RIGHT(categories!G1244,LEN(categories!G1244)-1)&amp;"');","")</f>
        <v>INSERT INTO `catalog_category_entity_varchar` (attribute_id,store_id,entity_id,value) VALUES (48,0,1209,'img1/img8ce2.jpg');</v>
      </c>
      <c r="C1244" t="str">
        <f>VLOOKUP(categories!B1244,'categories-old'!B:G,6,FALSE)</f>
        <v>/img1/img8ce2.jpg</v>
      </c>
      <c r="D1244" t="str">
        <f>VLOOKUP(categories!B1244,'categories-old'!B:H,7,FALSE)</f>
        <v>www.americanretailsupply.com\64945\239528\Slatbox-Displays\Slatbox-Dividers.html</v>
      </c>
    </row>
    <row r="1245" spans="1:4" hidden="1" x14ac:dyDescent="0.25">
      <c r="A1245" t="str">
        <f>IF(LEN('categories-old'!G1245) &gt; 0, "INSERT INTO `catalog_category_entity_varchar` (attribute_id,store_id,entity_id,value) VALUES (48,0,"&amp;'categories-old'!B1245&amp;",'"&amp;RIGHT('categories-old'!G1245,LEN('categories-old'!G1245)-1)&amp;"');","")</f>
        <v>INSERT INTO `catalog_category_entity_varchar` (attribute_id,store_id,entity_id,value) VALUES (48,0,1205,'img3/imgfdad.jpg');</v>
      </c>
      <c r="B1245" t="str">
        <f>IF(LEN(categories!G1245) &gt; 0, "INSERT INTO `catalog_category_entity_varchar` (attribute_id,store_id,entity_id,value) VALUES (48,0,"&amp;categories!B1245&amp;",'"&amp;RIGHT(categories!G1245,LEN(categories!G1245)-1)&amp;"');","")</f>
        <v>INSERT INTO `catalog_category_entity_varchar` (attribute_id,store_id,entity_id,value) VALUES (48,0,1210,'img2/img5872.jpg');</v>
      </c>
      <c r="C1245" t="str">
        <f>VLOOKUP(categories!B1245,'categories-old'!B:G,6,FALSE)</f>
        <v>/img2/img5872.jpg</v>
      </c>
      <c r="D1245" t="str">
        <f>VLOOKUP(categories!B1245,'categories-old'!B:H,7,FALSE)</f>
        <v>www.americanretailsupply.com\64945\251992\Slatbox-Displays\Slatbox-Adaptors.html</v>
      </c>
    </row>
    <row r="1246" spans="1:4" hidden="1" x14ac:dyDescent="0.25">
      <c r="A1246" t="str">
        <f>IF(LEN('categories-old'!G1246) &gt; 0, "INSERT INTO `catalog_category_entity_varchar` (attribute_id,store_id,entity_id,value) VALUES (48,0,"&amp;'categories-old'!B1246&amp;",'"&amp;RIGHT('categories-old'!G1246,LEN('categories-old'!G1246)-1)&amp;"');","")</f>
        <v>INSERT INTO `catalog_category_entity_varchar` (attribute_id,store_id,entity_id,value) VALUES (48,0,1206,'img2/img05fb.jpg');</v>
      </c>
      <c r="B1246" t="str">
        <f>IF(LEN(categories!G1246) &gt; 0, "INSERT INTO `catalog_category_entity_varchar` (attribute_id,store_id,entity_id,value) VALUES (48,0,"&amp;categories!B1246&amp;",'"&amp;RIGHT(categories!G1246,LEN(categories!G1246)-1)&amp;"');","")</f>
        <v>INSERT INTO `catalog_category_entity_varchar` (attribute_id,store_id,entity_id,value) VALUES (48,0,1211,'img3/img769b.jpg');</v>
      </c>
      <c r="C1246" t="str">
        <f>VLOOKUP(categories!B1246,'categories-old'!B:G,6,FALSE)</f>
        <v>/img3/img769b.jpg</v>
      </c>
      <c r="D1246" t="str">
        <f>VLOOKUP(categories!B1246,'categories-old'!B:H,7,FALSE)</f>
        <v>www.americanretailsupply.com\64945\446212\Slatbox-Displays\Slatbox-Cratebox.html</v>
      </c>
    </row>
    <row r="1247" spans="1:4" hidden="1" x14ac:dyDescent="0.25">
      <c r="A1247" t="str">
        <f>IF(LEN('categories-old'!G1247) &gt; 0, "INSERT INTO `catalog_category_entity_varchar` (attribute_id,store_id,entity_id,value) VALUES (48,0,"&amp;'categories-old'!B1247&amp;",'"&amp;RIGHT('categories-old'!G1247,LEN('categories-old'!G1247)-1)&amp;"');","")</f>
        <v>INSERT INTO `catalog_category_entity_varchar` (attribute_id,store_id,entity_id,value) VALUES (48,0,1207,'img2/img6b7b.jpg');</v>
      </c>
      <c r="B1247" t="str">
        <f>IF(LEN(categories!G1247) &gt; 0, "INSERT INTO `catalog_category_entity_varchar` (attribute_id,store_id,entity_id,value) VALUES (48,0,"&amp;categories!B1247&amp;",'"&amp;RIGHT(categories!G1247,LEN(categories!G1247)-1)&amp;"');","")</f>
        <v>INSERT INTO `catalog_category_entity_varchar` (attribute_id,store_id,entity_id,value) VALUES (48,0,1212,'img1/img8e56.jpg');</v>
      </c>
      <c r="C1247" t="str">
        <f>VLOOKUP(categories!B1247,'categories-old'!B:G,6,FALSE)</f>
        <v>/img1/img8e56.jpg</v>
      </c>
      <c r="D1247" t="str">
        <f>VLOOKUP(categories!B1247,'categories-old'!B:H,7,FALSE)</f>
        <v>www.americanretailsupply.com\64945\446213\Slatbox-Displays\Slatbox-Popbox.html</v>
      </c>
    </row>
    <row r="1248" spans="1:4" hidden="1" x14ac:dyDescent="0.25">
      <c r="A1248" t="str">
        <f>IF(LEN('categories-old'!G1248) &gt; 0, "INSERT INTO `catalog_category_entity_varchar` (attribute_id,store_id,entity_id,value) VALUES (48,0,"&amp;'categories-old'!B1248&amp;",'"&amp;RIGHT('categories-old'!G1248,LEN('categories-old'!G1248)-1)&amp;"');","")</f>
        <v>INSERT INTO `catalog_category_entity_varchar` (attribute_id,store_id,entity_id,value) VALUES (48,0,1208,'img1/img7d49.jpg');</v>
      </c>
      <c r="B1248" t="str">
        <f>IF(LEN(categories!G1248) &gt; 0, "INSERT INTO `catalog_category_entity_varchar` (attribute_id,store_id,entity_id,value) VALUES (48,0,"&amp;categories!B1248&amp;",'"&amp;RIGHT(categories!G1248,LEN(categories!G1248)-1)&amp;"');","")</f>
        <v>INSERT INTO `catalog_category_entity_varchar` (attribute_id,store_id,entity_id,value) VALUES (48,0,1214,'img3/imgcf26-2.jpg');</v>
      </c>
      <c r="C1248" t="str">
        <f>VLOOKUP(categories!B1248,'categories-old'!B:G,6,FALSE)</f>
        <v>/img3/imgcf26-2.jpg</v>
      </c>
      <c r="D1248" t="str">
        <f>VLOOKUP(categories!B1248,'categories-old'!B:H,7,FALSE)</f>
        <v>www.americanretailsupply.com\64946\787599\Slatwall-Free-Standing-Displays\Slatwall-Spinning-Display.html</v>
      </c>
    </row>
    <row r="1249" spans="1:4" hidden="1" x14ac:dyDescent="0.25">
      <c r="A1249" t="str">
        <f>IF(LEN('categories-old'!G1249) &gt; 0, "INSERT INTO `catalog_category_entity_varchar` (attribute_id,store_id,entity_id,value) VALUES (48,0,"&amp;'categories-old'!B1249&amp;",'"&amp;RIGHT('categories-old'!G1249,LEN('categories-old'!G1249)-1)&amp;"');","")</f>
        <v>INSERT INTO `catalog_category_entity_varchar` (attribute_id,store_id,entity_id,value) VALUES (48,0,1209,'img1/img8ce2.jpg');</v>
      </c>
      <c r="B1249" t="str">
        <f>IF(LEN(categories!G1249) &gt; 0, "INSERT INTO `catalog_category_entity_varchar` (attribute_id,store_id,entity_id,value) VALUES (48,0,"&amp;categories!B1249&amp;",'"&amp;RIGHT(categories!G1249,LEN(categories!G1249)-1)&amp;"');","")</f>
        <v>INSERT INTO `catalog_category_entity_varchar` (attribute_id,store_id,entity_id,value) VALUES (48,0,1216,'img2/imga082.jpg');</v>
      </c>
      <c r="C1249" t="str">
        <f>VLOOKUP(categories!B1249,'categories-old'!B:G,6,FALSE)</f>
        <v>/img2/imga082.jpg</v>
      </c>
      <c r="D1249" t="str">
        <f>VLOOKUP(categories!B1249,'categories-old'!B:H,7,FALSE)</f>
        <v>www.americanretailsupply.com\64914\34304\Slatwall-FreeStanding-Displays\Slatwall-Ready-To-Assemble-Four-Sided-Slatwall-Display.html</v>
      </c>
    </row>
    <row r="1250" spans="1:4" hidden="1" x14ac:dyDescent="0.25">
      <c r="A1250" t="str">
        <f>IF(LEN('categories-old'!G1250) &gt; 0, "INSERT INTO `catalog_category_entity_varchar` (attribute_id,store_id,entity_id,value) VALUES (48,0,"&amp;'categories-old'!B1250&amp;",'"&amp;RIGHT('categories-old'!G1250,LEN('categories-old'!G1250)-1)&amp;"');","")</f>
        <v>INSERT INTO `catalog_category_entity_varchar` (attribute_id,store_id,entity_id,value) VALUES (48,0,1210,'img2/img5872.jpg');</v>
      </c>
      <c r="B1250" t="str">
        <f>IF(LEN(categories!G1250) &gt; 0, "INSERT INTO `catalog_category_entity_varchar` (attribute_id,store_id,entity_id,value) VALUES (48,0,"&amp;categories!B1250&amp;",'"&amp;RIGHT(categories!G1250,LEN(categories!G1250)-1)&amp;"');","")</f>
        <v>INSERT INTO `catalog_category_entity_varchar` (attribute_id,store_id,entity_id,value) VALUES (48,0,1217,'img2/img0db0.jpg');</v>
      </c>
      <c r="C1250" t="str">
        <f>VLOOKUP(categories!B1250,'categories-old'!B:G,6,FALSE)</f>
        <v>/img2/img0db0.jpg</v>
      </c>
      <c r="D1250" t="str">
        <f>VLOOKUP(categories!B1250,'categories-old'!B:H,7,FALSE)</f>
        <v>www.americanretailsupply.com\64914\34307\Slatwall-FreeStanding-Displays\Slatwall-Ready-To-Assemble-H-Unit-Display.html</v>
      </c>
    </row>
    <row r="1251" spans="1:4" hidden="1" x14ac:dyDescent="0.25">
      <c r="A1251" t="str">
        <f>IF(LEN('categories-old'!G1251) &gt; 0, "INSERT INTO `catalog_category_entity_varchar` (attribute_id,store_id,entity_id,value) VALUES (48,0,"&amp;'categories-old'!B1251&amp;",'"&amp;RIGHT('categories-old'!G1251,LEN('categories-old'!G1251)-1)&amp;"');","")</f>
        <v>INSERT INTO `catalog_category_entity_varchar` (attribute_id,store_id,entity_id,value) VALUES (48,0,1211,'img3/img769b.jpg');</v>
      </c>
      <c r="B1251" t="str">
        <f>IF(LEN(categories!G1251) &gt; 0, "INSERT INTO `catalog_category_entity_varchar` (attribute_id,store_id,entity_id,value) VALUES (48,0,"&amp;categories!B1251&amp;",'"&amp;RIGHT(categories!G1251,LEN(categories!G1251)-1)&amp;"');","")</f>
        <v>INSERT INTO `catalog_category_entity_varchar` (attribute_id,store_id,entity_id,value) VALUES (48,0,1218,'img3/imgbc43.jpg');</v>
      </c>
      <c r="C1251" t="str">
        <f>VLOOKUP(categories!B1251,'categories-old'!B:G,6,FALSE)</f>
        <v>/img3/imgbc43.jpg</v>
      </c>
      <c r="D1251" t="str">
        <f>VLOOKUP(categories!B1251,'categories-old'!B:H,7,FALSE)</f>
        <v>www.americanretailsupply.com\64914\34308\Slatwall-FreeStanding-Displays\Slatwall-Ready-To-Assemble-4-Sided-Tower.html</v>
      </c>
    </row>
    <row r="1252" spans="1:4" hidden="1" x14ac:dyDescent="0.25">
      <c r="A1252" t="str">
        <f>IF(LEN('categories-old'!G1252) &gt; 0, "INSERT INTO `catalog_category_entity_varchar` (attribute_id,store_id,entity_id,value) VALUES (48,0,"&amp;'categories-old'!B1252&amp;",'"&amp;RIGHT('categories-old'!G1252,LEN('categories-old'!G1252)-1)&amp;"');","")</f>
        <v>INSERT INTO `catalog_category_entity_varchar` (attribute_id,store_id,entity_id,value) VALUES (48,0,1212,'img1/img8e56.jpg');</v>
      </c>
      <c r="B1252" t="str">
        <f>IF(LEN(categories!G1252) &gt; 0, "INSERT INTO `catalog_category_entity_varchar` (attribute_id,store_id,entity_id,value) VALUES (48,0,"&amp;categories!B1252&amp;",'"&amp;RIGHT(categories!G1252,LEN(categories!G1252)-1)&amp;"');","")</f>
        <v>INSERT INTO `catalog_category_entity_varchar` (attribute_id,store_id,entity_id,value) VALUES (48,0,1219,'img3/img1a98.jpg');</v>
      </c>
      <c r="C1252" t="str">
        <f>VLOOKUP(categories!B1252,'categories-old'!B:G,6,FALSE)</f>
        <v>/img3/img1a98.jpg</v>
      </c>
      <c r="D1252" t="str">
        <f>VLOOKUP(categories!B1252,'categories-old'!B:H,7,FALSE)</f>
        <v>www.americanretailsupply.com\64914\37299\Slatwall-FreeStanding-Displays\Slatwall-Ready-To-Assemble-Gondola.html</v>
      </c>
    </row>
    <row r="1253" spans="1:4" hidden="1" x14ac:dyDescent="0.25">
      <c r="A1253" t="str">
        <f>IF(LEN('categories-old'!G1253) &gt; 0, "INSERT INTO `catalog_category_entity_varchar` (attribute_id,store_id,entity_id,value) VALUES (48,0,"&amp;'categories-old'!B1253&amp;",'"&amp;RIGHT('categories-old'!G1253,LEN('categories-old'!G1253)-1)&amp;"');","")</f>
        <v>INSERT INTO `catalog_category_entity_varchar` (attribute_id,store_id,entity_id,value) VALUES (48,0,1214,'img3/imgcf26-2.jpg');</v>
      </c>
      <c r="B1253" t="str">
        <f>IF(LEN(categories!G1253) &gt; 0, "INSERT INTO `catalog_category_entity_varchar` (attribute_id,store_id,entity_id,value) VALUES (48,0,"&amp;categories!B1253&amp;",'"&amp;RIGHT(categories!G1253,LEN(categories!G1253)-1)&amp;"');","")</f>
        <v>INSERT INTO `catalog_category_entity_varchar` (attribute_id,store_id,entity_id,value) VALUES (48,0,1220,'img3/imgc4b7.jpg');</v>
      </c>
      <c r="C1253" t="str">
        <f>VLOOKUP(categories!B1253,'categories-old'!B:G,6,FALSE)</f>
        <v>/img3/imgc4b7.jpg</v>
      </c>
      <c r="D1253" t="str">
        <f>VLOOKUP(categories!B1253,'categories-old'!B:H,7,FALSE)</f>
        <v>www.americanretailsupply.com\64914\759411\Slatwall-FreeStanding-Displays\Slatwall-Spinning-Countertop-Display.html</v>
      </c>
    </row>
    <row r="1254" spans="1:4" hidden="1" x14ac:dyDescent="0.25">
      <c r="A1254" t="str">
        <f>IF(LEN('categories-old'!G1254) &gt; 0, "INSERT INTO `catalog_category_entity_varchar` (attribute_id,store_id,entity_id,value) VALUES (48,0,"&amp;'categories-old'!B1254&amp;",'"&amp;RIGHT('categories-old'!G1254,LEN('categories-old'!G1254)-1)&amp;"');","")</f>
        <v>INSERT INTO `catalog_category_entity_varchar` (attribute_id,store_id,entity_id,value) VALUES (48,0,1216,'img2/imga082.jpg');</v>
      </c>
      <c r="B1254" t="str">
        <f>IF(LEN(categories!G1254) &gt; 0, "INSERT INTO `catalog_category_entity_varchar` (attribute_id,store_id,entity_id,value) VALUES (48,0,"&amp;categories!B1254&amp;",'"&amp;RIGHT(categories!G1254,LEN(categories!G1254)-1)&amp;"');","")</f>
        <v>INSERT INTO `catalog_category_entity_varchar` (attribute_id,store_id,entity_id,value) VALUES (48,0,1222,'img2/img82d0.jpg');</v>
      </c>
      <c r="C1254" t="str">
        <f>VLOOKUP(categories!B1254,'categories-old'!B:G,6,FALSE)</f>
        <v>/img2/img82d0.jpg</v>
      </c>
      <c r="D1254" t="str">
        <f>VLOOKUP(categories!B1254,'categories-old'!B:H,7,FALSE)</f>
        <v>www.americanretailsupply.com\64942\762388\Slatwall-Panels--Inserts\Textured-Slatwall-Panels.html</v>
      </c>
    </row>
    <row r="1255" spans="1:4" hidden="1" x14ac:dyDescent="0.25">
      <c r="A1255" t="str">
        <f>IF(LEN('categories-old'!G1255) &gt; 0, "INSERT INTO `catalog_category_entity_varchar` (attribute_id,store_id,entity_id,value) VALUES (48,0,"&amp;'categories-old'!B1255&amp;",'"&amp;RIGHT('categories-old'!G1255,LEN('categories-old'!G1255)-1)&amp;"');","")</f>
        <v>INSERT INTO `catalog_category_entity_varchar` (attribute_id,store_id,entity_id,value) VALUES (48,0,1217,'img2/img0db0.jpg');</v>
      </c>
      <c r="B1255" t="str">
        <f>IF(LEN(categories!G1255) &gt; 0, "INSERT INTO `catalog_category_entity_varchar` (attribute_id,store_id,entity_id,value) VALUES (48,0,"&amp;categories!B1255&amp;",'"&amp;RIGHT(categories!G1255,LEN(categories!G1255)-1)&amp;"');","")</f>
        <v>INSERT INTO `catalog_category_entity_varchar` (attribute_id,store_id,entity_id,value) VALUES (48,0,1224,'img1/img4d30.jpg');</v>
      </c>
      <c r="C1255" t="str">
        <f>VLOOKUP(categories!B1255,'categories-old'!B:G,6,FALSE)</f>
        <v>/img1/img4d30.jpg</v>
      </c>
      <c r="D1255" t="str">
        <f>VLOOKUP(categories!B1255,'categories-old'!B:H,7,FALSE)</f>
        <v>www.americanretailsupply.com\64737\19670\Star-Prenotched-Bows-Ribbon\Star-Bows.html</v>
      </c>
    </row>
    <row r="1256" spans="1:4" hidden="1" x14ac:dyDescent="0.25">
      <c r="A1256" t="str">
        <f>IF(LEN('categories-old'!G1256) &gt; 0, "INSERT INTO `catalog_category_entity_varchar` (attribute_id,store_id,entity_id,value) VALUES (48,0,"&amp;'categories-old'!B1256&amp;",'"&amp;RIGHT('categories-old'!G1256,LEN('categories-old'!G1256)-1)&amp;"');","")</f>
        <v>INSERT INTO `catalog_category_entity_varchar` (attribute_id,store_id,entity_id,value) VALUES (48,0,1218,'img3/imgbc43.jpg');</v>
      </c>
      <c r="B1256" t="str">
        <f>IF(LEN(categories!G1256) &gt; 0, "INSERT INTO `catalog_category_entity_varchar` (attribute_id,store_id,entity_id,value) VALUES (48,0,"&amp;categories!B1256&amp;",'"&amp;RIGHT(categories!G1256,LEN(categories!G1256)-1)&amp;"');","")</f>
        <v>INSERT INTO `catalog_category_entity_varchar` (attribute_id,store_id,entity_id,value) VALUES (48,0,1225,'img1/imgb419.jpg');</v>
      </c>
      <c r="C1256" t="str">
        <f>VLOOKUP(categories!B1256,'categories-old'!B:G,6,FALSE)</f>
        <v>/img1/imgb419.jpg</v>
      </c>
      <c r="D1256" t="str">
        <f>VLOOKUP(categories!B1256,'categories-old'!B:H,7,FALSE)</f>
        <v>www.americanretailsupply.com\64737\19770\Star-Prenotched-Bows-Ribbon\Pull-Out-Pre--Notch-Bows.html</v>
      </c>
    </row>
    <row r="1257" spans="1:4" hidden="1" x14ac:dyDescent="0.25">
      <c r="A1257" t="str">
        <f>IF(LEN('categories-old'!G1257) &gt; 0, "INSERT INTO `catalog_category_entity_varchar` (attribute_id,store_id,entity_id,value) VALUES (48,0,"&amp;'categories-old'!B1257&amp;",'"&amp;RIGHT('categories-old'!G1257,LEN('categories-old'!G1257)-1)&amp;"');","")</f>
        <v>INSERT INTO `catalog_category_entity_varchar` (attribute_id,store_id,entity_id,value) VALUES (48,0,1219,'img3/img1a98.jpg');</v>
      </c>
      <c r="B1257" t="str">
        <f>IF(LEN(categories!G1257) &gt; 0, "INSERT INTO `catalog_category_entity_varchar` (attribute_id,store_id,entity_id,value) VALUES (48,0,"&amp;categories!B1257&amp;",'"&amp;RIGHT(categories!G1257,LEN(categories!G1257)-1)&amp;"');","")</f>
        <v>INSERT INTO `catalog_category_entity_varchar` (attribute_id,store_id,entity_id,value) VALUES (48,0,1226,'img2/imge11f.jpg');</v>
      </c>
      <c r="C1257" t="str">
        <f>VLOOKUP(categories!B1257,'categories-old'!B:G,6,FALSE)</f>
        <v>/img2/imge11f.jpg</v>
      </c>
      <c r="D1257" t="str">
        <f>VLOOKUP(categories!B1257,'categories-old'!B:H,7,FALSE)</f>
        <v>www.americanretailsupply.com\64737\19861\Star-Prenotched-Bows-Ribbon\Splendorette-Ribbon.html</v>
      </c>
    </row>
    <row r="1258" spans="1:4" hidden="1" x14ac:dyDescent="0.25">
      <c r="A1258" t="str">
        <f>IF(LEN('categories-old'!G1258) &gt; 0, "INSERT INTO `catalog_category_entity_varchar` (attribute_id,store_id,entity_id,value) VALUES (48,0,"&amp;'categories-old'!B1258&amp;",'"&amp;RIGHT('categories-old'!G1258,LEN('categories-old'!G1258)-1)&amp;"');","")</f>
        <v>INSERT INTO `catalog_category_entity_varchar` (attribute_id,store_id,entity_id,value) VALUES (48,0,1220,'img3/imgc4b7.jpg');</v>
      </c>
      <c r="B1258" t="str">
        <f>IF(LEN(categories!G1258) &gt; 0, "INSERT INTO `catalog_category_entity_varchar` (attribute_id,store_id,entity_id,value) VALUES (48,0,"&amp;categories!B1258&amp;",'"&amp;RIGHT(categories!G1258,LEN(categories!G1258)-1)&amp;"');","")</f>
        <v>INSERT INTO `catalog_category_entity_varchar` (attribute_id,store_id,entity_id,value) VALUES (48,0,1228,'img3/img077d.jpg');</v>
      </c>
      <c r="C1258" t="str">
        <f>VLOOKUP(categories!B1258,'categories-old'!B:G,6,FALSE)</f>
        <v>/img3/img077d.jpg</v>
      </c>
      <c r="D1258" t="str">
        <f>VLOOKUP(categories!B1258,'categories-old'!B:H,7,FALSE)</f>
        <v>www.americanretailsupply.com\64851\36430\Steamers\J-2-Standard-Duty-Steamer.html</v>
      </c>
    </row>
    <row r="1259" spans="1:4" hidden="1" x14ac:dyDescent="0.25">
      <c r="A1259" t="str">
        <f>IF(LEN('categories-old'!G1259) &gt; 0, "INSERT INTO `catalog_category_entity_varchar` (attribute_id,store_id,entity_id,value) VALUES (48,0,"&amp;'categories-old'!B1259&amp;",'"&amp;RIGHT('categories-old'!G1259,LEN('categories-old'!G1259)-1)&amp;"');","")</f>
        <v>INSERT INTO `catalog_category_entity_varchar` (attribute_id,store_id,entity_id,value) VALUES (48,0,1222,'img2/img82d0.jpg');</v>
      </c>
      <c r="B1259" t="str">
        <f>IF(LEN(categories!G1259) &gt; 0, "INSERT INTO `catalog_category_entity_varchar` (attribute_id,store_id,entity_id,value) VALUES (48,0,"&amp;categories!B1259&amp;",'"&amp;RIGHT(categories!G1259,LEN(categories!G1259)-1)&amp;"');","")</f>
        <v>INSERT INTO `catalog_category_entity_varchar` (attribute_id,store_id,entity_id,value) VALUES (48,0,1229,'img1/img2ca1.jpg');</v>
      </c>
      <c r="C1259" t="str">
        <f>VLOOKUP(categories!B1259,'categories-old'!B:G,6,FALSE)</f>
        <v>/img1/img2ca1.jpg</v>
      </c>
      <c r="D1259" t="str">
        <f>VLOOKUP(categories!B1259,'categories-old'!B:H,7,FALSE)</f>
        <v>www.americanretailsupply.com\64851\36431\Steamers\J-4000-Heavy-Duty-Commercial-Steamer.html</v>
      </c>
    </row>
    <row r="1260" spans="1:4" hidden="1" x14ac:dyDescent="0.25">
      <c r="A1260" t="str">
        <f>IF(LEN('categories-old'!G1260) &gt; 0, "INSERT INTO `catalog_category_entity_varchar` (attribute_id,store_id,entity_id,value) VALUES (48,0,"&amp;'categories-old'!B1260&amp;",'"&amp;RIGHT('categories-old'!G1260,LEN('categories-old'!G1260)-1)&amp;"');","")</f>
        <v>INSERT INTO `catalog_category_entity_varchar` (attribute_id,store_id,entity_id,value) VALUES (48,0,1224,'img1/img4d30.jpg');</v>
      </c>
      <c r="B1260" t="str">
        <f>IF(LEN(categories!G1260) &gt; 0, "INSERT INTO `catalog_category_entity_varchar` (attribute_id,store_id,entity_id,value) VALUES (48,0,"&amp;categories!B1260&amp;",'"&amp;RIGHT(categories!G1260,LEN(categories!G1260)-1)&amp;"');","")</f>
        <v>INSERT INTO `catalog_category_entity_varchar` (attribute_id,store_id,entity_id,value) VALUES (48,0,1230,'img3/imgcd9a.jpg');</v>
      </c>
      <c r="C1260" t="str">
        <f>VLOOKUP(categories!B1260,'categories-old'!B:G,6,FALSE)</f>
        <v>/img3/imgcd9a.jpg</v>
      </c>
      <c r="D1260" t="str">
        <f>VLOOKUP(categories!B1260,'categories-old'!B:H,7,FALSE)</f>
        <v>www.americanretailsupply.com\64851\223605\Steamers\Jiffy-Steamer-Liquid-Cleaner.html</v>
      </c>
    </row>
    <row r="1261" spans="1:4" hidden="1" x14ac:dyDescent="0.25">
      <c r="A1261" t="str">
        <f>IF(LEN('categories-old'!G1261) &gt; 0, "INSERT INTO `catalog_category_entity_varchar` (attribute_id,store_id,entity_id,value) VALUES (48,0,"&amp;'categories-old'!B1261&amp;",'"&amp;RIGHT('categories-old'!G1261,LEN('categories-old'!G1261)-1)&amp;"');","")</f>
        <v>INSERT INTO `catalog_category_entity_varchar` (attribute_id,store_id,entity_id,value) VALUES (48,0,1225,'img1/imgb419.jpg');</v>
      </c>
      <c r="B1261" t="str">
        <f>IF(LEN(categories!G1261) &gt; 0, "INSERT INTO `catalog_category_entity_varchar` (attribute_id,store_id,entity_id,value) VALUES (48,0,"&amp;categories!B1261&amp;",'"&amp;RIGHT(categories!G1261,LEN(categories!G1261)-1)&amp;"');","")</f>
        <v>INSERT INTO `catalog_category_entity_varchar` (attribute_id,store_id,entity_id,value) VALUES (48,0,1231,'img1/img003f.jpg');</v>
      </c>
      <c r="C1261" t="str">
        <f>VLOOKUP(categories!B1261,'categories-old'!B:G,6,FALSE)</f>
        <v>/img1/img003f.jpg</v>
      </c>
      <c r="D1261" t="str">
        <f>VLOOKUP(categories!B1261,'categories-old'!B:H,7,FALSE)</f>
        <v>www.americanretailsupply.com\64851\435378\Steamers\G-4-Standard-Duty-Steamer.html</v>
      </c>
    </row>
    <row r="1262" spans="1:4" hidden="1" x14ac:dyDescent="0.25">
      <c r="A1262" t="str">
        <f>IF(LEN('categories-old'!G1262) &gt; 0, "INSERT INTO `catalog_category_entity_varchar` (attribute_id,store_id,entity_id,value) VALUES (48,0,"&amp;'categories-old'!B1262&amp;",'"&amp;RIGHT('categories-old'!G1262,LEN('categories-old'!G1262)-1)&amp;"');","")</f>
        <v>INSERT INTO `catalog_category_entity_varchar` (attribute_id,store_id,entity_id,value) VALUES (48,0,1226,'img2/imge11f.jpg');</v>
      </c>
      <c r="B1262" t="str">
        <f>IF(LEN(categories!G1262) &gt; 0, "INSERT INTO `catalog_category_entity_varchar` (attribute_id,store_id,entity_id,value) VALUES (48,0,"&amp;categories!B1262&amp;",'"&amp;RIGHT(categories!G1262,LEN(categories!G1262)-1)&amp;"');","")</f>
        <v>INSERT INTO `catalog_category_entity_varchar` (attribute_id,store_id,entity_id,value) VALUES (48,0,1232,'img3/img9498.jpg');</v>
      </c>
      <c r="C1262" t="str">
        <f>VLOOKUP(categories!B1262,'categories-old'!B:G,6,FALSE)</f>
        <v>/img3/img9498.jpg</v>
      </c>
      <c r="D1262" t="str">
        <f>VLOOKUP(categories!B1262,'categories-old'!B:H,7,FALSE)</f>
        <v>www.americanretailsupply.com\64851\784084\Steamers\Steamer-Replacement-Parts.html</v>
      </c>
    </row>
    <row r="1263" spans="1:4" hidden="1" x14ac:dyDescent="0.25">
      <c r="A1263" t="str">
        <f>IF(LEN('categories-old'!G1263) &gt; 0, "INSERT INTO `catalog_category_entity_varchar` (attribute_id,store_id,entity_id,value) VALUES (48,0,"&amp;'categories-old'!B1263&amp;",'"&amp;RIGHT('categories-old'!G1263,LEN('categories-old'!G1263)-1)&amp;"');","")</f>
        <v>INSERT INTO `catalog_category_entity_varchar` (attribute_id,store_id,entity_id,value) VALUES (48,0,1228,'img3/img077d.jpg');</v>
      </c>
      <c r="B1263" t="str">
        <f>IF(LEN(categories!G1263) &gt; 0, "INSERT INTO `catalog_category_entity_varchar` (attribute_id,store_id,entity_id,value) VALUES (48,0,"&amp;categories!B1263&amp;",'"&amp;RIGHT(categories!G1263,LEN(categories!G1263)-1)&amp;"');","")</f>
        <v>INSERT INTO `catalog_category_entity_varchar` (attribute_id,store_id,entity_id,value) VALUES (48,0,1233,'img3/imgb1b0.jpg');</v>
      </c>
      <c r="C1263" t="str">
        <f>VLOOKUP(categories!B1263,'categories-old'!B:G,6,FALSE)</f>
        <v>/img3/imgb1b0.jpg</v>
      </c>
      <c r="D1263" t="str">
        <f>VLOOKUP(categories!B1263,'categories-old'!B:H,7,FALSE)</f>
        <v>www.americanretailsupply.com\64851\788322\Steamers\Hat-Steamer--Model-J--4000H.html</v>
      </c>
    </row>
    <row r="1264" spans="1:4" hidden="1" x14ac:dyDescent="0.25">
      <c r="A1264" t="str">
        <f>IF(LEN('categories-old'!G1264) &gt; 0, "INSERT INTO `catalog_category_entity_varchar` (attribute_id,store_id,entity_id,value) VALUES (48,0,"&amp;'categories-old'!B1264&amp;",'"&amp;RIGHT('categories-old'!G1264,LEN('categories-old'!G1264)-1)&amp;"');","")</f>
        <v>INSERT INTO `catalog_category_entity_varchar` (attribute_id,store_id,entity_id,value) VALUES (48,0,1229,'img1/img2ca1.jpg');</v>
      </c>
      <c r="B1264" t="str">
        <f>IF(LEN(categories!G1264) &gt; 0, "INSERT INTO `catalog_category_entity_varchar` (attribute_id,store_id,entity_id,value) VALUES (48,0,"&amp;categories!B1264&amp;",'"&amp;RIGHT(categories!G1264,LEN(categories!G1264)-1)&amp;"');","")</f>
        <v>INSERT INTO `catalog_category_entity_varchar` (attribute_id,store_id,entity_id,value) VALUES (48,0,1234,'img1/img72c3.jpg');</v>
      </c>
      <c r="C1264" t="str">
        <f>VLOOKUP(categories!B1264,'categories-old'!B:G,6,FALSE)</f>
        <v>/img1/img72c3.jpg</v>
      </c>
      <c r="D1264" t="str">
        <f>VLOOKUP(categories!B1264,'categories-old'!B:H,7,FALSE)</f>
        <v>www.americanretailsupply.com\64851\788323\Steamers\Hat-SteamerModel-J1.html</v>
      </c>
    </row>
    <row r="1265" spans="1:4" hidden="1" x14ac:dyDescent="0.25">
      <c r="A1265" t="str">
        <f>IF(LEN('categories-old'!G1265) &gt; 0, "INSERT INTO `catalog_category_entity_varchar` (attribute_id,store_id,entity_id,value) VALUES (48,0,"&amp;'categories-old'!B1265&amp;",'"&amp;RIGHT('categories-old'!G1265,LEN('categories-old'!G1265)-1)&amp;"');","")</f>
        <v>INSERT INTO `catalog_category_entity_varchar` (attribute_id,store_id,entity_id,value) VALUES (48,0,1230,'img3/imgcd9a.jpg');</v>
      </c>
      <c r="B1265" t="str">
        <f>IF(LEN(categories!G1265) &gt; 0, "INSERT INTO `catalog_category_entity_varchar` (attribute_id,store_id,entity_id,value) VALUES (48,0,"&amp;categories!B1265&amp;",'"&amp;RIGHT(categories!G1265,LEN(categories!G1265)-1)&amp;"');","")</f>
        <v>INSERT INTO `catalog_category_entity_varchar` (attribute_id,store_id,entity_id,value) VALUES (48,0,1236,'img3/imgdaf1.jpg');</v>
      </c>
      <c r="C1265" t="str">
        <f>VLOOKUP(categories!B1265,'categories-old'!B:G,6,FALSE)</f>
        <v>/img3/imgdaf1.jpg</v>
      </c>
      <c r="D1265" t="str">
        <f>VLOOKUP(categories!B1265,'categories-old'!B:H,7,FALSE)</f>
        <v>www.americanretailsupply.com\64741\19919\Stretch-Loops--Cord\Stretch-Loops.html</v>
      </c>
    </row>
    <row r="1266" spans="1:4" hidden="1" x14ac:dyDescent="0.25">
      <c r="A1266" t="str">
        <f>IF(LEN('categories-old'!G1266) &gt; 0, "INSERT INTO `catalog_category_entity_varchar` (attribute_id,store_id,entity_id,value) VALUES (48,0,"&amp;'categories-old'!B1266&amp;",'"&amp;RIGHT('categories-old'!G1266,LEN('categories-old'!G1266)-1)&amp;"');","")</f>
        <v>INSERT INTO `catalog_category_entity_varchar` (attribute_id,store_id,entity_id,value) VALUES (48,0,1231,'img1/img003f.jpg');</v>
      </c>
      <c r="B1266" t="str">
        <f>IF(LEN(categories!G1266) &gt; 0, "INSERT INTO `catalog_category_entity_varchar` (attribute_id,store_id,entity_id,value) VALUES (48,0,"&amp;categories!B1266&amp;",'"&amp;RIGHT(categories!G1266,LEN(categories!G1266)-1)&amp;"');","")</f>
        <v>INSERT INTO `catalog_category_entity_varchar` (attribute_id,store_id,entity_id,value) VALUES (48,0,1237,'img1/imgbfe4.jpg');</v>
      </c>
      <c r="C1266" t="str">
        <f>VLOOKUP(categories!B1266,'categories-old'!B:G,6,FALSE)</f>
        <v>/img1/imgbfe4.jpg</v>
      </c>
      <c r="D1266" t="str">
        <f>VLOOKUP(categories!B1266,'categories-old'!B:H,7,FALSE)</f>
        <v>www.americanretailsupply.com\64741\19921\Stretch-Loops--Cord\Tinsel-Cord.html</v>
      </c>
    </row>
    <row r="1267" spans="1:4" hidden="1" x14ac:dyDescent="0.25">
      <c r="A1267" t="str">
        <f>IF(LEN('categories-old'!G1267) &gt; 0, "INSERT INTO `catalog_category_entity_varchar` (attribute_id,store_id,entity_id,value) VALUES (48,0,"&amp;'categories-old'!B1267&amp;",'"&amp;RIGHT('categories-old'!G1267,LEN('categories-old'!G1267)-1)&amp;"');","")</f>
        <v>INSERT INTO `catalog_category_entity_varchar` (attribute_id,store_id,entity_id,value) VALUES (48,0,1232,'img3/img9498.jpg');</v>
      </c>
      <c r="B1267" t="str">
        <f>IF(LEN(categories!G1267) &gt; 0, "INSERT INTO `catalog_category_entity_varchar` (attribute_id,store_id,entity_id,value) VALUES (48,0,"&amp;categories!B1267&amp;",'"&amp;RIGHT(categories!G1267,LEN(categories!G1267)-1)&amp;"');","")</f>
        <v>INSERT INTO `catalog_category_entity_varchar` (attribute_id,store_id,entity_id,value) VALUES (48,0,1238,'img2/img82b1.jpg');</v>
      </c>
      <c r="C1267" t="str">
        <f>VLOOKUP(categories!B1267,'categories-old'!B:G,6,FALSE)</f>
        <v>/img2/img82b1.jpg</v>
      </c>
      <c r="D1267" t="str">
        <f>VLOOKUP(categories!B1267,'categories-old'!B:H,7,FALSE)</f>
        <v>www.americanretailsupply.com\64741\172809\Stretch-Loops--Cord\Cleopatra-Cord.html</v>
      </c>
    </row>
    <row r="1268" spans="1:4" hidden="1" x14ac:dyDescent="0.25">
      <c r="A1268" t="str">
        <f>IF(LEN('categories-old'!G1268) &gt; 0, "INSERT INTO `catalog_category_entity_varchar` (attribute_id,store_id,entity_id,value) VALUES (48,0,"&amp;'categories-old'!B1268&amp;",'"&amp;RIGHT('categories-old'!G1268,LEN('categories-old'!G1268)-1)&amp;"');","")</f>
        <v>INSERT INTO `catalog_category_entity_varchar` (attribute_id,store_id,entity_id,value) VALUES (48,0,1233,'img3/imgb1b0.jpg');</v>
      </c>
      <c r="B1268" t="str">
        <f>IF(LEN(categories!G1268) &gt; 0, "INSERT INTO `catalog_category_entity_varchar` (attribute_id,store_id,entity_id,value) VALUES (48,0,"&amp;categories!B1268&amp;",'"&amp;RIGHT(categories!G1268,LEN(categories!G1268)-1)&amp;"');","")</f>
        <v>INSERT INTO `catalog_category_entity_varchar` (attribute_id,store_id,entity_id,value) VALUES (48,0,1240,'img3/img1faf.jpg');</v>
      </c>
      <c r="C1268" t="str">
        <f>VLOOKUP(categories!B1268,'categories-old'!B:G,6,FALSE)</f>
        <v>/img3/img1faf.jpg</v>
      </c>
      <c r="D1268" t="str">
        <f>VLOOKUP(categories!B1268,'categories-old'!B:H,7,FALSE)</f>
        <v>www.americanretailsupply.com\64866\48218\Stretch-Wrap\Stretch-Wrap-Hand-Dispenser.html</v>
      </c>
    </row>
    <row r="1269" spans="1:4" hidden="1" x14ac:dyDescent="0.25">
      <c r="A1269" t="str">
        <f>IF(LEN('categories-old'!G1269) &gt; 0, "INSERT INTO `catalog_category_entity_varchar` (attribute_id,store_id,entity_id,value) VALUES (48,0,"&amp;'categories-old'!B1269&amp;",'"&amp;RIGHT('categories-old'!G1269,LEN('categories-old'!G1269)-1)&amp;"');","")</f>
        <v>INSERT INTO `catalog_category_entity_varchar` (attribute_id,store_id,entity_id,value) VALUES (48,0,1234,'img1/img72c3.jpg');</v>
      </c>
      <c r="B1269" t="str">
        <f>IF(LEN(categories!G1269) &gt; 0, "INSERT INTO `catalog_category_entity_varchar` (attribute_id,store_id,entity_id,value) VALUES (48,0,"&amp;categories!B1269&amp;",'"&amp;RIGHT(categories!G1269,LEN(categories!G1269)-1)&amp;"');","")</f>
        <v>INSERT INTO `catalog_category_entity_varchar` (attribute_id,store_id,entity_id,value) VALUES (48,0,1241,'img1/img9856.jpg');</v>
      </c>
      <c r="C1269" t="str">
        <f>VLOOKUP(categories!B1269,'categories-old'!B:G,6,FALSE)</f>
        <v>/img1/img9856.jpg</v>
      </c>
      <c r="D1269" t="str">
        <f>VLOOKUP(categories!B1269,'categories-old'!B:H,7,FALSE)</f>
        <v>www.americanretailsupply.com\64866\48219\Stretch-Wrap\Stretch-Wrap-Clear-Film.html</v>
      </c>
    </row>
    <row r="1270" spans="1:4" hidden="1" x14ac:dyDescent="0.25">
      <c r="A1270" t="str">
        <f>IF(LEN('categories-old'!G1270) &gt; 0, "INSERT INTO `catalog_category_entity_varchar` (attribute_id,store_id,entity_id,value) VALUES (48,0,"&amp;'categories-old'!B1270&amp;",'"&amp;RIGHT('categories-old'!G1270,LEN('categories-old'!G1270)-1)&amp;"');","")</f>
        <v>INSERT INTO `catalog_category_entity_varchar` (attribute_id,store_id,entity_id,value) VALUES (48,0,1236,'img3/imgdaf1.jpg');</v>
      </c>
      <c r="B1270" t="str">
        <f>IF(LEN(categories!G1270) &gt; 0, "INSERT INTO `catalog_category_entity_varchar` (attribute_id,store_id,entity_id,value) VALUES (48,0,"&amp;categories!B1270&amp;",'"&amp;RIGHT(categories!G1270,LEN(categories!G1270)-1)&amp;"');","")</f>
        <v>INSERT INTO `catalog_category_entity_varchar` (attribute_id,store_id,entity_id,value) VALUES (48,0,1242,'img2/img2124.jpg');</v>
      </c>
      <c r="C1270" t="str">
        <f>VLOOKUP(categories!B1270,'categories-old'!B:G,6,FALSE)</f>
        <v>/img2/img2124.jpg</v>
      </c>
      <c r="D1270" t="str">
        <f>VLOOKUP(categories!B1270,'categories-old'!B:H,7,FALSE)</f>
        <v>www.americanretailsupply.com\25471\36443\Suit-Dress-Blouse--Shirt-Forms\Mens-Suit-and-Shirt-Forms.html</v>
      </c>
    </row>
    <row r="1271" spans="1:4" hidden="1" x14ac:dyDescent="0.25">
      <c r="A1271" t="str">
        <f>IF(LEN('categories-old'!G1271) &gt; 0, "INSERT INTO `catalog_category_entity_varchar` (attribute_id,store_id,entity_id,value) VALUES (48,0,"&amp;'categories-old'!B1271&amp;",'"&amp;RIGHT('categories-old'!G1271,LEN('categories-old'!G1271)-1)&amp;"');","")</f>
        <v>INSERT INTO `catalog_category_entity_varchar` (attribute_id,store_id,entity_id,value) VALUES (48,0,1237,'img1/imgbfe4.jpg');</v>
      </c>
      <c r="B1271" t="str">
        <f>IF(LEN(categories!G1271) &gt; 0, "INSERT INTO `catalog_category_entity_varchar` (attribute_id,store_id,entity_id,value) VALUES (48,0,"&amp;categories!B1271&amp;",'"&amp;RIGHT(categories!G1271,LEN(categories!G1271)-1)&amp;"');","")</f>
        <v>INSERT INTO `catalog_category_entity_varchar` (attribute_id,store_id,entity_id,value) VALUES (48,0,1244,'img1/img62ec.jpg');</v>
      </c>
      <c r="C1271" t="str">
        <f>VLOOKUP(categories!B1271,'categories-old'!B:G,6,FALSE)</f>
        <v>/img1/img62ec.jpg</v>
      </c>
      <c r="D1271" t="str">
        <f>VLOOKUP(categories!B1271,'categories-old'!B:H,7,FALSE)</f>
        <v>www.americanretailsupply.com\65152\756600\Suit-Dress-Forms\Womens-Dress--Blouse-Form-with-Metal-Base.html</v>
      </c>
    </row>
    <row r="1272" spans="1:4" hidden="1" x14ac:dyDescent="0.25">
      <c r="A1272" t="str">
        <f>IF(LEN('categories-old'!G1272) &gt; 0, "INSERT INTO `catalog_category_entity_varchar` (attribute_id,store_id,entity_id,value) VALUES (48,0,"&amp;'categories-old'!B1272&amp;",'"&amp;RIGHT('categories-old'!G1272,LEN('categories-old'!G1272)-1)&amp;"');","")</f>
        <v>INSERT INTO `catalog_category_entity_varchar` (attribute_id,store_id,entity_id,value) VALUES (48,0,1238,'img2/img82b1.jpg');</v>
      </c>
      <c r="B1272" t="str">
        <f>IF(LEN(categories!G1272) &gt; 0, "INSERT INTO `catalog_category_entity_varchar` (attribute_id,store_id,entity_id,value) VALUES (48,0,"&amp;categories!B1272&amp;",'"&amp;RIGHT(categories!G1272,LEN(categories!G1272)-1)&amp;"');","")</f>
        <v>INSERT INTO `catalog_category_entity_varchar` (attribute_id,store_id,entity_id,value) VALUES (48,0,1245,'img3/imge747.jpg');</v>
      </c>
      <c r="C1272" t="str">
        <f>VLOOKUP(categories!B1272,'categories-old'!B:G,6,FALSE)</f>
        <v>/img3/imge747.jpg</v>
      </c>
      <c r="D1272" t="str">
        <f>VLOOKUP(categories!B1272,'categories-old'!B:H,7,FALSE)</f>
        <v>www.americanretailsupply.com\65152\756601\Suit-Dress-Forms\Mens-Suit--Shirt-Form-with-Metal-Base.html</v>
      </c>
    </row>
    <row r="1273" spans="1:4" hidden="1" x14ac:dyDescent="0.25">
      <c r="A1273" t="str">
        <f>IF(LEN('categories-old'!G1273) &gt; 0, "INSERT INTO `catalog_category_entity_varchar` (attribute_id,store_id,entity_id,value) VALUES (48,0,"&amp;'categories-old'!B1273&amp;",'"&amp;RIGHT('categories-old'!G1273,LEN('categories-old'!G1273)-1)&amp;"');","")</f>
        <v>INSERT INTO `catalog_category_entity_varchar` (attribute_id,store_id,entity_id,value) VALUES (48,0,1240,'img3/img1faf.jpg');</v>
      </c>
      <c r="B1273" t="str">
        <f>IF(LEN(categories!G1273) &gt; 0, "INSERT INTO `catalog_category_entity_varchar` (attribute_id,store_id,entity_id,value) VALUES (48,0,"&amp;categories!B1273&amp;",'"&amp;RIGHT(categories!G1273,LEN(categories!G1273)-1)&amp;"');","")</f>
        <v>INSERT INTO `catalog_category_entity_varchar` (attribute_id,store_id,entity_id,value) VALUES (48,0,1247,'img1/img3a2d.jpg');</v>
      </c>
      <c r="C1273" t="str">
        <f>VLOOKUP(categories!B1273,'categories-old'!B:G,6,FALSE)</f>
        <v>/img1/img3a2d.jpg</v>
      </c>
      <c r="D1273" t="str">
        <f>VLOOKUP(categories!B1273,'categories-old'!B:H,7,FALSE)</f>
        <v>www.americanretailsupply.com\64719\50116\Sullivan-GiftWrap\Ethnic-Animal-Prints--Classics-Giftwrap.html</v>
      </c>
    </row>
    <row r="1274" spans="1:4" hidden="1" x14ac:dyDescent="0.25">
      <c r="A1274" t="str">
        <f>IF(LEN('categories-old'!G1274) &gt; 0, "INSERT INTO `catalog_category_entity_varchar` (attribute_id,store_id,entity_id,value) VALUES (48,0,"&amp;'categories-old'!B1274&amp;",'"&amp;RIGHT('categories-old'!G1274,LEN('categories-old'!G1274)-1)&amp;"');","")</f>
        <v>INSERT INTO `catalog_category_entity_varchar` (attribute_id,store_id,entity_id,value) VALUES (48,0,1241,'img1/img9856.jpg');</v>
      </c>
      <c r="B1274" t="str">
        <f>IF(LEN(categories!G1274) &gt; 0, "INSERT INTO `catalog_category_entity_varchar` (attribute_id,store_id,entity_id,value) VALUES (48,0,"&amp;categories!B1274&amp;",'"&amp;RIGHT(categories!G1274,LEN(categories!G1274)-1)&amp;"');","")</f>
        <v>INSERT INTO `catalog_category_entity_varchar` (attribute_id,store_id,entity_id,value) VALUES (48,0,1248,'img3/imge5db.jpg');</v>
      </c>
      <c r="C1274" t="str">
        <f>VLOOKUP(categories!B1274,'categories-old'!B:G,6,FALSE)</f>
        <v>/img3/imge5db.jpg</v>
      </c>
      <c r="D1274" t="str">
        <f>VLOOKUP(categories!B1274,'categories-old'!B:H,7,FALSE)</f>
        <v>www.americanretailsupply.com\64719\50846\Sullivan-GiftWrap\Florentines-Florals-Fruits--Tapestries-Giftwrap-1.html</v>
      </c>
    </row>
    <row r="1275" spans="1:4" hidden="1" x14ac:dyDescent="0.25">
      <c r="A1275" t="str">
        <f>IF(LEN('categories-old'!G1275) &gt; 0, "INSERT INTO `catalog_category_entity_varchar` (attribute_id,store_id,entity_id,value) VALUES (48,0,"&amp;'categories-old'!B1275&amp;",'"&amp;RIGHT('categories-old'!G1275,LEN('categories-old'!G1275)-1)&amp;"');","")</f>
        <v>INSERT INTO `catalog_category_entity_varchar` (attribute_id,store_id,entity_id,value) VALUES (48,0,1242,'img2/img2124.jpg');</v>
      </c>
      <c r="B1275" t="str">
        <f>IF(LEN(categories!G1275) &gt; 0, "INSERT INTO `catalog_category_entity_varchar` (attribute_id,store_id,entity_id,value) VALUES (48,0,"&amp;categories!B1275&amp;",'"&amp;RIGHT(categories!G1275,LEN(categories!G1275)-1)&amp;"');","")</f>
        <v>INSERT INTO `catalog_category_entity_varchar` (attribute_id,store_id,entity_id,value) VALUES (48,0,1249,'img2/imge099.jpg');</v>
      </c>
      <c r="C1275" t="str">
        <f>VLOOKUP(categories!B1275,'categories-old'!B:G,6,FALSE)</f>
        <v>/img2/imge099.jpg</v>
      </c>
      <c r="D1275" t="str">
        <f>VLOOKUP(categories!B1275,'categories-old'!B:H,7,FALSE)</f>
        <v>www.americanretailsupply.com\64719\51636\Sullivan-GiftWrap\Florentines-Florals-Fruits--Tapestries-Gift-Wrap-2.html</v>
      </c>
    </row>
    <row r="1276" spans="1:4" hidden="1" x14ac:dyDescent="0.25">
      <c r="A1276" t="str">
        <f>IF(LEN('categories-old'!G1276) &gt; 0, "INSERT INTO `catalog_category_entity_varchar` (attribute_id,store_id,entity_id,value) VALUES (48,0,"&amp;'categories-old'!B1276&amp;",'"&amp;RIGHT('categories-old'!G1276,LEN('categories-old'!G1276)-1)&amp;"');","")</f>
        <v>INSERT INTO `catalog_category_entity_varchar` (attribute_id,store_id,entity_id,value) VALUES (48,0,1244,'img1/img62ec.jpg');</v>
      </c>
      <c r="B1276" t="str">
        <f>IF(LEN(categories!G1276) &gt; 0, "INSERT INTO `catalog_category_entity_varchar` (attribute_id,store_id,entity_id,value) VALUES (48,0,"&amp;categories!B1276&amp;",'"&amp;RIGHT(categories!G1276,LEN(categories!G1276)-1)&amp;"');","")</f>
        <v>INSERT INTO `catalog_category_entity_varchar` (attribute_id,store_id,entity_id,value) VALUES (48,0,1250,'img2/img6d25.jpg');</v>
      </c>
      <c r="C1276" t="str">
        <f>VLOOKUP(categories!B1276,'categories-old'!B:G,6,FALSE)</f>
        <v>/img2/img6d25.jpg</v>
      </c>
      <c r="D1276" t="str">
        <f>VLOOKUP(categories!B1276,'categories-old'!B:H,7,FALSE)</f>
        <v>www.americanretailsupply.com\64719\51688\Sullivan-GiftWrap\Wedding--Shower.html</v>
      </c>
    </row>
    <row r="1277" spans="1:4" hidden="1" x14ac:dyDescent="0.25">
      <c r="A1277" t="str">
        <f>IF(LEN('categories-old'!G1277) &gt; 0, "INSERT INTO `catalog_category_entity_varchar` (attribute_id,store_id,entity_id,value) VALUES (48,0,"&amp;'categories-old'!B1277&amp;",'"&amp;RIGHT('categories-old'!G1277,LEN('categories-old'!G1277)-1)&amp;"');","")</f>
        <v>INSERT INTO `catalog_category_entity_varchar` (attribute_id,store_id,entity_id,value) VALUES (48,0,1245,'img3/imge747.jpg');</v>
      </c>
      <c r="B1277" t="str">
        <f>IF(LEN(categories!G1277) &gt; 0, "INSERT INTO `catalog_category_entity_varchar` (attribute_id,store_id,entity_id,value) VALUES (48,0,"&amp;categories!B1277&amp;",'"&amp;RIGHT(categories!G1277,LEN(categories!G1277)-1)&amp;"');","")</f>
        <v>INSERT INTO `catalog_category_entity_varchar` (attribute_id,store_id,entity_id,value) VALUES (48,0,1251,'img3/imgf69b.jpg');</v>
      </c>
      <c r="C1277" t="str">
        <f>VLOOKUP(categories!B1277,'categories-old'!B:G,6,FALSE)</f>
        <v>/img3/imgf69b.jpg</v>
      </c>
      <c r="D1277" t="str">
        <f>VLOOKUP(categories!B1277,'categories-old'!B:H,7,FALSE)</f>
        <v>www.americanretailsupply.com\64719\51689\Sullivan-GiftWrap\Valentines-Day-Giftwrap.html</v>
      </c>
    </row>
    <row r="1278" spans="1:4" hidden="1" x14ac:dyDescent="0.25">
      <c r="A1278" t="str">
        <f>IF(LEN('categories-old'!G1278) &gt; 0, "INSERT INTO `catalog_category_entity_varchar` (attribute_id,store_id,entity_id,value) VALUES (48,0,"&amp;'categories-old'!B1278&amp;",'"&amp;RIGHT('categories-old'!G1278,LEN('categories-old'!G1278)-1)&amp;"');","")</f>
        <v>INSERT INTO `catalog_category_entity_varchar` (attribute_id,store_id,entity_id,value) VALUES (48,0,1247,'img1/img3a2d.jpg');</v>
      </c>
      <c r="B1278" t="str">
        <f>IF(LEN(categories!G1278) &gt; 0, "INSERT INTO `catalog_category_entity_varchar` (attribute_id,store_id,entity_id,value) VALUES (48,0,"&amp;categories!B1278&amp;",'"&amp;RIGHT(categories!G1278,LEN(categories!G1278)-1)&amp;"');","")</f>
        <v>INSERT INTO `catalog_category_entity_varchar` (attribute_id,store_id,entity_id,value) VALUES (48,0,1252,'img1/img76c6.jpg');</v>
      </c>
      <c r="C1278" t="str">
        <f>VLOOKUP(categories!B1278,'categories-old'!B:G,6,FALSE)</f>
        <v>/img1/img76c6.jpg</v>
      </c>
      <c r="D1278" t="str">
        <f>VLOOKUP(categories!B1278,'categories-old'!B:H,7,FALSE)</f>
        <v>www.americanretailsupply.com\64719\51720\Sullivan-GiftWrap\Foils-Metallics-and-Pearlescents-Giftwrap.html</v>
      </c>
    </row>
    <row r="1279" spans="1:4" hidden="1" x14ac:dyDescent="0.25">
      <c r="A1279" t="str">
        <f>IF(LEN('categories-old'!G1279) &gt; 0, "INSERT INTO `catalog_category_entity_varchar` (attribute_id,store_id,entity_id,value) VALUES (48,0,"&amp;'categories-old'!B1279&amp;",'"&amp;RIGHT('categories-old'!G1279,LEN('categories-old'!G1279)-1)&amp;"');","")</f>
        <v>INSERT INTO `catalog_category_entity_varchar` (attribute_id,store_id,entity_id,value) VALUES (48,0,1248,'img3/imge5db.jpg');</v>
      </c>
      <c r="B1279" t="str">
        <f>IF(LEN(categories!G1279) &gt; 0, "INSERT INTO `catalog_category_entity_varchar` (attribute_id,store_id,entity_id,value) VALUES (48,0,"&amp;categories!B1279&amp;",'"&amp;RIGHT(categories!G1279,LEN(categories!G1279)-1)&amp;"');","")</f>
        <v>INSERT INTO `catalog_category_entity_varchar` (attribute_id,store_id,entity_id,value) VALUES (48,0,1253,'img1/img256a.jpg');</v>
      </c>
      <c r="C1279" t="str">
        <f>VLOOKUP(categories!B1279,'categories-old'!B:G,6,FALSE)</f>
        <v>/img1/img256a.jpg</v>
      </c>
      <c r="D1279" t="str">
        <f>VLOOKUP(categories!B1279,'categories-old'!B:H,7,FALSE)</f>
        <v>www.americanretailsupply.com\64719\51722\Sullivan-GiftWrap\Birthday-Celebration--Party-Giftwrap.html</v>
      </c>
    </row>
    <row r="1280" spans="1:4" hidden="1" x14ac:dyDescent="0.25">
      <c r="A1280" t="str">
        <f>IF(LEN('categories-old'!G1280) &gt; 0, "INSERT INTO `catalog_category_entity_varchar` (attribute_id,store_id,entity_id,value) VALUES (48,0,"&amp;'categories-old'!B1280&amp;",'"&amp;RIGHT('categories-old'!G1280,LEN('categories-old'!G1280)-1)&amp;"');","")</f>
        <v>INSERT INTO `catalog_category_entity_varchar` (attribute_id,store_id,entity_id,value) VALUES (48,0,1249,'img2/imge099.jpg');</v>
      </c>
      <c r="B1280" t="str">
        <f>IF(LEN(categories!G1280) &gt; 0, "INSERT INTO `catalog_category_entity_varchar` (attribute_id,store_id,entity_id,value) VALUES (48,0,"&amp;categories!B1280&amp;",'"&amp;RIGHT(categories!G1280,LEN(categories!G1280)-1)&amp;"');","")</f>
        <v>INSERT INTO `catalog_category_entity_varchar` (attribute_id,store_id,entity_id,value) VALUES (48,0,1254,'img1/img5358.jpg');</v>
      </c>
      <c r="C1280" t="str">
        <f>VLOOKUP(categories!B1280,'categories-old'!B:G,6,FALSE)</f>
        <v>/img1/img5358.jpg</v>
      </c>
      <c r="D1280" t="str">
        <f>VLOOKUP(categories!B1280,'categories-old'!B:H,7,FALSE)</f>
        <v>www.americanretailsupply.com\64719\51723\Sullivan-GiftWrap\Baby--Juvenile-Giftwrap.html</v>
      </c>
    </row>
    <row r="1281" spans="1:4" hidden="1" x14ac:dyDescent="0.25">
      <c r="A1281" t="str">
        <f>IF(LEN('categories-old'!G1281) &gt; 0, "INSERT INTO `catalog_category_entity_varchar` (attribute_id,store_id,entity_id,value) VALUES (48,0,"&amp;'categories-old'!B1281&amp;",'"&amp;RIGHT('categories-old'!G1281,LEN('categories-old'!G1281)-1)&amp;"');","")</f>
        <v>INSERT INTO `catalog_category_entity_varchar` (attribute_id,store_id,entity_id,value) VALUES (48,0,1250,'img2/img6d25.jpg');</v>
      </c>
      <c r="B1281" t="str">
        <f>IF(LEN(categories!G1281) &gt; 0, "INSERT INTO `catalog_category_entity_varchar` (attribute_id,store_id,entity_id,value) VALUES (48,0,"&amp;categories!B1281&amp;",'"&amp;RIGHT(categories!G1281,LEN(categories!G1281)-1)&amp;"');","")</f>
        <v>INSERT INTO `catalog_category_entity_varchar` (attribute_id,store_id,entity_id,value) VALUES (48,0,1255,'img2/img2c01.jpg');</v>
      </c>
      <c r="C1281" t="str">
        <f>VLOOKUP(categories!B1281,'categories-old'!B:G,6,FALSE)</f>
        <v>/img2/img2c01.jpg</v>
      </c>
      <c r="D1281" t="str">
        <f>VLOOKUP(categories!B1281,'categories-old'!B:H,7,FALSE)</f>
        <v>www.americanretailsupply.com\64719\51748\Sullivan-GiftWrap\Geometrics-Giftwrap.html</v>
      </c>
    </row>
    <row r="1282" spans="1:4" hidden="1" x14ac:dyDescent="0.25">
      <c r="A1282" t="str">
        <f>IF(LEN('categories-old'!G1282) &gt; 0, "INSERT INTO `catalog_category_entity_varchar` (attribute_id,store_id,entity_id,value) VALUES (48,0,"&amp;'categories-old'!B1282&amp;",'"&amp;RIGHT('categories-old'!G1282,LEN('categories-old'!G1282)-1)&amp;"');","")</f>
        <v>INSERT INTO `catalog_category_entity_varchar` (attribute_id,store_id,entity_id,value) VALUES (48,0,1251,'img3/imgf69b.jpg');</v>
      </c>
      <c r="B1282" t="str">
        <f>IF(LEN(categories!G1282) &gt; 0, "INSERT INTO `catalog_category_entity_varchar` (attribute_id,store_id,entity_id,value) VALUES (48,0,"&amp;categories!B1282&amp;",'"&amp;RIGHT(categories!G1282,LEN(categories!G1282)-1)&amp;"');","")</f>
        <v>INSERT INTO `catalog_category_entity_varchar` (attribute_id,store_id,entity_id,value) VALUES (48,0,1256,'img1/img71c0.jpg');</v>
      </c>
      <c r="C1282" t="str">
        <f>VLOOKUP(categories!B1282,'categories-old'!B:G,6,FALSE)</f>
        <v>/img1/img71c0.jpg</v>
      </c>
      <c r="D1282" t="str">
        <f>VLOOKUP(categories!B1282,'categories-old'!B:H,7,FALSE)</f>
        <v>www.americanretailsupply.com\64719\51749\Sullivan-GiftWrap\Dots-Stripes--Miscellaneous-Gift-Wrap.html</v>
      </c>
    </row>
    <row r="1283" spans="1:4" hidden="1" x14ac:dyDescent="0.25">
      <c r="A1283" t="str">
        <f>IF(LEN('categories-old'!G1283) &gt; 0, "INSERT INTO `catalog_category_entity_varchar` (attribute_id,store_id,entity_id,value) VALUES (48,0,"&amp;'categories-old'!B1283&amp;",'"&amp;RIGHT('categories-old'!G1283,LEN('categories-old'!G1283)-1)&amp;"');","")</f>
        <v>INSERT INTO `catalog_category_entity_varchar` (attribute_id,store_id,entity_id,value) VALUES (48,0,1252,'img1/img76c6.jpg');</v>
      </c>
      <c r="B1283" t="str">
        <f>IF(LEN(categories!G1283) &gt; 0, "INSERT INTO `catalog_category_entity_varchar` (attribute_id,store_id,entity_id,value) VALUES (48,0,"&amp;categories!B1283&amp;",'"&amp;RIGHT(categories!G1283,LEN(categories!G1283)-1)&amp;"');","")</f>
        <v>INSERT INTO `catalog_category_entity_varchar` (attribute_id,store_id,entity_id,value) VALUES (48,0,1257,'img3/img4449.jpg');</v>
      </c>
      <c r="C1283" t="str">
        <f>VLOOKUP(categories!B1283,'categories-old'!B:G,6,FALSE)</f>
        <v>/img3/img4449.jpg</v>
      </c>
      <c r="D1283" t="str">
        <f>VLOOKUP(categories!B1283,'categories-old'!B:H,7,FALSE)</f>
        <v>www.americanretailsupply.com\64719\51750\Sullivan-GiftWrap\Pastimes-Sports-Sailing-Marbles--Masculine-Giftwrap.html</v>
      </c>
    </row>
    <row r="1284" spans="1:4" hidden="1" x14ac:dyDescent="0.25">
      <c r="A1284" t="str">
        <f>IF(LEN('categories-old'!G1284) &gt; 0, "INSERT INTO `catalog_category_entity_varchar` (attribute_id,store_id,entity_id,value) VALUES (48,0,"&amp;'categories-old'!B1284&amp;",'"&amp;RIGHT('categories-old'!G1284,LEN('categories-old'!G1284)-1)&amp;"');","")</f>
        <v>INSERT INTO `catalog_category_entity_varchar` (attribute_id,store_id,entity_id,value) VALUES (48,0,1253,'img1/img256a.jpg');</v>
      </c>
      <c r="B1284" t="str">
        <f>IF(LEN(categories!G1284) &gt; 0, "INSERT INTO `catalog_category_entity_varchar` (attribute_id,store_id,entity_id,value) VALUES (48,0,"&amp;categories!B1284&amp;",'"&amp;RIGHT(categories!G1284,LEN(categories!G1284)-1)&amp;"');","")</f>
        <v>INSERT INTO `catalog_category_entity_varchar` (attribute_id,store_id,entity_id,value) VALUES (48,0,1258,'img1/imga5d9.jpg');</v>
      </c>
      <c r="C1284" t="str">
        <f>VLOOKUP(categories!B1284,'categories-old'!B:G,6,FALSE)</f>
        <v>/img1/imga5d9.jpg</v>
      </c>
      <c r="D1284" t="str">
        <f>VLOOKUP(categories!B1284,'categories-old'!B:H,7,FALSE)</f>
        <v>www.americanretailsupply.com\64719\434882\Sullivan-GiftWrap\Solid-Colored-Giftwrap.html</v>
      </c>
    </row>
    <row r="1285" spans="1:4" hidden="1" x14ac:dyDescent="0.25">
      <c r="A1285" t="str">
        <f>IF(LEN('categories-old'!G1285) &gt; 0, "INSERT INTO `catalog_category_entity_varchar` (attribute_id,store_id,entity_id,value) VALUES (48,0,"&amp;'categories-old'!B1285&amp;",'"&amp;RIGHT('categories-old'!G1285,LEN('categories-old'!G1285)-1)&amp;"');","")</f>
        <v>INSERT INTO `catalog_category_entity_varchar` (attribute_id,store_id,entity_id,value) VALUES (48,0,1254,'img1/img5358.jpg');</v>
      </c>
      <c r="B1285" t="str">
        <f>IF(LEN(categories!G1285) &gt; 0, "INSERT INTO `catalog_category_entity_varchar` (attribute_id,store_id,entity_id,value) VALUES (48,0,"&amp;categories!B1285&amp;",'"&amp;RIGHT(categories!G1285,LEN(categories!G1285)-1)&amp;"');","")</f>
        <v>INSERT INTO `catalog_category_entity_varchar` (attribute_id,store_id,entity_id,value) VALUES (48,0,1259,'img2/img3639.jpg');</v>
      </c>
      <c r="C1285" t="str">
        <f>VLOOKUP(categories!B1285,'categories-old'!B:G,6,FALSE)</f>
        <v>/img2/img3639.jpg</v>
      </c>
      <c r="D1285" t="str">
        <f>VLOOKUP(categories!B1285,'categories-old'!B:H,7,FALSE)</f>
        <v>www.americanretailsupply.com\64719\434967\Sullivan-GiftWrap\Special-Occasions-Giftwrap.html</v>
      </c>
    </row>
    <row r="1286" spans="1:4" hidden="1" x14ac:dyDescent="0.25">
      <c r="A1286" t="str">
        <f>IF(LEN('categories-old'!G1286) &gt; 0, "INSERT INTO `catalog_category_entity_varchar` (attribute_id,store_id,entity_id,value) VALUES (48,0,"&amp;'categories-old'!B1286&amp;",'"&amp;RIGHT('categories-old'!G1286,LEN('categories-old'!G1286)-1)&amp;"');","")</f>
        <v>INSERT INTO `catalog_category_entity_varchar` (attribute_id,store_id,entity_id,value) VALUES (48,0,1255,'img2/img2c01.jpg');</v>
      </c>
      <c r="B1286" t="str">
        <f>IF(LEN(categories!G1286) &gt; 0, "INSERT INTO `catalog_category_entity_varchar` (attribute_id,store_id,entity_id,value) VALUES (48,0,"&amp;categories!B1286&amp;",'"&amp;RIGHT(categories!G1286,LEN(categories!G1286)-1)&amp;"');","")</f>
        <v>INSERT INTO `catalog_category_entity_varchar` (attribute_id,store_id,entity_id,value) VALUES (48,0,1261,'img2/imgce19.jpg');</v>
      </c>
      <c r="C1286" t="str">
        <f>VLOOKUP(categories!B1286,'categories-old'!B:G,6,FALSE)</f>
        <v>/img2/imgce19.jpg</v>
      </c>
      <c r="D1286" t="str">
        <f>VLOOKUP(categories!B1286,'categories-old'!B:H,7,FALSE)</f>
        <v>www.americanretailsupply.com\64684\231731\Tach-It-Taggers\Replacement-Needles.html</v>
      </c>
    </row>
    <row r="1287" spans="1:4" hidden="1" x14ac:dyDescent="0.25">
      <c r="A1287" t="str">
        <f>IF(LEN('categories-old'!G1287) &gt; 0, "INSERT INTO `catalog_category_entity_varchar` (attribute_id,store_id,entity_id,value) VALUES (48,0,"&amp;'categories-old'!B1287&amp;",'"&amp;RIGHT('categories-old'!G1287,LEN('categories-old'!G1287)-1)&amp;"');","")</f>
        <v>INSERT INTO `catalog_category_entity_varchar` (attribute_id,store_id,entity_id,value) VALUES (48,0,1256,'img1/img71c0.jpg');</v>
      </c>
      <c r="B1287" t="str">
        <f>IF(LEN(categories!G1287) &gt; 0, "INSERT INTO `catalog_category_entity_varchar` (attribute_id,store_id,entity_id,value) VALUES (48,0,"&amp;categories!B1287&amp;",'"&amp;RIGHT(categories!G1287,LEN(categories!G1287)-1)&amp;"');","")</f>
        <v>INSERT INTO `catalog_category_entity_varchar` (attribute_id,store_id,entity_id,value) VALUES (48,0,1262,'img2/img4c69.jpg');</v>
      </c>
      <c r="C1287" t="str">
        <f>VLOOKUP(categories!B1287,'categories-old'!B:G,6,FALSE)</f>
        <v>/img2/img4c69.jpg</v>
      </c>
      <c r="D1287" t="str">
        <f>VLOOKUP(categories!B1287,'categories-old'!B:H,7,FALSE)</f>
        <v>www.americanretailsupply.com\64684\231732\Tach-It-Taggers\TACH-IT-Taggers.html</v>
      </c>
    </row>
    <row r="1288" spans="1:4" hidden="1" x14ac:dyDescent="0.25">
      <c r="A1288" t="str">
        <f>IF(LEN('categories-old'!G1288) &gt; 0, "INSERT INTO `catalog_category_entity_varchar` (attribute_id,store_id,entity_id,value) VALUES (48,0,"&amp;'categories-old'!B1288&amp;",'"&amp;RIGHT('categories-old'!G1288,LEN('categories-old'!G1288)-1)&amp;"');","")</f>
        <v>INSERT INTO `catalog_category_entity_varchar` (attribute_id,store_id,entity_id,value) VALUES (48,0,1257,'img3/img4449.jpg');</v>
      </c>
      <c r="B1288" t="str">
        <f>IF(LEN(categories!G1288) &gt; 0, "INSERT INTO `catalog_category_entity_varchar` (attribute_id,store_id,entity_id,value) VALUES (48,0,"&amp;categories!B1288&amp;",'"&amp;RIGHT(categories!G1288,LEN(categories!G1288)-1)&amp;"');","")</f>
        <v>INSERT INTO `catalog_category_entity_varchar` (attribute_id,store_id,entity_id,value) VALUES (48,0,1263,'img1/img7275.jpg');</v>
      </c>
      <c r="C1288" t="str">
        <f>VLOOKUP(categories!B1288,'categories-old'!B:G,6,FALSE)</f>
        <v>/img1/img7275.jpg</v>
      </c>
      <c r="D1288" t="str">
        <f>VLOOKUP(categories!B1288,'categories-old'!B:H,7,FALSE)</f>
        <v>www.americanretailsupply.com\64684\231735\Tach-It-Taggers\Tach-IT-Fasteners.html</v>
      </c>
    </row>
    <row r="1289" spans="1:4" hidden="1" x14ac:dyDescent="0.25">
      <c r="A1289" t="str">
        <f>IF(LEN('categories-old'!G1289) &gt; 0, "INSERT INTO `catalog_category_entity_varchar` (attribute_id,store_id,entity_id,value) VALUES (48,0,"&amp;'categories-old'!B1289&amp;",'"&amp;RIGHT('categories-old'!G1289,LEN('categories-old'!G1289)-1)&amp;"');","")</f>
        <v>INSERT INTO `catalog_category_entity_varchar` (attribute_id,store_id,entity_id,value) VALUES (48,0,1258,'img1/imga5d9.jpg');</v>
      </c>
      <c r="B1289" t="str">
        <f>IF(LEN(categories!G1289) &gt; 0, "INSERT INTO `catalog_category_entity_varchar` (attribute_id,store_id,entity_id,value) VALUES (48,0,"&amp;categories!B1289&amp;",'"&amp;RIGHT(categories!G1289,LEN(categories!G1289)-1)&amp;"');","")</f>
        <v>INSERT INTO `catalog_category_entity_varchar` (attribute_id,store_id,entity_id,value) VALUES (48,0,1265,'img3/imge0df.jpg');</v>
      </c>
      <c r="C1289" t="str">
        <f>VLOOKUP(categories!B1289,'categories-old'!B:G,6,FALSE)</f>
        <v>/img3/imge0df.jpg</v>
      </c>
      <c r="D1289" t="str">
        <f>VLOOKUP(categories!B1289,'categories-old'!B:H,7,FALSE)</f>
        <v>www.americanretailsupply.com\64980\1756\Tags\Manila-Blank-Tags.html</v>
      </c>
    </row>
    <row r="1290" spans="1:4" hidden="1" x14ac:dyDescent="0.25">
      <c r="A1290" t="str">
        <f>IF(LEN('categories-old'!G1290) &gt; 0, "INSERT INTO `catalog_category_entity_varchar` (attribute_id,store_id,entity_id,value) VALUES (48,0,"&amp;'categories-old'!B1290&amp;",'"&amp;RIGHT('categories-old'!G1290,LEN('categories-old'!G1290)-1)&amp;"');","")</f>
        <v>INSERT INTO `catalog_category_entity_varchar` (attribute_id,store_id,entity_id,value) VALUES (48,0,1259,'img2/img3639.jpg');</v>
      </c>
      <c r="B1290" t="str">
        <f>IF(LEN(categories!G1290) &gt; 0, "INSERT INTO `catalog_category_entity_varchar` (attribute_id,store_id,entity_id,value) VALUES (48,0,"&amp;categories!B1290&amp;",'"&amp;RIGHT(categories!G1290,LEN(categories!G1290)-1)&amp;"');","")</f>
        <v>INSERT INTO `catalog_category_entity_varchar` (attribute_id,store_id,entity_id,value) VALUES (48,0,1266,'img1/imgf9bc.jpg');</v>
      </c>
      <c r="C1290" t="str">
        <f>VLOOKUP(categories!B1290,'categories-old'!B:G,6,FALSE)</f>
        <v>/img1/imgf9bc.jpg</v>
      </c>
      <c r="D1290" t="str">
        <f>VLOOKUP(categories!B1290,'categories-old'!B:H,7,FALSE)</f>
        <v>www.americanretailsupply.com\64980\1757\Tags\Blank-White-Scallop-Top-Tags.html</v>
      </c>
    </row>
    <row r="1291" spans="1:4" hidden="1" x14ac:dyDescent="0.25">
      <c r="A1291" t="str">
        <f>IF(LEN('categories-old'!G1291) &gt; 0, "INSERT INTO `catalog_category_entity_varchar` (attribute_id,store_id,entity_id,value) VALUES (48,0,"&amp;'categories-old'!B1291&amp;",'"&amp;RIGHT('categories-old'!G1291,LEN('categories-old'!G1291)-1)&amp;"');","")</f>
        <v>INSERT INTO `catalog_category_entity_varchar` (attribute_id,store_id,entity_id,value) VALUES (48,0,1261,'img2/imgce19.jpg');</v>
      </c>
      <c r="B1291" t="str">
        <f>IF(LEN(categories!G1291) &gt; 0, "INSERT INTO `catalog_category_entity_varchar` (attribute_id,store_id,entity_id,value) VALUES (48,0,"&amp;categories!B1291&amp;",'"&amp;RIGHT(categories!G1291,LEN(categories!G1291)-1)&amp;"');","")</f>
        <v>INSERT INTO `catalog_category_entity_varchar` (attribute_id,store_id,entity_id,value) VALUES (48,0,1267,'img1/imgaa2e.jpg');</v>
      </c>
      <c r="C1291" t="str">
        <f>VLOOKUP(categories!B1291,'categories-old'!B:G,6,FALSE)</f>
        <v>/img1/imgaa2e.jpg</v>
      </c>
      <c r="D1291" t="str">
        <f>VLOOKUP(categories!B1291,'categories-old'!B:H,7,FALSE)</f>
        <v>www.americanretailsupply.com\64980\47297\Tags\Apparel-Tags-Colored-with-Perforation.html</v>
      </c>
    </row>
    <row r="1292" spans="1:4" hidden="1" x14ac:dyDescent="0.25">
      <c r="A1292" t="str">
        <f>IF(LEN('categories-old'!G1292) &gt; 0, "INSERT INTO `catalog_category_entity_varchar` (attribute_id,store_id,entity_id,value) VALUES (48,0,"&amp;'categories-old'!B1292&amp;",'"&amp;RIGHT('categories-old'!G1292,LEN('categories-old'!G1292)-1)&amp;"');","")</f>
        <v>INSERT INTO `catalog_category_entity_varchar` (attribute_id,store_id,entity_id,value) VALUES (48,0,1262,'img2/img4c69.jpg');</v>
      </c>
      <c r="B1292" t="str">
        <f>IF(LEN(categories!G1292) &gt; 0, "INSERT INTO `catalog_category_entity_varchar` (attribute_id,store_id,entity_id,value) VALUES (48,0,"&amp;categories!B1292&amp;",'"&amp;RIGHT(categories!G1292,LEN(categories!G1292)-1)&amp;"');","")</f>
        <v>INSERT INTO `catalog_category_entity_varchar` (attribute_id,store_id,entity_id,value) VALUES (48,0,1268,'img1/img0cec.jpg');</v>
      </c>
      <c r="C1292" t="str">
        <f>VLOOKUP(categories!B1292,'categories-old'!B:G,6,FALSE)</f>
        <v>/img1/img0cec.jpg</v>
      </c>
      <c r="D1292" t="str">
        <f>VLOOKUP(categories!B1292,'categories-old'!B:H,7,FALSE)</f>
        <v>www.americanretailsupply.com\64980\47299\Tags\Manila-Service-Tags.html</v>
      </c>
    </row>
    <row r="1293" spans="1:4" hidden="1" x14ac:dyDescent="0.25">
      <c r="A1293" t="str">
        <f>IF(LEN('categories-old'!G1293) &gt; 0, "INSERT INTO `catalog_category_entity_varchar` (attribute_id,store_id,entity_id,value) VALUES (48,0,"&amp;'categories-old'!B1293&amp;",'"&amp;RIGHT('categories-old'!G1293,LEN('categories-old'!G1293)-1)&amp;"');","")</f>
        <v>INSERT INTO `catalog_category_entity_varchar` (attribute_id,store_id,entity_id,value) VALUES (48,0,1263,'img1/img7275.jpg');</v>
      </c>
      <c r="B1293" t="str">
        <f>IF(LEN(categories!G1293) &gt; 0, "INSERT INTO `catalog_category_entity_varchar` (attribute_id,store_id,entity_id,value) VALUES (48,0,"&amp;categories!B1293&amp;",'"&amp;RIGHT(categories!G1293,LEN(categories!G1293)-1)&amp;"');","")</f>
        <v>INSERT INTO `catalog_category_entity_varchar` (attribute_id,store_id,entity_id,value) VALUES (48,0,1269,'img2/img9741-2.jpg');</v>
      </c>
      <c r="C1293" t="str">
        <f>VLOOKUP(categories!B1293,'categories-old'!B:G,6,FALSE)</f>
        <v>/img2/img9741-2.jpg</v>
      </c>
      <c r="D1293" t="str">
        <f>VLOOKUP(categories!B1293,'categories-old'!B:H,7,FALSE)</f>
        <v>www.americanretailsupply.com\64980\47307\Tags\Sale-Price-Tags.html</v>
      </c>
    </row>
    <row r="1294" spans="1:4" hidden="1" x14ac:dyDescent="0.25">
      <c r="A1294" t="str">
        <f>IF(LEN('categories-old'!G1294) &gt; 0, "INSERT INTO `catalog_category_entity_varchar` (attribute_id,store_id,entity_id,value) VALUES (48,0,"&amp;'categories-old'!B1294&amp;",'"&amp;RIGHT('categories-old'!G1294,LEN('categories-old'!G1294)-1)&amp;"');","")</f>
        <v>INSERT INTO `catalog_category_entity_varchar` (attribute_id,store_id,entity_id,value) VALUES (48,0,1265,'img3/imge0df.jpg');</v>
      </c>
      <c r="B1294" t="str">
        <f>IF(LEN(categories!G1294) &gt; 0, "INSERT INTO `catalog_category_entity_varchar` (attribute_id,store_id,entity_id,value) VALUES (48,0,"&amp;categories!B1294&amp;",'"&amp;RIGHT(categories!G1294,LEN(categories!G1294)-1)&amp;"');","")</f>
        <v>INSERT INTO `catalog_category_entity_varchar` (attribute_id,store_id,entity_id,value) VALUES (48,0,1270,'img1/img3c7e.jpg');</v>
      </c>
      <c r="C1294" t="str">
        <f>VLOOKUP(categories!B1294,'categories-old'!B:G,6,FALSE)</f>
        <v>/img1/img3c7e.jpg</v>
      </c>
      <c r="D1294" t="str">
        <f>VLOOKUP(categories!B1294,'categories-old'!B:H,7,FALSE)</f>
        <v>www.americanretailsupply.com\64980\173733\Tags\Sold--Hold-Tags.html</v>
      </c>
    </row>
    <row r="1295" spans="1:4" hidden="1" x14ac:dyDescent="0.25">
      <c r="A1295" t="str">
        <f>IF(LEN('categories-old'!G1295) &gt; 0, "INSERT INTO `catalog_category_entity_varchar` (attribute_id,store_id,entity_id,value) VALUES (48,0,"&amp;'categories-old'!B1295&amp;",'"&amp;RIGHT('categories-old'!G1295,LEN('categories-old'!G1295)-1)&amp;"');","")</f>
        <v>INSERT INTO `catalog_category_entity_varchar` (attribute_id,store_id,entity_id,value) VALUES (48,0,1266,'img1/imgf9bc.jpg');</v>
      </c>
      <c r="B1295" t="str">
        <f>IF(LEN(categories!G1295) &gt; 0, "INSERT INTO `catalog_category_entity_varchar` (attribute_id,store_id,entity_id,value) VALUES (48,0,"&amp;categories!B1295&amp;",'"&amp;RIGHT(categories!G1295,LEN(categories!G1295)-1)&amp;"');","")</f>
        <v>INSERT INTO `catalog_category_entity_varchar` (attribute_id,store_id,entity_id,value) VALUES (48,0,1271,'img1/imgbd5e.jpg');</v>
      </c>
      <c r="C1295" t="str">
        <f>VLOOKUP(categories!B1295,'categories-old'!B:G,6,FALSE)</f>
        <v>/img1/imgbd5e.jpg</v>
      </c>
      <c r="D1295" t="str">
        <f>VLOOKUP(categories!B1295,'categories-old'!B:H,7,FALSE)</f>
        <v>www.americanretailsupply.com\64980\226084\Tags\White-Rectangle-Apparel-Tags.html</v>
      </c>
    </row>
    <row r="1296" spans="1:4" hidden="1" x14ac:dyDescent="0.25">
      <c r="A1296" t="str">
        <f>IF(LEN('categories-old'!G1296) &gt; 0, "INSERT INTO `catalog_category_entity_varchar` (attribute_id,store_id,entity_id,value) VALUES (48,0,"&amp;'categories-old'!B1296&amp;",'"&amp;RIGHT('categories-old'!G1296,LEN('categories-old'!G1296)-1)&amp;"');","")</f>
        <v>INSERT INTO `catalog_category_entity_varchar` (attribute_id,store_id,entity_id,value) VALUES (48,0,1267,'img1/imgaa2e.jpg');</v>
      </c>
      <c r="B1296" t="str">
        <f>IF(LEN(categories!G1296) &gt; 0, "INSERT INTO `catalog_category_entity_varchar` (attribute_id,store_id,entity_id,value) VALUES (48,0,"&amp;categories!B1296&amp;",'"&amp;RIGHT(categories!G1296,LEN(categories!G1296)-1)&amp;"');","")</f>
        <v>INSERT INTO `catalog_category_entity_varchar` (attribute_id,store_id,entity_id,value) VALUES (48,0,1273,'img1/imgf949.jpg');</v>
      </c>
      <c r="C1296" t="str">
        <f>VLOOKUP(categories!B1296,'categories-old'!B:G,6,FALSE)</f>
        <v>/img1/imgf949.jpg</v>
      </c>
      <c r="D1296" t="str">
        <f>VLOOKUP(categories!B1296,'categories-old'!B:H,7,FALSE)</f>
        <v>www.americanretailsupply.com\64849\48235\Tape\3M-Carton-Sealing-Tape.html</v>
      </c>
    </row>
    <row r="1297" spans="1:4" hidden="1" x14ac:dyDescent="0.25">
      <c r="A1297" t="str">
        <f>IF(LEN('categories-old'!G1297) &gt; 0, "INSERT INTO `catalog_category_entity_varchar` (attribute_id,store_id,entity_id,value) VALUES (48,0,"&amp;'categories-old'!B1297&amp;",'"&amp;RIGHT('categories-old'!G1297,LEN('categories-old'!G1297)-1)&amp;"');","")</f>
        <v>INSERT INTO `catalog_category_entity_varchar` (attribute_id,store_id,entity_id,value) VALUES (48,0,1268,'img1/img0cec.jpg');</v>
      </c>
      <c r="B1297" t="str">
        <f>IF(LEN(categories!G1297) &gt; 0, "INSERT INTO `catalog_category_entity_varchar` (attribute_id,store_id,entity_id,value) VALUES (48,0,"&amp;categories!B1297&amp;",'"&amp;RIGHT(categories!G1297,LEN(categories!G1297)-1)&amp;"');","")</f>
        <v>INSERT INTO `catalog_category_entity_varchar` (attribute_id,store_id,entity_id,value) VALUES (48,0,1274,'img2/img3fec.jpg');</v>
      </c>
      <c r="C1297" t="str">
        <f>VLOOKUP(categories!B1297,'categories-old'!B:G,6,FALSE)</f>
        <v>/img2/img3fec.jpg</v>
      </c>
      <c r="D1297" t="str">
        <f>VLOOKUP(categories!B1297,'categories-old'!B:H,7,FALSE)</f>
        <v>www.americanretailsupply.com\64849\48236\Tape\Hand-Held-Tape-Dispensers.html</v>
      </c>
    </row>
    <row r="1298" spans="1:4" hidden="1" x14ac:dyDescent="0.25">
      <c r="A1298" t="str">
        <f>IF(LEN('categories-old'!G1298) &gt; 0, "INSERT INTO `catalog_category_entity_varchar` (attribute_id,store_id,entity_id,value) VALUES (48,0,"&amp;'categories-old'!B1298&amp;",'"&amp;RIGHT('categories-old'!G1298,LEN('categories-old'!G1298)-1)&amp;"');","")</f>
        <v>INSERT INTO `catalog_category_entity_varchar` (attribute_id,store_id,entity_id,value) VALUES (48,0,1269,'img2/img9741-2.jpg');</v>
      </c>
      <c r="B1298" t="str">
        <f>IF(LEN(categories!G1298) &gt; 0, "INSERT INTO `catalog_category_entity_varchar` (attribute_id,store_id,entity_id,value) VALUES (48,0,"&amp;categories!B1298&amp;",'"&amp;RIGHT(categories!G1298,LEN(categories!G1298)-1)&amp;"');","")</f>
        <v>INSERT INTO `catalog_category_entity_varchar` (attribute_id,store_id,entity_id,value) VALUES (48,0,1275,'img2/imge26f.jpg');</v>
      </c>
      <c r="C1298" t="str">
        <f>VLOOKUP(categories!B1298,'categories-old'!B:G,6,FALSE)</f>
        <v>/img2/imge26f.jpg</v>
      </c>
      <c r="D1298" t="str">
        <f>VLOOKUP(categories!B1298,'categories-old'!B:H,7,FALSE)</f>
        <v>www.americanretailsupply.com\64849\777695\Tape\White-Tape-Carry-Handles.html</v>
      </c>
    </row>
    <row r="1299" spans="1:4" hidden="1" x14ac:dyDescent="0.25">
      <c r="A1299" t="str">
        <f>IF(LEN('categories-old'!G1299) &gt; 0, "INSERT INTO `catalog_category_entity_varchar` (attribute_id,store_id,entity_id,value) VALUES (48,0,"&amp;'categories-old'!B1299&amp;",'"&amp;RIGHT('categories-old'!G1299,LEN('categories-old'!G1299)-1)&amp;"');","")</f>
        <v>INSERT INTO `catalog_category_entity_varchar` (attribute_id,store_id,entity_id,value) VALUES (48,0,1270,'img1/img3c7e.jpg');</v>
      </c>
      <c r="B1299" t="str">
        <f>IF(LEN(categories!G1299) &gt; 0, "INSERT INTO `catalog_category_entity_varchar` (attribute_id,store_id,entity_id,value) VALUES (48,0,"&amp;categories!B1299&amp;",'"&amp;RIGHT(categories!G1299,LEN(categories!G1299)-1)&amp;"');","")</f>
        <v>INSERT INTO `catalog_category_entity_varchar` (attribute_id,store_id,entity_id,value) VALUES (48,0,1276,'img3/img6d90.jpg');</v>
      </c>
      <c r="C1299" t="str">
        <f>VLOOKUP(categories!B1299,'categories-old'!B:G,6,FALSE)</f>
        <v>/img3/img6d90.jpg</v>
      </c>
      <c r="D1299" t="str">
        <f>VLOOKUP(categories!B1299,'categories-old'!B:H,7,FALSE)</f>
        <v>www.americanretailsupply.com\64849\777696\Tape\Repair-Tape-Pocket-Pads.html</v>
      </c>
    </row>
    <row r="1300" spans="1:4" hidden="1" x14ac:dyDescent="0.25">
      <c r="A1300" t="str">
        <f>IF(LEN('categories-old'!G1300) &gt; 0, "INSERT INTO `catalog_category_entity_varchar` (attribute_id,store_id,entity_id,value) VALUES (48,0,"&amp;'categories-old'!B1300&amp;",'"&amp;RIGHT('categories-old'!G1300,LEN('categories-old'!G1300)-1)&amp;"');","")</f>
        <v>INSERT INTO `catalog_category_entity_varchar` (attribute_id,store_id,entity_id,value) VALUES (48,0,1271,'img1/imgbd5e.jpg');</v>
      </c>
      <c r="B1300" t="str">
        <f>IF(LEN(categories!G1300) &gt; 0, "INSERT INTO `catalog_category_entity_varchar` (attribute_id,store_id,entity_id,value) VALUES (48,0,"&amp;categories!B1300&amp;",'"&amp;RIGHT(categories!G1300,LEN(categories!G1300)-1)&amp;"');","")</f>
        <v>INSERT INTO `catalog_category_entity_varchar` (attribute_id,store_id,entity_id,value) VALUES (48,0,1277,'img3/img75bb.jpg');</v>
      </c>
      <c r="C1300" t="str">
        <f>VLOOKUP(categories!B1300,'categories-old'!B:G,6,FALSE)</f>
        <v>/img3/img75bb.jpg</v>
      </c>
      <c r="D1300" t="str">
        <f>VLOOKUP(categories!B1300,'categories-old'!B:H,7,FALSE)</f>
        <v>www.americanretailsupply.com\64849\777697\Tape\Double-Coated-Tape-Pads.html</v>
      </c>
    </row>
    <row r="1301" spans="1:4" hidden="1" x14ac:dyDescent="0.25">
      <c r="A1301" t="str">
        <f>IF(LEN('categories-old'!G1301) &gt; 0, "INSERT INTO `catalog_category_entity_varchar` (attribute_id,store_id,entity_id,value) VALUES (48,0,"&amp;'categories-old'!B1301&amp;",'"&amp;RIGHT('categories-old'!G1301,LEN('categories-old'!G1301)-1)&amp;"');","")</f>
        <v>INSERT INTO `catalog_category_entity_varchar` (attribute_id,store_id,entity_id,value) VALUES (48,0,1273,'img1/imgf949.jpg');</v>
      </c>
      <c r="B1301" t="str">
        <f>IF(LEN(categories!G1301) &gt; 0, "INSERT INTO `catalog_category_entity_varchar` (attribute_id,store_id,entity_id,value) VALUES (48,0,"&amp;categories!B1301&amp;",'"&amp;RIGHT(categories!G1301,LEN(categories!G1301)-1)&amp;"');","")</f>
        <v>INSERT INTO `catalog_category_entity_varchar` (attribute_id,store_id,entity_id,value) VALUES (48,0,1279,'img3/img4403.jpg');</v>
      </c>
      <c r="C1301" t="str">
        <f>VLOOKUP(categories!B1301,'categories-old'!B:G,6,FALSE)</f>
        <v>/img3/img4403.jpg</v>
      </c>
      <c r="D1301" t="str">
        <f>VLOOKUP(categories!B1301,'categories-old'!B:H,7,FALSE)</f>
        <v>www.americanretailsupply.com\64765\37205\Tempered-Glass\316-Tempered-Cube-Glass.html</v>
      </c>
    </row>
    <row r="1302" spans="1:4" hidden="1" x14ac:dyDescent="0.25">
      <c r="A1302" t="str">
        <f>IF(LEN('categories-old'!G1302) &gt; 0, "INSERT INTO `catalog_category_entity_varchar` (attribute_id,store_id,entity_id,value) VALUES (48,0,"&amp;'categories-old'!B1302&amp;",'"&amp;RIGHT('categories-old'!G1302,LEN('categories-old'!G1302)-1)&amp;"');","")</f>
        <v>INSERT INTO `catalog_category_entity_varchar` (attribute_id,store_id,entity_id,value) VALUES (48,0,1274,'img2/img3fec.jpg');</v>
      </c>
      <c r="B1302" t="str">
        <f>IF(LEN(categories!G1302) &gt; 0, "INSERT INTO `catalog_category_entity_varchar` (attribute_id,store_id,entity_id,value) VALUES (48,0,"&amp;categories!B1302&amp;",'"&amp;RIGHT(categories!G1302,LEN(categories!G1302)-1)&amp;"');","")</f>
        <v>INSERT INTO `catalog_category_entity_varchar` (attribute_id,store_id,entity_id,value) VALUES (48,0,1280,'img3/imgc879.jpg');</v>
      </c>
      <c r="C1302" t="str">
        <f>VLOOKUP(categories!B1302,'categories-old'!B:G,6,FALSE)</f>
        <v>/img3/imgc879.jpg</v>
      </c>
      <c r="D1302" t="str">
        <f>VLOOKUP(categories!B1302,'categories-old'!B:H,7,FALSE)</f>
        <v>www.americanretailsupply.com\64765\37254\Tempered-Glass\316-Tempered-with-2-Radius-Corners.html</v>
      </c>
    </row>
    <row r="1303" spans="1:4" hidden="1" x14ac:dyDescent="0.25">
      <c r="A1303" t="str">
        <f>IF(LEN('categories-old'!G1303) &gt; 0, "INSERT INTO `catalog_category_entity_varchar` (attribute_id,store_id,entity_id,value) VALUES (48,0,"&amp;'categories-old'!B1303&amp;",'"&amp;RIGHT('categories-old'!G1303,LEN('categories-old'!G1303)-1)&amp;"');","")</f>
        <v>INSERT INTO `catalog_category_entity_varchar` (attribute_id,store_id,entity_id,value) VALUES (48,0,1275,'img2/imge26f.jpg');</v>
      </c>
      <c r="B1303" t="str">
        <f>IF(LEN(categories!G1303) &gt; 0, "INSERT INTO `catalog_category_entity_varchar` (attribute_id,store_id,entity_id,value) VALUES (48,0,"&amp;categories!B1303&amp;",'"&amp;RIGHT(categories!G1303,LEN(categories!G1303)-1)&amp;"');","")</f>
        <v>INSERT INTO `catalog_category_entity_varchar` (attribute_id,store_id,entity_id,value) VALUES (48,0,1281,'img1/imgb606.jpg');</v>
      </c>
      <c r="C1303" t="str">
        <f>VLOOKUP(categories!B1303,'categories-old'!B:G,6,FALSE)</f>
        <v>/img1/imgb606.jpg</v>
      </c>
      <c r="D1303" t="str">
        <f>VLOOKUP(categories!B1303,'categories-old'!B:H,7,FALSE)</f>
        <v>www.americanretailsupply.com\64765\37258\Tempered-Glass\316-Tempered-Quarter-Round.html</v>
      </c>
    </row>
    <row r="1304" spans="1:4" hidden="1" x14ac:dyDescent="0.25">
      <c r="A1304" t="str">
        <f>IF(LEN('categories-old'!G1304) &gt; 0, "INSERT INTO `catalog_category_entity_varchar` (attribute_id,store_id,entity_id,value) VALUES (48,0,"&amp;'categories-old'!B1304&amp;",'"&amp;RIGHT('categories-old'!G1304,LEN('categories-old'!G1304)-1)&amp;"');","")</f>
        <v>INSERT INTO `catalog_category_entity_varchar` (attribute_id,store_id,entity_id,value) VALUES (48,0,1276,'img3/img6d90.jpg');</v>
      </c>
      <c r="B1304" t="str">
        <f>IF(LEN(categories!G1304) &gt; 0, "INSERT INTO `catalog_category_entity_varchar` (attribute_id,store_id,entity_id,value) VALUES (48,0,"&amp;categories!B1304&amp;",'"&amp;RIGHT(categories!G1304,LEN(categories!G1304)-1)&amp;"');","")</f>
        <v>INSERT INTO `catalog_category_entity_varchar` (attribute_id,store_id,entity_id,value) VALUES (48,0,1282,'img2/img4e12.jpg');</v>
      </c>
      <c r="C1304" t="str">
        <f>VLOOKUP(categories!B1304,'categories-old'!B:G,6,FALSE)</f>
        <v>/img2/img4e12.jpg</v>
      </c>
      <c r="D1304" t="str">
        <f>VLOOKUP(categories!B1304,'categories-old'!B:H,7,FALSE)</f>
        <v>www.americanretailsupply.com\64765\37260\Tempered-Glass\38-Tempered-Shelf-Glass-Square-Corners.html</v>
      </c>
    </row>
    <row r="1305" spans="1:4" hidden="1" x14ac:dyDescent="0.25">
      <c r="A1305" t="str">
        <f>IF(LEN('categories-old'!G1305) &gt; 0, "INSERT INTO `catalog_category_entity_varchar` (attribute_id,store_id,entity_id,value) VALUES (48,0,"&amp;'categories-old'!B1305&amp;",'"&amp;RIGHT('categories-old'!G1305,LEN('categories-old'!G1305)-1)&amp;"');","")</f>
        <v>INSERT INTO `catalog_category_entity_varchar` (attribute_id,store_id,entity_id,value) VALUES (48,0,1277,'img3/img75bb.jpg');</v>
      </c>
      <c r="B1305" t="str">
        <f>IF(LEN(categories!G1305) &gt; 0, "INSERT INTO `catalog_category_entity_varchar` (attribute_id,store_id,entity_id,value) VALUES (48,0,"&amp;categories!B1305&amp;",'"&amp;RIGHT(categories!G1305,LEN(categories!G1305)-1)&amp;"');","")</f>
        <v>INSERT INTO `catalog_category_entity_varchar` (attribute_id,store_id,entity_id,value) VALUES (48,0,1283,'img2/img5849.jpg');</v>
      </c>
      <c r="C1305" t="str">
        <f>VLOOKUP(categories!B1305,'categories-old'!B:G,6,FALSE)</f>
        <v>/img2/img5849.jpg</v>
      </c>
      <c r="D1305" t="str">
        <f>VLOOKUP(categories!B1305,'categories-old'!B:H,7,FALSE)</f>
        <v>www.americanretailsupply.com\64765\37261\Tempered-Glass\38-Tempered-Shelf-Glass-with-Dime-Radius-Corners.html</v>
      </c>
    </row>
    <row r="1306" spans="1:4" hidden="1" x14ac:dyDescent="0.25">
      <c r="A1306" t="str">
        <f>IF(LEN('categories-old'!G1306) &gt; 0, "INSERT INTO `catalog_category_entity_varchar` (attribute_id,store_id,entity_id,value) VALUES (48,0,"&amp;'categories-old'!B1306&amp;",'"&amp;RIGHT('categories-old'!G1306,LEN('categories-old'!G1306)-1)&amp;"');","")</f>
        <v>INSERT INTO `catalog_category_entity_varchar` (attribute_id,store_id,entity_id,value) VALUES (48,0,1279,'img3/img4403.jpg');</v>
      </c>
      <c r="B1306" t="str">
        <f>IF(LEN(categories!G1306) &gt; 0, "INSERT INTO `catalog_category_entity_varchar` (attribute_id,store_id,entity_id,value) VALUES (48,0,"&amp;categories!B1306&amp;",'"&amp;RIGHT(categories!G1306,LEN(categories!G1306)-1)&amp;"');","")</f>
        <v>INSERT INTO `catalog_category_entity_varchar` (attribute_id,store_id,entity_id,value) VALUES (48,0,1284,'img2/img4e12.jpg');</v>
      </c>
      <c r="C1306" t="str">
        <f>VLOOKUP(categories!B1306,'categories-old'!B:G,6,FALSE)</f>
        <v>/img2/img4e12.jpg</v>
      </c>
      <c r="D1306" t="str">
        <f>VLOOKUP(categories!B1306,'categories-old'!B:H,7,FALSE)</f>
        <v>www.americanretailsupply.com\64765\47145\Tempered-Glass\316-Tempered-Shelf-Glass-Square-Corners.html</v>
      </c>
    </row>
    <row r="1307" spans="1:4" hidden="1" x14ac:dyDescent="0.25">
      <c r="A1307" t="str">
        <f>IF(LEN('categories-old'!G1307) &gt; 0, "INSERT INTO `catalog_category_entity_varchar` (attribute_id,store_id,entity_id,value) VALUES (48,0,"&amp;'categories-old'!B1307&amp;",'"&amp;RIGHT('categories-old'!G1307,LEN('categories-old'!G1307)-1)&amp;"');","")</f>
        <v>INSERT INTO `catalog_category_entity_varchar` (attribute_id,store_id,entity_id,value) VALUES (48,0,1280,'img3/imgc879.jpg');</v>
      </c>
      <c r="B1307" t="str">
        <f>IF(LEN(categories!G1307) &gt; 0, "INSERT INTO `catalog_category_entity_varchar` (attribute_id,store_id,entity_id,value) VALUES (48,0,"&amp;categories!B1307&amp;",'"&amp;RIGHT(categories!G1307,LEN(categories!G1307)-1)&amp;"');","")</f>
        <v>INSERT INTO `catalog_category_entity_varchar` (attribute_id,store_id,entity_id,value) VALUES (48,0,1285,'img2/imgd71f.jpg');</v>
      </c>
      <c r="C1307" t="str">
        <f>VLOOKUP(categories!B1307,'categories-old'!B:G,6,FALSE)</f>
        <v>/img2/imgd71f.jpg</v>
      </c>
      <c r="D1307" t="str">
        <f>VLOOKUP(categories!B1307,'categories-old'!B:H,7,FALSE)</f>
        <v>www.americanretailsupply.com\64765\174132\Tempered-Glass\Shelf-Dividers.html</v>
      </c>
    </row>
    <row r="1308" spans="1:4" hidden="1" x14ac:dyDescent="0.25">
      <c r="A1308" t="str">
        <f>IF(LEN('categories-old'!G1308) &gt; 0, "INSERT INTO `catalog_category_entity_varchar` (attribute_id,store_id,entity_id,value) VALUES (48,0,"&amp;'categories-old'!B1308&amp;",'"&amp;RIGHT('categories-old'!G1308,LEN('categories-old'!G1308)-1)&amp;"');","")</f>
        <v>INSERT INTO `catalog_category_entity_varchar` (attribute_id,store_id,entity_id,value) VALUES (48,0,1281,'img1/imgb606.jpg');</v>
      </c>
      <c r="B1308" t="str">
        <f>IF(LEN(categories!G1308) &gt; 0, "INSERT INTO `catalog_category_entity_varchar` (attribute_id,store_id,entity_id,value) VALUES (48,0,"&amp;categories!B1308&amp;",'"&amp;RIGHT(categories!G1308,LEN(categories!G1308)-1)&amp;"');","")</f>
        <v>INSERT INTO `catalog_category_entity_varchar` (attribute_id,store_id,entity_id,value) VALUES (48,0,1287,'img1/imgb96d.jpg');</v>
      </c>
      <c r="C1308" t="str">
        <f>VLOOKUP(categories!B1308,'categories-old'!B:G,6,FALSE)</f>
        <v>/img1/imgb96d.jpg</v>
      </c>
      <c r="D1308" t="str">
        <f>VLOOKUP(categories!B1308,'categories-old'!B:H,7,FALSE)</f>
        <v>www.americanretailsupply.com\64766\37267\Tempered-Glass-Tower-Displays\Radius-Tower.html</v>
      </c>
    </row>
    <row r="1309" spans="1:4" hidden="1" x14ac:dyDescent="0.25">
      <c r="A1309" t="str">
        <f>IF(LEN('categories-old'!G1309) &gt; 0, "INSERT INTO `catalog_category_entity_varchar` (attribute_id,store_id,entity_id,value) VALUES (48,0,"&amp;'categories-old'!B1309&amp;",'"&amp;RIGHT('categories-old'!G1309,LEN('categories-old'!G1309)-1)&amp;"');","")</f>
        <v>INSERT INTO `catalog_category_entity_varchar` (attribute_id,store_id,entity_id,value) VALUES (48,0,1282,'img2/img4e12.jpg');</v>
      </c>
      <c r="B1309" t="str">
        <f>IF(LEN(categories!G1309) &gt; 0, "INSERT INTO `catalog_category_entity_varchar` (attribute_id,store_id,entity_id,value) VALUES (48,0,"&amp;categories!B1309&amp;",'"&amp;RIGHT(categories!G1309,LEN(categories!G1309)-1)&amp;"');","")</f>
        <v>INSERT INTO `catalog_category_entity_varchar` (attribute_id,store_id,entity_id,value) VALUES (48,0,1288,'img3/imgc3d2.jpg');</v>
      </c>
      <c r="C1309" t="str">
        <f>VLOOKUP(categories!B1309,'categories-old'!B:G,6,FALSE)</f>
        <v>/img3/imgc3d2.jpg</v>
      </c>
      <c r="D1309" t="str">
        <f>VLOOKUP(categories!B1309,'categories-old'!B:H,7,FALSE)</f>
        <v>www.americanretailsupply.com\64766\37271\Tempered-Glass-Tower-Displays\Radius-Extended-Tower.html</v>
      </c>
    </row>
    <row r="1310" spans="1:4" hidden="1" x14ac:dyDescent="0.25">
      <c r="A1310" t="str">
        <f>IF(LEN('categories-old'!G1310) &gt; 0, "INSERT INTO `catalog_category_entity_varchar` (attribute_id,store_id,entity_id,value) VALUES (48,0,"&amp;'categories-old'!B1310&amp;",'"&amp;RIGHT('categories-old'!G1310,LEN('categories-old'!G1310)-1)&amp;"');","")</f>
        <v>INSERT INTO `catalog_category_entity_varchar` (attribute_id,store_id,entity_id,value) VALUES (48,0,1283,'img2/img5849.jpg');</v>
      </c>
      <c r="B1310" t="str">
        <f>IF(LEN(categories!G1310) &gt; 0, "INSERT INTO `catalog_category_entity_varchar` (attribute_id,store_id,entity_id,value) VALUES (48,0,"&amp;categories!B1310&amp;",'"&amp;RIGHT(categories!G1310,LEN(categories!G1310)-1)&amp;"');","")</f>
        <v>INSERT INTO `catalog_category_entity_varchar` (attribute_id,store_id,entity_id,value) VALUES (48,0,1289,'img2/img6715.jpg');</v>
      </c>
      <c r="C1310" t="str">
        <f>VLOOKUP(categories!B1310,'categories-old'!B:G,6,FALSE)</f>
        <v>/img2/img6715.jpg</v>
      </c>
      <c r="D1310" t="str">
        <f>VLOOKUP(categories!B1310,'categories-old'!B:H,7,FALSE)</f>
        <v>www.americanretailsupply.com\64766\37273\Tempered-Glass-Tower-Displays\3-Tier-Graduated-Tower.html</v>
      </c>
    </row>
    <row r="1311" spans="1:4" hidden="1" x14ac:dyDescent="0.25">
      <c r="A1311" t="str">
        <f>IF(LEN('categories-old'!G1311) &gt; 0, "INSERT INTO `catalog_category_entity_varchar` (attribute_id,store_id,entity_id,value) VALUES (48,0,"&amp;'categories-old'!B1311&amp;",'"&amp;RIGHT('categories-old'!G1311,LEN('categories-old'!G1311)-1)&amp;"');","")</f>
        <v>INSERT INTO `catalog_category_entity_varchar` (attribute_id,store_id,entity_id,value) VALUES (48,0,1284,'img2/img4e12.jpg');</v>
      </c>
      <c r="B1311" t="str">
        <f>IF(LEN(categories!G1311) &gt; 0, "INSERT INTO `catalog_category_entity_varchar` (attribute_id,store_id,entity_id,value) VALUES (48,0,"&amp;categories!B1311&amp;",'"&amp;RIGHT(categories!G1311,LEN(categories!G1311)-1)&amp;"');","")</f>
        <v>INSERT INTO `catalog_category_entity_varchar` (attribute_id,store_id,entity_id,value) VALUES (48,0,1290,'img1/img78fe.jpg');</v>
      </c>
      <c r="C1311" t="str">
        <f>VLOOKUP(categories!B1311,'categories-old'!B:G,6,FALSE)</f>
        <v>/img1/img78fe.jpg</v>
      </c>
      <c r="D1311" t="str">
        <f>VLOOKUP(categories!B1311,'categories-old'!B:H,7,FALSE)</f>
        <v>www.americanretailsupply.com\64766\37275\Tempered-Glass-Tower-Displays\Quarter-Round-Extended-Tower.html</v>
      </c>
    </row>
    <row r="1312" spans="1:4" hidden="1" x14ac:dyDescent="0.25">
      <c r="A1312" t="str">
        <f>IF(LEN('categories-old'!G1312) &gt; 0, "INSERT INTO `catalog_category_entity_varchar` (attribute_id,store_id,entity_id,value) VALUES (48,0,"&amp;'categories-old'!B1312&amp;",'"&amp;RIGHT('categories-old'!G1312,LEN('categories-old'!G1312)-1)&amp;"');","")</f>
        <v>INSERT INTO `catalog_category_entity_varchar` (attribute_id,store_id,entity_id,value) VALUES (48,0,1285,'img2/imgd71f.jpg');</v>
      </c>
      <c r="B1312" t="str">
        <f>IF(LEN(categories!G1312) &gt; 0, "INSERT INTO `catalog_category_entity_varchar` (attribute_id,store_id,entity_id,value) VALUES (48,0,"&amp;categories!B1312&amp;",'"&amp;RIGHT(categories!G1312,LEN(categories!G1312)-1)&amp;"');","")</f>
        <v>INSERT INTO `catalog_category_entity_varchar` (attribute_id,store_id,entity_id,value) VALUES (48,0,1291,'img3/imgf4f6.jpg');</v>
      </c>
      <c r="C1312" t="str">
        <f>VLOOKUP(categories!B1312,'categories-old'!B:G,6,FALSE)</f>
        <v>/img3/imgf4f6.jpg</v>
      </c>
      <c r="D1312" t="str">
        <f>VLOOKUP(categories!B1312,'categories-old'!B:H,7,FALSE)</f>
        <v>www.americanretailsupply.com\64766\37277\Tempered-Glass-Tower-Displays\Quarter-Round-Tower.html</v>
      </c>
    </row>
    <row r="1313" spans="1:4" hidden="1" x14ac:dyDescent="0.25">
      <c r="A1313" t="str">
        <f>IF(LEN('categories-old'!G1313) &gt; 0, "INSERT INTO `catalog_category_entity_varchar` (attribute_id,store_id,entity_id,value) VALUES (48,0,"&amp;'categories-old'!B1313&amp;",'"&amp;RIGHT('categories-old'!G1313,LEN('categories-old'!G1313)-1)&amp;"');","")</f>
        <v>INSERT INTO `catalog_category_entity_varchar` (attribute_id,store_id,entity_id,value) VALUES (48,0,1287,'img1/imgb96d.jpg');</v>
      </c>
      <c r="B1313" t="str">
        <f>IF(LEN(categories!G1313) &gt; 0, "INSERT INTO `catalog_category_entity_varchar` (attribute_id,store_id,entity_id,value) VALUES (48,0,"&amp;categories!B1313&amp;",'"&amp;RIGHT(categories!G1313,LEN(categories!G1313)-1)&amp;"');","")</f>
        <v>INSERT INTO `catalog_category_entity_varchar` (attribute_id,store_id,entity_id,value) VALUES (48,0,1293,'img1/img7275.jpg');</v>
      </c>
      <c r="C1313" t="str">
        <f>VLOOKUP(categories!B1313,'categories-old'!B:G,6,FALSE)</f>
        <v>/img1/img7275.jpg</v>
      </c>
      <c r="D1313" t="str">
        <f>VLOOKUP(categories!B1313,'categories-old'!B:H,7,FALSE)</f>
        <v>www.americanretailsupply.com\64682\1513\TG-Tacher-Taggers\TG-Tacher-Standard-and-Fine-Fasteners.html</v>
      </c>
    </row>
    <row r="1314" spans="1:4" hidden="1" x14ac:dyDescent="0.25">
      <c r="A1314" t="str">
        <f>IF(LEN('categories-old'!G1314) &gt; 0, "INSERT INTO `catalog_category_entity_varchar` (attribute_id,store_id,entity_id,value) VALUES (48,0,"&amp;'categories-old'!B1314&amp;",'"&amp;RIGHT('categories-old'!G1314,LEN('categories-old'!G1314)-1)&amp;"');","")</f>
        <v>INSERT INTO `catalog_category_entity_varchar` (attribute_id,store_id,entity_id,value) VALUES (48,0,1288,'img3/imgc3d2.jpg');</v>
      </c>
      <c r="B1314" t="str">
        <f>IF(LEN(categories!G1314) &gt; 0, "INSERT INTO `catalog_category_entity_varchar` (attribute_id,store_id,entity_id,value) VALUES (48,0,"&amp;categories!B1314&amp;",'"&amp;RIGHT(categories!G1314,LEN(categories!G1314)-1)&amp;"');","")</f>
        <v>INSERT INTO `catalog_category_entity_varchar` (attribute_id,store_id,entity_id,value) VALUES (48,0,1294,'img1/img3383.jpg');</v>
      </c>
      <c r="C1314" t="str">
        <f>VLOOKUP(categories!B1314,'categories-old'!B:G,6,FALSE)</f>
        <v>/img1/img3383.jpg</v>
      </c>
      <c r="D1314" t="str">
        <f>VLOOKUP(categories!B1314,'categories-old'!B:H,7,FALSE)</f>
        <v>www.americanretailsupply.com\64682\48132\TG-Tacher-Taggers\TG-Tacher-Taggers.html</v>
      </c>
    </row>
    <row r="1315" spans="1:4" hidden="1" x14ac:dyDescent="0.25">
      <c r="A1315" t="str">
        <f>IF(LEN('categories-old'!G1315) &gt; 0, "INSERT INTO `catalog_category_entity_varchar` (attribute_id,store_id,entity_id,value) VALUES (48,0,"&amp;'categories-old'!B1315&amp;",'"&amp;RIGHT('categories-old'!G1315,LEN('categories-old'!G1315)-1)&amp;"');","")</f>
        <v>INSERT INTO `catalog_category_entity_varchar` (attribute_id,store_id,entity_id,value) VALUES (48,0,1289,'img2/img6715.jpg');</v>
      </c>
      <c r="B1315" t="str">
        <f>IF(LEN(categories!G1315) &gt; 0, "INSERT INTO `catalog_category_entity_varchar` (attribute_id,store_id,entity_id,value) VALUES (48,0,"&amp;categories!B1315&amp;",'"&amp;RIGHT(categories!G1315,LEN(categories!G1315)-1)&amp;"');","")</f>
        <v>INSERT INTO `catalog_category_entity_varchar` (attribute_id,store_id,entity_id,value) VALUES (48,0,1295,'img1/img9c79.jpg');</v>
      </c>
      <c r="C1315" t="str">
        <f>VLOOKUP(categories!B1315,'categories-old'!B:G,6,FALSE)</f>
        <v>/img1/img9c79.jpg</v>
      </c>
      <c r="D1315" t="str">
        <f>VLOOKUP(categories!B1315,'categories-old'!B:H,7,FALSE)</f>
        <v>www.americanretailsupply.com\64682\792849\TG-Tacher-Taggers\Standard-Tagger-Package.html</v>
      </c>
    </row>
    <row r="1316" spans="1:4" hidden="1" x14ac:dyDescent="0.25">
      <c r="A1316" t="str">
        <f>IF(LEN('categories-old'!G1316) &gt; 0, "INSERT INTO `catalog_category_entity_varchar` (attribute_id,store_id,entity_id,value) VALUES (48,0,"&amp;'categories-old'!B1316&amp;",'"&amp;RIGHT('categories-old'!G1316,LEN('categories-old'!G1316)-1)&amp;"');","")</f>
        <v>INSERT INTO `catalog_category_entity_varchar` (attribute_id,store_id,entity_id,value) VALUES (48,0,1290,'img1/img78fe.jpg');</v>
      </c>
      <c r="B1316" t="str">
        <f>IF(LEN(categories!G1316) &gt; 0, "INSERT INTO `catalog_category_entity_varchar` (attribute_id,store_id,entity_id,value) VALUES (48,0,"&amp;categories!B1316&amp;",'"&amp;RIGHT(categories!G1316,LEN(categories!G1316)-1)&amp;"');","")</f>
        <v>INSERT INTO `catalog_category_entity_varchar` (attribute_id,store_id,entity_id,value) VALUES (48,0,1297,'img2/img1844.jpg');</v>
      </c>
      <c r="C1316" t="str">
        <f>VLOOKUP(categories!B1316,'categories-old'!B:G,6,FALSE)</f>
        <v>/img2/img1844.jpg</v>
      </c>
      <c r="D1316" t="str">
        <f>VLOOKUP(categories!B1316,'categories-old'!B:H,7,FALSE)</f>
        <v>www.americanretailsupply.com\64717\172935\Tin-Boxes\CD--DVD-Tins.html</v>
      </c>
    </row>
    <row r="1317" spans="1:4" hidden="1" x14ac:dyDescent="0.25">
      <c r="A1317" t="str">
        <f>IF(LEN('categories-old'!G1317) &gt; 0, "INSERT INTO `catalog_category_entity_varchar` (attribute_id,store_id,entity_id,value) VALUES (48,0,"&amp;'categories-old'!B1317&amp;",'"&amp;RIGHT('categories-old'!G1317,LEN('categories-old'!G1317)-1)&amp;"');","")</f>
        <v>INSERT INTO `catalog_category_entity_varchar` (attribute_id,store_id,entity_id,value) VALUES (48,0,1291,'img3/imgf4f6.jpg');</v>
      </c>
      <c r="B1317" t="str">
        <f>IF(LEN(categories!G1317) &gt; 0, "INSERT INTO `catalog_category_entity_varchar` (attribute_id,store_id,entity_id,value) VALUES (48,0,"&amp;categories!B1317&amp;",'"&amp;RIGHT(categories!G1317,LEN(categories!G1317)-1)&amp;"');","")</f>
        <v>INSERT INTO `catalog_category_entity_varchar` (attribute_id,store_id,entity_id,value) VALUES (48,0,1298,'img3/img5445.jpg');</v>
      </c>
      <c r="C1317" t="str">
        <f>VLOOKUP(categories!B1317,'categories-old'!B:G,6,FALSE)</f>
        <v>/img3/img5445.jpg</v>
      </c>
      <c r="D1317" t="str">
        <f>VLOOKUP(categories!B1317,'categories-old'!B:H,7,FALSE)</f>
        <v>www.americanretailsupply.com\64717\172936\Tin-Boxes\Solid-Tins-with-PET-Window.html</v>
      </c>
    </row>
    <row r="1318" spans="1:4" hidden="1" x14ac:dyDescent="0.25">
      <c r="A1318" t="str">
        <f>IF(LEN('categories-old'!G1318) &gt; 0, "INSERT INTO `catalog_category_entity_varchar` (attribute_id,store_id,entity_id,value) VALUES (48,0,"&amp;'categories-old'!B1318&amp;",'"&amp;RIGHT('categories-old'!G1318,LEN('categories-old'!G1318)-1)&amp;"');","")</f>
        <v>INSERT INTO `catalog_category_entity_varchar` (attribute_id,store_id,entity_id,value) VALUES (48,0,1293,'img1/img7275.jpg');</v>
      </c>
      <c r="B1318" t="str">
        <f>IF(LEN(categories!G1318) &gt; 0, "INSERT INTO `catalog_category_entity_varchar` (attribute_id,store_id,entity_id,value) VALUES (48,0,"&amp;categories!B1318&amp;",'"&amp;RIGHT(categories!G1318,LEN(categories!G1318)-1)&amp;"');","")</f>
        <v>INSERT INTO `catalog_category_entity_varchar` (attribute_id,store_id,entity_id,value) VALUES (48,0,1300,'img3/img1123.jpg');</v>
      </c>
      <c r="C1318" t="str">
        <f>VLOOKUP(categories!B1318,'categories-old'!B:G,6,FALSE)</f>
        <v>/img3/img1123.jpg</v>
      </c>
      <c r="D1318" t="str">
        <f>VLOOKUP(categories!B1318,'categories-old'!B:H,7,FALSE)</f>
        <v>www.americanretailsupply.com\65005\742516\Tissue-in-Animal-Prints\Wildlife-Printed-Tissue-Paper-Assortment-Pack.html</v>
      </c>
    </row>
    <row r="1319" spans="1:4" hidden="1" x14ac:dyDescent="0.25">
      <c r="A1319" t="str">
        <f>IF(LEN('categories-old'!G1319) &gt; 0, "INSERT INTO `catalog_category_entity_varchar` (attribute_id,store_id,entity_id,value) VALUES (48,0,"&amp;'categories-old'!B1319&amp;",'"&amp;RIGHT('categories-old'!G1319,LEN('categories-old'!G1319)-1)&amp;"');","")</f>
        <v>INSERT INTO `catalog_category_entity_varchar` (attribute_id,store_id,entity_id,value) VALUES (48,0,1294,'img1/img3383.jpg');</v>
      </c>
      <c r="B1319" t="str">
        <f>IF(LEN(categories!G1319) &gt; 0, "INSERT INTO `catalog_category_entity_varchar` (attribute_id,store_id,entity_id,value) VALUES (48,0,"&amp;categories!B1319&amp;",'"&amp;RIGHT(categories!G1319,LEN(categories!G1319)-1)&amp;"');","")</f>
        <v>INSERT INTO `catalog_category_entity_varchar` (attribute_id,store_id,entity_id,value) VALUES (48,0,1301,'img2/img26e3.jpg');</v>
      </c>
      <c r="C1319" t="str">
        <f>VLOOKUP(categories!B1319,'categories-old'!B:G,6,FALSE)</f>
        <v>/img2/img26e3.jpg</v>
      </c>
      <c r="D1319" t="str">
        <f>VLOOKUP(categories!B1319,'categories-old'!B:H,7,FALSE)</f>
        <v>www.americanretailsupply.com\64703\19955\Tissue-Paper\White-and-Recycled-Kraft-Tissue-Paper.html</v>
      </c>
    </row>
    <row r="1320" spans="1:4" hidden="1" x14ac:dyDescent="0.25">
      <c r="A1320" t="str">
        <f>IF(LEN('categories-old'!G1320) &gt; 0, "INSERT INTO `catalog_category_entity_varchar` (attribute_id,store_id,entity_id,value) VALUES (48,0,"&amp;'categories-old'!B1320&amp;",'"&amp;RIGHT('categories-old'!G1320,LEN('categories-old'!G1320)-1)&amp;"');","")</f>
        <v>INSERT INTO `catalog_category_entity_varchar` (attribute_id,store_id,entity_id,value) VALUES (48,0,1295,'img1/img9c79.jpg');</v>
      </c>
      <c r="B1320" t="str">
        <f>IF(LEN(categories!G1320) &gt; 0, "INSERT INTO `catalog_category_entity_varchar` (attribute_id,store_id,entity_id,value) VALUES (48,0,"&amp;categories!B1320&amp;",'"&amp;RIGHT(categories!G1320,LEN(categories!G1320)-1)&amp;"');","")</f>
        <v>INSERT INTO `catalog_category_entity_varchar` (attribute_id,store_id,entity_id,value) VALUES (48,0,1302,'img2/img9527.jpg');</v>
      </c>
      <c r="C1320" t="str">
        <f>VLOOKUP(categories!B1320,'categories-old'!B:G,6,FALSE)</f>
        <v>/img2/img9527.jpg</v>
      </c>
      <c r="D1320" t="str">
        <f>VLOOKUP(categories!B1320,'categories-old'!B:H,7,FALSE)</f>
        <v>www.americanretailsupply.com\64703\19964\Tissue-Paper\Solid-Color-Tissue-Paper-Assortment-Packs.html</v>
      </c>
    </row>
    <row r="1321" spans="1:4" hidden="1" x14ac:dyDescent="0.25">
      <c r="A1321" t="str">
        <f>IF(LEN('categories-old'!G1321) &gt; 0, "INSERT INTO `catalog_category_entity_varchar` (attribute_id,store_id,entity_id,value) VALUES (48,0,"&amp;'categories-old'!B1321&amp;",'"&amp;RIGHT('categories-old'!G1321,LEN('categories-old'!G1321)-1)&amp;"');","")</f>
        <v>INSERT INTO `catalog_category_entity_varchar` (attribute_id,store_id,entity_id,value) VALUES (48,0,1297,'img2/img1844.jpg');</v>
      </c>
      <c r="B1321" t="str">
        <f>IF(LEN(categories!G1321) &gt; 0, "INSERT INTO `catalog_category_entity_varchar` (attribute_id,store_id,entity_id,value) VALUES (48,0,"&amp;categories!B1321&amp;",'"&amp;RIGHT(categories!G1321,LEN(categories!G1321)-1)&amp;"');","")</f>
        <v>INSERT INTO `catalog_category_entity_varchar` (attribute_id,store_id,entity_id,value) VALUES (48,0,1303,'img1/imgc168.jpg');</v>
      </c>
      <c r="C1321" t="str">
        <f>VLOOKUP(categories!B1321,'categories-old'!B:G,6,FALSE)</f>
        <v>/img1/imgc168.jpg</v>
      </c>
      <c r="D1321" t="str">
        <f>VLOOKUP(categories!B1321,'categories-old'!B:H,7,FALSE)</f>
        <v>www.americanretailsupply.com\64703\20014\Tissue-Paper\Precious-Metal-Patterns-Printed-Tissue-Paper.html</v>
      </c>
    </row>
    <row r="1322" spans="1:4" hidden="1" x14ac:dyDescent="0.25">
      <c r="A1322" t="str">
        <f>IF(LEN('categories-old'!G1322) &gt; 0, "INSERT INTO `catalog_category_entity_varchar` (attribute_id,store_id,entity_id,value) VALUES (48,0,"&amp;'categories-old'!B1322&amp;",'"&amp;RIGHT('categories-old'!G1322,LEN('categories-old'!G1322)-1)&amp;"');","")</f>
        <v>INSERT INTO `catalog_category_entity_varchar` (attribute_id,store_id,entity_id,value) VALUES (48,0,1298,'img3/img5445.jpg');</v>
      </c>
      <c r="B1322" t="str">
        <f>IF(LEN(categories!G1322) &gt; 0, "INSERT INTO `catalog_category_entity_varchar` (attribute_id,store_id,entity_id,value) VALUES (48,0,"&amp;categories!B1322&amp;",'"&amp;RIGHT(categories!G1322,LEN(categories!G1322)-1)&amp;"');","")</f>
        <v>INSERT INTO `catalog_category_entity_varchar` (attribute_id,store_id,entity_id,value) VALUES (48,0,1304,'img1/imgc233.jpg');</v>
      </c>
      <c r="C1322" t="str">
        <f>VLOOKUP(categories!B1322,'categories-old'!B:G,6,FALSE)</f>
        <v>/img1/imgc233.jpg</v>
      </c>
      <c r="D1322" t="str">
        <f>VLOOKUP(categories!B1322,'categories-old'!B:H,7,FALSE)</f>
        <v>www.americanretailsupply.com\64703\22984\Tissue-Paper\Shamrock-Printed-Tissue-Paper.html</v>
      </c>
    </row>
    <row r="1323" spans="1:4" hidden="1" x14ac:dyDescent="0.25">
      <c r="A1323" t="str">
        <f>IF(LEN('categories-old'!G1323) &gt; 0, "INSERT INTO `catalog_category_entity_varchar` (attribute_id,store_id,entity_id,value) VALUES (48,0,"&amp;'categories-old'!B1323&amp;",'"&amp;RIGHT('categories-old'!G1323,LEN('categories-old'!G1323)-1)&amp;"');","")</f>
        <v>INSERT INTO `catalog_category_entity_varchar` (attribute_id,store_id,entity_id,value) VALUES (48,0,1300,'img3/img1123.jpg');</v>
      </c>
      <c r="B1323" t="str">
        <f>IF(LEN(categories!G1323) &gt; 0, "INSERT INTO `catalog_category_entity_varchar` (attribute_id,store_id,entity_id,value) VALUES (48,0,"&amp;categories!B1323&amp;",'"&amp;RIGHT(categories!G1323,LEN(categories!G1323)-1)&amp;"');","")</f>
        <v>INSERT INTO `catalog_category_entity_varchar` (attribute_id,store_id,entity_id,value) VALUES (48,0,1305,'img3/imgd7d5.jpg');</v>
      </c>
      <c r="C1323" t="str">
        <f>VLOOKUP(categories!B1323,'categories-old'!B:G,6,FALSE)</f>
        <v>/img3/imgd7d5.jpg</v>
      </c>
      <c r="D1323" t="str">
        <f>VLOOKUP(categories!B1323,'categories-old'!B:H,7,FALSE)</f>
        <v>www.americanretailsupply.com\64703\27521\Tissue-Paper\Western-Printed-Tissue-Paper.html</v>
      </c>
    </row>
    <row r="1324" spans="1:4" hidden="1" x14ac:dyDescent="0.25">
      <c r="A1324" t="str">
        <f>IF(LEN('categories-old'!G1324) &gt; 0, "INSERT INTO `catalog_category_entity_varchar` (attribute_id,store_id,entity_id,value) VALUES (48,0,"&amp;'categories-old'!B1324&amp;",'"&amp;RIGHT('categories-old'!G1324,LEN('categories-old'!G1324)-1)&amp;"');","")</f>
        <v>INSERT INTO `catalog_category_entity_varchar` (attribute_id,store_id,entity_id,value) VALUES (48,0,1301,'img2/img26e3.jpg');</v>
      </c>
      <c r="B1324" t="str">
        <f>IF(LEN(categories!G1324) &gt; 0, "INSERT INTO `catalog_category_entity_varchar` (attribute_id,store_id,entity_id,value) VALUES (48,0,"&amp;categories!B1324&amp;",'"&amp;RIGHT(categories!G1324,LEN(categories!G1324)-1)&amp;"');","")</f>
        <v>INSERT INTO `catalog_category_entity_varchar` (attribute_id,store_id,entity_id,value) VALUES (48,0,1306,'img1/img2e89.jpg');</v>
      </c>
      <c r="C1324" t="str">
        <f>VLOOKUP(categories!B1324,'categories-old'!B:G,6,FALSE)</f>
        <v>/img1/img2e89.jpg</v>
      </c>
      <c r="D1324" t="str">
        <f>VLOOKUP(categories!B1324,'categories-old'!B:H,7,FALSE)</f>
        <v>www.americanretailsupply.com\64703\223360\Tissue-Paper\Botanical-Printed-Tissue-Paper.html</v>
      </c>
    </row>
    <row r="1325" spans="1:4" hidden="1" x14ac:dyDescent="0.25">
      <c r="A1325" t="str">
        <f>IF(LEN('categories-old'!G1325) &gt; 0, "INSERT INTO `catalog_category_entity_varchar` (attribute_id,store_id,entity_id,value) VALUES (48,0,"&amp;'categories-old'!B1325&amp;",'"&amp;RIGHT('categories-old'!G1325,LEN('categories-old'!G1325)-1)&amp;"');","")</f>
        <v>INSERT INTO `catalog_category_entity_varchar` (attribute_id,store_id,entity_id,value) VALUES (48,0,1302,'img2/img9527.jpg');</v>
      </c>
      <c r="B1325" t="str">
        <f>IF(LEN(categories!G1325) &gt; 0, "INSERT INTO `catalog_category_entity_varchar` (attribute_id,store_id,entity_id,value) VALUES (48,0,"&amp;categories!B1325&amp;",'"&amp;RIGHT(categories!G1325,LEN(categories!G1325)-1)&amp;"');","")</f>
        <v>INSERT INTO `catalog_category_entity_varchar` (attribute_id,store_id,entity_id,value) VALUES (48,0,1307,'img3/img7729.jpg');</v>
      </c>
      <c r="C1325" t="str">
        <f>VLOOKUP(categories!B1325,'categories-old'!B:G,6,FALSE)</f>
        <v>/img3/img7729.jpg</v>
      </c>
      <c r="D1325" t="str">
        <f>VLOOKUP(categories!B1325,'categories-old'!B:H,7,FALSE)</f>
        <v>www.americanretailsupply.com\64703\223361\Tissue-Paper\All-Occasion-Printed-Tissue-Paper.html</v>
      </c>
    </row>
    <row r="1326" spans="1:4" hidden="1" x14ac:dyDescent="0.25">
      <c r="A1326" t="str">
        <f>IF(LEN('categories-old'!G1326) &gt; 0, "INSERT INTO `catalog_category_entity_varchar` (attribute_id,store_id,entity_id,value) VALUES (48,0,"&amp;'categories-old'!B1326&amp;",'"&amp;RIGHT('categories-old'!G1326,LEN('categories-old'!G1326)-1)&amp;"');","")</f>
        <v>INSERT INTO `catalog_category_entity_varchar` (attribute_id,store_id,entity_id,value) VALUES (48,0,1303,'img1/imgc168.jpg');</v>
      </c>
      <c r="B1326" t="str">
        <f>IF(LEN(categories!G1326) &gt; 0, "INSERT INTO `catalog_category_entity_varchar` (attribute_id,store_id,entity_id,value) VALUES (48,0,"&amp;categories!B1326&amp;",'"&amp;RIGHT(categories!G1326,LEN(categories!G1326)-1)&amp;"');","")</f>
        <v>INSERT INTO `catalog_category_entity_varchar` (attribute_id,store_id,entity_id,value) VALUES (48,0,1308,'img2/img9998.jpg');</v>
      </c>
      <c r="C1326" t="str">
        <f>VLOOKUP(categories!B1326,'categories-old'!B:G,6,FALSE)</f>
        <v>/img2/img9998.jpg</v>
      </c>
      <c r="D1326" t="str">
        <f>VLOOKUP(categories!B1326,'categories-old'!B:H,7,FALSE)</f>
        <v>www.americanretailsupply.com\64703\223465\Tissue-Paper\Pearlesence-Tissue-Paper.html</v>
      </c>
    </row>
    <row r="1327" spans="1:4" hidden="1" x14ac:dyDescent="0.25">
      <c r="A1327" t="str">
        <f>IF(LEN('categories-old'!G1327) &gt; 0, "INSERT INTO `catalog_category_entity_varchar` (attribute_id,store_id,entity_id,value) VALUES (48,0,"&amp;'categories-old'!B1327&amp;",'"&amp;RIGHT('categories-old'!G1327,LEN('categories-old'!G1327)-1)&amp;"');","")</f>
        <v>INSERT INTO `catalog_category_entity_varchar` (attribute_id,store_id,entity_id,value) VALUES (48,0,1304,'img1/imgc233.jpg');</v>
      </c>
      <c r="B1327" t="str">
        <f>IF(LEN(categories!G1327) &gt; 0, "INSERT INTO `catalog_category_entity_varchar` (attribute_id,store_id,entity_id,value) VALUES (48,0,"&amp;categories!B1327&amp;",'"&amp;RIGHT(categories!G1327,LEN(categories!G1327)-1)&amp;"');","")</f>
        <v>INSERT INTO `catalog_category_entity_varchar` (attribute_id,store_id,entity_id,value) VALUES (48,0,1309,'img3/imgcbac.jpg');</v>
      </c>
      <c r="C1327" t="str">
        <f>VLOOKUP(categories!B1327,'categories-old'!B:G,6,FALSE)</f>
        <v>/img3/imgcbac.jpg</v>
      </c>
      <c r="D1327" t="str">
        <f>VLOOKUP(categories!B1327,'categories-old'!B:H,7,FALSE)</f>
        <v>www.americanretailsupply.com\64703\223466\Tissue-Paper\Gemstones-Patterned-Tissue-Paper.html</v>
      </c>
    </row>
    <row r="1328" spans="1:4" hidden="1" x14ac:dyDescent="0.25">
      <c r="A1328" t="str">
        <f>IF(LEN('categories-old'!G1328) &gt; 0, "INSERT INTO `catalog_category_entity_varchar` (attribute_id,store_id,entity_id,value) VALUES (48,0,"&amp;'categories-old'!B1328&amp;",'"&amp;RIGHT('categories-old'!G1328,LEN('categories-old'!G1328)-1)&amp;"');","")</f>
        <v>INSERT INTO `catalog_category_entity_varchar` (attribute_id,store_id,entity_id,value) VALUES (48,0,1305,'img3/imgd7d5.jpg');</v>
      </c>
      <c r="B1328" t="str">
        <f>IF(LEN(categories!G1328) &gt; 0, "INSERT INTO `catalog_category_entity_varchar` (attribute_id,store_id,entity_id,value) VALUES (48,0,"&amp;categories!B1328&amp;",'"&amp;RIGHT(categories!G1328,LEN(categories!G1328)-1)&amp;"');","")</f>
        <v>INSERT INTO `catalog_category_entity_varchar` (attribute_id,store_id,entity_id,value) VALUES (48,0,1310,'img2/imge556.jpg');</v>
      </c>
      <c r="C1328" t="str">
        <f>VLOOKUP(categories!B1328,'categories-old'!B:G,6,FALSE)</f>
        <v>/img2/imge556.jpg</v>
      </c>
      <c r="D1328" t="str">
        <f>VLOOKUP(categories!B1328,'categories-old'!B:H,7,FALSE)</f>
        <v>www.americanretailsupply.com\64703\443003\Tissue-Paper\Reflections-Tissue-Paper.html</v>
      </c>
    </row>
    <row r="1329" spans="1:4" hidden="1" x14ac:dyDescent="0.25">
      <c r="A1329" t="str">
        <f>IF(LEN('categories-old'!G1329) &gt; 0, "INSERT INTO `catalog_category_entity_varchar` (attribute_id,store_id,entity_id,value) VALUES (48,0,"&amp;'categories-old'!B1329&amp;",'"&amp;RIGHT('categories-old'!G1329,LEN('categories-old'!G1329)-1)&amp;"');","")</f>
        <v>INSERT INTO `catalog_category_entity_varchar` (attribute_id,store_id,entity_id,value) VALUES (48,0,1306,'img1/img2e89.jpg');</v>
      </c>
      <c r="B1329" t="str">
        <f>IF(LEN(categories!G1329) &gt; 0, "INSERT INTO `catalog_category_entity_varchar` (attribute_id,store_id,entity_id,value) VALUES (48,0,"&amp;categories!B1329&amp;",'"&amp;RIGHT(categories!G1329,LEN(categories!G1329)-1)&amp;"');","")</f>
        <v>INSERT INTO `catalog_category_entity_varchar` (attribute_id,store_id,entity_id,value) VALUES (48,0,1311,'img1/img23a1.jpg');</v>
      </c>
      <c r="C1329" t="str">
        <f>VLOOKUP(categories!B1329,'categories-old'!B:G,6,FALSE)</f>
        <v>/img1/img23a1.jpg</v>
      </c>
      <c r="D1329" t="str">
        <f>VLOOKUP(categories!B1329,'categories-old'!B:H,7,FALSE)</f>
        <v>www.americanretailsupply.com\64703\742518\Tissue-Paper\Animal-Printed-Tissue-Paper.html</v>
      </c>
    </row>
    <row r="1330" spans="1:4" hidden="1" x14ac:dyDescent="0.25">
      <c r="A1330" t="str">
        <f>IF(LEN('categories-old'!G1330) &gt; 0, "INSERT INTO `catalog_category_entity_varchar` (attribute_id,store_id,entity_id,value) VALUES (48,0,"&amp;'categories-old'!B1330&amp;",'"&amp;RIGHT('categories-old'!G1330,LEN('categories-old'!G1330)-1)&amp;"');","")</f>
        <v>INSERT INTO `catalog_category_entity_varchar` (attribute_id,store_id,entity_id,value) VALUES (48,0,1307,'img3/img7729.jpg');</v>
      </c>
      <c r="B1330" t="str">
        <f>IF(LEN(categories!G1330) &gt; 0, "INSERT INTO `catalog_category_entity_varchar` (attribute_id,store_id,entity_id,value) VALUES (48,0,"&amp;categories!B1330&amp;",'"&amp;RIGHT(categories!G1330,LEN(categories!G1330)-1)&amp;"');","")</f>
        <v>INSERT INTO `catalog_category_entity_varchar` (attribute_id,store_id,entity_id,value) VALUES (48,0,1312,'img3/img518d.jpg');</v>
      </c>
      <c r="C1330" t="str">
        <f>VLOOKUP(categories!B1330,'categories-old'!B:G,6,FALSE)</f>
        <v>/img3/img518d.jpg</v>
      </c>
      <c r="D1330" t="str">
        <f>VLOOKUP(categories!B1330,'categories-old'!B:H,7,FALSE)</f>
        <v>www.americanretailsupply.com\64942\2347\Traditional-Slatwall-Panels--Inserts\Slatwall-Panels.html</v>
      </c>
    </row>
    <row r="1331" spans="1:4" hidden="1" x14ac:dyDescent="0.25">
      <c r="A1331" t="str">
        <f>IF(LEN('categories-old'!G1331) &gt; 0, "INSERT INTO `catalog_category_entity_varchar` (attribute_id,store_id,entity_id,value) VALUES (48,0,"&amp;'categories-old'!B1331&amp;",'"&amp;RIGHT('categories-old'!G1331,LEN('categories-old'!G1331)-1)&amp;"');","")</f>
        <v>INSERT INTO `catalog_category_entity_varchar` (attribute_id,store_id,entity_id,value) VALUES (48,0,1308,'img2/img9998.jpg');</v>
      </c>
      <c r="B1331" t="str">
        <f>IF(LEN(categories!G1331) &gt; 0, "INSERT INTO `catalog_category_entity_varchar` (attribute_id,store_id,entity_id,value) VALUES (48,0,"&amp;categories!B1331&amp;",'"&amp;RIGHT(categories!G1331,LEN(categories!G1331)-1)&amp;"');","")</f>
        <v>INSERT INTO `catalog_category_entity_varchar` (attribute_id,store_id,entity_id,value) VALUES (48,0,1313,'img1/img649a.jpg');</v>
      </c>
      <c r="C1331" t="str">
        <f>VLOOKUP(categories!B1331,'categories-old'!B:G,6,FALSE)</f>
        <v>/img1/img649a.jpg</v>
      </c>
      <c r="D1331" t="str">
        <f>VLOOKUP(categories!B1331,'categories-old'!B:H,7,FALSE)</f>
        <v>www.americanretailsupply.com\64942\148448\Traditional-Slatwall-Panels--Inserts\Slatwall-Panel-Inserts.html</v>
      </c>
    </row>
    <row r="1332" spans="1:4" hidden="1" x14ac:dyDescent="0.25">
      <c r="A1332" t="str">
        <f>IF(LEN('categories-old'!G1332) &gt; 0, "INSERT INTO `catalog_category_entity_varchar` (attribute_id,store_id,entity_id,value) VALUES (48,0,"&amp;'categories-old'!B1332&amp;",'"&amp;RIGHT('categories-old'!G1332,LEN('categories-old'!G1332)-1)&amp;"');","")</f>
        <v>INSERT INTO `catalog_category_entity_varchar` (attribute_id,store_id,entity_id,value) VALUES (48,0,1309,'img3/imgcbac.jpg');</v>
      </c>
      <c r="B1332" t="str">
        <f>IF(LEN(categories!G1332) &gt; 0, "INSERT INTO `catalog_category_entity_varchar` (attribute_id,store_id,entity_id,value) VALUES (48,0,"&amp;categories!B1332&amp;",'"&amp;RIGHT(categories!G1332,LEN(categories!G1332)-1)&amp;"');","")</f>
        <v>INSERT INTO `catalog_category_entity_varchar` (attribute_id,store_id,entity_id,value) VALUES (48,0,1315,'img2/imgf1b8.jpg');</v>
      </c>
      <c r="C1332" t="str">
        <f>VLOOKUP(categories!B1332,'categories-old'!B:G,6,FALSE)</f>
        <v>/img2/imgf1b8.jpg</v>
      </c>
      <c r="D1332" t="str">
        <f>VLOOKUP(categories!B1332,'categories-old'!B:H,7,FALSE)</f>
        <v>www.americanretailsupply.com\64742\172821\Tulle\Tulle-Rolls.html</v>
      </c>
    </row>
    <row r="1333" spans="1:4" hidden="1" x14ac:dyDescent="0.25">
      <c r="A1333" t="str">
        <f>IF(LEN('categories-old'!G1333) &gt; 0, "INSERT INTO `catalog_category_entity_varchar` (attribute_id,store_id,entity_id,value) VALUES (48,0,"&amp;'categories-old'!B1333&amp;",'"&amp;RIGHT('categories-old'!G1333,LEN('categories-old'!G1333)-1)&amp;"');","")</f>
        <v>INSERT INTO `catalog_category_entity_varchar` (attribute_id,store_id,entity_id,value) VALUES (48,0,1310,'img2/imge556.jpg');</v>
      </c>
      <c r="B1333" t="str">
        <f>IF(LEN(categories!G1333) &gt; 0, "INSERT INTO `catalog_category_entity_varchar` (attribute_id,store_id,entity_id,value) VALUES (48,0,"&amp;categories!B1333&amp;",'"&amp;RIGHT(categories!G1333,LEN(categories!G1333)-1)&amp;"');","")</f>
        <v>INSERT INTO `catalog_category_entity_varchar` (attribute_id,store_id,entity_id,value) VALUES (48,0,1317,'img3/img4778.jpg');</v>
      </c>
      <c r="C1333" t="str">
        <f>VLOOKUP(categories!B1333,'categories-old'!B:G,6,FALSE)</f>
        <v>/img3/img4778.jpg</v>
      </c>
      <c r="D1333" t="str">
        <f>VLOOKUP(categories!B1333,'categories-old'!B:H,7,FALSE)</f>
        <v>www.americanretailsupply.com\64854\12530\Turn--O--Matic-Systems\Turn-O-Matic-Systems.html</v>
      </c>
    </row>
    <row r="1334" spans="1:4" hidden="1" x14ac:dyDescent="0.25">
      <c r="A1334" t="str">
        <f>IF(LEN('categories-old'!G1334) &gt; 0, "INSERT INTO `catalog_category_entity_varchar` (attribute_id,store_id,entity_id,value) VALUES (48,0,"&amp;'categories-old'!B1334&amp;",'"&amp;RIGHT('categories-old'!G1334,LEN('categories-old'!G1334)-1)&amp;"');","")</f>
        <v>INSERT INTO `catalog_category_entity_varchar` (attribute_id,store_id,entity_id,value) VALUES (48,0,1311,'img1/img23a1.jpg');</v>
      </c>
      <c r="B1334" t="str">
        <f>IF(LEN(categories!G1334) &gt; 0, "INSERT INTO `catalog_category_entity_varchar` (attribute_id,store_id,entity_id,value) VALUES (48,0,"&amp;categories!B1334&amp;",'"&amp;RIGHT(categories!G1334,LEN(categories!G1334)-1)&amp;"');","")</f>
        <v>INSERT INTO `catalog_category_entity_varchar` (attribute_id,store_id,entity_id,value) VALUES (48,0,1318,'img3/img1438.jpg');</v>
      </c>
      <c r="C1334" t="str">
        <f>VLOOKUP(categories!B1334,'categories-old'!B:G,6,FALSE)</f>
        <v>/img3/img1438.jpg</v>
      </c>
      <c r="D1334" t="str">
        <f>VLOOKUP(categories!B1334,'categories-old'!B:H,7,FALSE)</f>
        <v>www.americanretailsupply.com\64854\148404\Turn--O--Matic-Systems\Turn-O-Matic-Tickets.html</v>
      </c>
    </row>
    <row r="1335" spans="1:4" hidden="1" x14ac:dyDescent="0.25">
      <c r="A1335" t="str">
        <f>IF(LEN('categories-old'!G1335) &gt; 0, "INSERT INTO `catalog_category_entity_varchar` (attribute_id,store_id,entity_id,value) VALUES (48,0,"&amp;'categories-old'!B1335&amp;",'"&amp;RIGHT('categories-old'!G1335,LEN('categories-old'!G1335)-1)&amp;"');","")</f>
        <v>INSERT INTO `catalog_category_entity_varchar` (attribute_id,store_id,entity_id,value) VALUES (48,0,1312,'img3/img518d.jpg');</v>
      </c>
      <c r="B1335" t="str">
        <f>IF(LEN(categories!G1335) &gt; 0, "INSERT INTO `catalog_category_entity_varchar` (attribute_id,store_id,entity_id,value) VALUES (48,0,"&amp;categories!B1335&amp;",'"&amp;RIGHT(categories!G1335,LEN(categories!G1335)-1)&amp;"');","")</f>
        <v>INSERT INTO `catalog_category_entity_varchar` (attribute_id,store_id,entity_id,value) VALUES (48,0,1320,'img2/imgbab2.jpg');</v>
      </c>
      <c r="C1335" t="str">
        <f>VLOOKUP(categories!B1335,'categories-old'!B:G,6,FALSE)</f>
        <v>/img2/imgbab2.jpg</v>
      </c>
      <c r="D1335" t="str">
        <f>VLOOKUP(categories!B1335,'categories-old'!B:H,7,FALSE)</f>
        <v>www.americanretailsupply.com\65155\741086\Unbreakable-Forms\Female-Hanging-Torso-Form-with-No-Arms.html</v>
      </c>
    </row>
    <row r="1336" spans="1:4" hidden="1" x14ac:dyDescent="0.25">
      <c r="A1336" t="str">
        <f>IF(LEN('categories-old'!G1336) &gt; 0, "INSERT INTO `catalog_category_entity_varchar` (attribute_id,store_id,entity_id,value) VALUES (48,0,"&amp;'categories-old'!B1336&amp;",'"&amp;RIGHT('categories-old'!G1336,LEN('categories-old'!G1336)-1)&amp;"');","")</f>
        <v>INSERT INTO `catalog_category_entity_varchar` (attribute_id,store_id,entity_id,value) VALUES (48,0,1313,'img1/img649a.jpg');</v>
      </c>
      <c r="B1336" t="str">
        <f>IF(LEN(categories!G1336) &gt; 0, "INSERT INTO `catalog_category_entity_varchar` (attribute_id,store_id,entity_id,value) VALUES (48,0,"&amp;categories!B1336&amp;",'"&amp;RIGHT(categories!G1336,LEN(categories!G1336)-1)&amp;"');","")</f>
        <v>INSERT INTO `catalog_category_entity_varchar` (attribute_id,store_id,entity_id,value) VALUES (48,0,1321,'img2/imgce4c.jpg');</v>
      </c>
      <c r="C1336" t="str">
        <f>VLOOKUP(categories!B1336,'categories-old'!B:G,6,FALSE)</f>
        <v>/img2/imgce4c.jpg</v>
      </c>
      <c r="D1336" t="str">
        <f>VLOOKUP(categories!B1336,'categories-old'!B:H,7,FALSE)</f>
        <v>www.americanretailsupply.com\65155\741088\Unbreakable-Forms\Female-Torso-Form-with-Arms.html</v>
      </c>
    </row>
    <row r="1337" spans="1:4" hidden="1" x14ac:dyDescent="0.25">
      <c r="A1337" t="str">
        <f>IF(LEN('categories-old'!G1337) &gt; 0, "INSERT INTO `catalog_category_entity_varchar` (attribute_id,store_id,entity_id,value) VALUES (48,0,"&amp;'categories-old'!B1337&amp;",'"&amp;RIGHT('categories-old'!G1337,LEN('categories-old'!G1337)-1)&amp;"');","")</f>
        <v>INSERT INTO `catalog_category_entity_varchar` (attribute_id,store_id,entity_id,value) VALUES (48,0,1315,'img2/imgf1b8.jpg');</v>
      </c>
      <c r="B1337" t="str">
        <f>IF(LEN(categories!G1337) &gt; 0, "INSERT INTO `catalog_category_entity_varchar` (attribute_id,store_id,entity_id,value) VALUES (48,0,"&amp;categories!B1337&amp;",'"&amp;RIGHT(categories!G1337,LEN(categories!G1337)-1)&amp;"');","")</f>
        <v>INSERT INTO `catalog_category_entity_varchar` (attribute_id,store_id,entity_id,value) VALUES (48,0,1322,'img1/img9493.jpg');</v>
      </c>
      <c r="C1337" t="str">
        <f>VLOOKUP(categories!B1337,'categories-old'!B:G,6,FALSE)</f>
        <v>/img1/img9493.jpg</v>
      </c>
      <c r="D1337" t="str">
        <f>VLOOKUP(categories!B1337,'categories-old'!B:H,7,FALSE)</f>
        <v>www.americanretailsupply.com\65155\741089\Unbreakable-Forms\Female-Torso-Form-with-No-Arms.html</v>
      </c>
    </row>
    <row r="1338" spans="1:4" hidden="1" x14ac:dyDescent="0.25">
      <c r="A1338" t="str">
        <f>IF(LEN('categories-old'!G1338) &gt; 0, "INSERT INTO `catalog_category_entity_varchar` (attribute_id,store_id,entity_id,value) VALUES (48,0,"&amp;'categories-old'!B1338&amp;",'"&amp;RIGHT('categories-old'!G1338,LEN('categories-old'!G1338)-1)&amp;"');","")</f>
        <v>INSERT INTO `catalog_category_entity_varchar` (attribute_id,store_id,entity_id,value) VALUES (48,0,1317,'img3/img4778.jpg');</v>
      </c>
      <c r="B1338" t="str">
        <f>IF(LEN(categories!G1338) &gt; 0, "INSERT INTO `catalog_category_entity_varchar` (attribute_id,store_id,entity_id,value) VALUES (48,0,"&amp;categories!B1338&amp;",'"&amp;RIGHT(categories!G1338,LEN(categories!G1338)-1)&amp;"');","")</f>
        <v>INSERT INTO `catalog_category_entity_varchar` (attribute_id,store_id,entity_id,value) VALUES (48,0,1323,'img1/imga20b.jpg');</v>
      </c>
      <c r="C1338" t="str">
        <f>VLOOKUP(categories!B1338,'categories-old'!B:G,6,FALSE)</f>
        <v>/img1/imga20b.jpg</v>
      </c>
      <c r="D1338" t="str">
        <f>VLOOKUP(categories!B1338,'categories-old'!B:H,7,FALSE)</f>
        <v>www.americanretailsupply.com\65155\741093\Unbreakable-Forms\Male-Hanging-Torso-Form-with-No-Arms.html</v>
      </c>
    </row>
    <row r="1339" spans="1:4" hidden="1" x14ac:dyDescent="0.25">
      <c r="A1339" t="str">
        <f>IF(LEN('categories-old'!G1339) &gt; 0, "INSERT INTO `catalog_category_entity_varchar` (attribute_id,store_id,entity_id,value) VALUES (48,0,"&amp;'categories-old'!B1339&amp;",'"&amp;RIGHT('categories-old'!G1339,LEN('categories-old'!G1339)-1)&amp;"');","")</f>
        <v>INSERT INTO `catalog_category_entity_varchar` (attribute_id,store_id,entity_id,value) VALUES (48,0,1318,'img3/img1438.jpg');</v>
      </c>
      <c r="B1339" t="str">
        <f>IF(LEN(categories!G1339) &gt; 0, "INSERT INTO `catalog_category_entity_varchar` (attribute_id,store_id,entity_id,value) VALUES (48,0,"&amp;categories!B1339&amp;",'"&amp;RIGHT(categories!G1339,LEN(categories!G1339)-1)&amp;"');","")</f>
        <v>INSERT INTO `catalog_category_entity_varchar` (attribute_id,store_id,entity_id,value) VALUES (48,0,1324,'img3/img1e6b.jpg');</v>
      </c>
      <c r="C1339" t="str">
        <f>VLOOKUP(categories!B1339,'categories-old'!B:G,6,FALSE)</f>
        <v>/img3/img1e6b.jpg</v>
      </c>
      <c r="D1339" t="str">
        <f>VLOOKUP(categories!B1339,'categories-old'!B:H,7,FALSE)</f>
        <v>www.americanretailsupply.com\65155\741095\Unbreakable-Forms\Male-Torso-Form-with-Arms.html</v>
      </c>
    </row>
    <row r="1340" spans="1:4" hidden="1" x14ac:dyDescent="0.25">
      <c r="A1340" t="str">
        <f>IF(LEN('categories-old'!G1340) &gt; 0, "INSERT INTO `catalog_category_entity_varchar` (attribute_id,store_id,entity_id,value) VALUES (48,0,"&amp;'categories-old'!B1340&amp;",'"&amp;RIGHT('categories-old'!G1340,LEN('categories-old'!G1340)-1)&amp;"');","")</f>
        <v>INSERT INTO `catalog_category_entity_varchar` (attribute_id,store_id,entity_id,value) VALUES (48,0,1320,'img2/imgbab2.jpg');</v>
      </c>
      <c r="B1340" t="str">
        <f>IF(LEN(categories!G1340) &gt; 0, "INSERT INTO `catalog_category_entity_varchar` (attribute_id,store_id,entity_id,value) VALUES (48,0,"&amp;categories!B1340&amp;",'"&amp;RIGHT(categories!G1340,LEN(categories!G1340)-1)&amp;"');","")</f>
        <v>INSERT INTO `catalog_category_entity_varchar` (attribute_id,store_id,entity_id,value) VALUES (48,0,1325,'img2/imgd16a.jpg');</v>
      </c>
      <c r="C1340" t="str">
        <f>VLOOKUP(categories!B1340,'categories-old'!B:G,6,FALSE)</f>
        <v>/img2/imgd16a.jpg</v>
      </c>
      <c r="D1340" t="str">
        <f>VLOOKUP(categories!B1340,'categories-old'!B:H,7,FALSE)</f>
        <v>www.americanretailsupply.com\65155\741096\Unbreakable-Forms\Male-Torso-Form-with-No-Arms.html</v>
      </c>
    </row>
    <row r="1341" spans="1:4" hidden="1" x14ac:dyDescent="0.25">
      <c r="A1341" t="str">
        <f>IF(LEN('categories-old'!G1341) &gt; 0, "INSERT INTO `catalog_category_entity_varchar` (attribute_id,store_id,entity_id,value) VALUES (48,0,"&amp;'categories-old'!B1341&amp;",'"&amp;RIGHT('categories-old'!G1341,LEN('categories-old'!G1341)-1)&amp;"');","")</f>
        <v>INSERT INTO `catalog_category_entity_varchar` (attribute_id,store_id,entity_id,value) VALUES (48,0,1321,'img2/imgce4c.jpg');</v>
      </c>
      <c r="B1341" t="str">
        <f>IF(LEN(categories!G1341) &gt; 0, "INSERT INTO `catalog_category_entity_varchar` (attribute_id,store_id,entity_id,value) VALUES (48,0,"&amp;categories!B1341&amp;",'"&amp;RIGHT(categories!G1341,LEN(categories!G1341)-1)&amp;"');","")</f>
        <v>INSERT INTO `catalog_category_entity_varchar` (attribute_id,store_id,entity_id,value) VALUES (48,0,1326,'img1/imgf7ee.jpg');</v>
      </c>
      <c r="C1341" t="str">
        <f>VLOOKUP(categories!B1341,'categories-old'!B:G,6,FALSE)</f>
        <v>/img1/imgf7ee.jpg</v>
      </c>
      <c r="D1341" t="str">
        <f>VLOOKUP(categories!B1341,'categories-old'!B:H,7,FALSE)</f>
        <v>www.americanretailsupply.com\65155\741098\Unbreakable-Forms\Female-with-Oval-Head.html</v>
      </c>
    </row>
    <row r="1342" spans="1:4" hidden="1" x14ac:dyDescent="0.25">
      <c r="A1342" t="str">
        <f>IF(LEN('categories-old'!G1342) &gt; 0, "INSERT INTO `catalog_category_entity_varchar` (attribute_id,store_id,entity_id,value) VALUES (48,0,"&amp;'categories-old'!B1342&amp;",'"&amp;RIGHT('categories-old'!G1342,LEN('categories-old'!G1342)-1)&amp;"');","")</f>
        <v>INSERT INTO `catalog_category_entity_varchar` (attribute_id,store_id,entity_id,value) VALUES (48,0,1322,'img1/img9493.jpg');</v>
      </c>
      <c r="B1342" t="str">
        <f>IF(LEN(categories!G1342) &gt; 0, "INSERT INTO `catalog_category_entity_varchar` (attribute_id,store_id,entity_id,value) VALUES (48,0,"&amp;categories!B1342&amp;",'"&amp;RIGHT(categories!G1342,LEN(categories!G1342)-1)&amp;"');","")</f>
        <v>INSERT INTO `catalog_category_entity_varchar` (attribute_id,store_id,entity_id,value) VALUES (48,0,1327,'img2/imgc084.jpg');</v>
      </c>
      <c r="C1342" t="str">
        <f>VLOOKUP(categories!B1342,'categories-old'!B:G,6,FALSE)</f>
        <v>/img2/imgc084.jpg</v>
      </c>
      <c r="D1342" t="str">
        <f>VLOOKUP(categories!B1342,'categories-old'!B:H,7,FALSE)</f>
        <v>www.americanretailsupply.com\65155\741100\Unbreakable-Forms\Female-Headless-with-Straight-Legs--Arms.html</v>
      </c>
    </row>
    <row r="1343" spans="1:4" hidden="1" x14ac:dyDescent="0.25">
      <c r="A1343" t="str">
        <f>IF(LEN('categories-old'!G1343) &gt; 0, "INSERT INTO `catalog_category_entity_varchar` (attribute_id,store_id,entity_id,value) VALUES (48,0,"&amp;'categories-old'!B1343&amp;",'"&amp;RIGHT('categories-old'!G1343,LEN('categories-old'!G1343)-1)&amp;"');","")</f>
        <v>INSERT INTO `catalog_category_entity_varchar` (attribute_id,store_id,entity_id,value) VALUES (48,0,1323,'img1/imga20b.jpg');</v>
      </c>
      <c r="B1343" t="str">
        <f>IF(LEN(categories!G1343) &gt; 0, "INSERT INTO `catalog_category_entity_varchar` (attribute_id,store_id,entity_id,value) VALUES (48,0,"&amp;categories!B1343&amp;",'"&amp;RIGHT(categories!G1343,LEN(categories!G1343)-1)&amp;"');","")</f>
        <v>INSERT INTO `catalog_category_entity_varchar` (attribute_id,store_id,entity_id,value) VALUES (48,0,1328,'img3/imgb655.jpg');</v>
      </c>
      <c r="C1343" t="str">
        <f>VLOOKUP(categories!B1343,'categories-old'!B:G,6,FALSE)</f>
        <v>/img3/imgb655.jpg</v>
      </c>
      <c r="D1343" t="str">
        <f>VLOOKUP(categories!B1343,'categories-old'!B:H,7,FALSE)</f>
        <v>www.americanretailsupply.com\65155\741103\Unbreakable-Forms\Male-Headless-with-Straight-Legs-and-Arms.html</v>
      </c>
    </row>
    <row r="1344" spans="1:4" hidden="1" x14ac:dyDescent="0.25">
      <c r="A1344" t="str">
        <f>IF(LEN('categories-old'!G1344) &gt; 0, "INSERT INTO `catalog_category_entity_varchar` (attribute_id,store_id,entity_id,value) VALUES (48,0,"&amp;'categories-old'!B1344&amp;",'"&amp;RIGHT('categories-old'!G1344,LEN('categories-old'!G1344)-1)&amp;"');","")</f>
        <v>INSERT INTO `catalog_category_entity_varchar` (attribute_id,store_id,entity_id,value) VALUES (48,0,1324,'img3/img1e6b.jpg');</v>
      </c>
      <c r="B1344" t="str">
        <f>IF(LEN(categories!G1344) &gt; 0, "INSERT INTO `catalog_category_entity_varchar` (attribute_id,store_id,entity_id,value) VALUES (48,0,"&amp;categories!B1344&amp;",'"&amp;RIGHT(categories!G1344,LEN(categories!G1344)-1)&amp;"');","")</f>
        <v>INSERT INTO `catalog_category_entity_varchar` (attribute_id,store_id,entity_id,value) VALUES (48,0,1329,'img1/img8a01.jpg');</v>
      </c>
      <c r="C1344" t="str">
        <f>VLOOKUP(categories!B1344,'categories-old'!B:G,6,FALSE)</f>
        <v>/img1/img8a01.jpg</v>
      </c>
      <c r="D1344" t="str">
        <f>VLOOKUP(categories!B1344,'categories-old'!B:H,7,FALSE)</f>
        <v>www.americanretailsupply.com\65155\741105\Unbreakable-Forms\Female-Leg-Form.html</v>
      </c>
    </row>
    <row r="1345" spans="1:4" hidden="1" x14ac:dyDescent="0.25">
      <c r="A1345" t="str">
        <f>IF(LEN('categories-old'!G1345) &gt; 0, "INSERT INTO `catalog_category_entity_varchar` (attribute_id,store_id,entity_id,value) VALUES (48,0,"&amp;'categories-old'!B1345&amp;",'"&amp;RIGHT('categories-old'!G1345,LEN('categories-old'!G1345)-1)&amp;"');","")</f>
        <v>INSERT INTO `catalog_category_entity_varchar` (attribute_id,store_id,entity_id,value) VALUES (48,0,1325,'img2/imgd16a.jpg');</v>
      </c>
      <c r="B1345" t="str">
        <f>IF(LEN(categories!G1345) &gt; 0, "INSERT INTO `catalog_category_entity_varchar` (attribute_id,store_id,entity_id,value) VALUES (48,0,"&amp;categories!B1345&amp;",'"&amp;RIGHT(categories!G1345,LEN(categories!G1345)-1)&amp;"');","")</f>
        <v>INSERT INTO `catalog_category_entity_varchar` (attribute_id,store_id,entity_id,value) VALUES (48,0,1330,'img3/img7908.jpg');</v>
      </c>
      <c r="C1345" t="str">
        <f>VLOOKUP(categories!B1345,'categories-old'!B:G,6,FALSE)</f>
        <v>/img3/img7908.jpg</v>
      </c>
      <c r="D1345" t="str">
        <f>VLOOKUP(categories!B1345,'categories-old'!B:H,7,FALSE)</f>
        <v>www.americanretailsupply.com\65155\741106\Unbreakable-Forms\Male-Leg-Form.html</v>
      </c>
    </row>
    <row r="1346" spans="1:4" hidden="1" x14ac:dyDescent="0.25">
      <c r="A1346" t="str">
        <f>IF(LEN('categories-old'!G1346) &gt; 0, "INSERT INTO `catalog_category_entity_varchar` (attribute_id,store_id,entity_id,value) VALUES (48,0,"&amp;'categories-old'!B1346&amp;",'"&amp;RIGHT('categories-old'!G1346,LEN('categories-old'!G1346)-1)&amp;"');","")</f>
        <v>INSERT INTO `catalog_category_entity_varchar` (attribute_id,store_id,entity_id,value) VALUES (48,0,1326,'img1/imgf7ee.jpg');</v>
      </c>
      <c r="B1346" t="str">
        <f>IF(LEN(categories!G1346) &gt; 0, "INSERT INTO `catalog_category_entity_varchar` (attribute_id,store_id,entity_id,value) VALUES (48,0,"&amp;categories!B1346&amp;",'"&amp;RIGHT(categories!G1346,LEN(categories!G1346)-1)&amp;"');","")</f>
        <v>INSERT INTO `catalog_category_entity_varchar` (attribute_id,store_id,entity_id,value) VALUES (48,0,1331,'img2/imgd3a4.jpg');</v>
      </c>
      <c r="C1346" t="str">
        <f>VLOOKUP(categories!B1346,'categories-old'!B:G,6,FALSE)</f>
        <v>/img2/imgd3a4.jpg</v>
      </c>
      <c r="D1346" t="str">
        <f>VLOOKUP(categories!B1346,'categories-old'!B:H,7,FALSE)</f>
        <v>www.americanretailsupply.com\65155\741108\Unbreakable-Forms\Female-Hip-Form.html</v>
      </c>
    </row>
    <row r="1347" spans="1:4" hidden="1" x14ac:dyDescent="0.25">
      <c r="A1347" t="str">
        <f>IF(LEN('categories-old'!G1347) &gt; 0, "INSERT INTO `catalog_category_entity_varchar` (attribute_id,store_id,entity_id,value) VALUES (48,0,"&amp;'categories-old'!B1347&amp;",'"&amp;RIGHT('categories-old'!G1347,LEN('categories-old'!G1347)-1)&amp;"');","")</f>
        <v>INSERT INTO `catalog_category_entity_varchar` (attribute_id,store_id,entity_id,value) VALUES (48,0,1327,'img2/imgc084.jpg');</v>
      </c>
      <c r="B1347" t="str">
        <f>IF(LEN(categories!G1347) &gt; 0, "INSERT INTO `catalog_category_entity_varchar` (attribute_id,store_id,entity_id,value) VALUES (48,0,"&amp;categories!B1347&amp;",'"&amp;RIGHT(categories!G1347,LEN(categories!G1347)-1)&amp;"');","")</f>
        <v>INSERT INTO `catalog_category_entity_varchar` (attribute_id,store_id,entity_id,value) VALUES (48,0,1332,'img3/img9926.jpg');</v>
      </c>
      <c r="C1347" t="str">
        <f>VLOOKUP(categories!B1347,'categories-old'!B:G,6,FALSE)</f>
        <v>/img3/img9926.jpg</v>
      </c>
      <c r="D1347" t="str">
        <f>VLOOKUP(categories!B1347,'categories-old'!B:H,7,FALSE)</f>
        <v>www.americanretailsupply.com\65155\741109\Unbreakable-Forms\Male-Hip-Form.html</v>
      </c>
    </row>
    <row r="1348" spans="1:4" hidden="1" x14ac:dyDescent="0.25">
      <c r="A1348" t="str">
        <f>IF(LEN('categories-old'!G1348) &gt; 0, "INSERT INTO `catalog_category_entity_varchar` (attribute_id,store_id,entity_id,value) VALUES (48,0,"&amp;'categories-old'!B1348&amp;",'"&amp;RIGHT('categories-old'!G1348,LEN('categories-old'!G1348)-1)&amp;"');","")</f>
        <v>INSERT INTO `catalog_category_entity_varchar` (attribute_id,store_id,entity_id,value) VALUES (48,0,1328,'img3/imgb655.jpg');</v>
      </c>
      <c r="B1348" t="str">
        <f>IF(LEN(categories!G1348) &gt; 0, "INSERT INTO `catalog_category_entity_varchar` (attribute_id,store_id,entity_id,value) VALUES (48,0,"&amp;categories!B1348&amp;",'"&amp;RIGHT(categories!G1348,LEN(categories!G1348)-1)&amp;"');","")</f>
        <v>INSERT INTO `catalog_category_entity_varchar` (attribute_id,store_id,entity_id,value) VALUES (48,0,1334,'img2/img5087.jpg');</v>
      </c>
      <c r="C1348" t="str">
        <f>VLOOKUP(categories!B1348,'categories-old'!B:G,6,FALSE)</f>
        <v>/img2/img5087.jpg</v>
      </c>
      <c r="D1348" t="str">
        <f>VLOOKUP(categories!B1348,'categories-old'!B:H,7,FALSE)</f>
        <v>www.americanretailsupply.com\64966\41105\Universal-HD-Brackets\Universal-Brackets.html</v>
      </c>
    </row>
    <row r="1349" spans="1:4" hidden="1" x14ac:dyDescent="0.25">
      <c r="A1349" t="str">
        <f>IF(LEN('categories-old'!G1349) &gt; 0, "INSERT INTO `catalog_category_entity_varchar` (attribute_id,store_id,entity_id,value) VALUES (48,0,"&amp;'categories-old'!B1349&amp;",'"&amp;RIGHT('categories-old'!G1349,LEN('categories-old'!G1349)-1)&amp;"');","")</f>
        <v>INSERT INTO `catalog_category_entity_varchar` (attribute_id,store_id,entity_id,value) VALUES (48,0,1329,'img1/img8a01.jpg');</v>
      </c>
      <c r="B1349" t="str">
        <f>IF(LEN(categories!G1349) &gt; 0, "INSERT INTO `catalog_category_entity_varchar` (attribute_id,store_id,entity_id,value) VALUES (48,0,"&amp;categories!B1349&amp;",'"&amp;RIGHT(categories!G1349,LEN(categories!G1349)-1)&amp;"');","")</f>
        <v>INSERT INTO `catalog_category_entity_varchar` (attribute_id,store_id,entity_id,value) VALUES (48,0,1335,'img3/img1e30-2.jpg');</v>
      </c>
      <c r="C1349" t="str">
        <f>VLOOKUP(categories!B1349,'categories-old'!B:G,6,FALSE)</f>
        <v>/img3/img1e30-2.jpg</v>
      </c>
      <c r="D1349" t="str">
        <f>VLOOKUP(categories!B1349,'categories-old'!B:H,7,FALSE)</f>
        <v>www.americanretailsupply.com\64966\41106\Universal-HD-Brackets\Universal-Flange-Brackets.html</v>
      </c>
    </row>
    <row r="1350" spans="1:4" hidden="1" x14ac:dyDescent="0.25">
      <c r="A1350" t="str">
        <f>IF(LEN('categories-old'!G1350) &gt; 0, "INSERT INTO `catalog_category_entity_varchar` (attribute_id,store_id,entity_id,value) VALUES (48,0,"&amp;'categories-old'!B1350&amp;",'"&amp;RIGHT('categories-old'!G1350,LEN('categories-old'!G1350)-1)&amp;"');","")</f>
        <v>INSERT INTO `catalog_category_entity_varchar` (attribute_id,store_id,entity_id,value) VALUES (48,0,1330,'img3/img7908.jpg');</v>
      </c>
      <c r="B1350" t="str">
        <f>IF(LEN(categories!G1350) &gt; 0, "INSERT INTO `catalog_category_entity_varchar` (attribute_id,store_id,entity_id,value) VALUES (48,0,"&amp;categories!B1350&amp;",'"&amp;RIGHT(categories!G1350,LEN(categories!G1350)-1)&amp;"');","")</f>
        <v>INSERT INTO `catalog_category_entity_varchar` (attribute_id,store_id,entity_id,value) VALUES (48,0,1336,'img3/img6998.jpg');</v>
      </c>
      <c r="C1350" t="str">
        <f>VLOOKUP(categories!B1350,'categories-old'!B:G,6,FALSE)</f>
        <v>/img3/img6998.jpg</v>
      </c>
      <c r="D1350" t="str">
        <f>VLOOKUP(categories!B1350,'categories-old'!B:H,7,FALSE)</f>
        <v>www.americanretailsupply.com\64966\41107\Universal-HD-Brackets\Universal-Adjustable-Flange-Brackets.html</v>
      </c>
    </row>
    <row r="1351" spans="1:4" hidden="1" x14ac:dyDescent="0.25">
      <c r="A1351" t="str">
        <f>IF(LEN('categories-old'!G1351) &gt; 0, "INSERT INTO `catalog_category_entity_varchar` (attribute_id,store_id,entity_id,value) VALUES (48,0,"&amp;'categories-old'!B1351&amp;",'"&amp;RIGHT('categories-old'!G1351,LEN('categories-old'!G1351)-1)&amp;"');","")</f>
        <v>INSERT INTO `catalog_category_entity_varchar` (attribute_id,store_id,entity_id,value) VALUES (48,0,1331,'img2/imgd3a4.jpg');</v>
      </c>
      <c r="B1351" t="str">
        <f>IF(LEN(categories!G1351) &gt; 0, "INSERT INTO `catalog_category_entity_varchar` (attribute_id,store_id,entity_id,value) VALUES (48,0,"&amp;categories!B1351&amp;",'"&amp;RIGHT(categories!G1351,LEN(categories!G1351)-1)&amp;"');","")</f>
        <v>INSERT INTO `catalog_category_entity_varchar` (attribute_id,store_id,entity_id,value) VALUES (48,0,1337,'img2/imgde4a.jpg');</v>
      </c>
      <c r="C1351" t="str">
        <f>VLOOKUP(categories!B1351,'categories-old'!B:G,6,FALSE)</f>
        <v>/img2/imgde4a.jpg</v>
      </c>
      <c r="D1351" t="str">
        <f>VLOOKUP(categories!B1351,'categories-old'!B:H,7,FALSE)</f>
        <v>www.americanretailsupply.com\64966\41108\Universal-HD-Brackets\Universal-Straight-Faceout-with-Metal-Lock-Nut.html</v>
      </c>
    </row>
    <row r="1352" spans="1:4" hidden="1" x14ac:dyDescent="0.25">
      <c r="A1352" t="str">
        <f>IF(LEN('categories-old'!G1352) &gt; 0, "INSERT INTO `catalog_category_entity_varchar` (attribute_id,store_id,entity_id,value) VALUES (48,0,"&amp;'categories-old'!B1352&amp;",'"&amp;RIGHT('categories-old'!G1352,LEN('categories-old'!G1352)-1)&amp;"');","")</f>
        <v>INSERT INTO `catalog_category_entity_varchar` (attribute_id,store_id,entity_id,value) VALUES (48,0,1332,'img3/img9926.jpg');</v>
      </c>
      <c r="B1352" t="str">
        <f>IF(LEN(categories!G1352) &gt; 0, "INSERT INTO `catalog_category_entity_varchar` (attribute_id,store_id,entity_id,value) VALUES (48,0,"&amp;categories!B1352&amp;",'"&amp;RIGHT(categories!G1352,LEN(categories!G1352)-1)&amp;"');","")</f>
        <v>INSERT INTO `catalog_category_entity_varchar` (attribute_id,store_id,entity_id,value) VALUES (48,0,1338,'img3/img056c.jpg');</v>
      </c>
      <c r="C1352" t="str">
        <f>VLOOKUP(categories!B1352,'categories-old'!B:G,6,FALSE)</f>
        <v>/img3/img056c.jpg</v>
      </c>
      <c r="D1352" t="str">
        <f>VLOOKUP(categories!B1352,'categories-old'!B:H,7,FALSE)</f>
        <v>www.americanretailsupply.com\64966\41109\Universal-HD-Brackets\Waterfall-Ball-with-Metal-Lock-Nut.html</v>
      </c>
    </row>
    <row r="1353" spans="1:4" hidden="1" x14ac:dyDescent="0.25">
      <c r="A1353" t="str">
        <f>IF(LEN('categories-old'!G1353) &gt; 0, "INSERT INTO `catalog_category_entity_varchar` (attribute_id,store_id,entity_id,value) VALUES (48,0,"&amp;'categories-old'!B1353&amp;",'"&amp;RIGHT('categories-old'!G1353,LEN('categories-old'!G1353)-1)&amp;"');","")</f>
        <v>INSERT INTO `catalog_category_entity_varchar` (attribute_id,store_id,entity_id,value) VALUES (48,0,1334,'img2/img5087.jpg');</v>
      </c>
      <c r="B1353" t="str">
        <f>IF(LEN(categories!G1353) &gt; 0, "INSERT INTO `catalog_category_entity_varchar` (attribute_id,store_id,entity_id,value) VALUES (48,0,"&amp;categories!B1353&amp;",'"&amp;RIGHT(categories!G1353,LEN(categories!G1353)-1)&amp;"');","")</f>
        <v>INSERT INTO `catalog_category_entity_varchar` (attribute_id,store_id,entity_id,value) VALUES (48,0,1339,'img1/imgac35.jpg');</v>
      </c>
      <c r="C1353" t="str">
        <f>VLOOKUP(categories!B1353,'categories-old'!B:G,6,FALSE)</f>
        <v>/img1/imgac35.jpg</v>
      </c>
      <c r="D1353" t="str">
        <f>VLOOKUP(categories!B1353,'categories-old'!B:H,7,FALSE)</f>
        <v>www.americanretailsupply.com\64966\41110\Universal-HD-Brackets\Waterfall-Hook-with-Metal-Lock-Nut.html</v>
      </c>
    </row>
    <row r="1354" spans="1:4" hidden="1" x14ac:dyDescent="0.25">
      <c r="A1354" t="str">
        <f>IF(LEN('categories-old'!G1354) &gt; 0, "INSERT INTO `catalog_category_entity_varchar` (attribute_id,store_id,entity_id,value) VALUES (48,0,"&amp;'categories-old'!B1354&amp;",'"&amp;RIGHT('categories-old'!G1354,LEN('categories-old'!G1354)-1)&amp;"');","")</f>
        <v>INSERT INTO `catalog_category_entity_varchar` (attribute_id,store_id,entity_id,value) VALUES (48,0,1335,'img3/img1e30-2.jpg');</v>
      </c>
      <c r="B1354" t="str">
        <f>IF(LEN(categories!G1354) &gt; 0, "INSERT INTO `catalog_category_entity_varchar` (attribute_id,store_id,entity_id,value) VALUES (48,0,"&amp;categories!B1354&amp;",'"&amp;RIGHT(categories!G1354,LEN(categories!G1354)-1)&amp;"');","")</f>
        <v>INSERT INTO `catalog_category_entity_varchar` (attribute_id,store_id,entity_id,value) VALUES (48,0,1340,'img3/img4a88.jpg');</v>
      </c>
      <c r="C1354" t="str">
        <f>VLOOKUP(categories!B1354,'categories-old'!B:G,6,FALSE)</f>
        <v>/img3/img4a88.jpg</v>
      </c>
      <c r="D1354" t="str">
        <f>VLOOKUP(categories!B1354,'categories-old'!B:H,7,FALSE)</f>
        <v>www.americanretailsupply.com\64966\41111\Universal-HD-Brackets\Universal-Brackets-for-Merchandise-Bar-with-Lock-Nuts.html</v>
      </c>
    </row>
    <row r="1355" spans="1:4" hidden="1" x14ac:dyDescent="0.25">
      <c r="A1355" t="str">
        <f>IF(LEN('categories-old'!G1355) &gt; 0, "INSERT INTO `catalog_category_entity_varchar` (attribute_id,store_id,entity_id,value) VALUES (48,0,"&amp;'categories-old'!B1355&amp;",'"&amp;RIGHT('categories-old'!G1355,LEN('categories-old'!G1355)-1)&amp;"');","")</f>
        <v>INSERT INTO `catalog_category_entity_varchar` (attribute_id,store_id,entity_id,value) VALUES (48,0,1336,'img3/img6998.jpg');</v>
      </c>
      <c r="B1355" t="str">
        <f>IF(LEN(categories!G1355) &gt; 0, "INSERT INTO `catalog_category_entity_varchar` (attribute_id,store_id,entity_id,value) VALUES (48,0,"&amp;categories!B1355&amp;",'"&amp;RIGHT(categories!G1355,LEN(categories!G1355)-1)&amp;"');","")</f>
        <v>INSERT INTO `catalog_category_entity_varchar` (attribute_id,store_id,entity_id,value) VALUES (48,0,1341,'img2/img6156.jpg');</v>
      </c>
      <c r="C1355" t="str">
        <f>VLOOKUP(categories!B1355,'categories-old'!B:G,6,FALSE)</f>
        <v>/img2/img6156.jpg</v>
      </c>
      <c r="D1355" t="str">
        <f>VLOOKUP(categories!B1355,'categories-old'!B:H,7,FALSE)</f>
        <v>www.americanretailsupply.com\64966\41112\Universal-HD-Brackets\Universal-Hangrod-End-Mount-Bracket.html</v>
      </c>
    </row>
    <row r="1356" spans="1:4" hidden="1" x14ac:dyDescent="0.25">
      <c r="A1356" t="str">
        <f>IF(LEN('categories-old'!G1356) &gt; 0, "INSERT INTO `catalog_category_entity_varchar` (attribute_id,store_id,entity_id,value) VALUES (48,0,"&amp;'categories-old'!B1356&amp;",'"&amp;RIGHT('categories-old'!G1356,LEN('categories-old'!G1356)-1)&amp;"');","")</f>
        <v>INSERT INTO `catalog_category_entity_varchar` (attribute_id,store_id,entity_id,value) VALUES (48,0,1337,'img2/imgde4a.jpg');</v>
      </c>
      <c r="B1356" t="str">
        <f>IF(LEN(categories!G1356) &gt; 0, "INSERT INTO `catalog_category_entity_varchar` (attribute_id,store_id,entity_id,value) VALUES (48,0,"&amp;categories!B1356&amp;",'"&amp;RIGHT(categories!G1356,LEN(categories!G1356)-1)&amp;"');","")</f>
        <v>INSERT INTO `catalog_category_entity_varchar` (attribute_id,store_id,entity_id,value) VALUES (48,0,1342,'img3/imga0b7.jpg');</v>
      </c>
      <c r="C1356" t="str">
        <f>VLOOKUP(categories!B1356,'categories-old'!B:G,6,FALSE)</f>
        <v>/img3/imga0b7.jpg</v>
      </c>
      <c r="D1356" t="str">
        <f>VLOOKUP(categories!B1356,'categories-old'!B:H,7,FALSE)</f>
        <v>www.americanretailsupply.com\64966\41113\Universal-HD-Brackets\Universal-Hangrod-Brackets-with-Spring-Clamp.html</v>
      </c>
    </row>
    <row r="1357" spans="1:4" hidden="1" x14ac:dyDescent="0.25">
      <c r="A1357" t="str">
        <f>IF(LEN('categories-old'!G1357) &gt; 0, "INSERT INTO `catalog_category_entity_varchar` (attribute_id,store_id,entity_id,value) VALUES (48,0,"&amp;'categories-old'!B1357&amp;",'"&amp;RIGHT('categories-old'!G1357,LEN('categories-old'!G1357)-1)&amp;"');","")</f>
        <v>INSERT INTO `catalog_category_entity_varchar` (attribute_id,store_id,entity_id,value) VALUES (48,0,1338,'img3/img056c.jpg');</v>
      </c>
      <c r="B1357" t="str">
        <f>IF(LEN(categories!G1357) &gt; 0, "INSERT INTO `catalog_category_entity_varchar` (attribute_id,store_id,entity_id,value) VALUES (48,0,"&amp;categories!B1357&amp;",'"&amp;RIGHT(categories!G1357,LEN(categories!G1357)-1)&amp;"');","")</f>
        <v>INSERT INTO `catalog_category_entity_varchar` (attribute_id,store_id,entity_id,value) VALUES (48,0,1343,'img1/img2b4c.jpg');</v>
      </c>
      <c r="C1357" t="str">
        <f>VLOOKUP(categories!B1357,'categories-old'!B:G,6,FALSE)</f>
        <v>/img1/img2b4c.jpg</v>
      </c>
      <c r="D1357" t="str">
        <f>VLOOKUP(categories!B1357,'categories-old'!B:H,7,FALSE)</f>
        <v>www.americanretailsupply.com\64966\47132\Universal-HD-Brackets\Universal-Brackets-with-Plastic-Thumb-Lock.html</v>
      </c>
    </row>
    <row r="1358" spans="1:4" hidden="1" x14ac:dyDescent="0.25">
      <c r="A1358" t="str">
        <f>IF(LEN('categories-old'!G1358) &gt; 0, "INSERT INTO `catalog_category_entity_varchar` (attribute_id,store_id,entity_id,value) VALUES (48,0,"&amp;'categories-old'!B1358&amp;",'"&amp;RIGHT('categories-old'!G1358,LEN('categories-old'!G1358)-1)&amp;"');","")</f>
        <v>INSERT INTO `catalog_category_entity_varchar` (attribute_id,store_id,entity_id,value) VALUES (48,0,1339,'img1/imgac35.jpg');</v>
      </c>
      <c r="B1358" t="str">
        <f>IF(LEN(categories!G1358) &gt; 0, "INSERT INTO `catalog_category_entity_varchar` (attribute_id,store_id,entity_id,value) VALUES (48,0,"&amp;categories!B1358&amp;",'"&amp;RIGHT(categories!G1358,LEN(categories!G1358)-1)&amp;"');","")</f>
        <v>INSERT INTO `catalog_category_entity_varchar` (attribute_id,store_id,entity_id,value) VALUES (48,0,1344,'img2/img586a.jpg');</v>
      </c>
      <c r="C1358" t="str">
        <f>VLOOKUP(categories!B1358,'categories-old'!B:G,6,FALSE)</f>
        <v>/img2/img586a.jpg</v>
      </c>
      <c r="D1358" t="str">
        <f>VLOOKUP(categories!B1358,'categories-old'!B:H,7,FALSE)</f>
        <v>www.americanretailsupply.com\64966\47133\Universal-HD-Brackets\Universal-Brackets-wUpturn-at-Standard.html</v>
      </c>
    </row>
    <row r="1359" spans="1:4" hidden="1" x14ac:dyDescent="0.25">
      <c r="A1359" t="str">
        <f>IF(LEN('categories-old'!G1359) &gt; 0, "INSERT INTO `catalog_category_entity_varchar` (attribute_id,store_id,entity_id,value) VALUES (48,0,"&amp;'categories-old'!B1359&amp;",'"&amp;RIGHT('categories-old'!G1359,LEN('categories-old'!G1359)-1)&amp;"');","")</f>
        <v>INSERT INTO `catalog_category_entity_varchar` (attribute_id,store_id,entity_id,value) VALUES (48,0,1340,'img3/img4a88.jpg');</v>
      </c>
      <c r="B1359" t="str">
        <f>IF(LEN(categories!G1359) &gt; 0, "INSERT INTO `catalog_category_entity_varchar` (attribute_id,store_id,entity_id,value) VALUES (48,0,"&amp;categories!B1359&amp;",'"&amp;RIGHT(categories!G1359,LEN(categories!G1359)-1)&amp;"');","")</f>
        <v>INSERT INTO `catalog_category_entity_varchar` (attribute_id,store_id,entity_id,value) VALUES (48,0,1345,'img3/img2e5f.jpg');</v>
      </c>
      <c r="C1359" t="str">
        <f>VLOOKUP(categories!B1359,'categories-old'!B:G,6,FALSE)</f>
        <v>/img3/img2e5f.jpg</v>
      </c>
      <c r="D1359" t="str">
        <f>VLOOKUP(categories!B1359,'categories-old'!B:H,7,FALSE)</f>
        <v>www.americanretailsupply.com\64966\47134\Universal-HD-Brackets\Universal-Adjustable-Brackets.html</v>
      </c>
    </row>
    <row r="1360" spans="1:4" hidden="1" x14ac:dyDescent="0.25">
      <c r="A1360" t="str">
        <f>IF(LEN('categories-old'!G1360) &gt; 0, "INSERT INTO `catalog_category_entity_varchar` (attribute_id,store_id,entity_id,value) VALUES (48,0,"&amp;'categories-old'!B1360&amp;",'"&amp;RIGHT('categories-old'!G1360,LEN('categories-old'!G1360)-1)&amp;"');","")</f>
        <v>INSERT INTO `catalog_category_entity_varchar` (attribute_id,store_id,entity_id,value) VALUES (48,0,1341,'img2/img6156.jpg');</v>
      </c>
      <c r="B1360" t="str">
        <f>IF(LEN(categories!G1360) &gt; 0, "INSERT INTO `catalog_category_entity_varchar` (attribute_id,store_id,entity_id,value) VALUES (48,0,"&amp;categories!B1360&amp;",'"&amp;RIGHT(categories!G1360,LEN(categories!G1360)-1)&amp;"');","")</f>
        <v>INSERT INTO `catalog_category_entity_varchar` (attribute_id,store_id,entity_id,value) VALUES (48,0,1346,'img2/imgae85.jpg');</v>
      </c>
      <c r="C1360" t="str">
        <f>VLOOKUP(categories!B1360,'categories-old'!B:G,6,FALSE)</f>
        <v>/img2/imgae85.jpg</v>
      </c>
      <c r="D1360" t="str">
        <f>VLOOKUP(categories!B1360,'categories-old'!B:H,7,FALSE)</f>
        <v>www.americanretailsupply.com\64966\47135\Universal-HD-Brackets\Universal-Heavy-Duty-Bracket.html</v>
      </c>
    </row>
    <row r="1361" spans="1:4" hidden="1" x14ac:dyDescent="0.25">
      <c r="A1361" t="str">
        <f>IF(LEN('categories-old'!G1361) &gt; 0, "INSERT INTO `catalog_category_entity_varchar` (attribute_id,store_id,entity_id,value) VALUES (48,0,"&amp;'categories-old'!B1361&amp;",'"&amp;RIGHT('categories-old'!G1361,LEN('categories-old'!G1361)-1)&amp;"');","")</f>
        <v>INSERT INTO `catalog_category_entity_varchar` (attribute_id,store_id,entity_id,value) VALUES (48,0,1342,'img3/imga0b7.jpg');</v>
      </c>
      <c r="B1361" t="str">
        <f>IF(LEN(categories!G1361) &gt; 0, "INSERT INTO `catalog_category_entity_varchar` (attribute_id,store_id,entity_id,value) VALUES (48,0,"&amp;categories!B1361&amp;",'"&amp;RIGHT(categories!G1361,LEN(categories!G1361)-1)&amp;"');","")</f>
        <v>INSERT INTO `catalog_category_entity_varchar` (attribute_id,store_id,entity_id,value) VALUES (48,0,1347,'img2/imgfe95.jpg');</v>
      </c>
      <c r="C1361" t="str">
        <f>VLOOKUP(categories!B1361,'categories-old'!B:G,6,FALSE)</f>
        <v>/img2/imgfe95.jpg</v>
      </c>
      <c r="D1361" t="str">
        <f>VLOOKUP(categories!B1361,'categories-old'!B:H,7,FALSE)</f>
        <v>www.americanretailsupply.com\64966\228809\Universal-HD-Brackets\Replacement-Rubber-Buttons.html</v>
      </c>
    </row>
    <row r="1362" spans="1:4" hidden="1" x14ac:dyDescent="0.25">
      <c r="A1362" t="str">
        <f>IF(LEN('categories-old'!G1362) &gt; 0, "INSERT INTO `catalog_category_entity_varchar` (attribute_id,store_id,entity_id,value) VALUES (48,0,"&amp;'categories-old'!B1362&amp;",'"&amp;RIGHT('categories-old'!G1362,LEN('categories-old'!G1362)-1)&amp;"');","")</f>
        <v>INSERT INTO `catalog_category_entity_varchar` (attribute_id,store_id,entity_id,value) VALUES (48,0,1343,'img1/img2b4c.jpg');</v>
      </c>
      <c r="B1362" t="str">
        <f>IF(LEN(categories!G1362) &gt; 0, "INSERT INTO `catalog_category_entity_varchar` (attribute_id,store_id,entity_id,value) VALUES (48,0,"&amp;categories!B1362&amp;",'"&amp;RIGHT(categories!G1362,LEN(categories!G1362)-1)&amp;"');","")</f>
        <v>INSERT INTO `catalog_category_entity_varchar` (attribute_id,store_id,entity_id,value) VALUES (48,0,1349,'img3/img97bb.jpg');</v>
      </c>
      <c r="C1362" t="str">
        <f>VLOOKUP(categories!B1362,'categories-old'!B:G,6,FALSE)</f>
        <v>/img3/img97bb.jpg</v>
      </c>
      <c r="D1362" t="str">
        <f>VLOOKUP(categories!B1362,'categories-old'!B:H,7,FALSE)</f>
        <v>www.americanretailsupply.com\64965\41114\Universal-HD-Wall-Standards\Universal-Single-Slotted-Standards.html</v>
      </c>
    </row>
    <row r="1363" spans="1:4" hidden="1" x14ac:dyDescent="0.25">
      <c r="A1363" t="str">
        <f>IF(LEN('categories-old'!G1363) &gt; 0, "INSERT INTO `catalog_category_entity_varchar` (attribute_id,store_id,entity_id,value) VALUES (48,0,"&amp;'categories-old'!B1363&amp;",'"&amp;RIGHT('categories-old'!G1363,LEN('categories-old'!G1363)-1)&amp;"');","")</f>
        <v>INSERT INTO `catalog_category_entity_varchar` (attribute_id,store_id,entity_id,value) VALUES (48,0,1344,'img2/img586a.jpg');</v>
      </c>
      <c r="B1363" t="str">
        <f>IF(LEN(categories!G1363) &gt; 0, "INSERT INTO `catalog_category_entity_varchar` (attribute_id,store_id,entity_id,value) VALUES (48,0,"&amp;categories!B1363&amp;",'"&amp;RIGHT(categories!G1363,LEN(categories!G1363)-1)&amp;"');","")</f>
        <v>INSERT INTO `catalog_category_entity_varchar` (attribute_id,store_id,entity_id,value) VALUES (48,0,1350,'img1/img006b.jpg');</v>
      </c>
      <c r="C1363" t="str">
        <f>VLOOKUP(categories!B1363,'categories-old'!B:G,6,FALSE)</f>
        <v>/img1/img006b.jpg</v>
      </c>
      <c r="D1363" t="str">
        <f>VLOOKUP(categories!B1363,'categories-old'!B:H,7,FALSE)</f>
        <v>www.americanretailsupply.com\64965\41115\Universal-HD-Wall-Standards\Showcase-Mounting-Brackets-for-Universal-Standards.html</v>
      </c>
    </row>
    <row r="1364" spans="1:4" hidden="1" x14ac:dyDescent="0.25">
      <c r="A1364" t="str">
        <f>IF(LEN('categories-old'!G1364) &gt; 0, "INSERT INTO `catalog_category_entity_varchar` (attribute_id,store_id,entity_id,value) VALUES (48,0,"&amp;'categories-old'!B1364&amp;",'"&amp;RIGHT('categories-old'!G1364,LEN('categories-old'!G1364)-1)&amp;"');","")</f>
        <v>INSERT INTO `catalog_category_entity_varchar` (attribute_id,store_id,entity_id,value) VALUES (48,0,1345,'img3/img2e5f.jpg');</v>
      </c>
      <c r="B1364" t="str">
        <f>IF(LEN(categories!G1364) &gt; 0, "INSERT INTO `catalog_category_entity_varchar` (attribute_id,store_id,entity_id,value) VALUES (48,0,"&amp;categories!B1364&amp;",'"&amp;RIGHT(categories!G1364,LEN(categories!G1364)-1)&amp;"');","")</f>
        <v>INSERT INTO `catalog_category_entity_varchar` (attribute_id,store_id,entity_id,value) VALUES (48,0,1351,'img3/img6f69.jpg');</v>
      </c>
      <c r="C1364" t="str">
        <f>VLOOKUP(categories!B1364,'categories-old'!B:G,6,FALSE)</f>
        <v>/img3/img6f69.jpg</v>
      </c>
      <c r="D1364" t="str">
        <f>VLOOKUP(categories!B1364,'categories-old'!B:H,7,FALSE)</f>
        <v>www.americanretailsupply.com\64965\41116\Universal-HD-Wall-Standards\Universal-T-Concealed-Standard.html</v>
      </c>
    </row>
    <row r="1365" spans="1:4" hidden="1" x14ac:dyDescent="0.25">
      <c r="A1365" t="str">
        <f>IF(LEN('categories-old'!G1365) &gt; 0, "INSERT INTO `catalog_category_entity_varchar` (attribute_id,store_id,entity_id,value) VALUES (48,0,"&amp;'categories-old'!B1365&amp;",'"&amp;RIGHT('categories-old'!G1365,LEN('categories-old'!G1365)-1)&amp;"');","")</f>
        <v>INSERT INTO `catalog_category_entity_varchar` (attribute_id,store_id,entity_id,value) VALUES (48,0,1346,'img2/imgae85.jpg');</v>
      </c>
      <c r="B1365" t="str">
        <f>IF(LEN(categories!G1365) &gt; 0, "INSERT INTO `catalog_category_entity_varchar` (attribute_id,store_id,entity_id,value) VALUES (48,0,"&amp;categories!B1365&amp;",'"&amp;RIGHT(categories!G1365,LEN(categories!G1365)-1)&amp;"');","")</f>
        <v>INSERT INTO `catalog_category_entity_varchar` (attribute_id,store_id,entity_id,value) VALUES (48,0,1352,'img1/imgc23f.jpg');</v>
      </c>
      <c r="C1365" t="str">
        <f>VLOOKUP(categories!B1365,'categories-old'!B:G,6,FALSE)</f>
        <v>/img1/imgc23f.jpg</v>
      </c>
      <c r="D1365" t="str">
        <f>VLOOKUP(categories!B1365,'categories-old'!B:H,7,FALSE)</f>
        <v>www.americanretailsupply.com\64965\41117\Universal-HD-Wall-Standards\Universal-Double-Slotted-Standards.html</v>
      </c>
    </row>
    <row r="1366" spans="1:4" hidden="1" x14ac:dyDescent="0.25">
      <c r="A1366" t="str">
        <f>IF(LEN('categories-old'!G1366) &gt; 0, "INSERT INTO `catalog_category_entity_varchar` (attribute_id,store_id,entity_id,value) VALUES (48,0,"&amp;'categories-old'!B1366&amp;",'"&amp;RIGHT('categories-old'!G1366,LEN('categories-old'!G1366)-1)&amp;"');","")</f>
        <v>INSERT INTO `catalog_category_entity_varchar` (attribute_id,store_id,entity_id,value) VALUES (48,0,1347,'img2/imgfe95.jpg');</v>
      </c>
      <c r="B1366" t="str">
        <f>IF(LEN(categories!G1366) &gt; 0, "INSERT INTO `catalog_category_entity_varchar` (attribute_id,store_id,entity_id,value) VALUES (48,0,"&amp;categories!B1366&amp;",'"&amp;RIGHT(categories!G1366,LEN(categories!G1366)-1)&amp;"');","")</f>
        <v>INSERT INTO `catalog_category_entity_varchar` (attribute_id,store_id,entity_id,value) VALUES (48,0,1353,'img2/imgb97c.jpg');</v>
      </c>
      <c r="C1366" t="str">
        <f>VLOOKUP(categories!B1366,'categories-old'!B:G,6,FALSE)</f>
        <v>/img2/imgb97c.jpg</v>
      </c>
      <c r="D1366" t="str">
        <f>VLOOKUP(categories!B1366,'categories-old'!B:H,7,FALSE)</f>
        <v>www.americanretailsupply.com\64965\41118\Universal-HD-Wall-Standards\Universal-Slimline-Single-Slotted-Standards.html</v>
      </c>
    </row>
    <row r="1367" spans="1:4" hidden="1" x14ac:dyDescent="0.25">
      <c r="A1367" t="str">
        <f>IF(LEN('categories-old'!G1367) &gt; 0, "INSERT INTO `catalog_category_entity_varchar` (attribute_id,store_id,entity_id,value) VALUES (48,0,"&amp;'categories-old'!B1367&amp;",'"&amp;RIGHT('categories-old'!G1367,LEN('categories-old'!G1367)-1)&amp;"');","")</f>
        <v>INSERT INTO `catalog_category_entity_varchar` (attribute_id,store_id,entity_id,value) VALUES (48,0,1349,'img3/img97bb.jpg');</v>
      </c>
      <c r="B1367" t="str">
        <f>IF(LEN(categories!G1367) &gt; 0, "INSERT INTO `catalog_category_entity_varchar` (attribute_id,store_id,entity_id,value) VALUES (48,0,"&amp;categories!B1367&amp;",'"&amp;RIGHT(categories!G1367,LEN(categories!G1367)-1)&amp;"');","")</f>
        <v>INSERT INTO `catalog_category_entity_varchar` (attribute_id,store_id,entity_id,value) VALUES (48,0,1355,'img2/img1449.jpg');</v>
      </c>
      <c r="C1367" t="str">
        <f>VLOOKUP(categories!B1367,'categories-old'!B:G,6,FALSE)</f>
        <v>/img2/img1449.jpg</v>
      </c>
      <c r="D1367" t="str">
        <f>VLOOKUP(categories!B1367,'categories-old'!B:H,7,FALSE)</f>
        <v>www.americanretailsupply.com\64721\709419\VantagePOINT-GiftWrap\Recycled-Paper-Everyday-Patterns-Giftwrap.html</v>
      </c>
    </row>
    <row r="1368" spans="1:4" hidden="1" x14ac:dyDescent="0.25">
      <c r="A1368" t="str">
        <f>IF(LEN('categories-old'!G1368) &gt; 0, "INSERT INTO `catalog_category_entity_varchar` (attribute_id,store_id,entity_id,value) VALUES (48,0,"&amp;'categories-old'!B1368&amp;",'"&amp;RIGHT('categories-old'!G1368,LEN('categories-old'!G1368)-1)&amp;"');","")</f>
        <v>INSERT INTO `catalog_category_entity_varchar` (attribute_id,store_id,entity_id,value) VALUES (48,0,1350,'img1/img006b.jpg');</v>
      </c>
      <c r="B1368" t="str">
        <f>IF(LEN(categories!G1368) &gt; 0, "INSERT INTO `catalog_category_entity_varchar` (attribute_id,store_id,entity_id,value) VALUES (48,0,"&amp;categories!B1368&amp;",'"&amp;RIGHT(categories!G1368,LEN(categories!G1368)-1)&amp;"');","")</f>
        <v>INSERT INTO `catalog_category_entity_varchar` (attribute_id,store_id,entity_id,value) VALUES (48,0,1357,'img2/img3b52.jpg');</v>
      </c>
      <c r="C1368" t="str">
        <f>VLOOKUP(categories!B1368,'categories-old'!B:G,6,FALSE)</f>
        <v>/img2/img3b52.jpg</v>
      </c>
      <c r="D1368" t="str">
        <f>VLOOKUP(categories!B1368,'categories-old'!B:H,7,FALSE)</f>
        <v>www.americanretailsupply.com\64982\783305\Vinyl-Envelope--Sign-Holders\Vinyl-Sign-Envelopes.html</v>
      </c>
    </row>
    <row r="1369" spans="1:4" hidden="1" x14ac:dyDescent="0.25">
      <c r="A1369" t="str">
        <f>IF(LEN('categories-old'!G1369) &gt; 0, "INSERT INTO `catalog_category_entity_varchar` (attribute_id,store_id,entity_id,value) VALUES (48,0,"&amp;'categories-old'!B1369&amp;",'"&amp;RIGHT('categories-old'!G1369,LEN('categories-old'!G1369)-1)&amp;"');","")</f>
        <v>INSERT INTO `catalog_category_entity_varchar` (attribute_id,store_id,entity_id,value) VALUES (48,0,1351,'img3/img6f69.jpg');</v>
      </c>
      <c r="B1369" t="str">
        <f>IF(LEN(categories!G1369) &gt; 0, "INSERT INTO `catalog_category_entity_varchar` (attribute_id,store_id,entity_id,value) VALUES (48,0,"&amp;categories!B1369&amp;",'"&amp;RIGHT(categories!G1369,LEN(categories!G1369)-1)&amp;"');","")</f>
        <v>INSERT INTO `catalog_category_entity_varchar` (attribute_id,store_id,entity_id,value) VALUES (48,0,1359,'img3/img1c29.jpg');</v>
      </c>
      <c r="C1369" t="str">
        <f>VLOOKUP(categories!B1369,'categories-old'!B:G,6,FALSE)</f>
        <v>/img3/img1c29.jpg</v>
      </c>
      <c r="D1369" t="str">
        <f>VLOOKUP(categories!B1369,'categories-old'!B:H,7,FALSE)</f>
        <v>www.americanretailsupply.com\64940\44174\Wallmount-Brackets\Chrome-Wallmount-Hooks.html</v>
      </c>
    </row>
    <row r="1370" spans="1:4" hidden="1" x14ac:dyDescent="0.25">
      <c r="A1370" t="str">
        <f>IF(LEN('categories-old'!G1370) &gt; 0, "INSERT INTO `catalog_category_entity_varchar` (attribute_id,store_id,entity_id,value) VALUES (48,0,"&amp;'categories-old'!B1370&amp;",'"&amp;RIGHT('categories-old'!G1370,LEN('categories-old'!G1370)-1)&amp;"');","")</f>
        <v>INSERT INTO `catalog_category_entity_varchar` (attribute_id,store_id,entity_id,value) VALUES (48,0,1352,'img1/imgc23f.jpg');</v>
      </c>
      <c r="B1370" t="str">
        <f>IF(LEN(categories!G1370) &gt; 0, "INSERT INTO `catalog_category_entity_varchar` (attribute_id,store_id,entity_id,value) VALUES (48,0,"&amp;categories!B1370&amp;",'"&amp;RIGHT(categories!G1370,LEN(categories!G1370)-1)&amp;"');","")</f>
        <v>INSERT INTO `catalog_category_entity_varchar` (attribute_id,store_id,entity_id,value) VALUES (48,0,1360,'img1/imgaa3d.jpg');</v>
      </c>
      <c r="C1370" t="str">
        <f>VLOOKUP(categories!B1370,'categories-old'!B:G,6,FALSE)</f>
        <v>/img1/imgaa3d.jpg</v>
      </c>
      <c r="D1370" t="str">
        <f>VLOOKUP(categories!B1370,'categories-old'!B:H,7,FALSE)</f>
        <v>www.americanretailsupply.com\64940\253862\Wallmount-Brackets\Contemporary-Design-Wallmount-Fixtures.html</v>
      </c>
    </row>
    <row r="1371" spans="1:4" hidden="1" x14ac:dyDescent="0.25">
      <c r="A1371" t="str">
        <f>IF(LEN('categories-old'!G1371) &gt; 0, "INSERT INTO `catalog_category_entity_varchar` (attribute_id,store_id,entity_id,value) VALUES (48,0,"&amp;'categories-old'!B1371&amp;",'"&amp;RIGHT('categories-old'!G1371,LEN('categories-old'!G1371)-1)&amp;"');","")</f>
        <v>INSERT INTO `catalog_category_entity_varchar` (attribute_id,store_id,entity_id,value) VALUES (48,0,1353,'img2/imgb97c.jpg');</v>
      </c>
      <c r="B1371" t="str">
        <f>IF(LEN(categories!G1371) &gt; 0, "INSERT INTO `catalog_category_entity_varchar` (attribute_id,store_id,entity_id,value) VALUES (48,0,"&amp;categories!B1371&amp;",'"&amp;RIGHT(categories!G1371,LEN(categories!G1371)-1)&amp;"');","")</f>
        <v>INSERT INTO `catalog_category_entity_varchar` (attribute_id,store_id,entity_id,value) VALUES (48,0,1362,'img1/imgb628.jpg');</v>
      </c>
      <c r="C1371" t="str">
        <f>VLOOKUP(categories!B1371,'categories-old'!B:G,6,FALSE)</f>
        <v>/img1/imgb628.jpg</v>
      </c>
      <c r="D1371" t="str">
        <f>VLOOKUP(categories!B1371,'categories-old'!B:H,7,FALSE)</f>
        <v>www.americanretailsupply.com\65003\734721\Western-Themed-Christmas-Bags\Western-Christmas-Bags.html</v>
      </c>
    </row>
    <row r="1372" spans="1:4" hidden="1" x14ac:dyDescent="0.25">
      <c r="A1372" t="str">
        <f>IF(LEN('categories-old'!G1372) &gt; 0, "INSERT INTO `catalog_category_entity_varchar` (attribute_id,store_id,entity_id,value) VALUES (48,0,"&amp;'categories-old'!B1372&amp;",'"&amp;RIGHT('categories-old'!G1372,LEN('categories-old'!G1372)-1)&amp;"');","")</f>
        <v>INSERT INTO `catalog_category_entity_varchar` (attribute_id,store_id,entity_id,value) VALUES (48,0,1355,'img2/img1449.jpg');</v>
      </c>
      <c r="B1372" t="str">
        <f>IF(LEN(categories!G1372) &gt; 0, "INSERT INTO `catalog_category_entity_varchar` (attribute_id,store_id,entity_id,value) VALUES (48,0,"&amp;categories!B1372&amp;",'"&amp;RIGHT(categories!G1372,LEN(categories!G1372)-1)&amp;"');","")</f>
        <v>INSERT INTO `catalog_category_entity_varchar` (attribute_id,store_id,entity_id,value) VALUES (48,0,1364,'img3/img172b.jpg');</v>
      </c>
      <c r="C1372" t="str">
        <f>VLOOKUP(categories!B1372,'categories-old'!B:G,6,FALSE)</f>
        <v>/img3/img172b.jpg</v>
      </c>
      <c r="D1372" t="str">
        <f>VLOOKUP(categories!B1372,'categories-old'!B:H,7,FALSE)</f>
        <v>www.americanretailsupply.com\64722\27519\Western-Themed-GiftWrap\Everyday-Western--English-Gift-Wrap.html</v>
      </c>
    </row>
    <row r="1373" spans="1:4" hidden="1" x14ac:dyDescent="0.25">
      <c r="A1373" t="str">
        <f>IF(LEN('categories-old'!G1373) &gt; 0, "INSERT INTO `catalog_category_entity_varchar` (attribute_id,store_id,entity_id,value) VALUES (48,0,"&amp;'categories-old'!B1373&amp;",'"&amp;RIGHT('categories-old'!G1373,LEN('categories-old'!G1373)-1)&amp;"');","")</f>
        <v>INSERT INTO `catalog_category_entity_varchar` (attribute_id,store_id,entity_id,value) VALUES (48,0,1357,'img2/img3b52.jpg');</v>
      </c>
      <c r="B1373" t="str">
        <f>IF(LEN(categories!G1373) &gt; 0, "INSERT INTO `catalog_category_entity_varchar` (attribute_id,store_id,entity_id,value) VALUES (48,0,"&amp;categories!B1373&amp;",'"&amp;RIGHT(categories!G1373,LEN(categories!G1373)-1)&amp;"');","")</f>
        <v>INSERT INTO `catalog_category_entity_varchar` (attribute_id,store_id,entity_id,value) VALUES (48,0,1365,'img3/img5b23.jpg');</v>
      </c>
      <c r="C1373" t="str">
        <f>VLOOKUP(categories!B1373,'categories-old'!B:G,6,FALSE)</f>
        <v>/img3/img5b23.jpg</v>
      </c>
      <c r="D1373" t="str">
        <f>VLOOKUP(categories!B1373,'categories-old'!B:H,7,FALSE)</f>
        <v>www.americanretailsupply.com\64722\224448\Western-Themed-GiftWrap\Christmas-Western-Giftwrap.html</v>
      </c>
    </row>
    <row r="1374" spans="1:4" hidden="1" x14ac:dyDescent="0.25">
      <c r="A1374" t="str">
        <f>IF(LEN('categories-old'!G1374) &gt; 0, "INSERT INTO `catalog_category_entity_varchar` (attribute_id,store_id,entity_id,value) VALUES (48,0,"&amp;'categories-old'!B1374&amp;",'"&amp;RIGHT('categories-old'!G1374,LEN('categories-old'!G1374)-1)&amp;"');","")</f>
        <v>INSERT INTO `catalog_category_entity_varchar` (attribute_id,store_id,entity_id,value) VALUES (48,0,1359,'img3/img1c29.jpg');</v>
      </c>
      <c r="B1374" t="str">
        <f>IF(LEN(categories!G1374) &gt; 0, "INSERT INTO `catalog_category_entity_varchar` (attribute_id,store_id,entity_id,value) VALUES (48,0,"&amp;categories!B1374&amp;",'"&amp;RIGHT(categories!G1374,LEN(categories!G1374)-1)&amp;"');","")</f>
        <v>INSERT INTO `catalog_category_entity_varchar` (attribute_id,store_id,entity_id,value) VALUES (48,0,1367,'img3/imgf137.jpg');</v>
      </c>
      <c r="C1374" t="str">
        <f>VLOOKUP(categories!B1374,'categories-old'!B:G,6,FALSE)</f>
        <v>/img3/imgf137.jpg</v>
      </c>
      <c r="D1374" t="str">
        <f>VLOOKUP(categories!B1374,'categories-old'!B:H,7,FALSE)</f>
        <v>www.americanretailsupply.com\64665\2087\Wire--Acylic-Easels\Acrylic-Dinnerware-Plate-Holder.html</v>
      </c>
    </row>
    <row r="1375" spans="1:4" hidden="1" x14ac:dyDescent="0.25">
      <c r="A1375" t="str">
        <f>IF(LEN('categories-old'!G1375) &gt; 0, "INSERT INTO `catalog_category_entity_varchar` (attribute_id,store_id,entity_id,value) VALUES (48,0,"&amp;'categories-old'!B1375&amp;",'"&amp;RIGHT('categories-old'!G1375,LEN('categories-old'!G1375)-1)&amp;"');","")</f>
        <v>INSERT INTO `catalog_category_entity_varchar` (attribute_id,store_id,entity_id,value) VALUES (48,0,1360,'img1/imgaa3d.jpg');</v>
      </c>
      <c r="B1375" t="str">
        <f>IF(LEN(categories!G1375) &gt; 0, "INSERT INTO `catalog_category_entity_varchar` (attribute_id,store_id,entity_id,value) VALUES (48,0,"&amp;categories!B1375&amp;",'"&amp;RIGHT(categories!G1375,LEN(categories!G1375)-1)&amp;"');","")</f>
        <v>INSERT INTO `catalog_category_entity_varchar` (attribute_id,store_id,entity_id,value) VALUES (48,0,1368,'img2/imgc2b9.jpg');</v>
      </c>
      <c r="C1375" t="str">
        <f>VLOOKUP(categories!B1375,'categories-old'!B:G,6,FALSE)</f>
        <v>/img2/imgc2b9.jpg</v>
      </c>
      <c r="D1375" t="str">
        <f>VLOOKUP(categories!B1375,'categories-old'!B:H,7,FALSE)</f>
        <v>www.americanretailsupply.com\64665\17056\Wire--Acylic-Easels\Wire-Vinyl-Coated-Easels.html</v>
      </c>
    </row>
    <row r="1376" spans="1:4" hidden="1" x14ac:dyDescent="0.25">
      <c r="A1376" t="str">
        <f>IF(LEN('categories-old'!G1376) &gt; 0, "INSERT INTO `catalog_category_entity_varchar` (attribute_id,store_id,entity_id,value) VALUES (48,0,"&amp;'categories-old'!B1376&amp;",'"&amp;RIGHT('categories-old'!G1376,LEN('categories-old'!G1376)-1)&amp;"');","")</f>
        <v>INSERT INTO `catalog_category_entity_varchar` (attribute_id,store_id,entity_id,value) VALUES (48,0,1362,'img1/imgb628.jpg');</v>
      </c>
      <c r="B1376" t="str">
        <f>IF(LEN(categories!G1376) &gt; 0, "INSERT INTO `catalog_category_entity_varchar` (attribute_id,store_id,entity_id,value) VALUES (48,0,"&amp;categories!B1376&amp;",'"&amp;RIGHT(categories!G1376,LEN(categories!G1376)-1)&amp;"');","")</f>
        <v>INSERT INTO `catalog_category_entity_varchar` (attribute_id,store_id,entity_id,value) VALUES (48,0,1369,'img1/img81a1.jpg');</v>
      </c>
      <c r="C1376" t="str">
        <f>VLOOKUP(categories!B1376,'categories-old'!B:G,6,FALSE)</f>
        <v>/img1/img81a1.jpg</v>
      </c>
      <c r="D1376" t="str">
        <f>VLOOKUP(categories!B1376,'categories-old'!B:H,7,FALSE)</f>
        <v>www.americanretailsupply.com\64665\34059\Wire--Acylic-Easels\Acrylic-Countertop-1-Opening-Easels.html</v>
      </c>
    </row>
    <row r="1377" spans="1:4" hidden="1" x14ac:dyDescent="0.25">
      <c r="A1377" t="str">
        <f>IF(LEN('categories-old'!G1377) &gt; 0, "INSERT INTO `catalog_category_entity_varchar` (attribute_id,store_id,entity_id,value) VALUES (48,0,"&amp;'categories-old'!B1377&amp;",'"&amp;RIGHT('categories-old'!G1377,LEN('categories-old'!G1377)-1)&amp;"');","")</f>
        <v>INSERT INTO `catalog_category_entity_varchar` (attribute_id,store_id,entity_id,value) VALUES (48,0,1364,'img3/img172b.jpg');</v>
      </c>
      <c r="B1377" t="str">
        <f>IF(LEN(categories!G1377) &gt; 0, "INSERT INTO `catalog_category_entity_varchar` (attribute_id,store_id,entity_id,value) VALUES (48,0,"&amp;categories!B1377&amp;",'"&amp;RIGHT(categories!G1377,LEN(categories!G1377)-1)&amp;"');","")</f>
        <v>INSERT INTO `catalog_category_entity_varchar` (attribute_id,store_id,entity_id,value) VALUES (48,0,1370,'img3/imgb3d9.jpg');</v>
      </c>
      <c r="C1377" t="str">
        <f>VLOOKUP(categories!B1377,'categories-old'!B:G,6,FALSE)</f>
        <v>/img3/imgb3d9.jpg</v>
      </c>
      <c r="D1377" t="str">
        <f>VLOOKUP(categories!B1377,'categories-old'!B:H,7,FALSE)</f>
        <v>www.americanretailsupply.com\64665\476305\Wire--Acylic-Easels\Acrylic-Cellphone-and-GPS-Easels.html</v>
      </c>
    </row>
    <row r="1378" spans="1:4" hidden="1" x14ac:dyDescent="0.25">
      <c r="A1378" t="str">
        <f>IF(LEN('categories-old'!G1378) &gt; 0, "INSERT INTO `catalog_category_entity_varchar` (attribute_id,store_id,entity_id,value) VALUES (48,0,"&amp;'categories-old'!B1378&amp;",'"&amp;RIGHT('categories-old'!G1378,LEN('categories-old'!G1378)-1)&amp;"');","")</f>
        <v>INSERT INTO `catalog_category_entity_varchar` (attribute_id,store_id,entity_id,value) VALUES (48,0,1365,'img3/img5b23.jpg');</v>
      </c>
      <c r="B1378" t="str">
        <f>IF(LEN(categories!G1378) &gt; 0, "INSERT INTO `catalog_category_entity_varchar` (attribute_id,store_id,entity_id,value) VALUES (48,0,"&amp;categories!B1378&amp;",'"&amp;RIGHT(categories!G1378,LEN(categories!G1378)-1)&amp;"');","")</f>
        <v>INSERT INTO `catalog_category_entity_varchar` (attribute_id,store_id,entity_id,value) VALUES (48,0,1371,'img2/img20dd.jpg');</v>
      </c>
      <c r="C1378" t="str">
        <f>VLOOKUP(categories!B1378,'categories-old'!B:G,6,FALSE)</f>
        <v>/img2/img20dd.jpg</v>
      </c>
      <c r="D1378" t="str">
        <f>VLOOKUP(categories!B1378,'categories-old'!B:H,7,FALSE)</f>
        <v>www.americanretailsupply.com\64665\476693\Wire--Acylic-Easels\Twisted-Wire-Easels.html</v>
      </c>
    </row>
    <row r="1379" spans="1:4" hidden="1" x14ac:dyDescent="0.25">
      <c r="A1379" t="str">
        <f>IF(LEN('categories-old'!G1379) &gt; 0, "INSERT INTO `catalog_category_entity_varchar` (attribute_id,store_id,entity_id,value) VALUES (48,0,"&amp;'categories-old'!B1379&amp;",'"&amp;RIGHT('categories-old'!G1379,LEN('categories-old'!G1379)-1)&amp;"');","")</f>
        <v>INSERT INTO `catalog_category_entity_varchar` (attribute_id,store_id,entity_id,value) VALUES (48,0,1367,'img3/imgf137.jpg');</v>
      </c>
      <c r="B1379" t="str">
        <f>IF(LEN(categories!G1379) &gt; 0, "INSERT INTO `catalog_category_entity_varchar` (attribute_id,store_id,entity_id,value) VALUES (48,0,"&amp;categories!B1379&amp;",'"&amp;RIGHT(categories!G1379,LEN(categories!G1379)-1)&amp;"');","")</f>
        <v>INSERT INTO `catalog_category_entity_varchar` (attribute_id,store_id,entity_id,value) VALUES (48,0,1372,'img1/img9fc4.jpg');</v>
      </c>
      <c r="C1379" t="str">
        <f>VLOOKUP(categories!B1379,'categories-old'!B:G,6,FALSE)</f>
        <v>/img1/img9fc4.jpg</v>
      </c>
      <c r="D1379" t="str">
        <f>VLOOKUP(categories!B1379,'categories-old'!B:H,7,FALSE)</f>
        <v>www.americanretailsupply.com\64665\476694\Wire--Acylic-Easels\Wooden-Hinged-Easels.html</v>
      </c>
    </row>
    <row r="1380" spans="1:4" hidden="1" x14ac:dyDescent="0.25">
      <c r="A1380" t="str">
        <f>IF(LEN('categories-old'!G1380) &gt; 0, "INSERT INTO `catalog_category_entity_varchar` (attribute_id,store_id,entity_id,value) VALUES (48,0,"&amp;'categories-old'!B1380&amp;",'"&amp;RIGHT('categories-old'!G1380,LEN('categories-old'!G1380)-1)&amp;"');","")</f>
        <v>INSERT INTO `catalog_category_entity_varchar` (attribute_id,store_id,entity_id,value) VALUES (48,0,1368,'img2/imgc2b9.jpg');</v>
      </c>
      <c r="B1380" t="str">
        <f>IF(LEN(categories!G1380) &gt; 0, "INSERT INTO `catalog_category_entity_varchar` (attribute_id,store_id,entity_id,value) VALUES (48,0,"&amp;categories!B1380&amp;",'"&amp;RIGHT(categories!G1380,LEN(categories!G1380)-1)&amp;"');","")</f>
        <v>INSERT INTO `catalog_category_entity_varchar` (attribute_id,store_id,entity_id,value) VALUES (48,0,1374,'img2/img2435.jpg');</v>
      </c>
      <c r="C1380" t="str">
        <f>VLOOKUP(categories!B1380,'categories-old'!B:G,6,FALSE)</f>
        <v>/img2/img2435.jpg</v>
      </c>
      <c r="D1380" t="str">
        <f>VLOOKUP(categories!B1380,'categories-old'!B:H,7,FALSE)</f>
        <v>www.americanretailsupply.com\64799\47248\Wire-Rack-Components\Counter-Rack-Metal-Base.html</v>
      </c>
    </row>
    <row r="1381" spans="1:4" hidden="1" x14ac:dyDescent="0.25">
      <c r="A1381" t="str">
        <f>IF(LEN('categories-old'!G1381) &gt; 0, "INSERT INTO `catalog_category_entity_varchar` (attribute_id,store_id,entity_id,value) VALUES (48,0,"&amp;'categories-old'!B1381&amp;",'"&amp;RIGHT('categories-old'!G1381,LEN('categories-old'!G1381)-1)&amp;"');","")</f>
        <v>INSERT INTO `catalog_category_entity_varchar` (attribute_id,store_id,entity_id,value) VALUES (48,0,1369,'img1/img81a1.jpg');</v>
      </c>
      <c r="B1381" t="str">
        <f>IF(LEN(categories!G1381) &gt; 0, "INSERT INTO `catalog_category_entity_varchar` (attribute_id,store_id,entity_id,value) VALUES (48,0,"&amp;categories!B1381&amp;",'"&amp;RIGHT(categories!G1381,LEN(categories!G1381)-1)&amp;"');","")</f>
        <v>INSERT INTO `catalog_category_entity_varchar` (attribute_id,store_id,entity_id,value) VALUES (48,0,1375,'img1/imgbfb1.jpg');</v>
      </c>
      <c r="C1381" t="str">
        <f>VLOOKUP(categories!B1381,'categories-old'!B:G,6,FALSE)</f>
        <v>/img1/imgbfb1.jpg</v>
      </c>
      <c r="D1381" t="str">
        <f>VLOOKUP(categories!B1381,'categories-old'!B:H,7,FALSE)</f>
        <v>www.americanretailsupply.com\64799\47250\Wire-Rack-Components\Tubular-Steel-Floor-Base.html</v>
      </c>
    </row>
    <row r="1382" spans="1:4" hidden="1" x14ac:dyDescent="0.25">
      <c r="A1382" t="str">
        <f>IF(LEN('categories-old'!G1382) &gt; 0, "INSERT INTO `catalog_category_entity_varchar` (attribute_id,store_id,entity_id,value) VALUES (48,0,"&amp;'categories-old'!B1382&amp;",'"&amp;RIGHT('categories-old'!G1382,LEN('categories-old'!G1382)-1)&amp;"');","")</f>
        <v>INSERT INTO `catalog_category_entity_varchar` (attribute_id,store_id,entity_id,value) VALUES (48,0,1370,'img3/imgb3d9.jpg');</v>
      </c>
      <c r="B1382" t="str">
        <f>IF(LEN(categories!G1382) &gt; 0, "INSERT INTO `catalog_category_entity_varchar` (attribute_id,store_id,entity_id,value) VALUES (48,0,"&amp;categories!B1382&amp;",'"&amp;RIGHT(categories!G1382,LEN(categories!G1382)-1)&amp;"');","")</f>
        <v>INSERT INTO `catalog_category_entity_varchar` (attribute_id,store_id,entity_id,value) VALUES (48,0,1376,'img2/imgb2c8.jpg');</v>
      </c>
      <c r="C1382" t="str">
        <f>VLOOKUP(categories!B1382,'categories-old'!B:G,6,FALSE)</f>
        <v>/img2/imgb2c8.jpg</v>
      </c>
      <c r="D1382" t="str">
        <f>VLOOKUP(categories!B1382,'categories-old'!B:H,7,FALSE)</f>
        <v>www.americanretailsupply.com\64799\47252\Wire-Rack-Components\Poles-for-Wire-Racks.html</v>
      </c>
    </row>
    <row r="1383" spans="1:4" hidden="1" x14ac:dyDescent="0.25">
      <c r="A1383" t="str">
        <f>IF(LEN('categories-old'!G1383) &gt; 0, "INSERT INTO `catalog_category_entity_varchar` (attribute_id,store_id,entity_id,value) VALUES (48,0,"&amp;'categories-old'!B1383&amp;",'"&amp;RIGHT('categories-old'!G1383,LEN('categories-old'!G1383)-1)&amp;"');","")</f>
        <v>INSERT INTO `catalog_category_entity_varchar` (attribute_id,store_id,entity_id,value) VALUES (48,0,1371,'img2/img20dd.jpg');</v>
      </c>
      <c r="B1383" t="str">
        <f>IF(LEN(categories!G1383) &gt; 0, "INSERT INTO `catalog_category_entity_varchar` (attribute_id,store_id,entity_id,value) VALUES (48,0,"&amp;categories!B1383&amp;",'"&amp;RIGHT(categories!G1383,LEN(categories!G1383)-1)&amp;"');","")</f>
        <v>INSERT INTO `catalog_category_entity_varchar` (attribute_id,store_id,entity_id,value) VALUES (48,0,1377,'img2/imgd832.jpg');</v>
      </c>
      <c r="C1383" t="str">
        <f>VLOOKUP(categories!B1383,'categories-old'!B:G,6,FALSE)</f>
        <v>/img2/imgd832.jpg</v>
      </c>
      <c r="D1383" t="str">
        <f>VLOOKUP(categories!B1383,'categories-old'!B:H,7,FALSE)</f>
        <v>www.americanretailsupply.com\64799\47261\Wire-Rack-Components\6-Hook-Tiers.html</v>
      </c>
    </row>
    <row r="1384" spans="1:4" hidden="1" x14ac:dyDescent="0.25">
      <c r="A1384" t="str">
        <f>IF(LEN('categories-old'!G1384) &gt; 0, "INSERT INTO `catalog_category_entity_varchar` (attribute_id,store_id,entity_id,value) VALUES (48,0,"&amp;'categories-old'!B1384&amp;",'"&amp;RIGHT('categories-old'!G1384,LEN('categories-old'!G1384)-1)&amp;"');","")</f>
        <v>INSERT INTO `catalog_category_entity_varchar` (attribute_id,store_id,entity_id,value) VALUES (48,0,1372,'img1/img9fc4.jpg');</v>
      </c>
      <c r="B1384" t="str">
        <f>IF(LEN(categories!G1384) &gt; 0, "INSERT INTO `catalog_category_entity_varchar` (attribute_id,store_id,entity_id,value) VALUES (48,0,"&amp;categories!B1384&amp;",'"&amp;RIGHT(categories!G1384,LEN(categories!G1384)-1)&amp;"');","")</f>
        <v>INSERT INTO `catalog_category_entity_varchar` (attribute_id,store_id,entity_id,value) VALUES (48,0,1378,'img1/imgce04.jpg');</v>
      </c>
      <c r="C1384" t="str">
        <f>VLOOKUP(categories!B1384,'categories-old'!B:G,6,FALSE)</f>
        <v>/img1/imgce04.jpg</v>
      </c>
      <c r="D1384" t="str">
        <f>VLOOKUP(categories!B1384,'categories-old'!B:H,7,FALSE)</f>
        <v>www.americanretailsupply.com\64799\47263\Wire-Rack-Components\4-Hook-Tiers.html</v>
      </c>
    </row>
    <row r="1385" spans="1:4" hidden="1" x14ac:dyDescent="0.25">
      <c r="A1385" t="str">
        <f>IF(LEN('categories-old'!G1385) &gt; 0, "INSERT INTO `catalog_category_entity_varchar` (attribute_id,store_id,entity_id,value) VALUES (48,0,"&amp;'categories-old'!B1385&amp;",'"&amp;RIGHT('categories-old'!G1385,LEN('categories-old'!G1385)-1)&amp;"');","")</f>
        <v>INSERT INTO `catalog_category_entity_varchar` (attribute_id,store_id,entity_id,value) VALUES (48,0,1374,'img2/img2435.jpg');</v>
      </c>
      <c r="B1385" t="str">
        <f>IF(LEN(categories!G1385) &gt; 0, "INSERT INTO `catalog_category_entity_varchar` (attribute_id,store_id,entity_id,value) VALUES (48,0,"&amp;categories!B1385&amp;",'"&amp;RIGHT(categories!G1385,LEN(categories!G1385)-1)&amp;"');","")</f>
        <v>INSERT INTO `catalog_category_entity_varchar` (attribute_id,store_id,entity_id,value) VALUES (48,0,1379,'img1/imgdf2e.jpg');</v>
      </c>
      <c r="C1385" t="str">
        <f>VLOOKUP(categories!B1385,'categories-old'!B:G,6,FALSE)</f>
        <v>/img1/imgdf2e.jpg</v>
      </c>
      <c r="D1385" t="str">
        <f>VLOOKUP(categories!B1385,'categories-old'!B:H,7,FALSE)</f>
        <v>www.americanretailsupply.com\64799\47264\Wire-Rack-Components\18-Hook-Tier.html</v>
      </c>
    </row>
    <row r="1386" spans="1:4" hidden="1" x14ac:dyDescent="0.25">
      <c r="A1386" t="str">
        <f>IF(LEN('categories-old'!G1386) &gt; 0, "INSERT INTO `catalog_category_entity_varchar` (attribute_id,store_id,entity_id,value) VALUES (48,0,"&amp;'categories-old'!B1386&amp;",'"&amp;RIGHT('categories-old'!G1386,LEN('categories-old'!G1386)-1)&amp;"');","")</f>
        <v>INSERT INTO `catalog_category_entity_varchar` (attribute_id,store_id,entity_id,value) VALUES (48,0,1375,'img1/imgbfb1.jpg');</v>
      </c>
      <c r="B1386" t="str">
        <f>IF(LEN(categories!G1386) &gt; 0, "INSERT INTO `catalog_category_entity_varchar` (attribute_id,store_id,entity_id,value) VALUES (48,0,"&amp;categories!B1386&amp;",'"&amp;RIGHT(categories!G1386,LEN(categories!G1386)-1)&amp;"');","")</f>
        <v>INSERT INTO `catalog_category_entity_varchar` (attribute_id,store_id,entity_id,value) VALUES (48,0,1380,'img3/imgea3c.jpg');</v>
      </c>
      <c r="C1386" t="str">
        <f>VLOOKUP(categories!B1386,'categories-old'!B:G,6,FALSE)</f>
        <v>/img3/imgea3c.jpg</v>
      </c>
      <c r="D1386" t="str">
        <f>VLOOKUP(categories!B1386,'categories-old'!B:H,7,FALSE)</f>
        <v>www.americanretailsupply.com\64799\47276\Wire-Rack-Components\Plastic-Base.html</v>
      </c>
    </row>
    <row r="1387" spans="1:4" hidden="1" x14ac:dyDescent="0.25">
      <c r="A1387" t="str">
        <f>IF(LEN('categories-old'!G1387) &gt; 0, "INSERT INTO `catalog_category_entity_varchar` (attribute_id,store_id,entity_id,value) VALUES (48,0,"&amp;'categories-old'!B1387&amp;",'"&amp;RIGHT('categories-old'!G1387,LEN('categories-old'!G1387)-1)&amp;"');","")</f>
        <v>INSERT INTO `catalog_category_entity_varchar` (attribute_id,store_id,entity_id,value) VALUES (48,0,1376,'img2/imgb2c8.jpg');</v>
      </c>
      <c r="B1387" t="str">
        <f>IF(LEN(categories!G1387) &gt; 0, "INSERT INTO `catalog_category_entity_varchar` (attribute_id,store_id,entity_id,value) VALUES (48,0,"&amp;categories!B1387&amp;",'"&amp;RIGHT(categories!G1387,LEN(categories!G1387)-1)&amp;"');","")</f>
        <v>INSERT INTO `catalog_category_entity_varchar` (attribute_id,store_id,entity_id,value) VALUES (48,0,1381,'img3/imgf6eb.jpg');</v>
      </c>
      <c r="C1387" t="str">
        <f>VLOOKUP(categories!B1387,'categories-old'!B:G,6,FALSE)</f>
        <v>/img3/imgf6eb.jpg</v>
      </c>
      <c r="D1387" t="str">
        <f>VLOOKUP(categories!B1387,'categories-old'!B:H,7,FALSE)</f>
        <v>www.americanretailsupply.com\64799\225890\Wire-Rack-Components\Video-Tier.html</v>
      </c>
    </row>
    <row r="1388" spans="1:4" hidden="1" x14ac:dyDescent="0.25">
      <c r="A1388" t="str">
        <f>IF(LEN('categories-old'!G1388) &gt; 0, "INSERT INTO `catalog_category_entity_varchar` (attribute_id,store_id,entity_id,value) VALUES (48,0,"&amp;'categories-old'!B1388&amp;",'"&amp;RIGHT('categories-old'!G1388,LEN('categories-old'!G1388)-1)&amp;"');","")</f>
        <v>INSERT INTO `catalog_category_entity_varchar` (attribute_id,store_id,entity_id,value) VALUES (48,0,1377,'img2/imgd832.jpg');</v>
      </c>
      <c r="B1388" t="str">
        <f>IF(LEN(categories!G1388) &gt; 0, "INSERT INTO `catalog_category_entity_varchar` (attribute_id,store_id,entity_id,value) VALUES (48,0,"&amp;categories!B1388&amp;",'"&amp;RIGHT(categories!G1388,LEN(categories!G1388)-1)&amp;"');","")</f>
        <v>INSERT INTO `catalog_category_entity_varchar` (attribute_id,store_id,entity_id,value) VALUES (48,0,1382,'img3/img38b9.jpg');</v>
      </c>
      <c r="C1388" t="str">
        <f>VLOOKUP(categories!B1388,'categories-old'!B:G,6,FALSE)</f>
        <v>/img3/img38b9.jpg</v>
      </c>
      <c r="D1388" t="str">
        <f>VLOOKUP(categories!B1388,'categories-old'!B:H,7,FALSE)</f>
        <v>www.americanretailsupply.com\64799\225891\Wire-Rack-Components\24-Hook-Tier.html</v>
      </c>
    </row>
    <row r="1389" spans="1:4" hidden="1" x14ac:dyDescent="0.25">
      <c r="A1389" t="str">
        <f>IF(LEN('categories-old'!G1389) &gt; 0, "INSERT INTO `catalog_category_entity_varchar` (attribute_id,store_id,entity_id,value) VALUES (48,0,"&amp;'categories-old'!B1389&amp;",'"&amp;RIGHT('categories-old'!G1389,LEN('categories-old'!G1389)-1)&amp;"');","")</f>
        <v>INSERT INTO `catalog_category_entity_varchar` (attribute_id,store_id,entity_id,value) VALUES (48,0,1378,'img1/imgce04.jpg');</v>
      </c>
      <c r="B1389" t="str">
        <f>IF(LEN(categories!G1389) &gt; 0, "INSERT INTO `catalog_category_entity_varchar` (attribute_id,store_id,entity_id,value) VALUES (48,0,"&amp;categories!B1389&amp;",'"&amp;RIGHT(categories!G1389,LEN(categories!G1389)-1)&amp;"');","")</f>
        <v>INSERT INTO `catalog_category_entity_varchar` (attribute_id,store_id,entity_id,value) VALUES (48,0,1384,'img1/imgbf7a.jpg');</v>
      </c>
      <c r="C1389" t="str">
        <f>VLOOKUP(categories!B1389,'categories-old'!B:G,6,FALSE)</f>
        <v>/img1/imgbf7a.jpg</v>
      </c>
      <c r="D1389" t="str">
        <f>VLOOKUP(categories!B1389,'categories-old'!B:H,7,FALSE)</f>
        <v>www.americanretailsupply.com\64814\224468\Wire-Shelves\Slatwall-Flat-Wire-Shelves.html</v>
      </c>
    </row>
    <row r="1390" spans="1:4" hidden="1" x14ac:dyDescent="0.25">
      <c r="A1390" t="str">
        <f>IF(LEN('categories-old'!G1390) &gt; 0, "INSERT INTO `catalog_category_entity_varchar` (attribute_id,store_id,entity_id,value) VALUES (48,0,"&amp;'categories-old'!B1390&amp;",'"&amp;RIGHT('categories-old'!G1390,LEN('categories-old'!G1390)-1)&amp;"');","")</f>
        <v>INSERT INTO `catalog_category_entity_varchar` (attribute_id,store_id,entity_id,value) VALUES (48,0,1379,'img1/imgdf2e.jpg');</v>
      </c>
      <c r="B1390" t="str">
        <f>IF(LEN(categories!G1390) &gt; 0, "INSERT INTO `catalog_category_entity_varchar` (attribute_id,store_id,entity_id,value) VALUES (48,0,"&amp;categories!B1390&amp;",'"&amp;RIGHT(categories!G1390,LEN(categories!G1390)-1)&amp;"');","")</f>
        <v>INSERT INTO `catalog_category_entity_varchar` (attribute_id,store_id,entity_id,value) VALUES (48,0,1385,'img3/imgfe9d.jpg');</v>
      </c>
      <c r="C1390" t="str">
        <f>VLOOKUP(categories!B1390,'categories-old'!B:G,6,FALSE)</f>
        <v>/img3/imgfe9d.jpg</v>
      </c>
      <c r="D1390" t="str">
        <f>VLOOKUP(categories!B1390,'categories-old'!B:H,7,FALSE)</f>
        <v>www.americanretailsupply.com\64814\225136\Wire-Shelves\Gridwall-Flat-Wire-Shelves.html</v>
      </c>
    </row>
    <row r="1391" spans="1:4" hidden="1" x14ac:dyDescent="0.25">
      <c r="A1391" t="str">
        <f>IF(LEN('categories-old'!G1391) &gt; 0, "INSERT INTO `catalog_category_entity_varchar` (attribute_id,store_id,entity_id,value) VALUES (48,0,"&amp;'categories-old'!B1391&amp;",'"&amp;RIGHT('categories-old'!G1391,LEN('categories-old'!G1391)-1)&amp;"');","")</f>
        <v>INSERT INTO `catalog_category_entity_varchar` (attribute_id,store_id,entity_id,value) VALUES (48,0,1380,'img3/imgea3c.jpg');</v>
      </c>
      <c r="B1391" t="str">
        <f>IF(LEN(categories!G1391) &gt; 0, "INSERT INTO `catalog_category_entity_varchar` (attribute_id,store_id,entity_id,value) VALUES (48,0,"&amp;categories!B1391&amp;",'"&amp;RIGHT(categories!G1391,LEN(categories!G1391)-1)&amp;"');","")</f>
        <v>INSERT INTO `catalog_category_entity_varchar` (attribute_id,store_id,entity_id,value) VALUES (48,0,1387,'img1/img4c95.jpg');</v>
      </c>
      <c r="C1391" t="str">
        <f>VLOOKUP(categories!B1391,'categories-old'!B:G,6,FALSE)</f>
        <v>/img1/img4c95.jpg</v>
      </c>
      <c r="D1391" t="str">
        <f>VLOOKUP(categories!B1391,'categories-old'!B:H,7,FALSE)</f>
        <v>www.americanretailsupply.com\64740\19623\Wraphia-Raffia-Excelsior\Raffia.html</v>
      </c>
    </row>
    <row r="1392" spans="1:4" hidden="1" x14ac:dyDescent="0.25">
      <c r="A1392" t="str">
        <f>IF(LEN('categories-old'!G1392) &gt; 0, "INSERT INTO `catalog_category_entity_varchar` (attribute_id,store_id,entity_id,value) VALUES (48,0,"&amp;'categories-old'!B1392&amp;",'"&amp;RIGHT('categories-old'!G1392,LEN('categories-old'!G1392)-1)&amp;"');","")</f>
        <v>INSERT INTO `catalog_category_entity_varchar` (attribute_id,store_id,entity_id,value) VALUES (48,0,1381,'img3/imgf6eb.jpg');</v>
      </c>
      <c r="B1392" t="str">
        <f>IF(LEN(categories!G1392) &gt; 0, "INSERT INTO `catalog_category_entity_varchar` (attribute_id,store_id,entity_id,value) VALUES (48,0,"&amp;categories!B1392&amp;",'"&amp;RIGHT(categories!G1392,LEN(categories!G1392)-1)&amp;"');","")</f>
        <v>INSERT INTO `catalog_category_entity_varchar` (attribute_id,store_id,entity_id,value) VALUES (48,0,1388,'img1/imga4c3.jpg');</v>
      </c>
      <c r="C1392" t="str">
        <f>VLOOKUP(categories!B1392,'categories-old'!B:G,6,FALSE)</f>
        <v>/img1/imga4c3.jpg</v>
      </c>
      <c r="D1392" t="str">
        <f>VLOOKUP(categories!B1392,'categories-old'!B:H,7,FALSE)</f>
        <v>www.americanretailsupply.com\64740\19642\Wraphia-Raffia-Excelsior\Wraphia-in-Matte-Colors.html</v>
      </c>
    </row>
    <row r="1393" spans="1:4" hidden="1" x14ac:dyDescent="0.25">
      <c r="A1393" t="str">
        <f>IF(LEN('categories-old'!G1393) &gt; 0, "INSERT INTO `catalog_category_entity_varchar` (attribute_id,store_id,entity_id,value) VALUES (48,0,"&amp;'categories-old'!B1393&amp;",'"&amp;RIGHT('categories-old'!G1393,LEN('categories-old'!G1393)-1)&amp;"');","")</f>
        <v>INSERT INTO `catalog_category_entity_varchar` (attribute_id,store_id,entity_id,value) VALUES (48,0,1382,'img3/img38b9.jpg');</v>
      </c>
      <c r="B1393" t="str">
        <f>IF(LEN(categories!G1393) &gt; 0, "INSERT INTO `catalog_category_entity_varchar` (attribute_id,store_id,entity_id,value) VALUES (48,0,"&amp;categories!B1393&amp;",'"&amp;RIGHT(categories!G1393,LEN(categories!G1393)-1)&amp;"');","")</f>
        <v>INSERT INTO `catalog_category_entity_varchar` (attribute_id,store_id,entity_id,value) VALUES (48,0,1389,'img2/imga23e.jpg');</v>
      </c>
      <c r="C1393" t="str">
        <f>VLOOKUP(categories!B1393,'categories-old'!B:G,6,FALSE)</f>
        <v>/img2/imga23e.jpg</v>
      </c>
      <c r="D1393" t="str">
        <f>VLOOKUP(categories!B1393,'categories-old'!B:H,7,FALSE)</f>
        <v>www.americanretailsupply.com\64740\50120\Wraphia-Raffia-Excelsior\Wraphia-in-Pearlized-Colors.html</v>
      </c>
    </row>
    <row r="1394" spans="1:4" hidden="1" x14ac:dyDescent="0.25">
      <c r="A1394" t="str">
        <f>IF(LEN('categories-old'!G1394) &gt; 0, "INSERT INTO `catalog_category_entity_varchar` (attribute_id,store_id,entity_id,value) VALUES (48,0,"&amp;'categories-old'!B1394&amp;",'"&amp;RIGHT('categories-old'!G1394,LEN('categories-old'!G1394)-1)&amp;"');","")</f>
        <v>INSERT INTO `catalog_category_entity_varchar` (attribute_id,store_id,entity_id,value) VALUES (48,0,1384,'img1/imgbf7a.jpg');</v>
      </c>
      <c r="B1394" t="str">
        <f>IF(LEN(categories!G1394) &gt; 0, "INSERT INTO `catalog_category_entity_varchar` (attribute_id,store_id,entity_id,value) VALUES (48,0,"&amp;categories!B1394&amp;",'"&amp;RIGHT(categories!G1394,LEN(categories!G1394)-1)&amp;"');","")</f>
        <v>INSERT INTO `catalog_category_entity_varchar` (attribute_id,store_id,entity_id,value) VALUES (48,0,1390,'img1/imga83b.jpg');</v>
      </c>
      <c r="C1394" t="str">
        <f>VLOOKUP(categories!B1394,'categories-old'!B:G,6,FALSE)</f>
        <v>/img1/imga83b.jpg</v>
      </c>
      <c r="D1394" t="str">
        <f>VLOOKUP(categories!B1394,'categories-old'!B:H,7,FALSE)</f>
        <v>www.americanretailsupply.com\64769\575979\Acrylic-Risers--Cubes\-Acrylic-Risers-with-Built-in-Sign-Holders.html</v>
      </c>
    </row>
    <row r="1395" spans="1:4" hidden="1" x14ac:dyDescent="0.25">
      <c r="A1395" t="str">
        <f>IF(LEN('categories-old'!G1395) &gt; 0, "INSERT INTO `catalog_category_entity_varchar` (attribute_id,store_id,entity_id,value) VALUES (48,0,"&amp;'categories-old'!B1395&amp;",'"&amp;RIGHT('categories-old'!G1395,LEN('categories-old'!G1395)-1)&amp;"');","")</f>
        <v>INSERT INTO `catalog_category_entity_varchar` (attribute_id,store_id,entity_id,value) VALUES (48,0,1385,'img3/imgfe9d.jpg');</v>
      </c>
      <c r="B1395" t="str">
        <f>IF(LEN(categories!G1395) &gt; 0, "INSERT INTO `catalog_category_entity_varchar` (attribute_id,store_id,entity_id,value) VALUES (48,0,"&amp;categories!B1395&amp;",'"&amp;RIGHT(categories!G1395,LEN(categories!G1395)-1)&amp;"');","")</f>
        <v>INSERT INTO `catalog_category_entity_varchar` (attribute_id,store_id,entity_id,value) VALUES (48,0,1392,'img2/img7e96.jpg');</v>
      </c>
      <c r="C1395" t="str">
        <f>VLOOKUP(categories!B1395,'categories-old'!B:G,6,FALSE)</f>
        <v>/img2/img7e96.jpg</v>
      </c>
      <c r="D1395" t="str">
        <f>VLOOKUP(categories!B1395,'categories-old'!B:H,7,FALSE)</f>
        <v>www.americanretailsupply.com\66235\793244\Adult--Child-Jersey-Forms\Child-Jersey-Form.html</v>
      </c>
    </row>
    <row r="1396" spans="1:4" hidden="1" x14ac:dyDescent="0.25">
      <c r="A1396" t="str">
        <f>IF(LEN('categories-old'!G1396) &gt; 0, "INSERT INTO `catalog_category_entity_varchar` (attribute_id,store_id,entity_id,value) VALUES (48,0,"&amp;'categories-old'!B1396&amp;",'"&amp;RIGHT('categories-old'!G1396,LEN('categories-old'!G1396)-1)&amp;"');","")</f>
        <v>INSERT INTO `catalog_category_entity_varchar` (attribute_id,store_id,entity_id,value) VALUES (48,0,1387,'img1/img4c95.jpg');</v>
      </c>
      <c r="B1396" t="str">
        <f>IF(LEN(categories!G1396) &gt; 0, "INSERT INTO `catalog_category_entity_varchar` (attribute_id,store_id,entity_id,value) VALUES (48,0,"&amp;categories!B1396&amp;",'"&amp;RIGHT(categories!G1396,LEN(categories!G1396)-1)&amp;"');","")</f>
        <v>INSERT INTO `catalog_category_entity_varchar` (attribute_id,store_id,entity_id,value) VALUES (48,0,1393,'img2/imgbea7.jpg');</v>
      </c>
      <c r="C1396" t="str">
        <f>VLOOKUP(categories!B1396,'categories-old'!B:G,6,FALSE)</f>
        <v>/img2/imgbea7.jpg</v>
      </c>
      <c r="D1396" t="str">
        <f>VLOOKUP(categories!B1396,'categories-old'!B:H,7,FALSE)</f>
        <v>www.americanretailsupply.com\64960\243029\Cross-Bars\Crossbars.html</v>
      </c>
    </row>
    <row r="1397" spans="1:4" hidden="1" x14ac:dyDescent="0.25">
      <c r="A1397" t="str">
        <f>IF(LEN('categories-old'!G1397) &gt; 0, "INSERT INTO `catalog_category_entity_varchar` (attribute_id,store_id,entity_id,value) VALUES (48,0,"&amp;'categories-old'!B1397&amp;",'"&amp;RIGHT('categories-old'!G1397,LEN('categories-old'!G1397)-1)&amp;"');","")</f>
        <v>INSERT INTO `catalog_category_entity_varchar` (attribute_id,store_id,entity_id,value) VALUES (48,0,1388,'img1/imga4c3.jpg');</v>
      </c>
      <c r="B1397" t="str">
        <f>IF(LEN(categories!G1397) &gt; 0, "INSERT INTO `catalog_category_entity_varchar` (attribute_id,store_id,entity_id,value) VALUES (48,0,"&amp;categories!B1397&amp;",'"&amp;RIGHT(categories!G1397,LEN(categories!G1397)-1)&amp;"');","")</f>
        <v>INSERT INTO `catalog_category_entity_varchar` (attribute_id,store_id,entity_id,value) VALUES (48,0,1394,'img2/img6e83.jpg');</v>
      </c>
      <c r="C1397" t="str">
        <f>VLOOKUP(categories!B1397,'categories-old'!B:G,6,FALSE)</f>
        <v>/img2/img6e83.jpg</v>
      </c>
      <c r="D1397" t="str">
        <f>VLOOKUP(categories!B1397,'categories-old'!B:H,7,FALSE)</f>
        <v>www.americanretailsupply.com\65070\793279\Paper-Shopping-Bags\Economy-Kraft-Shopping-Bags.html</v>
      </c>
    </row>
    <row r="1398" spans="1:4" hidden="1" x14ac:dyDescent="0.25">
      <c r="A1398" t="str">
        <f>IF(LEN('categories-old'!G1398) &gt; 0, "INSERT INTO `catalog_category_entity_varchar` (attribute_id,store_id,entity_id,value) VALUES (48,0,"&amp;'categories-old'!B1398&amp;",'"&amp;RIGHT('categories-old'!G1398,LEN('categories-old'!G1398)-1)&amp;"');","")</f>
        <v>INSERT INTO `catalog_category_entity_varchar` (attribute_id,store_id,entity_id,value) VALUES (48,0,1389,'img2/imga23e.jpg');</v>
      </c>
      <c r="B1398" t="str">
        <f>IF(LEN(categories!G1398) &gt; 0, "INSERT INTO `catalog_category_entity_varchar` (attribute_id,store_id,entity_id,value) VALUES (48,0,"&amp;categories!B1398&amp;",'"&amp;RIGHT(categories!G1398,LEN(categories!G1398)-1)&amp;"');","")</f>
        <v>INSERT INTO `catalog_category_entity_varchar` (attribute_id,store_id,entity_id,value) VALUES (48,0,1395,'img3/imga8eb.jpg');</v>
      </c>
      <c r="C1398" t="str">
        <f>VLOOKUP(categories!B1398,'categories-old'!B:G,6,FALSE)</f>
        <v>/img3/imga8eb.jpg</v>
      </c>
      <c r="D1398" t="str">
        <f>VLOOKUP(categories!B1398,'categories-old'!B:H,7,FALSE)</f>
        <v>www.americanretailsupply.com\64692\793297\Fluorescent-Labels\Fluorescent-Specialty-Labels.html</v>
      </c>
    </row>
    <row r="1399" spans="1:4" hidden="1" x14ac:dyDescent="0.25">
      <c r="A1399" t="str">
        <f>IF(LEN('categories-old'!G1399) &gt; 0, "INSERT INTO `catalog_category_entity_varchar` (attribute_id,store_id,entity_id,value) VALUES (48,0,"&amp;'categories-old'!B1399&amp;",'"&amp;RIGHT('categories-old'!G1399,LEN('categories-old'!G1399)-1)&amp;"');","")</f>
        <v>INSERT INTO `catalog_category_entity_varchar` (attribute_id,store_id,entity_id,value) VALUES (48,0,1390,'img1/imga83b.jpg');</v>
      </c>
      <c r="B1399" t="str">
        <f>IF(LEN(categories!G1399) &gt; 0, "INSERT INTO `catalog_category_entity_varchar` (attribute_id,store_id,entity_id,value) VALUES (48,0,"&amp;categories!B1399&amp;",'"&amp;RIGHT(categories!G1399,LEN(categories!G1399)-1)&amp;"');","")</f>
        <v>INSERT INTO `catalog_category_entity_varchar` (attribute_id,store_id,entity_id,value) VALUES (48,0,1396,'img2/img2dfa.jpg');</v>
      </c>
      <c r="C1399" t="str">
        <f>VLOOKUP(categories!B1399,'categories-old'!B:G,6,FALSE)</f>
        <v>/img2/img2dfa.jpg</v>
      </c>
      <c r="D1399" t="str">
        <f>VLOOKUP(categories!B1399,'categories-old'!B:H,7,FALSE)</f>
        <v>www.americanretailsupply.com\65195\793289\Hangers\Hanger-Clips.html</v>
      </c>
    </row>
    <row r="1400" spans="1:4" hidden="1" x14ac:dyDescent="0.25">
      <c r="A1400" t="str">
        <f>IF(LEN('categories-old'!G1400) &gt; 0, "INSERT INTO `catalog_category_entity_varchar` (attribute_id,store_id,entity_id,value) VALUES (48,0,"&amp;'categories-old'!B1400&amp;",'"&amp;RIGHT('categories-old'!G1400,LEN('categories-old'!G1400)-1)&amp;"');","")</f>
        <v>INSERT INTO `catalog_category_entity_varchar` (attribute_id,store_id,entity_id,value) VALUES (48,0,1392,'img2/img7e96.jpg');</v>
      </c>
      <c r="B1400" t="str">
        <f>IF(LEN(categories!G1400) &gt; 0, "INSERT INTO `catalog_category_entity_varchar` (attribute_id,store_id,entity_id,value) VALUES (48,0,"&amp;categories!B1400&amp;",'"&amp;RIGHT(categories!G1400,LEN(categories!G1400)-1)&amp;"');","")</f>
        <v>INSERT INTO `catalog_category_entity_varchar` (attribute_id,store_id,entity_id,value) VALUES (48,0,1397,'img2/img0844.jpg');</v>
      </c>
      <c r="C1400" t="str">
        <f>VLOOKUP(categories!B1400,'categories-old'!B:G,6,FALSE)</f>
        <v>/img2/img0844.jpg</v>
      </c>
      <c r="D1400" t="str">
        <f>VLOOKUP(categories!B1400,'categories-old'!B:H,7,FALSE)</f>
        <v>www.americanretailsupply.com\65799\788873\Shamrock\Masculine-Giftwrap.html</v>
      </c>
    </row>
    <row r="1401" spans="1:4" hidden="1" x14ac:dyDescent="0.25">
      <c r="A1401" t="str">
        <f>IF(LEN('categories-old'!G1401) &gt; 0, "INSERT INTO `catalog_category_entity_varchar` (attribute_id,store_id,entity_id,value) VALUES (48,0,"&amp;'categories-old'!B1401&amp;",'"&amp;RIGHT('categories-old'!G1401,LEN('categories-old'!G1401)-1)&amp;"');","")</f>
        <v>INSERT INTO `catalog_category_entity_varchar` (attribute_id,store_id,entity_id,value) VALUES (48,0,1393,'img2/imgbea7.jpg');</v>
      </c>
      <c r="B1401" t="str">
        <f>IF(LEN(categories!G1401) &gt; 0, "INSERT INTO `catalog_category_entity_varchar` (attribute_id,store_id,entity_id,value) VALUES (48,0,"&amp;categories!B1401&amp;",'"&amp;RIGHT(categories!G1401,LEN(categories!G1401)-1)&amp;"');","")</f>
        <v>INSERT INTO `catalog_category_entity_varchar` (attribute_id,store_id,entity_id,value) VALUES (48,0,1398,'img2/img9741.jpg');</v>
      </c>
      <c r="C1401" t="str">
        <f>VLOOKUP(categories!B1401,'categories-old'!B:G,6,FALSE)</f>
        <v>/img2/img9741.jpg</v>
      </c>
      <c r="D1401" t="str">
        <f>VLOOKUP(categories!B1401,'categories-old'!B:H,7,FALSE)</f>
        <v>www.americanretailsupply.com\66235\793243\Adult--Child-Jersey-Forms\Mens-Jersey-Jacket-Form.html</v>
      </c>
    </row>
    <row r="1402" spans="1:4" hidden="1" x14ac:dyDescent="0.25">
      <c r="A1402" t="str">
        <f>IF(LEN('categories-old'!G1402) &gt; 0, "INSERT INTO `catalog_category_entity_varchar` (attribute_id,store_id,entity_id,value) VALUES (48,0,"&amp;'categories-old'!B1402&amp;",'"&amp;RIGHT('categories-old'!G1402,LEN('categories-old'!G1402)-1)&amp;"');","")</f>
        <v>INSERT INTO `catalog_category_entity_varchar` (attribute_id,store_id,entity_id,value) VALUES (48,0,1394,'img2/img6e83.jpg');</v>
      </c>
      <c r="B1402" t="str">
        <f>IF(LEN(categories!G1402) &gt; 0, "INSERT INTO `catalog_category_entity_varchar` (attribute_id,store_id,entity_id,value) VALUES (48,0,"&amp;categories!B1402&amp;",'"&amp;RIGHT(categories!G1402,LEN(categories!G1402)-1)&amp;"');","")</f>
        <v>INSERT INTO `catalog_category_entity_varchar` (attribute_id,store_id,entity_id,value) VALUES (48,0,1399,'img1/img9283.jpg');</v>
      </c>
      <c r="C1402" t="str">
        <f>VLOOKUP(categories!B1402,'categories-old'!B:G,6,FALSE)</f>
        <v>/img1/img9283.jpg</v>
      </c>
      <c r="D1402" t="str">
        <f>VLOOKUP(categories!B1402,'categories-old'!B:H,7,FALSE)</f>
        <v>www.americanretailsupply.com\66235\793242\Adult--Child-Jersey-Forms\Mens-Jersey-Shirt-Form.html</v>
      </c>
    </row>
    <row r="1403" spans="1:4" hidden="1" x14ac:dyDescent="0.25">
      <c r="A1403" t="str">
        <f>IF(LEN('categories-old'!G1403) &gt; 0, "INSERT INTO `catalog_category_entity_varchar` (attribute_id,store_id,entity_id,value) VALUES (48,0,"&amp;'categories-old'!B1403&amp;",'"&amp;RIGHT('categories-old'!G1403,LEN('categories-old'!G1403)-1)&amp;"');","")</f>
        <v>INSERT INTO `catalog_category_entity_varchar` (attribute_id,store_id,entity_id,value) VALUES (48,0,1395,'img3/imga8eb.jpg');</v>
      </c>
      <c r="B1403" t="str">
        <f>IF(LEN(categories!G1403) &gt; 0, "INSERT INTO `catalog_category_entity_varchar` (attribute_id,store_id,entity_id,value) VALUES (48,0,"&amp;categories!B1403&amp;",'"&amp;RIGHT(categories!G1403,LEN(categories!G1403)-1)&amp;"');","")</f>
        <v>INSERT INTO `catalog_category_entity_varchar` (attribute_id,store_id,entity_id,value) VALUES (48,0,1400,'img1/imgcf93.jpg');</v>
      </c>
      <c r="C1403" t="str">
        <f>VLOOKUP(categories!B1403,'categories-old'!B:G,6,FALSE)</f>
        <v>/img1/imgcf93.jpg</v>
      </c>
      <c r="D1403" t="str">
        <f>VLOOKUP(categories!B1403,'categories-old'!B:H,7,FALSE)</f>
        <v>www.americanretailsupply.com\64715\172945\E--Flute-Decorative-Boxes\Pillow-Packs.html</v>
      </c>
    </row>
    <row r="1404" spans="1:4" hidden="1" x14ac:dyDescent="0.25">
      <c r="A1404" t="str">
        <f>IF(LEN('categories-old'!G1404) &gt; 0, "INSERT INTO `catalog_category_entity_varchar` (attribute_id,store_id,entity_id,value) VALUES (48,0,"&amp;'categories-old'!B1404&amp;",'"&amp;RIGHT('categories-old'!G1404,LEN('categories-old'!G1404)-1)&amp;"');","")</f>
        <v>INSERT INTO `catalog_category_entity_varchar` (attribute_id,store_id,entity_id,value) VALUES (48,0,1396,'img2/img2dfa.jpg');</v>
      </c>
      <c r="B1404" t="str">
        <f>IF(LEN(categories!G1404) &gt; 0, "INSERT INTO `catalog_category_entity_varchar` (attribute_id,store_id,entity_id,value) VALUES (48,0,"&amp;categories!B1404&amp;",'"&amp;RIGHT(categories!G1404,LEN(categories!G1404)-1)&amp;"');","")</f>
        <v>INSERT INTO `catalog_category_entity_varchar` (attribute_id,store_id,entity_id,value) VALUES (48,0,1401,'img1/img4cc8.jpg');</v>
      </c>
      <c r="C1404" t="str">
        <f>VLOOKUP(categories!B1404,'categories-old'!B:G,6,FALSE)</f>
        <v>/img1/img4cc8.jpg</v>
      </c>
      <c r="D1404" t="str">
        <f>VLOOKUP(categories!B1404,'categories-old'!B:H,7,FALSE)</f>
        <v>www.americanretailsupply.com\66235\793240\Adult--Child-Jersey-Forms\Womens-Dress-Form.html</v>
      </c>
    </row>
    <row r="1405" spans="1:4" hidden="1" x14ac:dyDescent="0.25">
      <c r="A1405" t="str">
        <f>IF(LEN('categories-old'!G1405) &gt; 0, "INSERT INTO `catalog_category_entity_varchar` (attribute_id,store_id,entity_id,value) VALUES (48,0,"&amp;'categories-old'!B1405&amp;",'"&amp;RIGHT('categories-old'!G1405,LEN('categories-old'!G1405)-1)&amp;"');","")</f>
        <v>INSERT INTO `catalog_category_entity_varchar` (attribute_id,store_id,entity_id,value) VALUES (48,0,1397,'img2/img0844.jpg');</v>
      </c>
      <c r="B1405" t="str">
        <f>IF(LEN(categories!G1405) &gt; 0, "INSERT INTO `catalog_category_entity_varchar` (attribute_id,store_id,entity_id,value) VALUES (48,0,"&amp;categories!B1405&amp;",'"&amp;RIGHT(categories!G1405,LEN(categories!G1405)-1)&amp;"');","")</f>
        <v>INSERT INTO `catalog_category_entity_varchar` (attribute_id,store_id,entity_id,value) VALUES (48,0,1402,'img1/img9d52.jpg');</v>
      </c>
      <c r="C1405" t="str">
        <f>VLOOKUP(categories!B1405,'categories-old'!B:G,6,FALSE)</f>
        <v>/img1/img9d52.jpg</v>
      </c>
      <c r="D1405" t="str">
        <f>VLOOKUP(categories!B1405,'categories-old'!B:H,7,FALSE)</f>
        <v>www.americanretailsupply.com\66235\793241\Adult--Child-Jersey-Forms\Womens-Jersey-Blouse-Forms.html</v>
      </c>
    </row>
    <row r="1406" spans="1:4" hidden="1" x14ac:dyDescent="0.25">
      <c r="A1406" t="str">
        <f>IF(LEN('categories-old'!G1406) &gt; 0, "INSERT INTO `catalog_category_entity_varchar` (attribute_id,store_id,entity_id,value) VALUES (48,0,"&amp;'categories-old'!B1406&amp;",'"&amp;RIGHT('categories-old'!G1406,LEN('categories-old'!G1406)-1)&amp;"');","")</f>
        <v>INSERT INTO `catalog_category_entity_varchar` (attribute_id,store_id,entity_id,value) VALUES (48,0,1398,'img2/img9741.jpg');</v>
      </c>
      <c r="B1406" t="str">
        <f>IF(LEN(categories!G1406) &gt; 0, "INSERT INTO `catalog_category_entity_varchar` (attribute_id,store_id,entity_id,value) VALUES (48,0,"&amp;categories!B1406&amp;",'"&amp;RIGHT(categories!G1406,LEN(categories!G1406)-1)&amp;"');","")</f>
        <v>INSERT INTO `catalog_category_entity_varchar` (attribute_id,store_id,entity_id,value) VALUES (48,0,1403,'img3/img264b.jpg');</v>
      </c>
      <c r="C1406" t="str">
        <f>VLOOKUP(categories!B1406,'categories-old'!B:G,6,FALSE)</f>
        <v>/img3/img264b.jpg</v>
      </c>
      <c r="D1406" t="str">
        <f>VLOOKUP(categories!B1406,'categories-old'!B:H,7,FALSE)</f>
        <v>www.americanretailsupply.com\64595\793002\New-Arrivals\-Pipe-Hangers-with-Shelves.html</v>
      </c>
    </row>
    <row r="1407" spans="1:4" hidden="1" x14ac:dyDescent="0.25">
      <c r="A1407" t="str">
        <f>IF(LEN('categories-old'!G1407) &gt; 0, "INSERT INTO `catalog_category_entity_varchar` (attribute_id,store_id,entity_id,value) VALUES (48,0,"&amp;'categories-old'!B1407&amp;",'"&amp;RIGHT('categories-old'!G1407,LEN('categories-old'!G1407)-1)&amp;"');","")</f>
        <v>INSERT INTO `catalog_category_entity_varchar` (attribute_id,store_id,entity_id,value) VALUES (48,0,1399,'img1/img9283.jpg');</v>
      </c>
      <c r="B1407" t="str">
        <f>IF(LEN(categories!G1407) &gt; 0, "INSERT INTO `catalog_category_entity_varchar` (attribute_id,store_id,entity_id,value) VALUES (48,0,"&amp;categories!B1407&amp;",'"&amp;RIGHT(categories!G1407,LEN(categories!G1407)-1)&amp;"');","")</f>
        <v>INSERT INTO `catalog_category_entity_varchar` (attribute_id,store_id,entity_id,value) VALUES (48,0,1404,'img1/img23cb.jpg');</v>
      </c>
      <c r="C1407" t="str">
        <f>VLOOKUP(categories!B1407,'categories-old'!B:G,6,FALSE)</f>
        <v>/img1/img23cb.jpg</v>
      </c>
      <c r="D1407" t="str">
        <f>VLOOKUP(categories!B1407,'categories-old'!B:H,7,FALSE)</f>
        <v>www.americanretailsupply.com\66198\744107\Eco-Friendly-Plastic-Bags\Gloss-Heavy-Duty-Merchandise-Bags.html</v>
      </c>
    </row>
    <row r="1408" spans="1:4" hidden="1" x14ac:dyDescent="0.25">
      <c r="A1408" t="str">
        <f>IF(LEN('categories-old'!G1408) &gt; 0, "INSERT INTO `catalog_category_entity_varchar` (attribute_id,store_id,entity_id,value) VALUES (48,0,"&amp;'categories-old'!B1408&amp;",'"&amp;RIGHT('categories-old'!G1408,LEN('categories-old'!G1408)-1)&amp;"');","")</f>
        <v>INSERT INTO `catalog_category_entity_varchar` (attribute_id,store_id,entity_id,value) VALUES (48,0,1400,'img1/imgcf93.jpg');</v>
      </c>
      <c r="B1408" t="str">
        <f>IF(LEN(categories!G1408) &gt; 0, "INSERT INTO `catalog_category_entity_varchar` (attribute_id,store_id,entity_id,value) VALUES (48,0,"&amp;categories!B1408&amp;",'"&amp;RIGHT(categories!G1408,LEN(categories!G1408)-1)&amp;"');","")</f>
        <v>INSERT INTO `catalog_category_entity_varchar` (attribute_id,store_id,entity_id,value) VALUES (48,0,1406,'img3/imgfe76.jpg');</v>
      </c>
      <c r="C1408" t="str">
        <f>VLOOKUP(categories!B1408,'categories-old'!B:G,6,FALSE)</f>
        <v>/img3/imgfe76.jpg</v>
      </c>
      <c r="D1408" t="str">
        <f>VLOOKUP(categories!B1408,'categories-old'!B:H,7,FALSE)</f>
        <v>www.americanretailsupply.com\66192\793001\Pipe--Panel-Displays\Pipe-Hangers-without-Shelves.html</v>
      </c>
    </row>
    <row r="1409" spans="1:4" hidden="1" x14ac:dyDescent="0.25">
      <c r="A1409" t="str">
        <f>IF(LEN('categories-old'!G1409) &gt; 0, "INSERT INTO `catalog_category_entity_varchar` (attribute_id,store_id,entity_id,value) VALUES (48,0,"&amp;'categories-old'!B1409&amp;",'"&amp;RIGHT('categories-old'!G1409,LEN('categories-old'!G1409)-1)&amp;"');","")</f>
        <v>INSERT INTO `catalog_category_entity_varchar` (attribute_id,store_id,entity_id,value) VALUES (48,0,1401,'img1/img4cc8.jpg');</v>
      </c>
      <c r="B1409" t="str">
        <f>IF(LEN(categories!G1409) &gt; 0, "INSERT INTO `catalog_category_entity_varchar` (attribute_id,store_id,entity_id,value) VALUES (48,0,"&amp;categories!B1409&amp;",'"&amp;RIGHT(categories!G1409,LEN(categories!G1409)-1)&amp;"');","")</f>
        <v>INSERT INTO `catalog_category_entity_varchar` (attribute_id,store_id,entity_id,value) VALUES (48,0,1407,'img1/imgee77.jpg');</v>
      </c>
      <c r="C1409" t="str">
        <f>VLOOKUP(categories!B1409,'categories-old'!B:G,6,FALSE)</f>
        <v>/img1/imgee77.jpg</v>
      </c>
      <c r="D1409" t="str">
        <f>VLOOKUP(categories!B1409,'categories-old'!B:H,7,FALSE)</f>
        <v>www.americanretailsupply.com\64665\34340\Wire--Acylic-Easels\Adjustable-Easel-for-Slatwall-or-Slatgrid.html</v>
      </c>
    </row>
    <row r="1410" spans="1:4" hidden="1" x14ac:dyDescent="0.25">
      <c r="A1410" t="str">
        <f>IF(LEN('categories-old'!G1410) &gt; 0, "INSERT INTO `catalog_category_entity_varchar` (attribute_id,store_id,entity_id,value) VALUES (48,0,"&amp;'categories-old'!B1410&amp;",'"&amp;RIGHT('categories-old'!G1410,LEN('categories-old'!G1410)-1)&amp;"');","")</f>
        <v>INSERT INTO `catalog_category_entity_varchar` (attribute_id,store_id,entity_id,value) VALUES (48,0,1402,'img1/img9d52.jpg');</v>
      </c>
      <c r="B1410" t="str">
        <f>IF(LEN(categories!G1410) &gt; 0, "INSERT INTO `catalog_category_entity_varchar` (attribute_id,store_id,entity_id,value) VALUES (48,0,"&amp;categories!B1410&amp;",'"&amp;RIGHT(categories!G1410,LEN(categories!G1410)-1)&amp;"');","")</f>
        <v>INSERT INTO `catalog_category_entity_varchar` (attribute_id,store_id,entity_id,value) VALUES (48,0,1408,'img2/img4509.jpg');</v>
      </c>
      <c r="C1410" t="str">
        <f>VLOOKUP(categories!B1410,'categories-old'!B:G,6,FALSE)</f>
        <v>/img2/img4509.jpg</v>
      </c>
      <c r="D1410" t="str">
        <f>VLOOKUP(categories!B1410,'categories-old'!B:H,7,FALSE)</f>
        <v>www.americanretailsupply.com\64787\640355\Necklace--Bracelet-Displays\Jewelry-Displays-for-Slatwall-or-Slatgrid.html</v>
      </c>
    </row>
    <row r="1411" spans="1:4" hidden="1" x14ac:dyDescent="0.25">
      <c r="A1411" t="str">
        <f>IF(LEN('categories-old'!G1411) &gt; 0, "INSERT INTO `catalog_category_entity_varchar` (attribute_id,store_id,entity_id,value) VALUES (48,0,"&amp;'categories-old'!B1411&amp;",'"&amp;RIGHT('categories-old'!G1411,LEN('categories-old'!G1411)-1)&amp;"');","")</f>
        <v>INSERT INTO `catalog_category_entity_varchar` (attribute_id,store_id,entity_id,value) VALUES (48,0,1403,'img3/img264b.jpg');</v>
      </c>
      <c r="B1411" t="str">
        <f>IF(LEN(categories!G1411) &gt; 0, "INSERT INTO `catalog_category_entity_varchar` (attribute_id,store_id,entity_id,value) VALUES (48,0,"&amp;categories!B1411&amp;",'"&amp;RIGHT(categories!G1411,LEN(categories!G1411)-1)&amp;"');","")</f>
        <v>INSERT INTO `catalog_category_entity_varchar` (attribute_id,store_id,entity_id,value) VALUES (48,0,1409,'img2/imge6c1.jpg');</v>
      </c>
      <c r="C1411" t="str">
        <f>VLOOKUP(categories!B1411,'categories-old'!B:G,6,FALSE)</f>
        <v>/img2/imge6c1.jpg</v>
      </c>
      <c r="D1411" t="str">
        <f>VLOOKUP(categories!B1411,'categories-old'!B:H,7,FALSE)</f>
        <v>www.americanretailsupply.com\64829\793986\Ready-To-Assemble-Showcases\Showcase-16-Square-Display.html</v>
      </c>
    </row>
    <row r="1412" spans="1:4" hidden="1" x14ac:dyDescent="0.25">
      <c r="A1412" t="str">
        <f>IF(LEN('categories-old'!G1412) &gt; 0, "INSERT INTO `catalog_category_entity_varchar` (attribute_id,store_id,entity_id,value) VALUES (48,0,"&amp;'categories-old'!B1412&amp;",'"&amp;RIGHT('categories-old'!G1412,LEN('categories-old'!G1412)-1)&amp;"');","")</f>
        <v>INSERT INTO `catalog_category_entity_varchar` (attribute_id,store_id,entity_id,value) VALUES (48,0,1404,'img1/img23cb.jpg');</v>
      </c>
      <c r="B1412" t="str">
        <f>IF(LEN(categories!G1412) &gt; 0, "INSERT INTO `catalog_category_entity_varchar` (attribute_id,store_id,entity_id,value) VALUES (48,0,"&amp;categories!B1412&amp;",'"&amp;RIGHT(categories!G1412,LEN(categories!G1412)-1)&amp;"');","")</f>
        <v>INSERT INTO `catalog_category_entity_varchar` (attribute_id,store_id,entity_id,value) VALUES (48,0,1410,'img1/imgdbd7.jpg');</v>
      </c>
      <c r="C1412" t="str">
        <f>VLOOKUP(categories!B1412,'categories-old'!B:G,6,FALSE)</f>
        <v>/img1/imgdbd7.jpg</v>
      </c>
      <c r="D1412" t="str">
        <f>VLOOKUP(categories!B1412,'categories-old'!B:H,7,FALSE)</f>
        <v>www.americanretailsupply.com\64898\763796\Closeout-Display-Cases-and-Racks\-Showcase-Queen-Anne-Jewelry.html</v>
      </c>
    </row>
    <row r="1413" spans="1:4" hidden="1" x14ac:dyDescent="0.25">
      <c r="A1413" t="str">
        <f>IF(LEN('categories-old'!G1413) &gt; 0, "INSERT INTO `catalog_category_entity_varchar` (attribute_id,store_id,entity_id,value) VALUES (48,0,"&amp;'categories-old'!B1413&amp;",'"&amp;RIGHT('categories-old'!G1413,LEN('categories-old'!G1413)-1)&amp;"');","")</f>
        <v>INSERT INTO `catalog_category_entity_varchar` (attribute_id,store_id,entity_id,value) VALUES (48,0,1406,'img3/imgfe76.jpg');</v>
      </c>
      <c r="B1413" t="str">
        <f>IF(LEN(categories!G1413) &gt; 0, "INSERT INTO `catalog_category_entity_varchar` (attribute_id,store_id,entity_id,value) VALUES (48,0,"&amp;categories!B1413&amp;",'"&amp;RIGHT(categories!G1413,LEN(categories!G1413)-1)&amp;"');","")</f>
        <v>INSERT INTO `catalog_category_entity_varchar` (attribute_id,store_id,entity_id,value) VALUES (48,0,1411,'img3/img0ac1.jpg');</v>
      </c>
      <c r="C1413" t="str">
        <f>VLOOKUP(categories!B1413,'categories-old'!B:G,6,FALSE)</f>
        <v>/img3/img0ac1.jpg</v>
      </c>
      <c r="D1413" t="str">
        <f>VLOOKUP(categories!B1413,'categories-old'!B:H,7,FALSE)</f>
        <v>www.americanretailsupply.com\64898\785445\Closeout-Display-Cases-and-Racks\Floor-Standing-Sign-Frame.html</v>
      </c>
    </row>
    <row r="1414" spans="1:4" hidden="1" x14ac:dyDescent="0.25">
      <c r="A1414" t="str">
        <f>IF(LEN('categories-old'!G1414) &gt; 0, "INSERT INTO `catalog_category_entity_varchar` (attribute_id,store_id,entity_id,value) VALUES (48,0,"&amp;'categories-old'!B1414&amp;",'"&amp;RIGHT('categories-old'!G1414,LEN('categories-old'!G1414)-1)&amp;"');","")</f>
        <v>INSERT INTO `catalog_category_entity_varchar` (attribute_id,store_id,entity_id,value) VALUES (48,0,1407,'img1/imgee77.jpg');</v>
      </c>
      <c r="B1414" t="str">
        <f>IF(LEN(categories!G1414) &gt; 0, "INSERT INTO `catalog_category_entity_varchar` (attribute_id,store_id,entity_id,value) VALUES (48,0,"&amp;categories!B1414&amp;",'"&amp;RIGHT(categories!G1414,LEN(categories!G1414)-1)&amp;"');","")</f>
        <v>INSERT INTO `catalog_category_entity_varchar` (attribute_id,store_id,entity_id,value) VALUES (48,0,1412,'img3/img2c9f.jpg');</v>
      </c>
      <c r="C1414" t="str">
        <f>VLOOKUP(categories!B1414,'categories-old'!B:G,6,FALSE)</f>
        <v>/img3/img2c9f.jpg</v>
      </c>
      <c r="D1414" t="str">
        <f>VLOOKUP(categories!B1414,'categories-old'!B:H,7,FALSE)</f>
        <v>www.americanretailsupply.com\64899\244866\Closeout-Packaging\Curling-Ribbon.html</v>
      </c>
    </row>
    <row r="1415" spans="1:4" hidden="1" x14ac:dyDescent="0.25">
      <c r="A1415" t="str">
        <f>IF(LEN('categories-old'!G1415) &gt; 0, "INSERT INTO `catalog_category_entity_varchar` (attribute_id,store_id,entity_id,value) VALUES (48,0,"&amp;'categories-old'!B1415&amp;",'"&amp;RIGHT('categories-old'!G1415,LEN('categories-old'!G1415)-1)&amp;"');","")</f>
        <v>INSERT INTO `catalog_category_entity_varchar` (attribute_id,store_id,entity_id,value) VALUES (48,0,1408,'img2/img4509.jpg');</v>
      </c>
      <c r="B1415" t="str">
        <f>IF(LEN(categories!G1415) &gt; 0, "INSERT INTO `catalog_category_entity_varchar` (attribute_id,store_id,entity_id,value) VALUES (48,0,"&amp;categories!B1415&amp;",'"&amp;RIGHT(categories!G1415,LEN(categories!G1415)-1)&amp;"');","")</f>
        <v>INSERT INTO `catalog_category_entity_varchar` (attribute_id,store_id,entity_id,value) VALUES (48,0,1413,'img2/img8e1f.jpg');</v>
      </c>
      <c r="C1415" t="str">
        <f>VLOOKUP(categories!B1415,'categories-old'!B:G,6,FALSE)</f>
        <v>/img2/img8e1f.jpg</v>
      </c>
      <c r="D1415" t="str">
        <f>VLOOKUP(categories!B1415,'categories-old'!B:H,7,FALSE)</f>
        <v>www.americanretailsupply.com\64899\245005\Closeout-Packaging\Glitter-Ribbon.html</v>
      </c>
    </row>
    <row r="1416" spans="1:4" hidden="1" x14ac:dyDescent="0.25">
      <c r="A1416" t="str">
        <f>IF(LEN('categories-old'!G1416) &gt; 0, "INSERT INTO `catalog_category_entity_varchar` (attribute_id,store_id,entity_id,value) VALUES (48,0,"&amp;'categories-old'!B1416&amp;",'"&amp;RIGHT('categories-old'!G1416,LEN('categories-old'!G1416)-1)&amp;"');","")</f>
        <v>INSERT INTO `catalog_category_entity_varchar` (attribute_id,store_id,entity_id,value) VALUES (48,0,1409,'img2/imge6c1.jpg');</v>
      </c>
      <c r="B1416" t="str">
        <f>IF(LEN(categories!G1416) &gt; 0, "INSERT INTO `catalog_category_entity_varchar` (attribute_id,store_id,entity_id,value) VALUES (48,0,"&amp;categories!B1416&amp;",'"&amp;RIGHT(categories!G1416,LEN(categories!G1416)-1)&amp;"');","")</f>
        <v>INSERT INTO `catalog_category_entity_varchar` (attribute_id,store_id,entity_id,value) VALUES (48,0,1414,'img1/imgb7a7.jpg');</v>
      </c>
      <c r="C1416" t="str">
        <f>VLOOKUP(categories!B1416,'categories-old'!B:G,6,FALSE)</f>
        <v>/img1/imgb7a7.jpg</v>
      </c>
      <c r="D1416" t="str">
        <f>VLOOKUP(categories!B1416,'categories-old'!B:H,7,FALSE)</f>
        <v>www.americanretailsupply.com\64899\245006\Closeout-Packaging\Splendorette-Ribbon.html</v>
      </c>
    </row>
    <row r="1417" spans="1:4" hidden="1" x14ac:dyDescent="0.25">
      <c r="A1417" t="str">
        <f>IF(LEN('categories-old'!G1417) &gt; 0, "INSERT INTO `catalog_category_entity_varchar` (attribute_id,store_id,entity_id,value) VALUES (48,0,"&amp;'categories-old'!B1417&amp;",'"&amp;RIGHT('categories-old'!G1417,LEN('categories-old'!G1417)-1)&amp;"');","")</f>
        <v>INSERT INTO `catalog_category_entity_varchar` (attribute_id,store_id,entity_id,value) VALUES (48,0,1410,'img1/imgdbd7.jpg');</v>
      </c>
      <c r="B1417" t="str">
        <f>IF(LEN(categories!G1417) &gt; 0, "INSERT INTO `catalog_category_entity_varchar` (attribute_id,store_id,entity_id,value) VALUES (48,0,"&amp;categories!B1417&amp;",'"&amp;RIGHT(categories!G1417,LEN(categories!G1417)-1)&amp;"');","")</f>
        <v>INSERT INTO `catalog_category_entity_varchar` (attribute_id,store_id,entity_id,value) VALUES (48,0,1415,'img3/img9e20.jpg');</v>
      </c>
      <c r="C1417" t="str">
        <f>VLOOKUP(categories!B1417,'categories-old'!B:G,6,FALSE)</f>
        <v>/img3/img9e20.jpg</v>
      </c>
      <c r="D1417" t="str">
        <f>VLOOKUP(categories!B1417,'categories-old'!B:H,7,FALSE)</f>
        <v>www.americanretailsupply.com\64901\240560\Closeout-Brackets-Hooks-Standards\Gridwall-Standard-Brackets.html</v>
      </c>
    </row>
    <row r="1418" spans="1:4" hidden="1" x14ac:dyDescent="0.25">
      <c r="A1418" t="str">
        <f>IF(LEN('categories-old'!G1418) &gt; 0, "INSERT INTO `catalog_category_entity_varchar` (attribute_id,store_id,entity_id,value) VALUES (48,0,"&amp;'categories-old'!B1418&amp;",'"&amp;RIGHT('categories-old'!G1418,LEN('categories-old'!G1418)-1)&amp;"');","")</f>
        <v>INSERT INTO `catalog_category_entity_varchar` (attribute_id,store_id,entity_id,value) VALUES (48,0,1411,'img3/img0ac1.jpg');</v>
      </c>
      <c r="B1418" t="str">
        <f>IF(LEN(categories!G1418) &gt; 0, "INSERT INTO `catalog_category_entity_varchar` (attribute_id,store_id,entity_id,value) VALUES (48,0,"&amp;categories!B1418&amp;",'"&amp;RIGHT(categories!G1418,LEN(categories!G1418)-1)&amp;"');","")</f>
        <v>INSERT INTO `catalog_category_entity_varchar` (attribute_id,store_id,entity_id,value) VALUES (48,0,1416,'img2/img6e4c.jpg');</v>
      </c>
      <c r="C1418" t="str">
        <f>VLOOKUP(categories!B1418,'categories-old'!B:G,6,FALSE)</f>
        <v>/img2/img6e4c.jpg</v>
      </c>
      <c r="D1418" t="str">
        <f>VLOOKUP(categories!B1418,'categories-old'!B:H,7,FALSE)</f>
        <v>www.americanretailsupply.com\64901\793612\Closeout-Brackets-Hooks-Standards\Gridwall-Heavy-Duty-Hook-14-Diameter-90-tip-1-Chrome.html</v>
      </c>
    </row>
    <row r="1419" spans="1:4" hidden="1" x14ac:dyDescent="0.25">
      <c r="A1419" t="str">
        <f>IF(LEN('categories-old'!G1419) &gt; 0, "INSERT INTO `catalog_category_entity_varchar` (attribute_id,store_id,entity_id,value) VALUES (48,0,"&amp;'categories-old'!B1419&amp;",'"&amp;RIGHT('categories-old'!G1419,LEN('categories-old'!G1419)-1)&amp;"');","")</f>
        <v>INSERT INTO `catalog_category_entity_varchar` (attribute_id,store_id,entity_id,value) VALUES (48,0,1412,'img3/img2c9f.jpg');</v>
      </c>
      <c r="B1419" t="str">
        <f>IF(LEN(categories!G1419) &gt; 0, "INSERT INTO `catalog_category_entity_varchar` (attribute_id,store_id,entity_id,value) VALUES (48,0,"&amp;categories!B1419&amp;",'"&amp;RIGHT(categories!G1419,LEN(categories!G1419)-1)&amp;"');","")</f>
        <v>INSERT INTO `catalog_category_entity_varchar` (attribute_id,store_id,entity_id,value) VALUES (48,0,1417,'img3/img462b.jpg');</v>
      </c>
      <c r="C1419" t="str">
        <f>VLOOKUP(categories!B1419,'categories-old'!B:G,6,FALSE)</f>
        <v>/img3/img462b.jpg</v>
      </c>
      <c r="D1419" t="str">
        <f>VLOOKUP(categories!B1419,'categories-old'!B:H,7,FALSE)</f>
        <v>www.americanretailsupply.com\64905\434399\Miscellaneous-Closeout\Adhesive-Label-Release.html</v>
      </c>
    </row>
    <row r="1420" spans="1:4" hidden="1" x14ac:dyDescent="0.25">
      <c r="A1420" t="str">
        <f>IF(LEN('categories-old'!G1420) &gt; 0, "INSERT INTO `catalog_category_entity_varchar` (attribute_id,store_id,entity_id,value) VALUES (48,0,"&amp;'categories-old'!B1420&amp;",'"&amp;RIGHT('categories-old'!G1420,LEN('categories-old'!G1420)-1)&amp;"');","")</f>
        <v>INSERT INTO `catalog_category_entity_varchar` (attribute_id,store_id,entity_id,value) VALUES (48,0,1413,'img2/img8e1f.jpg');</v>
      </c>
      <c r="B1420" t="str">
        <f>IF(LEN(categories!G1420) &gt; 0, "INSERT INTO `catalog_category_entity_varchar` (attribute_id,store_id,entity_id,value) VALUES (48,0,"&amp;categories!B1420&amp;",'"&amp;RIGHT(categories!G1420,LEN(categories!G1420)-1)&amp;"');","")</f>
        <v>INSERT INTO `catalog_category_entity_varchar` (attribute_id,store_id,entity_id,value) VALUES (48,0,1418,'img1/img0362.jpg');</v>
      </c>
      <c r="C1420" t="str">
        <f>VLOOKUP(categories!B1420,'categories-old'!B:G,6,FALSE)</f>
        <v>/img1/img0362.jpg</v>
      </c>
      <c r="D1420" t="str">
        <f>VLOOKUP(categories!B1420,'categories-old'!B:H,7,FALSE)</f>
        <v>www.americanretailsupply.com\64905\434405\Miscellaneous-Closeout\Inside-The-Magic-Kingdom.html</v>
      </c>
    </row>
    <row r="1421" spans="1:4" hidden="1" x14ac:dyDescent="0.25">
      <c r="A1421" t="str">
        <f>IF(LEN('categories-old'!G1421) &gt; 0, "INSERT INTO `catalog_category_entity_varchar` (attribute_id,store_id,entity_id,value) VALUES (48,0,"&amp;'categories-old'!B1421&amp;",'"&amp;RIGHT('categories-old'!G1421,LEN('categories-old'!G1421)-1)&amp;"');","")</f>
        <v>INSERT INTO `catalog_category_entity_varchar` (attribute_id,store_id,entity_id,value) VALUES (48,0,1414,'img1/imgb7a7.jpg');</v>
      </c>
      <c r="B1421" t="str">
        <f>IF(LEN(categories!G1421) &gt; 0, "INSERT INTO `catalog_category_entity_varchar` (attribute_id,store_id,entity_id,value) VALUES (48,0,"&amp;categories!B1421&amp;",'"&amp;RIGHT(categories!G1421,LEN(categories!G1421)-1)&amp;"');","")</f>
        <v>INSERT INTO `catalog_category_entity_varchar` (attribute_id,store_id,entity_id,value) VALUES (48,0,1419,'img1/imgd71e.jpg');</v>
      </c>
      <c r="C1421" t="str">
        <f>VLOOKUP(categories!B1421,'categories-old'!B:G,6,FALSE)</f>
        <v>/img1/imgd71e.jpg</v>
      </c>
      <c r="D1421" t="str">
        <f>VLOOKUP(categories!B1421,'categories-old'!B:H,7,FALSE)</f>
        <v>www.americanretailsupply.com\64905\788053\Miscellaneous-Closeout\Shopping-Baskets.html</v>
      </c>
    </row>
    <row r="1422" spans="1:4" hidden="1" x14ac:dyDescent="0.25">
      <c r="A1422" t="str">
        <f>IF(LEN('categories-old'!G1422) &gt; 0, "INSERT INTO `catalog_category_entity_varchar` (attribute_id,store_id,entity_id,value) VALUES (48,0,"&amp;'categories-old'!B1422&amp;",'"&amp;RIGHT('categories-old'!G1422,LEN('categories-old'!G1422)-1)&amp;"');","")</f>
        <v>INSERT INTO `catalog_category_entity_varchar` (attribute_id,store_id,entity_id,value) VALUES (48,0,1415,'img3/img9e20.jpg');</v>
      </c>
      <c r="B1422" t="str">
        <f>IF(LEN(categories!G1422) &gt; 0, "INSERT INTO `catalog_category_entity_varchar` (attribute_id,store_id,entity_id,value) VALUES (48,0,"&amp;categories!B1422&amp;",'"&amp;RIGHT(categories!G1422,LEN(categories!G1422)-1)&amp;"');","")</f>
        <v>INSERT INTO `catalog_category_entity_varchar` (attribute_id,store_id,entity_id,value) VALUES (48,0,1421,'img3/img4eb4.jpg');</v>
      </c>
      <c r="C1422" t="str">
        <f>VLOOKUP(categories!B1422,'categories-old'!B:G,6,FALSE)</f>
        <v>/img3/img4eb4.jpg</v>
      </c>
      <c r="D1422" t="str">
        <f>VLOOKUP(categories!B1422,'categories-old'!B:H,7,FALSE)</f>
        <v>www.americanretailsupply.com\64943\2333\Slatwall-Accessories\Standard-Brackets-for-Slatwall-or-Slatgrid.html</v>
      </c>
    </row>
    <row r="1423" spans="1:4" hidden="1" x14ac:dyDescent="0.25">
      <c r="A1423" t="str">
        <f>IF(LEN('categories-old'!G1423) &gt; 0, "INSERT INTO `catalog_category_entity_varchar` (attribute_id,store_id,entity_id,value) VALUES (48,0,"&amp;'categories-old'!B1423&amp;",'"&amp;RIGHT('categories-old'!G1423,LEN('categories-old'!G1423)-1)&amp;"');","")</f>
        <v>INSERT INTO `catalog_category_entity_varchar` (attribute_id,store_id,entity_id,value) VALUES (48,0,1416,'img2/img6e4c.jpg');</v>
      </c>
      <c r="B1423" t="str">
        <f>IF(LEN(categories!G1423) &gt; 0, "INSERT INTO `catalog_category_entity_varchar` (attribute_id,store_id,entity_id,value) VALUES (48,0,"&amp;categories!B1423&amp;",'"&amp;RIGHT(categories!G1423,LEN(categories!G1423)-1)&amp;"');","")</f>
        <v>INSERT INTO `catalog_category_entity_varchar` (attribute_id,store_id,entity_id,value) VALUES (48,0,1422,'img3/img8f2b.jpg');</v>
      </c>
      <c r="C1423" t="str">
        <f>VLOOKUP(categories!B1423,'categories-old'!B:G,6,FALSE)</f>
        <v>/img3/img8f2b.jpg</v>
      </c>
      <c r="D1423" t="str">
        <f>VLOOKUP(categories!B1423,'categories-old'!B:H,7,FALSE)</f>
        <v>www.americanretailsupply.com\64943\34098\Slatwall-Accessories\Picture-Hanger-for-Slatwall-or-Slatgrid.html</v>
      </c>
    </row>
    <row r="1424" spans="1:4" hidden="1" x14ac:dyDescent="0.25">
      <c r="A1424" t="str">
        <f>IF(LEN('categories-old'!G1424) &gt; 0, "INSERT INTO `catalog_category_entity_varchar` (attribute_id,store_id,entity_id,value) VALUES (48,0,"&amp;'categories-old'!B1424&amp;",'"&amp;RIGHT('categories-old'!G1424,LEN('categories-old'!G1424)-1)&amp;"');","")</f>
        <v>INSERT INTO `catalog_category_entity_varchar` (attribute_id,store_id,entity_id,value) VALUES (48,0,1417,'img3/img462b.jpg');</v>
      </c>
      <c r="B1424" t="str">
        <f>IF(LEN(categories!G1424) &gt; 0, "INSERT INTO `catalog_category_entity_varchar` (attribute_id,store_id,entity_id,value) VALUES (48,0,"&amp;categories!B1424&amp;",'"&amp;RIGHT(categories!G1424,LEN(categories!G1424)-1)&amp;"');","")</f>
        <v>INSERT INTO `catalog_category_entity_varchar` (attribute_id,store_id,entity_id,value) VALUES (48,0,1423,'img3/imgacfc.jpg');</v>
      </c>
      <c r="C1424" t="str">
        <f>VLOOKUP(categories!B1424,'categories-old'!B:G,6,FALSE)</f>
        <v>/img3/imgacfc.jpg</v>
      </c>
      <c r="D1424" t="str">
        <f>VLOOKUP(categories!B1424,'categories-old'!B:H,7,FALSE)</f>
        <v>www.americanretailsupply.com\64943\34099\Slatwall-Accessories\Utility-Hook-for-Slatwall-or-Slatgrid.html</v>
      </c>
    </row>
    <row r="1425" spans="1:4" hidden="1" x14ac:dyDescent="0.25">
      <c r="A1425" t="str">
        <f>IF(LEN('categories-old'!G1425) &gt; 0, "INSERT INTO `catalog_category_entity_varchar` (attribute_id,store_id,entity_id,value) VALUES (48,0,"&amp;'categories-old'!B1425&amp;",'"&amp;RIGHT('categories-old'!G1425,LEN('categories-old'!G1425)-1)&amp;"');","")</f>
        <v>INSERT INTO `catalog_category_entity_varchar` (attribute_id,store_id,entity_id,value) VALUES (48,0,1418,'img1/img0362.jpg');</v>
      </c>
      <c r="B1425" t="str">
        <f>IF(LEN(categories!G1425) &gt; 0, "INSERT INTO `catalog_category_entity_varchar` (attribute_id,store_id,entity_id,value) VALUES (48,0,"&amp;categories!B1425&amp;",'"&amp;RIGHT(categories!G1425,LEN(categories!G1425)-1)&amp;"');","")</f>
        <v>INSERT INTO `catalog_category_entity_varchar` (attribute_id,store_id,entity_id,value) VALUES (48,0,1424,'img2/img0d59.jpg');</v>
      </c>
      <c r="C1425" t="str">
        <f>VLOOKUP(categories!B1425,'categories-old'!B:G,6,FALSE)</f>
        <v>/img2/img0d59.jpg</v>
      </c>
      <c r="D1425" t="str">
        <f>VLOOKUP(categories!B1425,'categories-old'!B:H,7,FALSE)</f>
        <v>www.americanretailsupply.com\64943\34100\Slatwall-Accessories\Straight-Faceout-Bracket-for-Slatwall-or-Slatgrid.html</v>
      </c>
    </row>
    <row r="1426" spans="1:4" hidden="1" x14ac:dyDescent="0.25">
      <c r="A1426" t="str">
        <f>IF(LEN('categories-old'!G1426) &gt; 0, "INSERT INTO `catalog_category_entity_varchar` (attribute_id,store_id,entity_id,value) VALUES (48,0,"&amp;'categories-old'!B1426&amp;",'"&amp;RIGHT('categories-old'!G1426,LEN('categories-old'!G1426)-1)&amp;"');","")</f>
        <v>INSERT INTO `catalog_category_entity_varchar` (attribute_id,store_id,entity_id,value) VALUES (48,0,1419,'img1/imgd71e.jpg');</v>
      </c>
      <c r="B1426" t="str">
        <f>IF(LEN(categories!G1426) &gt; 0, "INSERT INTO `catalog_category_entity_varchar` (attribute_id,store_id,entity_id,value) VALUES (48,0,"&amp;categories!B1426&amp;",'"&amp;RIGHT(categories!G1426,LEN(categories!G1426)-1)&amp;"');","")</f>
        <v>INSERT INTO `catalog_category_entity_varchar` (attribute_id,store_id,entity_id,value) VALUES (48,0,1425,'img3/imgd4ec.jpg');</v>
      </c>
      <c r="C1426" t="str">
        <f>VLOOKUP(categories!B1426,'categories-old'!B:G,6,FALSE)</f>
        <v>/img3/imgd4ec.jpg</v>
      </c>
      <c r="D1426" t="str">
        <f>VLOOKUP(categories!B1426,'categories-old'!B:H,7,FALSE)</f>
        <v>www.americanretailsupply.com\64943\34101\Slatwall-Accessories\Slatwall-or-Slatgrid-Waterfall-Brackets.html</v>
      </c>
    </row>
    <row r="1427" spans="1:4" hidden="1" x14ac:dyDescent="0.25">
      <c r="A1427" t="str">
        <f>IF(LEN('categories-old'!G1427) &gt; 0, "INSERT INTO `catalog_category_entity_varchar` (attribute_id,store_id,entity_id,value) VALUES (48,0,"&amp;'categories-old'!B1427&amp;",'"&amp;RIGHT('categories-old'!G1427,LEN('categories-old'!G1427)-1)&amp;"');","")</f>
        <v>INSERT INTO `catalog_category_entity_varchar` (attribute_id,store_id,entity_id,value) VALUES (48,0,1421,'img3/img4eb4.jpg');</v>
      </c>
      <c r="B1427" t="str">
        <f>IF(LEN(categories!G1427) &gt; 0, "INSERT INTO `catalog_category_entity_varchar` (attribute_id,store_id,entity_id,value) VALUES (48,0,"&amp;categories!B1427&amp;",'"&amp;RIGHT(categories!G1427,LEN(categories!G1427)-1)&amp;"');","")</f>
        <v>INSERT INTO `catalog_category_entity_varchar` (attribute_id,store_id,entity_id,value) VALUES (48,0,1426,'img2/imga685.jpg');</v>
      </c>
      <c r="C1427" t="str">
        <f>VLOOKUP(categories!B1427,'categories-old'!B:G,6,FALSE)</f>
        <v>/img2/imga685.jpg</v>
      </c>
      <c r="D1427" t="str">
        <f>VLOOKUP(categories!B1427,'categories-old'!B:H,7,FALSE)</f>
        <v>www.americanretailsupply.com\64943\34102\Slatwall-Accessories\Waterfall-Bracket-with-Hooks-for-Slatwall-or-Slatgrid.html</v>
      </c>
    </row>
    <row r="1428" spans="1:4" hidden="1" x14ac:dyDescent="0.25">
      <c r="A1428" t="str">
        <f>IF(LEN('categories-old'!G1428) &gt; 0, "INSERT INTO `catalog_category_entity_varchar` (attribute_id,store_id,entity_id,value) VALUES (48,0,"&amp;'categories-old'!B1428&amp;",'"&amp;RIGHT('categories-old'!G1428,LEN('categories-old'!G1428)-1)&amp;"');","")</f>
        <v>INSERT INTO `catalog_category_entity_varchar` (attribute_id,store_id,entity_id,value) VALUES (48,0,1422,'img3/img8f2b.jpg');</v>
      </c>
      <c r="B1428" t="str">
        <f>IF(LEN(categories!G1428) &gt; 0, "INSERT INTO `catalog_category_entity_varchar` (attribute_id,store_id,entity_id,value) VALUES (48,0,"&amp;categories!B1428&amp;",'"&amp;RIGHT(categories!G1428,LEN(categories!G1428)-1)&amp;"');","")</f>
        <v>INSERT INTO `catalog_category_entity_varchar` (attribute_id,store_id,entity_id,value) VALUES (48,0,1427,'img1/img5868.jpg');</v>
      </c>
      <c r="C1428" t="str">
        <f>VLOOKUP(categories!B1428,'categories-old'!B:G,6,FALSE)</f>
        <v>/img1/img5868.jpg</v>
      </c>
      <c r="D1428" t="str">
        <f>VLOOKUP(categories!B1428,'categories-old'!B:H,7,FALSE)</f>
        <v>www.americanretailsupply.com\64943\34103\Slatwall-Accessories\Hangrod-Bracket-with-Spring-Clamp-for-Slatwall.html</v>
      </c>
    </row>
    <row r="1429" spans="1:4" hidden="1" x14ac:dyDescent="0.25">
      <c r="A1429" t="str">
        <f>IF(LEN('categories-old'!G1429) &gt; 0, "INSERT INTO `catalog_category_entity_varchar` (attribute_id,store_id,entity_id,value) VALUES (48,0,"&amp;'categories-old'!B1429&amp;",'"&amp;RIGHT('categories-old'!G1429,LEN('categories-old'!G1429)-1)&amp;"');","")</f>
        <v>INSERT INTO `catalog_category_entity_varchar` (attribute_id,store_id,entity_id,value) VALUES (48,0,1423,'img3/imgacfc.jpg');</v>
      </c>
      <c r="B1429" t="str">
        <f>IF(LEN(categories!G1429) &gt; 0, "INSERT INTO `catalog_category_entity_varchar` (attribute_id,store_id,entity_id,value) VALUES (48,0,"&amp;categories!B1429&amp;",'"&amp;RIGHT(categories!G1429,LEN(categories!G1429)-1)&amp;"');","")</f>
        <v>INSERT INTO `catalog_category_entity_varchar` (attribute_id,store_id,entity_id,value) VALUES (48,0,1428,'img2/img8395.jpg');</v>
      </c>
      <c r="C1429" t="str">
        <f>VLOOKUP(categories!B1429,'categories-old'!B:G,6,FALSE)</f>
        <v>/img2/img8395.jpg</v>
      </c>
      <c r="D1429" t="str">
        <f>VLOOKUP(categories!B1429,'categories-old'!B:H,7,FALSE)</f>
        <v>www.americanretailsupply.com\64943\34104\Slatwall-Accessories\Mechandising-Bar-Brackets-for-Slatwall-or-Slatgrid.html</v>
      </c>
    </row>
    <row r="1430" spans="1:4" hidden="1" x14ac:dyDescent="0.25">
      <c r="A1430" t="str">
        <f>IF(LEN('categories-old'!G1430) &gt; 0, "INSERT INTO `catalog_category_entity_varchar` (attribute_id,store_id,entity_id,value) VALUES (48,0,"&amp;'categories-old'!B1430&amp;",'"&amp;RIGHT('categories-old'!G1430,LEN('categories-old'!G1430)-1)&amp;"');","")</f>
        <v>INSERT INTO `catalog_category_entity_varchar` (attribute_id,store_id,entity_id,value) VALUES (48,0,1424,'img2/img0d59.jpg');</v>
      </c>
      <c r="B1430" t="str">
        <f>IF(LEN(categories!G1430) &gt; 0, "INSERT INTO `catalog_category_entity_varchar` (attribute_id,store_id,entity_id,value) VALUES (48,0,"&amp;categories!B1430&amp;",'"&amp;RIGHT(categories!G1430,LEN(categories!G1430)-1)&amp;"');","")</f>
        <v>INSERT INTO `catalog_category_entity_varchar` (attribute_id,store_id,entity_id,value) VALUES (48,0,1429,'img3/imgc1a9.jpg');</v>
      </c>
      <c r="C1430" t="str">
        <f>VLOOKUP(categories!B1430,'categories-old'!B:G,6,FALSE)</f>
        <v>/img3/imgc1a9.jpg</v>
      </c>
      <c r="D1430" t="str">
        <f>VLOOKUP(categories!B1430,'categories-old'!B:H,7,FALSE)</f>
        <v>www.americanretailsupply.com\64943\34105\Slatwall-Accessories\Heavy-Duty-Hooks-with-90-degree-Tip-for-Slatwall-or-Slatgrid.html</v>
      </c>
    </row>
    <row r="1431" spans="1:4" hidden="1" x14ac:dyDescent="0.25">
      <c r="A1431" t="str">
        <f>IF(LEN('categories-old'!G1431) &gt; 0, "INSERT INTO `catalog_category_entity_varchar` (attribute_id,store_id,entity_id,value) VALUES (48,0,"&amp;'categories-old'!B1431&amp;",'"&amp;RIGHT('categories-old'!G1431,LEN('categories-old'!G1431)-1)&amp;"');","")</f>
        <v>INSERT INTO `catalog_category_entity_varchar` (attribute_id,store_id,entity_id,value) VALUES (48,0,1425,'img3/imgd4ec.jpg');</v>
      </c>
      <c r="B1431" t="str">
        <f>IF(LEN(categories!G1431) &gt; 0, "INSERT INTO `catalog_category_entity_varchar` (attribute_id,store_id,entity_id,value) VALUES (48,0,"&amp;categories!B1431&amp;",'"&amp;RIGHT(categories!G1431,LEN(categories!G1431)-1)&amp;"');","")</f>
        <v>INSERT INTO `catalog_category_entity_varchar` (attribute_id,store_id,entity_id,value) VALUES (48,0,1430,'img3/img33c1.jpg');</v>
      </c>
      <c r="C1431" t="str">
        <f>VLOOKUP(categories!B1431,'categories-old'!B:G,6,FALSE)</f>
        <v>/img3/img33c1.jpg</v>
      </c>
      <c r="D1431" t="str">
        <f>VLOOKUP(categories!B1431,'categories-old'!B:H,7,FALSE)</f>
        <v>www.americanretailsupply.com\64943\34106\Slatwall-Accessories\Hooks-with-45-Degree-Tip-for-Slatwall-or-Slatgrid.html</v>
      </c>
    </row>
    <row r="1432" spans="1:4" hidden="1" x14ac:dyDescent="0.25">
      <c r="A1432" t="str">
        <f>IF(LEN('categories-old'!G1432) &gt; 0, "INSERT INTO `catalog_category_entity_varchar` (attribute_id,store_id,entity_id,value) VALUES (48,0,"&amp;'categories-old'!B1432&amp;",'"&amp;RIGHT('categories-old'!G1432,LEN('categories-old'!G1432)-1)&amp;"');","")</f>
        <v>INSERT INTO `catalog_category_entity_varchar` (attribute_id,store_id,entity_id,value) VALUES (48,0,1426,'img2/imga685.jpg');</v>
      </c>
      <c r="B1432" t="str">
        <f>IF(LEN(categories!G1432) &gt; 0, "INSERT INTO `catalog_category_entity_varchar` (attribute_id,store_id,entity_id,value) VALUES (48,0,"&amp;categories!B1432&amp;",'"&amp;RIGHT(categories!G1432,LEN(categories!G1432)-1)&amp;"');","")</f>
        <v>INSERT INTO `catalog_category_entity_varchar` (attribute_id,store_id,entity_id,value) VALUES (48,0,1431,'img3/imgd43a.jpg');</v>
      </c>
      <c r="C1432" t="str">
        <f>VLOOKUP(categories!B1432,'categories-old'!B:G,6,FALSE)</f>
        <v>/img3/imgd43a.jpg</v>
      </c>
      <c r="D1432" t="str">
        <f>VLOOKUP(categories!B1432,'categories-old'!B:H,7,FALSE)</f>
        <v>www.americanretailsupply.com\64943\34107\Slatwall-Accessories\Adjustable-Literature-Holder-for-Slatwall-or-Slatgrid.html</v>
      </c>
    </row>
    <row r="1433" spans="1:4" hidden="1" x14ac:dyDescent="0.25">
      <c r="A1433" t="str">
        <f>IF(LEN('categories-old'!G1433) &gt; 0, "INSERT INTO `catalog_category_entity_varchar` (attribute_id,store_id,entity_id,value) VALUES (48,0,"&amp;'categories-old'!B1433&amp;",'"&amp;RIGHT('categories-old'!G1433,LEN('categories-old'!G1433)-1)&amp;"');","")</f>
        <v>INSERT INTO `catalog_category_entity_varchar` (attribute_id,store_id,entity_id,value) VALUES (48,0,1427,'img1/img5868.jpg');</v>
      </c>
      <c r="B1433" t="str">
        <f>IF(LEN(categories!G1433) &gt; 0, "INSERT INTO `catalog_category_entity_varchar` (attribute_id,store_id,entity_id,value) VALUES (48,0,"&amp;categories!B1433&amp;",'"&amp;RIGHT(categories!G1433,LEN(categories!G1433)-1)&amp;"');","")</f>
        <v>INSERT INTO `catalog_category_entity_varchar` (attribute_id,store_id,entity_id,value) VALUES (48,0,1432,'img2/imgec89.jpg');</v>
      </c>
      <c r="C1433" t="str">
        <f>VLOOKUP(categories!B1433,'categories-old'!B:G,6,FALSE)</f>
        <v>/img2/imgec89.jpg</v>
      </c>
      <c r="D1433" t="str">
        <f>VLOOKUP(categories!B1433,'categories-old'!B:H,7,FALSE)</f>
        <v>www.americanretailsupply.com\64943\34301\Slatwall-Accessories\Heavy-Duty-Brackets-for-Slatwall-or-Slatgrid.html</v>
      </c>
    </row>
    <row r="1434" spans="1:4" hidden="1" x14ac:dyDescent="0.25">
      <c r="A1434" t="str">
        <f>IF(LEN('categories-old'!G1434) &gt; 0, "INSERT INTO `catalog_category_entity_varchar` (attribute_id,store_id,entity_id,value) VALUES (48,0,"&amp;'categories-old'!B1434&amp;",'"&amp;RIGHT('categories-old'!G1434,LEN('categories-old'!G1434)-1)&amp;"');","")</f>
        <v>INSERT INTO `catalog_category_entity_varchar` (attribute_id,store_id,entity_id,value) VALUES (48,0,1428,'img2/img8395.jpg');</v>
      </c>
      <c r="B1434" t="str">
        <f>IF(LEN(categories!G1434) &gt; 0, "INSERT INTO `catalog_category_entity_varchar` (attribute_id,store_id,entity_id,value) VALUES (48,0,"&amp;categories!B1434&amp;",'"&amp;RIGHT(categories!G1434,LEN(categories!G1434)-1)&amp;"');","")</f>
        <v>INSERT INTO `catalog_category_entity_varchar` (attribute_id,store_id,entity_id,value) VALUES (48,0,1433,'img1/imga109.jpg');</v>
      </c>
      <c r="C1434" t="str">
        <f>VLOOKUP(categories!B1434,'categories-old'!B:G,6,FALSE)</f>
        <v>/img1/imga109.jpg</v>
      </c>
      <c r="D1434" t="str">
        <f>VLOOKUP(categories!B1434,'categories-old'!B:H,7,FALSE)</f>
        <v>www.americanretailsupply.com\64943\443004\Slatwall-Accessories\1-Piece-Scanning-Hooks-for-Slatwall-or-Slatgrid.html</v>
      </c>
    </row>
    <row r="1435" spans="1:4" hidden="1" x14ac:dyDescent="0.25">
      <c r="A1435" t="str">
        <f>IF(LEN('categories-old'!G1435) &gt; 0, "INSERT INTO `catalog_category_entity_varchar` (attribute_id,store_id,entity_id,value) VALUES (48,0,"&amp;'categories-old'!B1435&amp;",'"&amp;RIGHT('categories-old'!G1435,LEN('categories-old'!G1435)-1)&amp;"');","")</f>
        <v>INSERT INTO `catalog_category_entity_varchar` (attribute_id,store_id,entity_id,value) VALUES (48,0,1429,'img3/imgc1a9.jpg');</v>
      </c>
      <c r="B1435" t="str">
        <f>IF(LEN(categories!G1435) &gt; 0, "INSERT INTO `catalog_category_entity_varchar` (attribute_id,store_id,entity_id,value) VALUES (48,0,"&amp;categories!B1435&amp;",'"&amp;RIGHT(categories!G1435,LEN(categories!G1435)-1)&amp;"');","")</f>
        <v>INSERT INTO `catalog_category_entity_varchar` (attribute_id,store_id,entity_id,value) VALUES (48,0,1434,'img1/img7bb4.jpg');</v>
      </c>
      <c r="C1435" t="str">
        <f>VLOOKUP(categories!B1435,'categories-old'!B:G,6,FALSE)</f>
        <v>/img1/img7bb4.jpg</v>
      </c>
      <c r="D1435" t="str">
        <f>VLOOKUP(categories!B1435,'categories-old'!B:H,7,FALSE)</f>
        <v>www.americanretailsupply.com\64943\778864\Slatwall-Accessories\Hat-Displayer-for-Slatwall.html</v>
      </c>
    </row>
    <row r="1436" spans="1:4" hidden="1" x14ac:dyDescent="0.25">
      <c r="A1436" t="str">
        <f>IF(LEN('categories-old'!G1436) &gt; 0, "INSERT INTO `catalog_category_entity_varchar` (attribute_id,store_id,entity_id,value) VALUES (48,0,"&amp;'categories-old'!B1436&amp;",'"&amp;RIGHT('categories-old'!G1436,LEN('categories-old'!G1436)-1)&amp;"');","")</f>
        <v>INSERT INTO `catalog_category_entity_varchar` (attribute_id,store_id,entity_id,value) VALUES (48,0,1430,'img3/img33c1.jpg');</v>
      </c>
      <c r="B1436" t="str">
        <f>IF(LEN(categories!G1436) &gt; 0, "INSERT INTO `catalog_category_entity_varchar` (attribute_id,store_id,entity_id,value) VALUES (48,0,"&amp;categories!B1436&amp;",'"&amp;RIGHT(categories!G1436,LEN(categories!G1436)-1)&amp;"');","")</f>
        <v>INSERT INTO `catalog_category_entity_varchar` (attribute_id,store_id,entity_id,value) VALUES (48,0,1435,'img1/img2347.jpg');</v>
      </c>
      <c r="C1436" t="str">
        <f>VLOOKUP(categories!B1436,'categories-old'!B:G,6,FALSE)</f>
        <v>/img1/img2347.jpg</v>
      </c>
      <c r="D1436" t="str">
        <f>VLOOKUP(categories!B1436,'categories-old'!B:H,7,FALSE)</f>
        <v>www.americanretailsupply.com\64943\793000\Slatwall-Accessories\Designer-Faceouts-and-Waterfalls.html</v>
      </c>
    </row>
    <row r="1437" spans="1:4" hidden="1" x14ac:dyDescent="0.25">
      <c r="A1437" t="str">
        <f>IF(LEN('categories-old'!G1437) &gt; 0, "INSERT INTO `catalog_category_entity_varchar` (attribute_id,store_id,entity_id,value) VALUES (48,0,"&amp;'categories-old'!B1437&amp;",'"&amp;RIGHT('categories-old'!G1437,LEN('categories-old'!G1437)-1)&amp;"');","")</f>
        <v>INSERT INTO `catalog_category_entity_varchar` (attribute_id,store_id,entity_id,value) VALUES (48,0,1431,'img3/imgd43a.jpg');</v>
      </c>
      <c r="B1437" t="str">
        <f>IF(LEN(categories!G1437) &gt; 0, "INSERT INTO `catalog_category_entity_varchar` (attribute_id,store_id,entity_id,value) VALUES (48,0,"&amp;categories!B1437&amp;",'"&amp;RIGHT(categories!G1437,LEN(categories!G1437)-1)&amp;"');","")</f>
        <v>INSERT INTO `catalog_category_entity_varchar` (attribute_id,store_id,entity_id,value) VALUES (48,0,1436,'img1/img8f3d.jpg');</v>
      </c>
      <c r="C1437" t="str">
        <f>VLOOKUP(categories!B1437,'categories-old'!B:G,6,FALSE)</f>
        <v>/img1/img8f3d.jpg</v>
      </c>
      <c r="D1437" t="str">
        <f>VLOOKUP(categories!B1437,'categories-old'!B:H,7,FALSE)</f>
        <v>www.americanretailsupply.com\65011\226753\Holiday-Boxes\Holly-Berry-Frost-Gift-Boxes.html</v>
      </c>
    </row>
    <row r="1438" spans="1:4" hidden="1" x14ac:dyDescent="0.25">
      <c r="A1438" t="str">
        <f>IF(LEN('categories-old'!G1438) &gt; 0, "INSERT INTO `catalog_category_entity_varchar` (attribute_id,store_id,entity_id,value) VALUES (48,0,"&amp;'categories-old'!B1438&amp;",'"&amp;RIGHT('categories-old'!G1438,LEN('categories-old'!G1438)-1)&amp;"');","")</f>
        <v>INSERT INTO `catalog_category_entity_varchar` (attribute_id,store_id,entity_id,value) VALUES (48,0,1432,'img2/imgec89.jpg');</v>
      </c>
      <c r="B1438" t="str">
        <f>IF(LEN(categories!G1438) &gt; 0, "INSERT INTO `catalog_category_entity_varchar` (attribute_id,store_id,entity_id,value) VALUES (48,0,"&amp;categories!B1438&amp;",'"&amp;RIGHT(categories!G1438,LEN(categories!G1438)-1)&amp;"');","")</f>
        <v>INSERT INTO `catalog_category_entity_varchar` (attribute_id,store_id,entity_id,value) VALUES (48,0,1437,'img2/img13e5.jpg');</v>
      </c>
      <c r="C1438" t="str">
        <f>VLOOKUP(categories!B1438,'categories-old'!B:G,6,FALSE)</f>
        <v>/img2/img13e5.jpg</v>
      </c>
      <c r="D1438" t="str">
        <f>VLOOKUP(categories!B1438,'categories-old'!B:H,7,FALSE)</f>
        <v>www.americanretailsupply.com\65011\476530\Holiday-Boxes\Merry-Dots.html</v>
      </c>
    </row>
    <row r="1439" spans="1:4" hidden="1" x14ac:dyDescent="0.25">
      <c r="A1439" t="str">
        <f>IF(LEN('categories-old'!G1439) &gt; 0, "INSERT INTO `catalog_category_entity_varchar` (attribute_id,store_id,entity_id,value) VALUES (48,0,"&amp;'categories-old'!B1439&amp;",'"&amp;RIGHT('categories-old'!G1439,LEN('categories-old'!G1439)-1)&amp;"');","")</f>
        <v>INSERT INTO `catalog_category_entity_varchar` (attribute_id,store_id,entity_id,value) VALUES (48,0,1433,'img1/imga109.jpg');</v>
      </c>
      <c r="B1439" t="str">
        <f>IF(LEN(categories!G1439) &gt; 0, "INSERT INTO `catalog_category_entity_varchar` (attribute_id,store_id,entity_id,value) VALUES (48,0,"&amp;categories!B1439&amp;",'"&amp;RIGHT(categories!G1439,LEN(categories!G1439)-1)&amp;"');","")</f>
        <v>INSERT INTO `catalog_category_entity_varchar` (attribute_id,store_id,entity_id,value) VALUES (48,0,1438,'img1/imgc00e.jpg');</v>
      </c>
      <c r="C1439" t="str">
        <f>VLOOKUP(categories!B1439,'categories-old'!B:G,6,FALSE)</f>
        <v>/img1/imgc00e.jpg</v>
      </c>
      <c r="D1439" t="str">
        <f>VLOOKUP(categories!B1439,'categories-old'!B:H,7,FALSE)</f>
        <v>www.americanretailsupply.com\65011\476539\Holiday-Boxes\Stardust.html</v>
      </c>
    </row>
    <row r="1440" spans="1:4" hidden="1" x14ac:dyDescent="0.25">
      <c r="A1440" t="str">
        <f>IF(LEN('categories-old'!G1440) &gt; 0, "INSERT INTO `catalog_category_entity_varchar` (attribute_id,store_id,entity_id,value) VALUES (48,0,"&amp;'categories-old'!B1440&amp;",'"&amp;RIGHT('categories-old'!G1440,LEN('categories-old'!G1440)-1)&amp;"');","")</f>
        <v>INSERT INTO `catalog_category_entity_varchar` (attribute_id,store_id,entity_id,value) VALUES (48,0,1434,'img1/img7bb4.jpg');</v>
      </c>
      <c r="B1440" t="str">
        <f>IF(LEN(categories!G1440) &gt; 0, "INSERT INTO `catalog_category_entity_varchar` (attribute_id,store_id,entity_id,value) VALUES (48,0,"&amp;categories!B1440&amp;",'"&amp;RIGHT(categories!G1440,LEN(categories!G1440)-1)&amp;"');","")</f>
        <v>INSERT INTO `catalog_category_entity_varchar` (attribute_id,store_id,entity_id,value) VALUES (48,0,1439,'img2/img16bb.jpg');</v>
      </c>
      <c r="C1440" t="str">
        <f>VLOOKUP(categories!B1440,'categories-old'!B:G,6,FALSE)</f>
        <v>/img2/img16bb.jpg</v>
      </c>
      <c r="D1440" t="str">
        <f>VLOOKUP(categories!B1440,'categories-old'!B:H,7,FALSE)</f>
        <v>www.americanretailsupply.com\65084\226768\Decorative-Corrugated-Boxes\Rainforest-Cranberry.html</v>
      </c>
    </row>
    <row r="1441" spans="1:4" hidden="1" x14ac:dyDescent="0.25">
      <c r="A1441" t="str">
        <f>IF(LEN('categories-old'!G1441) &gt; 0, "INSERT INTO `catalog_category_entity_varchar` (attribute_id,store_id,entity_id,value) VALUES (48,0,"&amp;'categories-old'!B1441&amp;",'"&amp;RIGHT('categories-old'!G1441,LEN('categories-old'!G1441)-1)&amp;"');","")</f>
        <v>INSERT INTO `catalog_category_entity_varchar` (attribute_id,store_id,entity_id,value) VALUES (48,0,1435,'img1/img2347.jpg');</v>
      </c>
      <c r="B1441" t="str">
        <f>IF(LEN(categories!G1441) &gt; 0, "INSERT INTO `catalog_category_entity_varchar` (attribute_id,store_id,entity_id,value) VALUES (48,0,"&amp;categories!B1441&amp;",'"&amp;RIGHT(categories!G1441,LEN(categories!G1441)-1)&amp;"');","")</f>
        <v>INSERT INTO `catalog_category_entity_varchar` (attribute_id,store_id,entity_id,value) VALUES (48,0,1440,'img2/img7f68.jpg');</v>
      </c>
      <c r="C1441" t="str">
        <f>VLOOKUP(categories!B1441,'categories-old'!B:G,6,FALSE)</f>
        <v>/img2/img7f68.jpg</v>
      </c>
      <c r="D1441" t="str">
        <f>VLOOKUP(categories!B1441,'categories-old'!B:H,7,FALSE)</f>
        <v>www.americanretailsupply.com\65084\30014\Decorative-Corrugated-Boxes\Arctic-Frost-Gift-Boxes.html</v>
      </c>
    </row>
    <row r="1442" spans="1:4" hidden="1" x14ac:dyDescent="0.25">
      <c r="A1442" t="str">
        <f>IF(LEN('categories-old'!G1442) &gt; 0, "INSERT INTO `catalog_category_entity_varchar` (attribute_id,store_id,entity_id,value) VALUES (48,0,"&amp;'categories-old'!B1442&amp;",'"&amp;RIGHT('categories-old'!G1442,LEN('categories-old'!G1442)-1)&amp;"');","")</f>
        <v>INSERT INTO `catalog_category_entity_varchar` (attribute_id,store_id,entity_id,value) VALUES (48,0,1436,'img1/img8f3d.jpg');</v>
      </c>
      <c r="B1442" t="str">
        <f>IF(LEN(categories!G1442) &gt; 0, "INSERT INTO `catalog_category_entity_varchar` (attribute_id,store_id,entity_id,value) VALUES (48,0,"&amp;categories!B1442&amp;",'"&amp;RIGHT(categories!G1442,LEN(categories!G1442)-1)&amp;"');","")</f>
        <v>INSERT INTO `catalog_category_entity_varchar` (attribute_id,store_id,entity_id,value) VALUES (48,0,1441,'img1/imgc175.jpg');</v>
      </c>
      <c r="C1442" t="str">
        <f>VLOOKUP(categories!B1442,'categories-old'!B:G,6,FALSE)</f>
        <v>/img1/imgc175.jpg</v>
      </c>
      <c r="D1442" t="str">
        <f>VLOOKUP(categories!B1442,'categories-old'!B:H,7,FALSE)</f>
        <v>www.americanretailsupply.com\65084\728270\Decorative-Corrugated-Boxes\Evergreen.html</v>
      </c>
    </row>
    <row r="1443" spans="1:4" hidden="1" x14ac:dyDescent="0.25">
      <c r="A1443" t="str">
        <f>IF(LEN('categories-old'!G1443) &gt; 0, "INSERT INTO `catalog_category_entity_varchar` (attribute_id,store_id,entity_id,value) VALUES (48,0,"&amp;'categories-old'!B1443&amp;",'"&amp;RIGHT('categories-old'!G1443,LEN('categories-old'!G1443)-1)&amp;"');","")</f>
        <v>INSERT INTO `catalog_category_entity_varchar` (attribute_id,store_id,entity_id,value) VALUES (48,0,1437,'img2/img13e5.jpg');</v>
      </c>
      <c r="B1443" t="str">
        <f>IF(LEN(categories!G1443) &gt; 0, "INSERT INTO `catalog_category_entity_varchar` (attribute_id,store_id,entity_id,value) VALUES (48,0,"&amp;categories!B1443&amp;",'"&amp;RIGHT(categories!G1443,LEN(categories!G1443)-1)&amp;"');","")</f>
        <v>INSERT INTO `catalog_category_entity_varchar` (attribute_id,store_id,entity_id,value) VALUES (48,0,1442,'img1/img353d.jpg');</v>
      </c>
      <c r="C1443" t="str">
        <f>VLOOKUP(categories!B1443,'categories-old'!B:G,6,FALSE)</f>
        <v>/img1/img353d.jpg</v>
      </c>
      <c r="D1443" t="str">
        <f>VLOOKUP(categories!B1443,'categories-old'!B:H,7,FALSE)</f>
        <v>www.americanretailsupply.com\65084\734400\Decorative-Corrugated-Boxes\Festive-Holiday.html</v>
      </c>
    </row>
    <row r="1444" spans="1:4" hidden="1" x14ac:dyDescent="0.25">
      <c r="A1444" t="str">
        <f>IF(LEN('categories-old'!G1444) &gt; 0, "INSERT INTO `catalog_category_entity_varchar` (attribute_id,store_id,entity_id,value) VALUES (48,0,"&amp;'categories-old'!B1444&amp;",'"&amp;RIGHT('categories-old'!G1444,LEN('categories-old'!G1444)-1)&amp;"');","")</f>
        <v>INSERT INTO `catalog_category_entity_varchar` (attribute_id,store_id,entity_id,value) VALUES (48,0,1438,'img1/imgc00e.jpg');</v>
      </c>
      <c r="B1444" t="str">
        <f>IF(LEN(categories!G1444) &gt; 0, "INSERT INTO `catalog_category_entity_varchar` (attribute_id,store_id,entity_id,value) VALUES (48,0,"&amp;categories!B1444&amp;",'"&amp;RIGHT(categories!G1444,LEN(categories!G1444)-1)&amp;"');","")</f>
        <v>INSERT INTO `catalog_category_entity_varchar` (attribute_id,store_id,entity_id,value) VALUES (48,0,1443,'img3/imgdef4.jpg');</v>
      </c>
      <c r="C1444" t="str">
        <f>VLOOKUP(categories!B1444,'categories-old'!B:G,6,FALSE)</f>
        <v>/img3/imgdef4.jpg</v>
      </c>
      <c r="D1444" t="str">
        <f>VLOOKUP(categories!B1444,'categories-old'!B:H,7,FALSE)</f>
        <v>www.americanretailsupply.com\65084\782113\Decorative-Corrugated-Boxes\Cheerful-Chevron.html</v>
      </c>
    </row>
    <row r="1445" spans="1:4" hidden="1" x14ac:dyDescent="0.25">
      <c r="A1445" t="str">
        <f>IF(LEN('categories-old'!G1445) &gt; 0, "INSERT INTO `catalog_category_entity_varchar` (attribute_id,store_id,entity_id,value) VALUES (48,0,"&amp;'categories-old'!B1445&amp;",'"&amp;RIGHT('categories-old'!G1445,LEN('categories-old'!G1445)-1)&amp;"');","")</f>
        <v>INSERT INTO `catalog_category_entity_varchar` (attribute_id,store_id,entity_id,value) VALUES (48,0,1439,'img2/img16bb.jpg');</v>
      </c>
      <c r="B1445" t="str">
        <f>IF(LEN(categories!G1445) &gt; 0, "INSERT INTO `catalog_category_entity_varchar` (attribute_id,store_id,entity_id,value) VALUES (48,0,"&amp;categories!B1445&amp;",'"&amp;RIGHT(categories!G1445,LEN(categories!G1445)-1)&amp;"');","")</f>
        <v>INSERT INTO `catalog_category_entity_varchar` (attribute_id,store_id,entity_id,value) VALUES (48,0,1444,'img2/imgcec4.jpg');</v>
      </c>
      <c r="C1445" t="str">
        <f>VLOOKUP(categories!B1445,'categories-old'!B:G,6,FALSE)</f>
        <v>/img2/imgcec4.jpg</v>
      </c>
      <c r="D1445" t="str">
        <f>VLOOKUP(categories!B1445,'categories-old'!B:H,7,FALSE)</f>
        <v>www.americanretailsupply.com\65181\225166\Literature-Racks\Countertop-Literature-Racks.html</v>
      </c>
    </row>
    <row r="1446" spans="1:4" hidden="1" x14ac:dyDescent="0.25">
      <c r="A1446" t="str">
        <f>IF(LEN('categories-old'!G1446) &gt; 0, "INSERT INTO `catalog_category_entity_varchar` (attribute_id,store_id,entity_id,value) VALUES (48,0,"&amp;'categories-old'!B1446&amp;",'"&amp;RIGHT('categories-old'!G1446,LEN('categories-old'!G1446)-1)&amp;"');","")</f>
        <v>INSERT INTO `catalog_category_entity_varchar` (attribute_id,store_id,entity_id,value) VALUES (48,0,1440,'img2/img7f68.jpg');</v>
      </c>
      <c r="B1446" t="str">
        <f>IF(LEN(categories!G1446) &gt; 0, "INSERT INTO `catalog_category_entity_varchar` (attribute_id,store_id,entity_id,value) VALUES (48,0,"&amp;categories!B1446&amp;",'"&amp;RIGHT(categories!G1446,LEN(categories!G1446)-1)&amp;"');","")</f>
        <v/>
      </c>
      <c r="C1446" t="e">
        <f>VLOOKUP(categories!B1446,'categories-old'!B:G,6,FALSE)</f>
        <v>#N/A</v>
      </c>
      <c r="D1446" t="e">
        <f>VLOOKUP(categories!B1446,'categories-old'!B:H,7,FALSE)</f>
        <v>#N/A</v>
      </c>
    </row>
    <row r="1447" spans="1:4" hidden="1" x14ac:dyDescent="0.25">
      <c r="A1447" t="str">
        <f>IF(LEN('categories-old'!G1447) &gt; 0, "INSERT INTO `catalog_category_entity_varchar` (attribute_id,store_id,entity_id,value) VALUES (48,0,"&amp;'categories-old'!B1447&amp;",'"&amp;RIGHT('categories-old'!G1447,LEN('categories-old'!G1447)-1)&amp;"');","")</f>
        <v>INSERT INTO `catalog_category_entity_varchar` (attribute_id,store_id,entity_id,value) VALUES (48,0,1441,'img1/imgc175.jpg');</v>
      </c>
      <c r="B1447" t="str">
        <f>IF(LEN(categories!G1447) &gt; 0, "INSERT INTO `catalog_category_entity_varchar` (attribute_id,store_id,entity_id,value) VALUES (48,0,"&amp;categories!B1447&amp;",'"&amp;RIGHT(categories!G1447,LEN(categories!G1447)-1)&amp;"');","")</f>
        <v/>
      </c>
      <c r="C1447" t="e">
        <f>VLOOKUP(categories!B1447,'categories-old'!B:G,6,FALSE)</f>
        <v>#N/A</v>
      </c>
      <c r="D1447" t="e">
        <f>VLOOKUP(categories!B1447,'categories-old'!B:H,7,FALSE)</f>
        <v>#N/A</v>
      </c>
    </row>
    <row r="1448" spans="1:4" hidden="1" x14ac:dyDescent="0.25">
      <c r="A1448" t="str">
        <f>IF(LEN('categories-old'!G1448) &gt; 0, "INSERT INTO `catalog_category_entity_varchar` (attribute_id,store_id,entity_id,value) VALUES (48,0,"&amp;'categories-old'!B1448&amp;",'"&amp;RIGHT('categories-old'!G1448,LEN('categories-old'!G1448)-1)&amp;"');","")</f>
        <v>INSERT INTO `catalog_category_entity_varchar` (attribute_id,store_id,entity_id,value) VALUES (48,0,1442,'img1/img353d.jpg');</v>
      </c>
      <c r="B1448" t="str">
        <f>IF(LEN(categories!G1448) &gt; 0, "INSERT INTO `catalog_category_entity_varchar` (attribute_id,store_id,entity_id,value) VALUES (48,0,"&amp;categories!B1448&amp;",'"&amp;RIGHT(categories!G1448,LEN(categories!G1448)-1)&amp;"');","")</f>
        <v/>
      </c>
      <c r="C1448" t="e">
        <f>VLOOKUP(categories!B1448,'categories-old'!B:G,6,FALSE)</f>
        <v>#N/A</v>
      </c>
      <c r="D1448" t="e">
        <f>VLOOKUP(categories!B1448,'categories-old'!B:H,7,FALSE)</f>
        <v>#N/A</v>
      </c>
    </row>
    <row r="1449" spans="1:4" hidden="1" x14ac:dyDescent="0.25">
      <c r="A1449" t="str">
        <f>IF(LEN('categories-old'!G1449) &gt; 0, "INSERT INTO `catalog_category_entity_varchar` (attribute_id,store_id,entity_id,value) VALUES (48,0,"&amp;'categories-old'!B1449&amp;",'"&amp;RIGHT('categories-old'!G1449,LEN('categories-old'!G1449)-1)&amp;"');","")</f>
        <v>INSERT INTO `catalog_category_entity_varchar` (attribute_id,store_id,entity_id,value) VALUES (48,0,1443,'img3/imgdef4.jpg');</v>
      </c>
      <c r="B1449" t="str">
        <f>IF(LEN(categories!G1449) &gt; 0, "INSERT INTO `catalog_category_entity_varchar` (attribute_id,store_id,entity_id,value) VALUES (48,0,"&amp;categories!B1449&amp;",'"&amp;RIGHT(categories!G1449,LEN(categories!G1449)-1)&amp;"');","")</f>
        <v/>
      </c>
      <c r="C1449" t="e">
        <f>VLOOKUP(categories!B1449,'categories-old'!B:G,6,FALSE)</f>
        <v>#N/A</v>
      </c>
      <c r="D1449" t="e">
        <f>VLOOKUP(categories!B1449,'categories-old'!B:H,7,FALSE)</f>
        <v>#N/A</v>
      </c>
    </row>
    <row r="1450" spans="1:4" hidden="1" x14ac:dyDescent="0.25">
      <c r="A1450" t="str">
        <f>IF(LEN('categories-old'!G1450) &gt; 0, "INSERT INTO `catalog_category_entity_varchar` (attribute_id,store_id,entity_id,value) VALUES (48,0,"&amp;'categories-old'!B1450&amp;",'"&amp;RIGHT('categories-old'!G1450,LEN('categories-old'!G1450)-1)&amp;"');","")</f>
        <v>INSERT INTO `catalog_category_entity_varchar` (attribute_id,store_id,entity_id,value) VALUES (48,0,1444,'img2/imgcec4.jpg');</v>
      </c>
      <c r="B1450" t="str">
        <f>IF(LEN(categories!G1450) &gt; 0, "INSERT INTO `catalog_category_entity_varchar` (attribute_id,store_id,entity_id,value) VALUES (48,0,"&amp;categories!B1450&amp;",'"&amp;RIGHT(categories!G1450,LEN(categories!G1450)-1)&amp;"');","")</f>
        <v/>
      </c>
      <c r="C1450" t="e">
        <f>VLOOKUP(categories!B1450,'categories-old'!B:G,6,FALSE)</f>
        <v>#N/A</v>
      </c>
      <c r="D1450" t="e">
        <f>VLOOKUP(categories!B1450,'categories-old'!B:H,7,FALSE)</f>
        <v>#N/A</v>
      </c>
    </row>
  </sheetData>
  <autoFilter ref="A1:C1450">
    <filterColumn colId="1">
      <filters>
        <filter val="INSERT INTO `catalog_category_entity_varchar` (attribute_id,store_id,entity_id,value) VALUES (48,0,1012,'img3/img87fa.jpg');"/>
        <filter val="INSERT INTO `catalog_category_entity_varchar` (attribute_id,store_id,entity_id,value) VALUES (48,0,1058,'img2/imge7b1.jpg');"/>
        <filter val="INSERT INTO `catalog_category_entity_varchar` (attribute_id,store_id,entity_id,value) VALUES (48,0,107,'img2/imgc771.jpg');"/>
        <filter val="INSERT INTO `catalog_category_entity_varchar` (attribute_id,store_id,entity_id,value) VALUES (48,0,1078,'img2/imga126.jpg');"/>
        <filter val="INSERT INTO `catalog_category_entity_varchar` (attribute_id,store_id,entity_id,value) VALUES (48,0,1127,'img3/imga596.jpg');"/>
        <filter val="INSERT INTO `catalog_category_entity_varchar` (attribute_id,store_id,entity_id,value) VALUES (48,0,1133,'img2/imgedc5.jpg');"/>
        <filter val="INSERT INTO `catalog_category_entity_varchar` (attribute_id,store_id,entity_id,value) VALUES (48,0,1137,'img1/img28a8.jpg');"/>
        <filter val="INSERT INTO `catalog_category_entity_varchar` (attribute_id,store_id,entity_id,value) VALUES (48,0,1144,'img1/imgecf0.jpg');"/>
        <filter val="INSERT INTO `catalog_category_entity_varchar` (attribute_id,store_id,entity_id,value) VALUES (48,0,1149,'img1/imge5ed.jpg');"/>
        <filter val="INSERT INTO `catalog_category_entity_varchar` (attribute_id,store_id,entity_id,value) VALUES (48,0,116,'img3/imgf048.jpg');"/>
        <filter val="INSERT INTO `catalog_category_entity_varchar` (attribute_id,store_id,entity_id,value) VALUES (48,0,1185,'img3/img8d3d.jpg');"/>
        <filter val="INSERT INTO `catalog_category_entity_varchar` (attribute_id,store_id,entity_id,value) VALUES (48,0,1192,'img1/img6f1c.jpg');"/>
        <filter val="INSERT INTO `catalog_category_entity_varchar` (attribute_id,store_id,entity_id,value) VALUES (48,0,1227,'img3/imge237.jpg');"/>
        <filter val="INSERT INTO `catalog_category_entity_varchar` (attribute_id,store_id,entity_id,value) VALUES (48,0,1243,'img1/img5c7c.jpg');"/>
        <filter val="INSERT INTO `catalog_category_entity_varchar` (attribute_id,store_id,entity_id,value) VALUES (48,0,1264,'img2/img71b1.jpg');"/>
        <filter val="INSERT INTO `catalog_category_entity_varchar` (attribute_id,store_id,entity_id,value) VALUES (48,0,1319,'img2/img3ceb.jpg');"/>
        <filter val="INSERT INTO `catalog_category_entity_varchar` (attribute_id,store_id,entity_id,value) VALUES (48,0,1358,'img2/imgb35e.jpg');"/>
        <filter val="INSERT INTO `catalog_category_entity_varchar` (attribute_id,store_id,entity_id,value) VALUES (48,0,1366,'img3/img8e6a.jpg');"/>
        <filter val="INSERT INTO `catalog_category_entity_varchar` (attribute_id,store_id,entity_id,value) VALUES (48,0,165,'img1/imga339.jpg');"/>
        <filter val="INSERT INTO `catalog_category_entity_varchar` (attribute_id,store_id,entity_id,value) VALUES (48,0,182,'img1/img5285.jpg');"/>
        <filter val="INSERT INTO `catalog_category_entity_varchar` (attribute_id,store_id,entity_id,value) VALUES (48,0,195,'img2/imgbc36.jpg');"/>
        <filter val="INSERT INTO `catalog_category_entity_varchar` (attribute_id,store_id,entity_id,value) VALUES (48,0,206,'img3/img8adf.jpg');"/>
        <filter val="INSERT INTO `catalog_category_entity_varchar` (attribute_id,store_id,entity_id,value) VALUES (48,0,239,'img3/imgddb8.jpg');"/>
        <filter val="INSERT INTO `catalog_category_entity_varchar` (attribute_id,store_id,entity_id,value) VALUES (48,0,257,'img3/img5512.jpg');"/>
        <filter val="INSERT INTO `catalog_category_entity_varchar` (attribute_id,store_id,entity_id,value) VALUES (48,0,281,'img3/img218e.jpg');"/>
        <filter val="INSERT INTO `catalog_category_entity_varchar` (attribute_id,store_id,entity_id,value) VALUES (48,0,293,'img2/img5c3a.jpg');"/>
        <filter val="INSERT INTO `catalog_category_entity_varchar` (attribute_id,store_id,entity_id,value) VALUES (48,0,306,'img1/img46a1.jpg');"/>
        <filter val="INSERT INTO `catalog_category_entity_varchar` (attribute_id,store_id,entity_id,value) VALUES (48,0,309,'img2/img9907.jpg');"/>
        <filter val="INSERT INTO `catalog_category_entity_varchar` (attribute_id,store_id,entity_id,value) VALUES (48,0,310,'img3/img4575.jpg');"/>
        <filter val="INSERT INTO `catalog_category_entity_varchar` (attribute_id,store_id,entity_id,value) VALUES (48,0,325,'img3/imgb1e0.jpg');"/>
        <filter val="INSERT INTO `catalog_category_entity_varchar` (attribute_id,store_id,entity_id,value) VALUES (48,0,4,'img2/imgd85c.jpg');"/>
        <filter val="INSERT INTO `catalog_category_entity_varchar` (attribute_id,store_id,entity_id,value) VALUES (48,0,409,'img2/imgb152.jpg');"/>
        <filter val="INSERT INTO `catalog_category_entity_varchar` (attribute_id,store_id,entity_id,value) VALUES (48,0,428,'img1/img1f5e.jpg');"/>
        <filter val="INSERT INTO `catalog_category_entity_varchar` (attribute_id,store_id,entity_id,value) VALUES (48,0,441,'img1/img4dd0.jpg');"/>
        <filter val="INSERT INTO `catalog_category_entity_varchar` (attribute_id,store_id,entity_id,value) VALUES (48,0,449,'img1/img6ee1.jpg');"/>
        <filter val="INSERT INTO `catalog_category_entity_varchar` (attribute_id,store_id,entity_id,value) VALUES (48,0,458,'img2/imgeb32.jpg');"/>
        <filter val="INSERT INTO `catalog_category_entity_varchar` (attribute_id,store_id,entity_id,value) VALUES (48,0,483,'img1/img1b18.jpg');"/>
        <filter val="INSERT INTO `catalog_category_entity_varchar` (attribute_id,store_id,entity_id,value) VALUES (48,0,49,'img1/img5fb6.jpg');"/>
        <filter val="INSERT INTO `catalog_category_entity_varchar` (attribute_id,store_id,entity_id,value) VALUES (48,0,499,'img2/imgb5cd.jpg');"/>
        <filter val="INSERT INTO `catalog_category_entity_varchar` (attribute_id,store_id,entity_id,value) VALUES (48,0,528,'img2/imge649.jpg');"/>
        <filter val="INSERT INTO `catalog_category_entity_varchar` (attribute_id,store_id,entity_id,value) VALUES (48,0,567,'img1/img26c7.jpg');"/>
        <filter val="INSERT INTO `catalog_category_entity_varchar` (attribute_id,store_id,entity_id,value) VALUES (48,0,576,'img3/img0acb.jpg');"/>
        <filter val="INSERT INTO `catalog_category_entity_varchar` (attribute_id,store_id,entity_id,value) VALUES (48,0,593,'img2/imgba3d.jpg');"/>
        <filter val="INSERT INTO `catalog_category_entity_varchar` (attribute_id,store_id,entity_id,value) VALUES (48,0,607,'img1/imgf8ce.jpg');"/>
        <filter val="INSERT INTO `catalog_category_entity_varchar` (attribute_id,store_id,entity_id,value) VALUES (48,0,70,'img1/imgde32.jpg');"/>
        <filter val="INSERT INTO `catalog_category_entity_varchar` (attribute_id,store_id,entity_id,value) VALUES (48,0,702,'img2/img3a91.jpg');"/>
        <filter val="INSERT INTO `catalog_category_entity_varchar` (attribute_id,store_id,entity_id,value) VALUES (48,0,710,'img3/imgcdd3.jpg');"/>
        <filter val="INSERT INTO `catalog_category_entity_varchar` (attribute_id,store_id,entity_id,value) VALUES (48,0,715,'img3/imgd090.jpg');"/>
        <filter val="INSERT INTO `catalog_category_entity_varchar` (attribute_id,store_id,entity_id,value) VALUES (48,0,735,'img1/img0d76.jpg');"/>
        <filter val="INSERT INTO `catalog_category_entity_varchar` (attribute_id,store_id,entity_id,value) VALUES (48,0,748,'img3/imgbe6d-2.jpg');"/>
        <filter val="INSERT INTO `catalog_category_entity_varchar` (attribute_id,store_id,entity_id,value) VALUES (48,0,763,'img1/imgcd04.jpg');"/>
        <filter val="INSERT INTO `catalog_category_entity_varchar` (attribute_id,store_id,entity_id,value) VALUES (48,0,781,'img1/imgc891.jpg');"/>
        <filter val="INSERT INTO `catalog_category_entity_varchar` (attribute_id,store_id,entity_id,value) VALUES (48,0,830,'img1/imgb1e8.jpg');"/>
        <filter val="INSERT INTO `catalog_category_entity_varchar` (attribute_id,store_id,entity_id,value) VALUES (48,0,85,'img2/img3461.jpg');"/>
        <filter val="INSERT INTO `catalog_category_entity_varchar` (attribute_id,store_id,entity_id,value) VALUES (48,0,857,'img1/img0504.jpg');"/>
        <filter val="INSERT INTO `catalog_category_entity_varchar` (attribute_id,store_id,entity_id,value) VALUES (48,0,864,'img3/img049b.jpg');"/>
        <filter val="INSERT INTO `catalog_category_entity_varchar` (attribute_id,store_id,entity_id,value) VALUES (48,0,874,'img1/img9ef8.jpg');"/>
        <filter val="INSERT INTO `catalog_category_entity_varchar` (attribute_id,store_id,entity_id,value) VALUES (48,0,877,'img2/imge011.jpg');"/>
        <filter val="INSERT INTO `catalog_category_entity_varchar` (attribute_id,store_id,entity_id,value) VALUES (48,0,882,'img3/img4438.jpg');"/>
        <filter val="INSERT INTO `catalog_category_entity_varchar` (attribute_id,store_id,entity_id,value) VALUES (48,0,884,'img2/img8309.jpg');"/>
        <filter val="INSERT INTO `catalog_category_entity_varchar` (attribute_id,store_id,entity_id,value) VALUES (48,0,900,'img1/imgfd6e.jpg');"/>
        <filter val="INSERT INTO `catalog_category_entity_varchar` (attribute_id,store_id,entity_id,value) VALUES (48,0,949,'img1/imgadc0.jpg');"/>
        <filter val="INSERT INTO `catalog_category_entity_varchar` (attribute_id,store_id,entity_id,value) VALUES (48,0,959,'img2/img8592.jpg');"/>
        <filter val="INSERT INTO `catalog_category_entity_varchar` (attribute_id,store_id,entity_id,value) VALUES (48,0,981,'img2/img86ef.jpg');"/>
      </filters>
    </filterColumn>
    <filterColumn colId="2">
      <filters>
        <filter val="0"/>
      </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2:B1450"/>
  <sheetViews>
    <sheetView topLeftCell="A1412" workbookViewId="0">
      <selection activeCell="B2" sqref="B2:B1445"/>
    </sheetView>
  </sheetViews>
  <sheetFormatPr defaultRowHeight="15" x14ac:dyDescent="0.25"/>
  <cols>
    <col min="1" max="1" width="50.140625" customWidth="1"/>
    <col min="2" max="2" width="49.5703125" customWidth="1"/>
  </cols>
  <sheetData>
    <row r="2" spans="1:2" x14ac:dyDescent="0.25">
      <c r="A2" t="str">
        <f>IF(LEN(categories!G2) &gt; 0, "cp ."&amp;categories!G2&amp;" ../catalog/category"&amp;LEFT(categories!G2,6)&amp;";", "")</f>
        <v>cp ./img3/img5512.jpg ../catalog/category/img3/;</v>
      </c>
      <c r="B2" t="str">
        <f>IF(LEN(categories!G2) &gt; 0, SUBSTITUTE("copy ."&amp;categories!G2&amp;" ./category"&amp;LEFT(categories!G2,6),"/","\"), "")</f>
        <v>copy .\img3\img5512.jpg .\category\img3\</v>
      </c>
    </row>
    <row r="3" spans="1:2" x14ac:dyDescent="0.25">
      <c r="A3" t="str">
        <f>IF(LEN(categories!G3) &gt; 0, "cp ."&amp;categories!G3&amp;" ../catalog/category"&amp;LEFT(categories!G3,6)&amp;";", "")</f>
        <v>cp ./img1/img1f5e.jpg ../catalog/category/img1/;</v>
      </c>
      <c r="B3" t="str">
        <f>IF(LEN(categories!G3) &gt; 0, SUBSTITUTE("copy ."&amp;categories!G3&amp;" ./category"&amp;LEFT(categories!G3,6),"/","\"), "")</f>
        <v>copy .\img1\img1f5e.jpg .\category\img1\</v>
      </c>
    </row>
    <row r="4" spans="1:2" x14ac:dyDescent="0.25">
      <c r="A4" t="str">
        <f>IF(LEN(categories!G4) &gt; 0, "cp ."&amp;categories!G4&amp;" ../catalog/category"&amp;LEFT(categories!G4,6)&amp;";", "")</f>
        <v>cp ./img2/imge649.jpg ../catalog/category/img2/;</v>
      </c>
      <c r="B4" t="str">
        <f>IF(LEN(categories!G4) &gt; 0, SUBSTITUTE("copy ."&amp;categories!G4&amp;" ./category"&amp;LEFT(categories!G4,6),"/","\"), "")</f>
        <v>copy .\img2\imge649.jpg .\category\img2\</v>
      </c>
    </row>
    <row r="5" spans="1:2" x14ac:dyDescent="0.25">
      <c r="A5" t="str">
        <f>IF(LEN(categories!G5) &gt; 0, "cp ."&amp;categories!G5&amp;" ../catalog/category"&amp;LEFT(categories!G5,6)&amp;";", "")</f>
        <v>cp ./img2/img3619.jpg ../catalog/category/img2/;</v>
      </c>
      <c r="B5" t="str">
        <f>IF(LEN(categories!G5) &gt; 0, SUBSTITUTE("copy ."&amp;categories!G5&amp;" ./category"&amp;LEFT(categories!G5,6),"/","\"), "")</f>
        <v>copy .\img2\img3619.jpg .\category\img2\</v>
      </c>
    </row>
    <row r="6" spans="1:2" x14ac:dyDescent="0.25">
      <c r="A6" t="str">
        <f>IF(LEN(categories!G6) &gt; 0, "cp ."&amp;categories!G6&amp;" ../catalog/category"&amp;LEFT(categories!G6,6)&amp;";", "")</f>
        <v>cp ./img2/img6e67.jpg ../catalog/category/img2/;</v>
      </c>
      <c r="B6" t="str">
        <f>IF(LEN(categories!G6) &gt; 0, SUBSTITUTE("copy ."&amp;categories!G6&amp;" ./category"&amp;LEFT(categories!G6,6),"/","\"), "")</f>
        <v>copy .\img2\img6e67.jpg .\category\img2\</v>
      </c>
    </row>
    <row r="7" spans="1:2" x14ac:dyDescent="0.25">
      <c r="A7" t="str">
        <f>IF(LEN(categories!G7) &gt; 0, "cp ."&amp;categories!G7&amp;" ../catalog/category"&amp;LEFT(categories!G7,6)&amp;";", "")</f>
        <v>cp ./img1/img49cc.jpg ../catalog/category/img1/;</v>
      </c>
      <c r="B7" t="str">
        <f>IF(LEN(categories!G7) &gt; 0, SUBSTITUTE("copy ."&amp;categories!G7&amp;" ./category"&amp;LEFT(categories!G7,6),"/","\"), "")</f>
        <v>copy .\img1\img49cc.jpg .\category\img1\</v>
      </c>
    </row>
    <row r="8" spans="1:2" x14ac:dyDescent="0.25">
      <c r="A8" t="str">
        <f>IF(LEN(categories!G8) &gt; 0, "cp ."&amp;categories!G8&amp;" ../catalog/category"&amp;LEFT(categories!G8,6)&amp;";", "")</f>
        <v>cp ./img1/img1b28.jpg ../catalog/category/img1/;</v>
      </c>
      <c r="B8" t="str">
        <f>IF(LEN(categories!G8) &gt; 0, SUBSTITUTE("copy ."&amp;categories!G8&amp;" ./category"&amp;LEFT(categories!G8,6),"/","\"), "")</f>
        <v>copy .\img1\img1b28.jpg .\category\img1\</v>
      </c>
    </row>
    <row r="9" spans="1:2" x14ac:dyDescent="0.25">
      <c r="A9" t="str">
        <f>IF(LEN(categories!G9) &gt; 0, "cp ."&amp;categories!G9&amp;" ../catalog/category"&amp;LEFT(categories!G9,6)&amp;";", "")</f>
        <v>cp ./img1/imgc53b.jpg ../catalog/category/img1/;</v>
      </c>
      <c r="B9" t="str">
        <f>IF(LEN(categories!G9) &gt; 0, SUBSTITUTE("copy ."&amp;categories!G9&amp;" ./category"&amp;LEFT(categories!G9,6),"/","\"), "")</f>
        <v>copy .\img1\imgc53b.jpg .\category\img1\</v>
      </c>
    </row>
    <row r="10" spans="1:2" x14ac:dyDescent="0.25">
      <c r="A10" t="str">
        <f>IF(LEN(categories!G10) &gt; 0, "cp ."&amp;categories!G10&amp;" ../catalog/category"&amp;LEFT(categories!G10,6)&amp;";", "")</f>
        <v>cp ./img1/img5285.jpg ../catalog/category/img1/;</v>
      </c>
      <c r="B10" t="str">
        <f>IF(LEN(categories!G10) &gt; 0, SUBSTITUTE("copy ."&amp;categories!G10&amp;" ./category"&amp;LEFT(categories!G10,6),"/","\"), "")</f>
        <v>copy .\img1\img5285.jpg .\category\img1\</v>
      </c>
    </row>
    <row r="11" spans="1:2" x14ac:dyDescent="0.25">
      <c r="A11" t="str">
        <f>IF(LEN(categories!G11) &gt; 0, "cp ."&amp;categories!G11&amp;" ../catalog/category"&amp;LEFT(categories!G11,6)&amp;";", "")</f>
        <v>cp ./img1/img9236.jpg ../catalog/category/img1/;</v>
      </c>
      <c r="B11" t="str">
        <f>IF(LEN(categories!G11) &gt; 0, SUBSTITUTE("copy ."&amp;categories!G11&amp;" ./category"&amp;LEFT(categories!G11,6),"/","\"), "")</f>
        <v>copy .\img1\img9236.jpg .\category\img1\</v>
      </c>
    </row>
    <row r="12" spans="1:2" x14ac:dyDescent="0.25">
      <c r="A12" t="str">
        <f>IF(LEN(categories!G12) &gt; 0, "cp ."&amp;categories!G12&amp;" ../catalog/category"&amp;LEFT(categories!G12,6)&amp;";", "")</f>
        <v>cp ./img2/img2421.jpg ../catalog/category/img2/;</v>
      </c>
      <c r="B12" t="str">
        <f>IF(LEN(categories!G12) &gt; 0, SUBSTITUTE("copy ."&amp;categories!G12&amp;" ./category"&amp;LEFT(categories!G12,6),"/","\"), "")</f>
        <v>copy .\img2\img2421.jpg .\category\img2\</v>
      </c>
    </row>
    <row r="13" spans="1:2" x14ac:dyDescent="0.25">
      <c r="A13" t="str">
        <f>IF(LEN(categories!G13) &gt; 0, "cp ."&amp;categories!G13&amp;" ../catalog/category"&amp;LEFT(categories!G13,6)&amp;";", "")</f>
        <v>cp ./img3/img8d3d.jpg ../catalog/category/img3/;</v>
      </c>
      <c r="B13" t="str">
        <f>IF(LEN(categories!G13) &gt; 0, SUBSTITUTE("copy ."&amp;categories!G13&amp;" ./category"&amp;LEFT(categories!G13,6),"/","\"), "")</f>
        <v>copy .\img3\img8d3d.jpg .\category\img3\</v>
      </c>
    </row>
    <row r="14" spans="1:2" x14ac:dyDescent="0.25">
      <c r="A14" t="str">
        <f>IF(LEN(categories!G14) &gt; 0, "cp ."&amp;categories!G14&amp;" ../catalog/category"&amp;LEFT(categories!G14,6)&amp;";", "")</f>
        <v>cp ./img2/img681d.jpg ../catalog/category/img2/;</v>
      </c>
      <c r="B14" t="str">
        <f>IF(LEN(categories!G14) &gt; 0, SUBSTITUTE("copy ."&amp;categories!G14&amp;" ./category"&amp;LEFT(categories!G14,6),"/","\"), "")</f>
        <v>copy .\img2\img681d.jpg .\category\img2\</v>
      </c>
    </row>
    <row r="15" spans="1:2" hidden="1" x14ac:dyDescent="0.25">
      <c r="A15" t="str">
        <f>IF(LEN(categories!G15) &gt; 0, "cp ."&amp;categories!G15&amp;" ../catalog/category"&amp;LEFT(categories!G15,6)&amp;";", "")</f>
        <v/>
      </c>
      <c r="B15" t="str">
        <f>IF(LEN(categories!G15) &gt; 0, SUBSTITUTE("copy ."&amp;categories!G15&amp;" ./category"&amp;LEFT(categories!G15,6),"/","\"), "")</f>
        <v/>
      </c>
    </row>
    <row r="16" spans="1:2" hidden="1" x14ac:dyDescent="0.25">
      <c r="A16" t="str">
        <f>IF(LEN(categories!G16) &gt; 0, "cp ."&amp;categories!G16&amp;" ../catalog/category"&amp;LEFT(categories!G16,6)&amp;";", "")</f>
        <v/>
      </c>
      <c r="B16" t="str">
        <f>IF(LEN(categories!G16) &gt; 0, SUBSTITUTE("copy ."&amp;categories!G16&amp;" ./category"&amp;LEFT(categories!G16,6),"/","\"), "")</f>
        <v/>
      </c>
    </row>
    <row r="17" spans="1:2" hidden="1" x14ac:dyDescent="0.25">
      <c r="A17" t="str">
        <f>IF(LEN(categories!G17) &gt; 0, "cp ."&amp;categories!G17&amp;" ../catalog/category"&amp;LEFT(categories!G17,6)&amp;";", "")</f>
        <v/>
      </c>
      <c r="B17" t="str">
        <f>IF(LEN(categories!G17) &gt; 0, SUBSTITUTE("copy ."&amp;categories!G17&amp;" ./category"&amp;LEFT(categories!G17,6),"/","\"), "")</f>
        <v/>
      </c>
    </row>
    <row r="18" spans="1:2" hidden="1" x14ac:dyDescent="0.25">
      <c r="A18" t="str">
        <f>IF(LEN(categories!G18) &gt; 0, "cp ."&amp;categories!G18&amp;" ../catalog/category"&amp;LEFT(categories!G18,6)&amp;";", "")</f>
        <v/>
      </c>
      <c r="B18" t="str">
        <f>IF(LEN(categories!G18) &gt; 0, SUBSTITUTE("copy ."&amp;categories!G18&amp;" ./category"&amp;LEFT(categories!G18,6),"/","\"), "")</f>
        <v/>
      </c>
    </row>
    <row r="19" spans="1:2" hidden="1" x14ac:dyDescent="0.25">
      <c r="A19" t="str">
        <f>IF(LEN(categories!G19) &gt; 0, "cp ."&amp;categories!G19&amp;" ../catalog/category"&amp;LEFT(categories!G19,6)&amp;";", "")</f>
        <v/>
      </c>
      <c r="B19" t="str">
        <f>IF(LEN(categories!G19) &gt; 0, SUBSTITUTE("copy ."&amp;categories!G19&amp;" ./category"&amp;LEFT(categories!G19,6),"/","\"), "")</f>
        <v/>
      </c>
    </row>
    <row r="20" spans="1:2" hidden="1" x14ac:dyDescent="0.25">
      <c r="A20" t="str">
        <f>IF(LEN(categories!G20) &gt; 0, "cp ."&amp;categories!G20&amp;" ../catalog/category"&amp;LEFT(categories!G20,6)&amp;";", "")</f>
        <v/>
      </c>
      <c r="B20" t="str">
        <f>IF(LEN(categories!G20) &gt; 0, SUBSTITUTE("copy ."&amp;categories!G20&amp;" ./category"&amp;LEFT(categories!G20,6),"/","\"), "")</f>
        <v/>
      </c>
    </row>
    <row r="21" spans="1:2" hidden="1" x14ac:dyDescent="0.25">
      <c r="A21" t="str">
        <f>IF(LEN(categories!G21) &gt; 0, "cp ."&amp;categories!G21&amp;" ../catalog/category"&amp;LEFT(categories!G21,6)&amp;";", "")</f>
        <v/>
      </c>
      <c r="B21" t="str">
        <f>IF(LEN(categories!G21) &gt; 0, SUBSTITUTE("copy ."&amp;categories!G21&amp;" ./category"&amp;LEFT(categories!G21,6),"/","\"), "")</f>
        <v/>
      </c>
    </row>
    <row r="22" spans="1:2" x14ac:dyDescent="0.25">
      <c r="A22" t="str">
        <f>IF(LEN(categories!G22) &gt; 0, "cp ."&amp;categories!G22&amp;" ../catalog/category"&amp;LEFT(categories!G22,6)&amp;";", "")</f>
        <v>cp ./img2/imgaddf.jpg ../catalog/category/img2/;</v>
      </c>
      <c r="B22" t="str">
        <f>IF(LEN(categories!G22) &gt; 0, SUBSTITUTE("copy ."&amp;categories!G22&amp;" ./category"&amp;LEFT(categories!G22,6),"/","\"), "")</f>
        <v>copy .\img2\imgaddf.jpg .\category\img2\</v>
      </c>
    </row>
    <row r="23" spans="1:2" x14ac:dyDescent="0.25">
      <c r="A23" t="str">
        <f>IF(LEN(categories!G23) &gt; 0, "cp ."&amp;categories!G23&amp;" ../catalog/category"&amp;LEFT(categories!G23,6)&amp;";", "")</f>
        <v>cp ./img1/img5285.jpg ../catalog/category/img1/;</v>
      </c>
      <c r="B23" t="str">
        <f>IF(LEN(categories!G23) &gt; 0, SUBSTITUTE("copy ."&amp;categories!G23&amp;" ./category"&amp;LEFT(categories!G23,6),"/","\"), "")</f>
        <v>copy .\img1\img5285.jpg .\category\img1\</v>
      </c>
    </row>
    <row r="24" spans="1:2" x14ac:dyDescent="0.25">
      <c r="A24" t="str">
        <f>IF(LEN(categories!G24) &gt; 0, "cp ."&amp;categories!G24&amp;" ../catalog/category"&amp;LEFT(categories!G24,6)&amp;";", "")</f>
        <v>cp ./img3/img8adf.jpg ../catalog/category/img3/;</v>
      </c>
      <c r="B24" t="str">
        <f>IF(LEN(categories!G24) &gt; 0, SUBSTITUTE("copy ."&amp;categories!G24&amp;" ./category"&amp;LEFT(categories!G24,6),"/","\"), "")</f>
        <v>copy .\img3\img8adf.jpg .\category\img3\</v>
      </c>
    </row>
    <row r="25" spans="1:2" x14ac:dyDescent="0.25">
      <c r="A25" t="str">
        <f>IF(LEN(categories!G25) &gt; 0, "cp ."&amp;categories!G25&amp;" ../catalog/category"&amp;LEFT(categories!G25,6)&amp;";", "")</f>
        <v>cp ./img1/img4b67.jpg ../catalog/category/img1/;</v>
      </c>
      <c r="B25" t="str">
        <f>IF(LEN(categories!G25) &gt; 0, SUBSTITUTE("copy ."&amp;categories!G25&amp;" ./category"&amp;LEFT(categories!G25,6),"/","\"), "")</f>
        <v>copy .\img1\img4b67.jpg .\category\img1\</v>
      </c>
    </row>
    <row r="26" spans="1:2" x14ac:dyDescent="0.25">
      <c r="A26" t="str">
        <f>IF(LEN(categories!G26) &gt; 0, "cp ."&amp;categories!G26&amp;" ../catalog/category"&amp;LEFT(categories!G26,6)&amp;";", "")</f>
        <v>cp ./img2/img17ce.jpg ../catalog/category/img2/;</v>
      </c>
      <c r="B26" t="str">
        <f>IF(LEN(categories!G26) &gt; 0, SUBSTITUTE("copy ."&amp;categories!G26&amp;" ./category"&amp;LEFT(categories!G26,6),"/","\"), "")</f>
        <v>copy .\img2\img17ce.jpg .\category\img2\</v>
      </c>
    </row>
    <row r="27" spans="1:2" x14ac:dyDescent="0.25">
      <c r="A27" t="str">
        <f>IF(LEN(categories!G27) &gt; 0, "cp ."&amp;categories!G27&amp;" ../catalog/category"&amp;LEFT(categories!G27,6)&amp;";", "")</f>
        <v>cp ./img1/img46a1.jpg ../catalog/category/img1/;</v>
      </c>
      <c r="B27" t="str">
        <f>IF(LEN(categories!G27) &gt; 0, SUBSTITUTE("copy ."&amp;categories!G27&amp;" ./category"&amp;LEFT(categories!G27,6),"/","\"), "")</f>
        <v>copy .\img1\img46a1.jpg .\category\img1\</v>
      </c>
    </row>
    <row r="28" spans="1:2" x14ac:dyDescent="0.25">
      <c r="A28" t="str">
        <f>IF(LEN(categories!G28) &gt; 0, "cp ."&amp;categories!G28&amp;" ../catalog/category"&amp;LEFT(categories!G28,6)&amp;";", "")</f>
        <v>cp ./img1/imge04e.jpg ../catalog/category/img1/;</v>
      </c>
      <c r="B28" t="str">
        <f>IF(LEN(categories!G28) &gt; 0, SUBSTITUTE("copy ."&amp;categories!G28&amp;" ./category"&amp;LEFT(categories!G28,6),"/","\"), "")</f>
        <v>copy .\img1\imge04e.jpg .\category\img1\</v>
      </c>
    </row>
    <row r="29" spans="1:2" x14ac:dyDescent="0.25">
      <c r="A29" t="str">
        <f>IF(LEN(categories!G29) &gt; 0, "cp ."&amp;categories!G29&amp;" ../catalog/category"&amp;LEFT(categories!G29,6)&amp;";", "")</f>
        <v>cp ./img2/imga7c2.jpg ../catalog/category/img2/;</v>
      </c>
      <c r="B29" t="str">
        <f>IF(LEN(categories!G29) &gt; 0, SUBSTITUTE("copy ."&amp;categories!G29&amp;" ./category"&amp;LEFT(categories!G29,6),"/","\"), "")</f>
        <v>copy .\img2\imga7c2.jpg .\category\img2\</v>
      </c>
    </row>
    <row r="30" spans="1:2" x14ac:dyDescent="0.25">
      <c r="A30" t="str">
        <f>IF(LEN(categories!G30) &gt; 0, "cp ."&amp;categories!G30&amp;" ../catalog/category"&amp;LEFT(categories!G30,6)&amp;";", "")</f>
        <v>cp ./img1/img0504.jpg ../catalog/category/img1/;</v>
      </c>
      <c r="B30" t="str">
        <f>IF(LEN(categories!G30) &gt; 0, SUBSTITUTE("copy ."&amp;categories!G30&amp;" ./category"&amp;LEFT(categories!G30,6),"/","\"), "")</f>
        <v>copy .\img1\img0504.jpg .\category\img1\</v>
      </c>
    </row>
    <row r="31" spans="1:2" x14ac:dyDescent="0.25">
      <c r="A31" t="str">
        <f>IF(LEN(categories!G31) &gt; 0, "cp ."&amp;categories!G31&amp;" ../catalog/category"&amp;LEFT(categories!G31,6)&amp;";", "")</f>
        <v>cp ./img2/img8309.jpg ../catalog/category/img2/;</v>
      </c>
      <c r="B31" t="str">
        <f>IF(LEN(categories!G31) &gt; 0, SUBSTITUTE("copy ."&amp;categories!G31&amp;" ./category"&amp;LEFT(categories!G31,6),"/","\"), "")</f>
        <v>copy .\img2\img8309.jpg .\category\img2\</v>
      </c>
    </row>
    <row r="32" spans="1:2" x14ac:dyDescent="0.25">
      <c r="A32" t="str">
        <f>IF(LEN(categories!G32) &gt; 0, "cp ."&amp;categories!G32&amp;" ../catalog/category"&amp;LEFT(categories!G32,6)&amp;";", "")</f>
        <v>cp ./img2/imge7b1.jpg ../catalog/category/img2/;</v>
      </c>
      <c r="B32" t="str">
        <f>IF(LEN(categories!G32) &gt; 0, SUBSTITUTE("copy ."&amp;categories!G32&amp;" ./category"&amp;LEFT(categories!G32,6),"/","\"), "")</f>
        <v>copy .\img2\imge7b1.jpg .\category\img2\</v>
      </c>
    </row>
    <row r="33" spans="1:2" x14ac:dyDescent="0.25">
      <c r="A33" t="str">
        <f>IF(LEN(categories!G33) &gt; 0, "cp ."&amp;categories!G33&amp;" ../catalog/category"&amp;LEFT(categories!G33,6)&amp;";", "")</f>
        <v>cp ./img1/img191a.jpg ../catalog/category/img1/;</v>
      </c>
      <c r="B33" t="str">
        <f>IF(LEN(categories!G33) &gt; 0, SUBSTITUTE("copy ."&amp;categories!G33&amp;" ./category"&amp;LEFT(categories!G33,6),"/","\"), "")</f>
        <v>copy .\img1\img191a.jpg .\category\img1\</v>
      </c>
    </row>
    <row r="34" spans="1:2" x14ac:dyDescent="0.25">
      <c r="A34" t="str">
        <f>IF(LEN(categories!G34) &gt; 0, "cp ."&amp;categories!G34&amp;" ../catalog/category"&amp;LEFT(categories!G34,6)&amp;";", "")</f>
        <v>cp ./img3/img8a85.jpg ../catalog/category/img3/;</v>
      </c>
      <c r="B34" t="str">
        <f>IF(LEN(categories!G34) &gt; 0, SUBSTITUTE("copy ."&amp;categories!G34&amp;" ./category"&amp;LEFT(categories!G34,6),"/","\"), "")</f>
        <v>copy .\img3\img8a85.jpg .\category\img3\</v>
      </c>
    </row>
    <row r="35" spans="1:2" x14ac:dyDescent="0.25">
      <c r="A35" t="str">
        <f>IF(LEN(categories!G35) &gt; 0, "cp ."&amp;categories!G35&amp;" ../catalog/category"&amp;LEFT(categories!G35,6)&amp;";", "")</f>
        <v>cp ./img3/img3c43.jpg ../catalog/category/img3/;</v>
      </c>
      <c r="B35" t="str">
        <f>IF(LEN(categories!G35) &gt; 0, SUBSTITUTE("copy ."&amp;categories!G35&amp;" ./category"&amp;LEFT(categories!G35,6),"/","\"), "")</f>
        <v>copy .\img3\img3c43.jpg .\category\img3\</v>
      </c>
    </row>
    <row r="36" spans="1:2" x14ac:dyDescent="0.25">
      <c r="A36" t="str">
        <f>IF(LEN(categories!G36) &gt; 0, "cp ."&amp;categories!G36&amp;" ../catalog/category"&amp;LEFT(categories!G36,6)&amp;";", "")</f>
        <v>cp ./img1/img6f1c.jpg ../catalog/category/img1/;</v>
      </c>
      <c r="B36" t="str">
        <f>IF(LEN(categories!G36) &gt; 0, SUBSTITUTE("copy ."&amp;categories!G36&amp;" ./category"&amp;LEFT(categories!G36,6),"/","\"), "")</f>
        <v>copy .\img1\img6f1c.jpg .\category\img1\</v>
      </c>
    </row>
    <row r="37" spans="1:2" x14ac:dyDescent="0.25">
      <c r="A37" t="str">
        <f>IF(LEN(categories!G37) &gt; 0, "cp ."&amp;categories!G37&amp;" ../catalog/category"&amp;LEFT(categories!G37,6)&amp;";", "")</f>
        <v>cp ./img3/imge237.jpg ../catalog/category/img3/;</v>
      </c>
      <c r="B37" t="str">
        <f>IF(LEN(categories!G37) &gt; 0, SUBSTITUTE("copy ."&amp;categories!G37&amp;" ./category"&amp;LEFT(categories!G37,6),"/","\"), "")</f>
        <v>copy .\img3\imge237.jpg .\category\img3\</v>
      </c>
    </row>
    <row r="38" spans="1:2" x14ac:dyDescent="0.25">
      <c r="A38" t="str">
        <f>IF(LEN(categories!G38) &gt; 0, "cp ."&amp;categories!G38&amp;" ../catalog/category"&amp;LEFT(categories!G38,6)&amp;";", "")</f>
        <v>cp ./img1/imgbbb3.jpg ../catalog/category/img1/;</v>
      </c>
      <c r="B38" t="str">
        <f>IF(LEN(categories!G38) &gt; 0, SUBSTITUTE("copy ."&amp;categories!G38&amp;" ./category"&amp;LEFT(categories!G38,6),"/","\"), "")</f>
        <v>copy .\img1\imgbbb3.jpg .\category\img1\</v>
      </c>
    </row>
    <row r="39" spans="1:2" x14ac:dyDescent="0.25">
      <c r="A39" t="str">
        <f>IF(LEN(categories!G39) &gt; 0, "cp ."&amp;categories!G39&amp;" ../catalog/category"&amp;LEFT(categories!G39,6)&amp;";", "")</f>
        <v>cp ./img1/imgd6bf.jpg ../catalog/category/img1/;</v>
      </c>
      <c r="B39" t="str">
        <f>IF(LEN(categories!G39) &gt; 0, SUBSTITUTE("copy ."&amp;categories!G39&amp;" ./category"&amp;LEFT(categories!G39,6),"/","\"), "")</f>
        <v>copy .\img1\imgd6bf.jpg .\category\img1\</v>
      </c>
    </row>
    <row r="40" spans="1:2" x14ac:dyDescent="0.25">
      <c r="A40" t="str">
        <f>IF(LEN(categories!G40) &gt; 0, "cp ."&amp;categories!G40&amp;" ../catalog/category"&amp;LEFT(categories!G40,6)&amp;";", "")</f>
        <v>cp ./img3/img6967.jpg ../catalog/category/img3/;</v>
      </c>
      <c r="B40" t="str">
        <f>IF(LEN(categories!G40) &gt; 0, SUBSTITUTE("copy ."&amp;categories!G40&amp;" ./category"&amp;LEFT(categories!G40,6),"/","\"), "")</f>
        <v>copy .\img3\img6967.jpg .\category\img3\</v>
      </c>
    </row>
    <row r="41" spans="1:2" x14ac:dyDescent="0.25">
      <c r="A41" t="str">
        <f>IF(LEN(categories!G41) &gt; 0, "cp ."&amp;categories!G41&amp;" ../catalog/category"&amp;LEFT(categories!G41,6)&amp;";", "")</f>
        <v>cp ./img3/img0b27.jpg ../catalog/category/img3/;</v>
      </c>
      <c r="B41" t="str">
        <f>IF(LEN(categories!G41) &gt; 0, SUBSTITUTE("copy ."&amp;categories!G41&amp;" ./category"&amp;LEFT(categories!G41,6),"/","\"), "")</f>
        <v>copy .\img3\img0b27.jpg .\category\img3\</v>
      </c>
    </row>
    <row r="42" spans="1:2" x14ac:dyDescent="0.25">
      <c r="A42" t="str">
        <f>IF(LEN(categories!G42) &gt; 0, "cp ."&amp;categories!G42&amp;" ../catalog/category"&amp;LEFT(categories!G42,6)&amp;";", "")</f>
        <v>cp ./img2/img0d01.jpg ../catalog/category/img2/;</v>
      </c>
      <c r="B42" t="str">
        <f>IF(LEN(categories!G42) &gt; 0, SUBSTITUTE("copy ."&amp;categories!G42&amp;" ./category"&amp;LEFT(categories!G42,6),"/","\"), "")</f>
        <v>copy .\img2\img0d01.jpg .\category\img2\</v>
      </c>
    </row>
    <row r="43" spans="1:2" x14ac:dyDescent="0.25">
      <c r="A43" t="str">
        <f>IF(LEN(categories!G43) &gt; 0, "cp ."&amp;categories!G43&amp;" ../catalog/category"&amp;LEFT(categories!G43,6)&amp;";", "")</f>
        <v>cp ./img3/img2a8c.jpg ../catalog/category/img3/;</v>
      </c>
      <c r="B43" t="str">
        <f>IF(LEN(categories!G43) &gt; 0, SUBSTITUTE("copy ."&amp;categories!G43&amp;" ./category"&amp;LEFT(categories!G43,6),"/","\"), "")</f>
        <v>copy .\img3\img2a8c.jpg .\category\img3\</v>
      </c>
    </row>
    <row r="44" spans="1:2" x14ac:dyDescent="0.25">
      <c r="A44" t="str">
        <f>IF(LEN(categories!G44) &gt; 0, "cp ."&amp;categories!G44&amp;" ../catalog/category"&amp;LEFT(categories!G44,6)&amp;";", "")</f>
        <v>cp ./img1/imgfd6e.jpg ../catalog/category/img1/;</v>
      </c>
      <c r="B44" t="str">
        <f>IF(LEN(categories!G44) &gt; 0, SUBSTITUTE("copy ."&amp;categories!G44&amp;" ./category"&amp;LEFT(categories!G44,6),"/","\"), "")</f>
        <v>copy .\img1\imgfd6e.jpg .\category\img1\</v>
      </c>
    </row>
    <row r="45" spans="1:2" x14ac:dyDescent="0.25">
      <c r="A45" t="str">
        <f>IF(LEN(categories!G45) &gt; 0, "cp ."&amp;categories!G45&amp;" ../catalog/category"&amp;LEFT(categories!G45,6)&amp;";", "")</f>
        <v>cp ./img2/img4a56.jpg ../catalog/category/img2/;</v>
      </c>
      <c r="B45" t="str">
        <f>IF(LEN(categories!G45) &gt; 0, SUBSTITUTE("copy ."&amp;categories!G45&amp;" ./category"&amp;LEFT(categories!G45,6),"/","\"), "")</f>
        <v>copy .\img2\img4a56.jpg .\category\img2\</v>
      </c>
    </row>
    <row r="46" spans="1:2" x14ac:dyDescent="0.25">
      <c r="A46" t="str">
        <f>IF(LEN(categories!G46) &gt; 0, "cp ."&amp;categories!G46&amp;" ../catalog/category"&amp;LEFT(categories!G46,6)&amp;";", "")</f>
        <v>cp ./img2/img37ca.jpg ../catalog/category/img2/;</v>
      </c>
      <c r="B46" t="str">
        <f>IF(LEN(categories!G46) &gt; 0, SUBSTITUTE("copy ."&amp;categories!G46&amp;" ./category"&amp;LEFT(categories!G46,6),"/","\"), "")</f>
        <v>copy .\img2\img37ca.jpg .\category\img2\</v>
      </c>
    </row>
    <row r="47" spans="1:2" x14ac:dyDescent="0.25">
      <c r="A47" t="str">
        <f>IF(LEN(categories!G47) &gt; 0, "cp ."&amp;categories!G47&amp;" ../catalog/category"&amp;LEFT(categories!G47,6)&amp;";", "")</f>
        <v>cp ./img1/img48bb.jpg ../catalog/category/img1/;</v>
      </c>
      <c r="B47" t="str">
        <f>IF(LEN(categories!G47) &gt; 0, SUBSTITUTE("copy ."&amp;categories!G47&amp;" ./category"&amp;LEFT(categories!G47,6),"/","\"), "")</f>
        <v>copy .\img1\img48bb.jpg .\category\img1\</v>
      </c>
    </row>
    <row r="48" spans="1:2" x14ac:dyDescent="0.25">
      <c r="A48" t="str">
        <f>IF(LEN(categories!G48) &gt; 0, "cp ."&amp;categories!G48&amp;" ../catalog/category"&amp;LEFT(categories!G48,6)&amp;";", "")</f>
        <v>cp ./img3/img24de.jpg ../catalog/category/img3/;</v>
      </c>
      <c r="B48" t="str">
        <f>IF(LEN(categories!G48) &gt; 0, SUBSTITUTE("copy ."&amp;categories!G48&amp;" ./category"&amp;LEFT(categories!G48,6),"/","\"), "")</f>
        <v>copy .\img3\img24de.jpg .\category\img3\</v>
      </c>
    </row>
    <row r="49" spans="1:2" x14ac:dyDescent="0.25">
      <c r="A49" t="str">
        <f>IF(LEN(categories!G49) &gt; 0, "cp ."&amp;categories!G49&amp;" ../catalog/category"&amp;LEFT(categories!G49,6)&amp;";", "")</f>
        <v>cp ./img2/imgd80c.jpg ../catalog/category/img2/;</v>
      </c>
      <c r="B49" t="str">
        <f>IF(LEN(categories!G49) &gt; 0, SUBSTITUTE("copy ."&amp;categories!G49&amp;" ./category"&amp;LEFT(categories!G49,6),"/","\"), "")</f>
        <v>copy .\img2\imgd80c.jpg .\category\img2\</v>
      </c>
    </row>
    <row r="50" spans="1:2" x14ac:dyDescent="0.25">
      <c r="A50" t="str">
        <f>IF(LEN(categories!G50) &gt; 0, "cp ."&amp;categories!G50&amp;" ../catalog/category"&amp;LEFT(categories!G50,6)&amp;";", "")</f>
        <v>cp ./img1/img0a52.jpg ../catalog/category/img1/;</v>
      </c>
      <c r="B50" t="str">
        <f>IF(LEN(categories!G50) &gt; 0, SUBSTITUTE("copy ."&amp;categories!G50&amp;" ./category"&amp;LEFT(categories!G50,6),"/","\"), "")</f>
        <v>copy .\img1\img0a52.jpg .\category\img1\</v>
      </c>
    </row>
    <row r="51" spans="1:2" x14ac:dyDescent="0.25">
      <c r="A51" t="str">
        <f>IF(LEN(categories!G51) &gt; 0, "cp ."&amp;categories!G51&amp;" ../catalog/category"&amp;LEFT(categories!G51,6)&amp;";", "")</f>
        <v>cp ./img1/img6f1a.jpg ../catalog/category/img1/;</v>
      </c>
      <c r="B51" t="str">
        <f>IF(LEN(categories!G51) &gt; 0, SUBSTITUTE("copy ."&amp;categories!G51&amp;" ./category"&amp;LEFT(categories!G51,6),"/","\"), "")</f>
        <v>copy .\img1\img6f1a.jpg .\category\img1\</v>
      </c>
    </row>
    <row r="52" spans="1:2" x14ac:dyDescent="0.25">
      <c r="A52" t="str">
        <f>IF(LEN(categories!G52) &gt; 0, "cp ."&amp;categories!G52&amp;" ../catalog/category"&amp;LEFT(categories!G52,6)&amp;";", "")</f>
        <v>cp ./img1/img85dd.jpg ../catalog/category/img1/;</v>
      </c>
      <c r="B52" t="str">
        <f>IF(LEN(categories!G52) &gt; 0, SUBSTITUTE("copy ."&amp;categories!G52&amp;" ./category"&amp;LEFT(categories!G52,6),"/","\"), "")</f>
        <v>copy .\img1\img85dd.jpg .\category\img1\</v>
      </c>
    </row>
    <row r="53" spans="1:2" hidden="1" x14ac:dyDescent="0.25">
      <c r="A53" t="e">
        <f>IF(LEN(categories!G53) &gt; 0, "cp ."&amp;categories!G53&amp;" ../catalog/category"&amp;LEFT(categories!G53,6)&amp;";", "")</f>
        <v>#N/A</v>
      </c>
      <c r="B53" t="e">
        <f>IF(LEN(categories!G53) &gt; 0, SUBSTITUTE("copy ."&amp;categories!G53&amp;" ./category"&amp;LEFT(categories!G53,6),"/","\"), "")</f>
        <v>#N/A</v>
      </c>
    </row>
    <row r="54" spans="1:2" x14ac:dyDescent="0.25">
      <c r="A54" t="str">
        <f>IF(LEN(categories!G54) &gt; 0, "cp ."&amp;categories!G54&amp;" ../catalog/category"&amp;LEFT(categories!G54,6)&amp;";", "")</f>
        <v>cp ./img1/imgbcbf.jpg ../catalog/category/img1/;</v>
      </c>
      <c r="B54" t="str">
        <f>IF(LEN(categories!G54) &gt; 0, SUBSTITUTE("copy ."&amp;categories!G54&amp;" ./category"&amp;LEFT(categories!G54,6),"/","\"), "")</f>
        <v>copy .\img1\imgbcbf.jpg .\category\img1\</v>
      </c>
    </row>
    <row r="55" spans="1:2" x14ac:dyDescent="0.25">
      <c r="A55" t="str">
        <f>IF(LEN(categories!G55) &gt; 0, "cp ."&amp;categories!G55&amp;" ../catalog/category"&amp;LEFT(categories!G55,6)&amp;";", "")</f>
        <v>cp ./img2/img68b3.jpg ../catalog/category/img2/;</v>
      </c>
      <c r="B55" t="str">
        <f>IF(LEN(categories!G55) &gt; 0, SUBSTITUTE("copy ."&amp;categories!G55&amp;" ./category"&amp;LEFT(categories!G55,6),"/","\"), "")</f>
        <v>copy .\img2\img68b3.jpg .\category\img2\</v>
      </c>
    </row>
    <row r="56" spans="1:2" x14ac:dyDescent="0.25">
      <c r="A56" t="str">
        <f>IF(LEN(categories!G56) &gt; 0, "cp ."&amp;categories!G56&amp;" ../catalog/category"&amp;LEFT(categories!G56,6)&amp;";", "")</f>
        <v>cp ./img2/imgba3d.jpg ../catalog/category/img2/;</v>
      </c>
      <c r="B56" t="str">
        <f>IF(LEN(categories!G56) &gt; 0, SUBSTITUTE("copy ."&amp;categories!G56&amp;" ./category"&amp;LEFT(categories!G56,6),"/","\"), "")</f>
        <v>copy .\img2\imgba3d.jpg .\category\img2\</v>
      </c>
    </row>
    <row r="57" spans="1:2" x14ac:dyDescent="0.25">
      <c r="A57" t="str">
        <f>IF(LEN(categories!G57) &gt; 0, "cp ."&amp;categories!G57&amp;" ../catalog/category"&amp;LEFT(categories!G57,6)&amp;";", "")</f>
        <v>cp ./img2/img031e.jpg ../catalog/category/img2/;</v>
      </c>
      <c r="B57" t="str">
        <f>IF(LEN(categories!G57) &gt; 0, SUBSTITUTE("copy ."&amp;categories!G57&amp;" ./category"&amp;LEFT(categories!G57,6),"/","\"), "")</f>
        <v>copy .\img2\img031e.jpg .\category\img2\</v>
      </c>
    </row>
    <row r="58" spans="1:2" x14ac:dyDescent="0.25">
      <c r="A58" t="str">
        <f>IF(LEN(categories!G58) &gt; 0, "cp ."&amp;categories!G58&amp;" ../catalog/category"&amp;LEFT(categories!G58,6)&amp;";", "")</f>
        <v>cp ./img3/imgd0e1.jpg ../catalog/category/img3/;</v>
      </c>
      <c r="B58" t="str">
        <f>IF(LEN(categories!G58) &gt; 0, SUBSTITUTE("copy ."&amp;categories!G58&amp;" ./category"&amp;LEFT(categories!G58,6),"/","\"), "")</f>
        <v>copy .\img3\imgd0e1.jpg .\category\img3\</v>
      </c>
    </row>
    <row r="59" spans="1:2" x14ac:dyDescent="0.25">
      <c r="A59" t="str">
        <f>IF(LEN(categories!G59) &gt; 0, "cp ."&amp;categories!G59&amp;" ../catalog/category"&amp;LEFT(categories!G59,6)&amp;";", "")</f>
        <v>cp ./img2/imgfe72.jpg ../catalog/category/img2/;</v>
      </c>
      <c r="B59" t="str">
        <f>IF(LEN(categories!G59) &gt; 0, SUBSTITUTE("copy ."&amp;categories!G59&amp;" ./category"&amp;LEFT(categories!G59,6),"/","\"), "")</f>
        <v>copy .\img2\imgfe72.jpg .\category\img2\</v>
      </c>
    </row>
    <row r="60" spans="1:2" x14ac:dyDescent="0.25">
      <c r="A60" t="str">
        <f>IF(LEN(categories!G60) &gt; 0, "cp ."&amp;categories!G60&amp;" ../catalog/category"&amp;LEFT(categories!G60,6)&amp;";", "")</f>
        <v>cp ./img1/imgc891.jpg ../catalog/category/img1/;</v>
      </c>
      <c r="B60" t="str">
        <f>IF(LEN(categories!G60) &gt; 0, SUBSTITUTE("copy ."&amp;categories!G60&amp;" ./category"&amp;LEFT(categories!G60,6),"/","\"), "")</f>
        <v>copy .\img1\imgc891.jpg .\category\img1\</v>
      </c>
    </row>
    <row r="61" spans="1:2" x14ac:dyDescent="0.25">
      <c r="A61" t="str">
        <f>IF(LEN(categories!G61) &gt; 0, "cp ."&amp;categories!G61&amp;" ../catalog/category"&amp;LEFT(categories!G61,6)&amp;";", "")</f>
        <v>cp ./img2/img991c.jpg ../catalog/category/img2/;</v>
      </c>
      <c r="B61" t="str">
        <f>IF(LEN(categories!G61) &gt; 0, SUBSTITUTE("copy ."&amp;categories!G61&amp;" ./category"&amp;LEFT(categories!G61,6),"/","\"), "")</f>
        <v>copy .\img2\img991c.jpg .\category\img2\</v>
      </c>
    </row>
    <row r="62" spans="1:2" x14ac:dyDescent="0.25">
      <c r="A62" t="str">
        <f>IF(LEN(categories!G62) &gt; 0, "cp ."&amp;categories!G62&amp;" ../catalog/category"&amp;LEFT(categories!G62,6)&amp;";", "")</f>
        <v>cp ./img3/imgf330.jpg ../catalog/category/img3/;</v>
      </c>
      <c r="B62" t="str">
        <f>IF(LEN(categories!G62) &gt; 0, SUBSTITUTE("copy ."&amp;categories!G62&amp;" ./category"&amp;LEFT(categories!G62,6),"/","\"), "")</f>
        <v>copy .\img3\imgf330.jpg .\category\img3\</v>
      </c>
    </row>
    <row r="63" spans="1:2" x14ac:dyDescent="0.25">
      <c r="A63" t="str">
        <f>IF(LEN(categories!G63) &gt; 0, "cp ."&amp;categories!G63&amp;" ../catalog/category"&amp;LEFT(categories!G63,6)&amp;";", "")</f>
        <v>cp ./img3/imgd0e1.jpg ../catalog/category/img3/;</v>
      </c>
      <c r="B63" t="str">
        <f>IF(LEN(categories!G63) &gt; 0, SUBSTITUTE("copy ."&amp;categories!G63&amp;" ./category"&amp;LEFT(categories!G63,6),"/","\"), "")</f>
        <v>copy .\img3\imgd0e1.jpg .\category\img3\</v>
      </c>
    </row>
    <row r="64" spans="1:2" x14ac:dyDescent="0.25">
      <c r="A64" t="str">
        <f>IF(LEN(categories!G64) &gt; 0, "cp ."&amp;categories!G64&amp;" ../catalog/category"&amp;LEFT(categories!G64,6)&amp;";", "")</f>
        <v>cp ./img1/img415b.jpg ../catalog/category/img1/;</v>
      </c>
      <c r="B64" t="str">
        <f>IF(LEN(categories!G64) &gt; 0, SUBSTITUTE("copy ."&amp;categories!G64&amp;" ./category"&amp;LEFT(categories!G64,6),"/","\"), "")</f>
        <v>copy .\img1\img415b.jpg .\category\img1\</v>
      </c>
    </row>
    <row r="65" spans="1:2" x14ac:dyDescent="0.25">
      <c r="A65" t="str">
        <f>IF(LEN(categories!G65) &gt; 0, "cp ."&amp;categories!G65&amp;" ../catalog/category"&amp;LEFT(categories!G65,6)&amp;";", "")</f>
        <v>cp ./img1/imgf95e.jpg ../catalog/category/img1/;</v>
      </c>
      <c r="B65" t="str">
        <f>IF(LEN(categories!G65) &gt; 0, SUBSTITUTE("copy ."&amp;categories!G65&amp;" ./category"&amp;LEFT(categories!G65,6),"/","\"), "")</f>
        <v>copy .\img1\imgf95e.jpg .\category\img1\</v>
      </c>
    </row>
    <row r="66" spans="1:2" x14ac:dyDescent="0.25">
      <c r="A66" t="str">
        <f>IF(LEN(categories!G66) &gt; 0, "cp ."&amp;categories!G66&amp;" ../catalog/category"&amp;LEFT(categories!G66,6)&amp;";", "")</f>
        <v>cp ./img3/img86e4.jpg ../catalog/category/img3/;</v>
      </c>
      <c r="B66" t="str">
        <f>IF(LEN(categories!G66) &gt; 0, SUBSTITUTE("copy ."&amp;categories!G66&amp;" ./category"&amp;LEFT(categories!G66,6),"/","\"), "")</f>
        <v>copy .\img3\img86e4.jpg .\category\img3\</v>
      </c>
    </row>
    <row r="67" spans="1:2" x14ac:dyDescent="0.25">
      <c r="A67" t="str">
        <f>IF(LEN(categories!G67) &gt; 0, "cp ."&amp;categories!G67&amp;" ../catalog/category"&amp;LEFT(categories!G67,6)&amp;";", "")</f>
        <v>cp ./img1/img0b53.jpg ../catalog/category/img1/;</v>
      </c>
      <c r="B67" t="str">
        <f>IF(LEN(categories!G67) &gt; 0, SUBSTITUTE("copy ."&amp;categories!G67&amp;" ./category"&amp;LEFT(categories!G67,6),"/","\"), "")</f>
        <v>copy .\img1\img0b53.jpg .\category\img1\</v>
      </c>
    </row>
    <row r="68" spans="1:2" x14ac:dyDescent="0.25">
      <c r="A68" t="str">
        <f>IF(LEN(categories!G68) &gt; 0, "cp ."&amp;categories!G68&amp;" ../catalog/category"&amp;LEFT(categories!G68,6)&amp;";", "")</f>
        <v>cp ./img3/imgf6b0.jpg ../catalog/category/img3/;</v>
      </c>
      <c r="B68" t="str">
        <f>IF(LEN(categories!G68) &gt; 0, SUBSTITUTE("copy ."&amp;categories!G68&amp;" ./category"&amp;LEFT(categories!G68,6),"/","\"), "")</f>
        <v>copy .\img3\imgf6b0.jpg .\category\img3\</v>
      </c>
    </row>
    <row r="69" spans="1:2" x14ac:dyDescent="0.25">
      <c r="A69" t="str">
        <f>IF(LEN(categories!G69) &gt; 0, "cp ."&amp;categories!G69&amp;" ../catalog/category"&amp;LEFT(categories!G69,6)&amp;";", "")</f>
        <v>cp ./img1/img2f58.jpg ../catalog/category/img1/;</v>
      </c>
      <c r="B69" t="str">
        <f>IF(LEN(categories!G69) &gt; 0, SUBSTITUTE("copy ."&amp;categories!G69&amp;" ./category"&amp;LEFT(categories!G69,6),"/","\"), "")</f>
        <v>copy .\img1\img2f58.jpg .\category\img1\</v>
      </c>
    </row>
    <row r="70" spans="1:2" x14ac:dyDescent="0.25">
      <c r="A70" t="str">
        <f>IF(LEN(categories!G70) &gt; 0, "cp ."&amp;categories!G70&amp;" ../catalog/category"&amp;LEFT(categories!G70,6)&amp;";", "")</f>
        <v>cp ./img1/imgda6e.jpg ../catalog/category/img1/;</v>
      </c>
      <c r="B70" t="str">
        <f>IF(LEN(categories!G70) &gt; 0, SUBSTITUTE("copy ."&amp;categories!G70&amp;" ./category"&amp;LEFT(categories!G70,6),"/","\"), "")</f>
        <v>copy .\img1\imgda6e.jpg .\category\img1\</v>
      </c>
    </row>
    <row r="71" spans="1:2" x14ac:dyDescent="0.25">
      <c r="A71" t="str">
        <f>IF(LEN(categories!G71) &gt; 0, "cp ."&amp;categories!G71&amp;" ../catalog/category"&amp;LEFT(categories!G71,6)&amp;";", "")</f>
        <v>cp ./img1/imgf8ce.jpg ../catalog/category/img1/;</v>
      </c>
      <c r="B71" t="str">
        <f>IF(LEN(categories!G71) &gt; 0, SUBSTITUTE("copy ."&amp;categories!G71&amp;" ./category"&amp;LEFT(categories!G71,6),"/","\"), "")</f>
        <v>copy .\img1\imgf8ce.jpg .\category\img1\</v>
      </c>
    </row>
    <row r="72" spans="1:2" x14ac:dyDescent="0.25">
      <c r="A72" t="str">
        <f>IF(LEN(categories!G72) &gt; 0, "cp ."&amp;categories!G72&amp;" ../catalog/category"&amp;LEFT(categories!G72,6)&amp;";", "")</f>
        <v>cp ./img1/img1606.jpg ../catalog/category/img1/;</v>
      </c>
      <c r="B72" t="str">
        <f>IF(LEN(categories!G72) &gt; 0, SUBSTITUTE("copy ."&amp;categories!G72&amp;" ./category"&amp;LEFT(categories!G72,6),"/","\"), "")</f>
        <v>copy .\img1\img1606.jpg .\category\img1\</v>
      </c>
    </row>
    <row r="73" spans="1:2" x14ac:dyDescent="0.25">
      <c r="A73" t="str">
        <f>IF(LEN(categories!G73) &gt; 0, "cp ."&amp;categories!G73&amp;" ../catalog/category"&amp;LEFT(categories!G73,6)&amp;";", "")</f>
        <v>cp ./img2/img2be7.jpg ../catalog/category/img2/;</v>
      </c>
      <c r="B73" t="str">
        <f>IF(LEN(categories!G73) &gt; 0, SUBSTITUTE("copy ."&amp;categories!G73&amp;" ./category"&amp;LEFT(categories!G73,6),"/","\"), "")</f>
        <v>copy .\img2\img2be7.jpg .\category\img2\</v>
      </c>
    </row>
    <row r="74" spans="1:2" x14ac:dyDescent="0.25">
      <c r="A74" t="str">
        <f>IF(LEN(categories!G74) &gt; 0, "cp ."&amp;categories!G74&amp;" ../catalog/category"&amp;LEFT(categories!G74,6)&amp;";", "")</f>
        <v>cp ./img2/imgbecb.jpg ../catalog/category/img2/;</v>
      </c>
      <c r="B74" t="str">
        <f>IF(LEN(categories!G74) &gt; 0, SUBSTITUTE("copy ."&amp;categories!G74&amp;" ./category"&amp;LEFT(categories!G74,6),"/","\"), "")</f>
        <v>copy .\img2\imgbecb.jpg .\category\img2\</v>
      </c>
    </row>
    <row r="75" spans="1:2" x14ac:dyDescent="0.25">
      <c r="A75" t="str">
        <f>IF(LEN(categories!G75) &gt; 0, "cp ."&amp;categories!G75&amp;" ../catalog/category"&amp;LEFT(categories!G75,6)&amp;";", "")</f>
        <v>cp ./img2/img1191.jpg ../catalog/category/img2/;</v>
      </c>
      <c r="B75" t="str">
        <f>IF(LEN(categories!G75) &gt; 0, SUBSTITUTE("copy ."&amp;categories!G75&amp;" ./category"&amp;LEFT(categories!G75,6),"/","\"), "")</f>
        <v>copy .\img2\img1191.jpg .\category\img2\</v>
      </c>
    </row>
    <row r="76" spans="1:2" x14ac:dyDescent="0.25">
      <c r="A76" t="str">
        <f>IF(LEN(categories!G76) &gt; 0, "cp ."&amp;categories!G76&amp;" ../catalog/category"&amp;LEFT(categories!G76,6)&amp;";", "")</f>
        <v>cp ./img1/imge5ed.jpg ../catalog/category/img1/;</v>
      </c>
      <c r="B76" t="str">
        <f>IF(LEN(categories!G76) &gt; 0, SUBSTITUTE("copy ."&amp;categories!G76&amp;" ./category"&amp;LEFT(categories!G76,6),"/","\"), "")</f>
        <v>copy .\img1\imge5ed.jpg .\category\img1\</v>
      </c>
    </row>
    <row r="77" spans="1:2" x14ac:dyDescent="0.25">
      <c r="A77" t="str">
        <f>IF(LEN(categories!G77) &gt; 0, "cp ."&amp;categories!G77&amp;" ../catalog/category"&amp;LEFT(categories!G77,6)&amp;";", "")</f>
        <v>cp ./img2/img9dfb.jpg ../catalog/category/img2/;</v>
      </c>
      <c r="B77" t="str">
        <f>IF(LEN(categories!G77) &gt; 0, SUBSTITUTE("copy ."&amp;categories!G77&amp;" ./category"&amp;LEFT(categories!G77,6),"/","\"), "")</f>
        <v>copy .\img2\img9dfb.jpg .\category\img2\</v>
      </c>
    </row>
    <row r="78" spans="1:2" x14ac:dyDescent="0.25">
      <c r="A78" t="str">
        <f>IF(LEN(categories!G78) &gt; 0, "cp ."&amp;categories!G78&amp;" ../catalog/category"&amp;LEFT(categories!G78,6)&amp;";", "")</f>
        <v>cp ./img2/img1f3b.jpg ../catalog/category/img2/;</v>
      </c>
      <c r="B78" t="str">
        <f>IF(LEN(categories!G78) &gt; 0, SUBSTITUTE("copy ."&amp;categories!G78&amp;" ./category"&amp;LEFT(categories!G78,6),"/","\"), "")</f>
        <v>copy .\img2\img1f3b.jpg .\category\img2\</v>
      </c>
    </row>
    <row r="79" spans="1:2" x14ac:dyDescent="0.25">
      <c r="A79" t="str">
        <f>IF(LEN(categories!G79) &gt; 0, "cp ."&amp;categories!G79&amp;" ../catalog/category"&amp;LEFT(categories!G79,6)&amp;";", "")</f>
        <v>cp ./img2/imgb80a.jpg ../catalog/category/img2/;</v>
      </c>
      <c r="B79" t="str">
        <f>IF(LEN(categories!G79) &gt; 0, SUBSTITUTE("copy ."&amp;categories!G79&amp;" ./category"&amp;LEFT(categories!G79,6),"/","\"), "")</f>
        <v>copy .\img2\imgb80a.jpg .\category\img2\</v>
      </c>
    </row>
    <row r="80" spans="1:2" x14ac:dyDescent="0.25">
      <c r="A80" t="str">
        <f>IF(LEN(categories!G80) &gt; 0, "cp ."&amp;categories!G80&amp;" ../catalog/category"&amp;LEFT(categories!G80,6)&amp;";", "")</f>
        <v>cp ./img2/imgc708.jpg ../catalog/category/img2/;</v>
      </c>
      <c r="B80" t="str">
        <f>IF(LEN(categories!G80) &gt; 0, SUBSTITUTE("copy ."&amp;categories!G80&amp;" ./category"&amp;LEFT(categories!G80,6),"/","\"), "")</f>
        <v>copy .\img2\imgc708.jpg .\category\img2\</v>
      </c>
    </row>
    <row r="81" spans="1:2" x14ac:dyDescent="0.25">
      <c r="A81" t="str">
        <f>IF(LEN(categories!G81) &gt; 0, "cp ."&amp;categories!G81&amp;" ../catalog/category"&amp;LEFT(categories!G81,6)&amp;";", "")</f>
        <v>cp ./img3/img91b9.jpg ../catalog/category/img3/;</v>
      </c>
      <c r="B81" t="str">
        <f>IF(LEN(categories!G81) &gt; 0, SUBSTITUTE("copy ."&amp;categories!G81&amp;" ./category"&amp;LEFT(categories!G81,6),"/","\"), "")</f>
        <v>copy .\img3\img91b9.jpg .\category\img3\</v>
      </c>
    </row>
    <row r="82" spans="1:2" x14ac:dyDescent="0.25">
      <c r="A82" t="str">
        <f>IF(LEN(categories!G82) &gt; 0, "cp ."&amp;categories!G82&amp;" ../catalog/category"&amp;LEFT(categories!G82,6)&amp;";", "")</f>
        <v>cp ./img2/imgc09e.jpg ../catalog/category/img2/;</v>
      </c>
      <c r="B82" t="str">
        <f>IF(LEN(categories!G82) &gt; 0, SUBSTITUTE("copy ."&amp;categories!G82&amp;" ./category"&amp;LEFT(categories!G82,6),"/","\"), "")</f>
        <v>copy .\img2\imgc09e.jpg .\category\img2\</v>
      </c>
    </row>
    <row r="83" spans="1:2" x14ac:dyDescent="0.25">
      <c r="A83" t="str">
        <f>IF(LEN(categories!G83) &gt; 0, "cp ."&amp;categories!G83&amp;" ../catalog/category"&amp;LEFT(categories!G83,6)&amp;";", "")</f>
        <v>cp ./img3/img6494.jpg ../catalog/category/img3/;</v>
      </c>
      <c r="B83" t="str">
        <f>IF(LEN(categories!G83) &gt; 0, SUBSTITUTE("copy ."&amp;categories!G83&amp;" ./category"&amp;LEFT(categories!G83,6),"/","\"), "")</f>
        <v>copy .\img3\img6494.jpg .\category\img3\</v>
      </c>
    </row>
    <row r="84" spans="1:2" x14ac:dyDescent="0.25">
      <c r="A84" t="str">
        <f>IF(LEN(categories!G84) &gt; 0, "cp ."&amp;categories!G84&amp;" ../catalog/category"&amp;LEFT(categories!G84,6)&amp;";", "")</f>
        <v>cp ./img1/imgbea3.jpg ../catalog/category/img1/;</v>
      </c>
      <c r="B84" t="str">
        <f>IF(LEN(categories!G84) &gt; 0, SUBSTITUTE("copy ."&amp;categories!G84&amp;" ./category"&amp;LEFT(categories!G84,6),"/","\"), "")</f>
        <v>copy .\img1\imgbea3.jpg .\category\img1\</v>
      </c>
    </row>
    <row r="85" spans="1:2" x14ac:dyDescent="0.25">
      <c r="A85" t="str">
        <f>IF(LEN(categories!G85) &gt; 0, "cp ."&amp;categories!G85&amp;" ../catalog/category"&amp;LEFT(categories!G85,6)&amp;";", "")</f>
        <v>cp ./img1/img97f2.jpg ../catalog/category/img1/;</v>
      </c>
      <c r="B85" t="str">
        <f>IF(LEN(categories!G85) &gt; 0, SUBSTITUTE("copy ."&amp;categories!G85&amp;" ./category"&amp;LEFT(categories!G85,6),"/","\"), "")</f>
        <v>copy .\img1\img97f2.jpg .\category\img1\</v>
      </c>
    </row>
    <row r="86" spans="1:2" x14ac:dyDescent="0.25">
      <c r="A86" t="str">
        <f>IF(LEN(categories!G86) &gt; 0, "cp ."&amp;categories!G86&amp;" ../catalog/category"&amp;LEFT(categories!G86,6)&amp;";", "")</f>
        <v>cp ./img1/imgaf80.jpg ../catalog/category/img1/;</v>
      </c>
      <c r="B86" t="str">
        <f>IF(LEN(categories!G86) &gt; 0, SUBSTITUTE("copy ."&amp;categories!G86&amp;" ./category"&amp;LEFT(categories!G86,6),"/","\"), "")</f>
        <v>copy .\img1\imgaf80.jpg .\category\img1\</v>
      </c>
    </row>
    <row r="87" spans="1:2" x14ac:dyDescent="0.25">
      <c r="A87" t="str">
        <f>IF(LEN(categories!G87) &gt; 0, "cp ."&amp;categories!G87&amp;" ../catalog/category"&amp;LEFT(categories!G87,6)&amp;";", "")</f>
        <v>cp ./img2/imgeb32.jpg ../catalog/category/img2/;</v>
      </c>
      <c r="B87" t="str">
        <f>IF(LEN(categories!G87) &gt; 0, SUBSTITUTE("copy ."&amp;categories!G87&amp;" ./category"&amp;LEFT(categories!G87,6),"/","\"), "")</f>
        <v>copy .\img2\imgeb32.jpg .\category\img2\</v>
      </c>
    </row>
    <row r="88" spans="1:2" x14ac:dyDescent="0.25">
      <c r="A88" t="str">
        <f>IF(LEN(categories!G88) &gt; 0, "cp ."&amp;categories!G88&amp;" ../catalog/category"&amp;LEFT(categories!G88,6)&amp;";", "")</f>
        <v>cp ./img2/imgb5cd.jpg ../catalog/category/img2/;</v>
      </c>
      <c r="B88" t="str">
        <f>IF(LEN(categories!G88) &gt; 0, SUBSTITUTE("copy ."&amp;categories!G88&amp;" ./category"&amp;LEFT(categories!G88,6),"/","\"), "")</f>
        <v>copy .\img2\imgb5cd.jpg .\category\img2\</v>
      </c>
    </row>
    <row r="89" spans="1:2" x14ac:dyDescent="0.25">
      <c r="A89" t="str">
        <f>IF(LEN(categories!G89) &gt; 0, "cp ."&amp;categories!G89&amp;" ../catalog/category"&amp;LEFT(categories!G89,6)&amp;";", "")</f>
        <v>cp ./img1/img28a8.jpg ../catalog/category/img1/;</v>
      </c>
      <c r="B89" t="str">
        <f>IF(LEN(categories!G89) &gt; 0, SUBSTITUTE("copy ."&amp;categories!G89&amp;" ./category"&amp;LEFT(categories!G89,6),"/","\"), "")</f>
        <v>copy .\img1\img28a8.jpg .\category\img1\</v>
      </c>
    </row>
    <row r="90" spans="1:2" x14ac:dyDescent="0.25">
      <c r="A90" t="str">
        <f>IF(LEN(categories!G90) &gt; 0, "cp ."&amp;categories!G90&amp;" ../catalog/category"&amp;LEFT(categories!G90,6)&amp;";", "")</f>
        <v>cp ./img1/img28a8.jpg ../catalog/category/img1/;</v>
      </c>
      <c r="B90" t="str">
        <f>IF(LEN(categories!G90) &gt; 0, SUBSTITUTE("copy ."&amp;categories!G90&amp;" ./category"&amp;LEFT(categories!G90,6),"/","\"), "")</f>
        <v>copy .\img1\img28a8.jpg .\category\img1\</v>
      </c>
    </row>
    <row r="91" spans="1:2" x14ac:dyDescent="0.25">
      <c r="A91" t="str">
        <f>IF(LEN(categories!G91) &gt; 0, "cp ."&amp;categories!G91&amp;" ../catalog/category"&amp;LEFT(categories!G91,6)&amp;";", "")</f>
        <v>cp ./img2/img69b2.jpg ../catalog/category/img2/;</v>
      </c>
      <c r="B91" t="str">
        <f>IF(LEN(categories!G91) &gt; 0, SUBSTITUTE("copy ."&amp;categories!G91&amp;" ./category"&amp;LEFT(categories!G91,6),"/","\"), "")</f>
        <v>copy .\img2\img69b2.jpg .\category\img2\</v>
      </c>
    </row>
    <row r="92" spans="1:2" x14ac:dyDescent="0.25">
      <c r="A92" t="str">
        <f>IF(LEN(categories!G92) &gt; 0, "cp ."&amp;categories!G92&amp;" ../catalog/category"&amp;LEFT(categories!G92,6)&amp;";", "")</f>
        <v>cp ./img2/img3619.jpg ../catalog/category/img2/;</v>
      </c>
      <c r="B92" t="str">
        <f>IF(LEN(categories!G92) &gt; 0, SUBSTITUTE("copy ."&amp;categories!G92&amp;" ./category"&amp;LEFT(categories!G92,6),"/","\"), "")</f>
        <v>copy .\img2\img3619.jpg .\category\img2\</v>
      </c>
    </row>
    <row r="93" spans="1:2" x14ac:dyDescent="0.25">
      <c r="A93" t="str">
        <f>IF(LEN(categories!G93) &gt; 0, "cp ."&amp;categories!G93&amp;" ../catalog/category"&amp;LEFT(categories!G93,6)&amp;";", "")</f>
        <v>cp ./img3/img2fd4.jpg ../catalog/category/img3/;</v>
      </c>
      <c r="B93" t="str">
        <f>IF(LEN(categories!G93) &gt; 0, SUBSTITUTE("copy ."&amp;categories!G93&amp;" ./category"&amp;LEFT(categories!G93,6),"/","\"), "")</f>
        <v>copy .\img3\img2fd4.jpg .\category\img3\</v>
      </c>
    </row>
    <row r="94" spans="1:2" x14ac:dyDescent="0.25">
      <c r="A94" t="str">
        <f>IF(LEN(categories!G94) &gt; 0, "cp ."&amp;categories!G94&amp;" ../catalog/category"&amp;LEFT(categories!G94,6)&amp;";", "")</f>
        <v>cp ./img2/img572e.jpg ../catalog/category/img2/;</v>
      </c>
      <c r="B94" t="str">
        <f>IF(LEN(categories!G94) &gt; 0, SUBSTITUTE("copy ."&amp;categories!G94&amp;" ./category"&amp;LEFT(categories!G94,6),"/","\"), "")</f>
        <v>copy .\img2\img572e.jpg .\category\img2\</v>
      </c>
    </row>
    <row r="95" spans="1:2" x14ac:dyDescent="0.25">
      <c r="A95" t="str">
        <f>IF(LEN(categories!G95) &gt; 0, "cp ."&amp;categories!G95&amp;" ../catalog/category"&amp;LEFT(categories!G95,6)&amp;";", "")</f>
        <v>cp ./img3/imgddb8.jpg ../catalog/category/img3/;</v>
      </c>
      <c r="B95" t="str">
        <f>IF(LEN(categories!G95) &gt; 0, SUBSTITUTE("copy ."&amp;categories!G95&amp;" ./category"&amp;LEFT(categories!G95,6),"/","\"), "")</f>
        <v>copy .\img3\imgddb8.jpg .\category\img3\</v>
      </c>
    </row>
    <row r="96" spans="1:2" x14ac:dyDescent="0.25">
      <c r="A96" t="str">
        <f>IF(LEN(categories!G96) &gt; 0, "cp ."&amp;categories!G96&amp;" ../catalog/category"&amp;LEFT(categories!G96,6)&amp;";", "")</f>
        <v>cp ./img2/img287e.jpg ../catalog/category/img2/;</v>
      </c>
      <c r="B96" t="str">
        <f>IF(LEN(categories!G96) &gt; 0, SUBSTITUTE("copy ."&amp;categories!G96&amp;" ./category"&amp;LEFT(categories!G96,6),"/","\"), "")</f>
        <v>copy .\img2\img287e.jpg .\category\img2\</v>
      </c>
    </row>
    <row r="97" spans="1:2" x14ac:dyDescent="0.25">
      <c r="A97" t="str">
        <f>IF(LEN(categories!G97) &gt; 0, "cp ."&amp;categories!G97&amp;" ../catalog/category"&amp;LEFT(categories!G97,6)&amp;";", "")</f>
        <v>cp ./img3/imgd266.jpg ../catalog/category/img3/;</v>
      </c>
      <c r="B97" t="str">
        <f>IF(LEN(categories!G97) &gt; 0, SUBSTITUTE("copy ."&amp;categories!G97&amp;" ./category"&amp;LEFT(categories!G97,6),"/","\"), "")</f>
        <v>copy .\img3\imgd266.jpg .\category\img3\</v>
      </c>
    </row>
    <row r="98" spans="1:2" x14ac:dyDescent="0.25">
      <c r="A98" t="str">
        <f>IF(LEN(categories!G98) &gt; 0, "cp ."&amp;categories!G98&amp;" ../catalog/category"&amp;LEFT(categories!G98,6)&amp;";", "")</f>
        <v>cp ./img3/imgd3fa.jpg ../catalog/category/img3/;</v>
      </c>
      <c r="B98" t="str">
        <f>IF(LEN(categories!G98) &gt; 0, SUBSTITUTE("copy ."&amp;categories!G98&amp;" ./category"&amp;LEFT(categories!G98,6),"/","\"), "")</f>
        <v>copy .\img3\imgd3fa.jpg .\category\img3\</v>
      </c>
    </row>
    <row r="99" spans="1:2" x14ac:dyDescent="0.25">
      <c r="A99" t="str">
        <f>IF(LEN(categories!G99) &gt; 0, "cp ."&amp;categories!G99&amp;" ../catalog/category"&amp;LEFT(categories!G99,6)&amp;";", "")</f>
        <v>cp ./img2/img55bd.jpg ../catalog/category/img2/;</v>
      </c>
      <c r="B99" t="str">
        <f>IF(LEN(categories!G99) &gt; 0, SUBSTITUTE("copy ."&amp;categories!G99&amp;" ./category"&amp;LEFT(categories!G99,6),"/","\"), "")</f>
        <v>copy .\img2\img55bd.jpg .\category\img2\</v>
      </c>
    </row>
    <row r="100" spans="1:2" x14ac:dyDescent="0.25">
      <c r="A100" t="str">
        <f>IF(LEN(categories!G100) &gt; 0, "cp ."&amp;categories!G100&amp;" ../catalog/category"&amp;LEFT(categories!G100,6)&amp;";", "")</f>
        <v>cp ./img2/img7c80.jpg ../catalog/category/img2/;</v>
      </c>
      <c r="B100" t="str">
        <f>IF(LEN(categories!G100) &gt; 0, SUBSTITUTE("copy ."&amp;categories!G100&amp;" ./category"&amp;LEFT(categories!G100,6),"/","\"), "")</f>
        <v>copy .\img2\img7c80.jpg .\category\img2\</v>
      </c>
    </row>
    <row r="101" spans="1:2" x14ac:dyDescent="0.25">
      <c r="A101" t="str">
        <f>IF(LEN(categories!G101) &gt; 0, "cp ."&amp;categories!G101&amp;" ../catalog/category"&amp;LEFT(categories!G101,6)&amp;";", "")</f>
        <v>cp ./img1/imgd7bf.jpg ../catalog/category/img1/;</v>
      </c>
      <c r="B101" t="str">
        <f>IF(LEN(categories!G101) &gt; 0, SUBSTITUTE("copy ."&amp;categories!G101&amp;" ./category"&amp;LEFT(categories!G101,6),"/","\"), "")</f>
        <v>copy .\img1\imgd7bf.jpg .\category\img1\</v>
      </c>
    </row>
    <row r="102" spans="1:2" x14ac:dyDescent="0.25">
      <c r="A102" t="str">
        <f>IF(LEN(categories!G102) &gt; 0, "cp ."&amp;categories!G102&amp;" ../catalog/category"&amp;LEFT(categories!G102,6)&amp;";", "")</f>
        <v>cp ./img2/img7c80.jpg ../catalog/category/img2/;</v>
      </c>
      <c r="B102" t="str">
        <f>IF(LEN(categories!G102) &gt; 0, SUBSTITUTE("copy ."&amp;categories!G102&amp;" ./category"&amp;LEFT(categories!G102,6),"/","\"), "")</f>
        <v>copy .\img2\img7c80.jpg .\category\img2\</v>
      </c>
    </row>
    <row r="103" spans="1:2" x14ac:dyDescent="0.25">
      <c r="A103" t="str">
        <f>IF(LEN(categories!G103) &gt; 0, "cp ."&amp;categories!G103&amp;" ../catalog/category"&amp;LEFT(categories!G103,6)&amp;";", "")</f>
        <v>cp ./img3/imgc5b3.jpg ../catalog/category/img3/;</v>
      </c>
      <c r="B103" t="str">
        <f>IF(LEN(categories!G103) &gt; 0, SUBSTITUTE("copy ."&amp;categories!G103&amp;" ./category"&amp;LEFT(categories!G103,6),"/","\"), "")</f>
        <v>copy .\img3\imgc5b3.jpg .\category\img3\</v>
      </c>
    </row>
    <row r="104" spans="1:2" x14ac:dyDescent="0.25">
      <c r="A104" t="str">
        <f>IF(LEN(categories!G104) &gt; 0, "cp ."&amp;categories!G104&amp;" ../catalog/category"&amp;LEFT(categories!G104,6)&amp;";", "")</f>
        <v>cp ./img2/img424e.jpg ../catalog/category/img2/;</v>
      </c>
      <c r="B104" t="str">
        <f>IF(LEN(categories!G104) &gt; 0, SUBSTITUTE("copy ."&amp;categories!G104&amp;" ./category"&amp;LEFT(categories!G104,6),"/","\"), "")</f>
        <v>copy .\img2\img424e.jpg .\category\img2\</v>
      </c>
    </row>
    <row r="105" spans="1:2" x14ac:dyDescent="0.25">
      <c r="A105" t="str">
        <f>IF(LEN(categories!G105) &gt; 0, "cp ."&amp;categories!G105&amp;" ../catalog/category"&amp;LEFT(categories!G105,6)&amp;";", "")</f>
        <v>cp ./img1/img9c37.jpg ../catalog/category/img1/;</v>
      </c>
      <c r="B105" t="str">
        <f>IF(LEN(categories!G105) &gt; 0, SUBSTITUTE("copy ."&amp;categories!G105&amp;" ./category"&amp;LEFT(categories!G105,6),"/","\"), "")</f>
        <v>copy .\img1\img9c37.jpg .\category\img1\</v>
      </c>
    </row>
    <row r="106" spans="1:2" x14ac:dyDescent="0.25">
      <c r="A106" t="str">
        <f>IF(LEN(categories!G106) &gt; 0, "cp ."&amp;categories!G106&amp;" ../catalog/category"&amp;LEFT(categories!G106,6)&amp;";", "")</f>
        <v>cp ./img2/imgd85c.jpg ../catalog/category/img2/;</v>
      </c>
      <c r="B106" t="str">
        <f>IF(LEN(categories!G106) &gt; 0, SUBSTITUTE("copy ."&amp;categories!G106&amp;" ./category"&amp;LEFT(categories!G106,6),"/","\"), "")</f>
        <v>copy .\img2\imgd85c.jpg .\category\img2\</v>
      </c>
    </row>
    <row r="107" spans="1:2" x14ac:dyDescent="0.25">
      <c r="A107" t="str">
        <f>IF(LEN(categories!G107) &gt; 0, "cp ."&amp;categories!G107&amp;" ../catalog/category"&amp;LEFT(categories!G107,6)&amp;";", "")</f>
        <v>cp ./img3/img6c2b.jpg ../catalog/category/img3/;</v>
      </c>
      <c r="B107" t="str">
        <f>IF(LEN(categories!G107) &gt; 0, SUBSTITUTE("copy ."&amp;categories!G107&amp;" ./category"&amp;LEFT(categories!G107,6),"/","\"), "")</f>
        <v>copy .\img3\img6c2b.jpg .\category\img3\</v>
      </c>
    </row>
    <row r="108" spans="1:2" x14ac:dyDescent="0.25">
      <c r="A108" t="str">
        <f>IF(LEN(categories!G108) &gt; 0, "cp ."&amp;categories!G108&amp;" ../catalog/category"&amp;LEFT(categories!G108,6)&amp;";", "")</f>
        <v>cp ./img1/imgecf0.jpg ../catalog/category/img1/;</v>
      </c>
      <c r="B108" t="str">
        <f>IF(LEN(categories!G108) &gt; 0, SUBSTITUTE("copy ."&amp;categories!G108&amp;" ./category"&amp;LEFT(categories!G108,6),"/","\"), "")</f>
        <v>copy .\img1\imgecf0.jpg .\category\img1\</v>
      </c>
    </row>
    <row r="109" spans="1:2" x14ac:dyDescent="0.25">
      <c r="A109" t="str">
        <f>IF(LEN(categories!G109) &gt; 0, "cp ."&amp;categories!G109&amp;" ../catalog/category"&amp;LEFT(categories!G109,6)&amp;";", "")</f>
        <v>cp ./img2/imgcf5f.jpg ../catalog/category/img2/;</v>
      </c>
      <c r="B109" t="str">
        <f>IF(LEN(categories!G109) &gt; 0, SUBSTITUTE("copy ."&amp;categories!G109&amp;" ./category"&amp;LEFT(categories!G109,6),"/","\"), "")</f>
        <v>copy .\img2\imgcf5f.jpg .\category\img2\</v>
      </c>
    </row>
    <row r="110" spans="1:2" x14ac:dyDescent="0.25">
      <c r="A110" t="str">
        <f>IF(LEN(categories!G110) &gt; 0, "cp ."&amp;categories!G110&amp;" ../catalog/category"&amp;LEFT(categories!G110,6)&amp;";", "")</f>
        <v>cp ./img2/img71b1.jpg ../catalog/category/img2/;</v>
      </c>
      <c r="B110" t="str">
        <f>IF(LEN(categories!G110) &gt; 0, SUBSTITUTE("copy ."&amp;categories!G110&amp;" ./category"&amp;LEFT(categories!G110,6),"/","\"), "")</f>
        <v>copy .\img2\img71b1.jpg .\category\img2\</v>
      </c>
    </row>
    <row r="111" spans="1:2" x14ac:dyDescent="0.25">
      <c r="A111" t="str">
        <f>IF(LEN(categories!G111) &gt; 0, "cp ."&amp;categories!G111&amp;" ../catalog/category"&amp;LEFT(categories!G111,6)&amp;";", "")</f>
        <v>cp ./img1/img561c.jpg ../catalog/category/img1/;</v>
      </c>
      <c r="B111" t="str">
        <f>IF(LEN(categories!G111) &gt; 0, SUBSTITUTE("copy ."&amp;categories!G111&amp;" ./category"&amp;LEFT(categories!G111,6),"/","\"), "")</f>
        <v>copy .\img1\img561c.jpg .\category\img1\</v>
      </c>
    </row>
    <row r="112" spans="1:2" x14ac:dyDescent="0.25">
      <c r="A112" t="str">
        <f>IF(LEN(categories!G112) &gt; 0, "cp ."&amp;categories!G112&amp;" ../catalog/category"&amp;LEFT(categories!G112,6)&amp;";", "")</f>
        <v>cp ./img2/imgd85c.jpg ../catalog/category/img2/;</v>
      </c>
      <c r="B112" t="str">
        <f>IF(LEN(categories!G112) &gt; 0, SUBSTITUTE("copy ."&amp;categories!G112&amp;" ./category"&amp;LEFT(categories!G112,6),"/","\"), "")</f>
        <v>copy .\img2\imgd85c.jpg .\category\img2\</v>
      </c>
    </row>
    <row r="113" spans="1:2" x14ac:dyDescent="0.25">
      <c r="A113" t="str">
        <f>IF(LEN(categories!G113) &gt; 0, "cp ."&amp;categories!G113&amp;" ../catalog/category"&amp;LEFT(categories!G113,6)&amp;";", "")</f>
        <v>cp ./img2/imgb298.jpg ../catalog/category/img2/;</v>
      </c>
      <c r="B113" t="str">
        <f>IF(LEN(categories!G113) &gt; 0, SUBSTITUTE("copy ."&amp;categories!G113&amp;" ./category"&amp;LEFT(categories!G113,6),"/","\"), "")</f>
        <v>copy .\img2\imgb298.jpg .\category\img2\</v>
      </c>
    </row>
    <row r="114" spans="1:2" x14ac:dyDescent="0.25">
      <c r="A114" t="str">
        <f>IF(LEN(categories!G114) &gt; 0, "cp ."&amp;categories!G114&amp;" ../catalog/category"&amp;LEFT(categories!G114,6)&amp;";", "")</f>
        <v>cp ./img2/img5590.jpg ../catalog/category/img2/;</v>
      </c>
      <c r="B114" t="str">
        <f>IF(LEN(categories!G114) &gt; 0, SUBSTITUTE("copy ."&amp;categories!G114&amp;" ./category"&amp;LEFT(categories!G114,6),"/","\"), "")</f>
        <v>copy .\img2\img5590.jpg .\category\img2\</v>
      </c>
    </row>
    <row r="115" spans="1:2" x14ac:dyDescent="0.25">
      <c r="A115" t="str">
        <f>IF(LEN(categories!G115) &gt; 0, "cp ."&amp;categories!G115&amp;" ../catalog/category"&amp;LEFT(categories!G115,6)&amp;";", "")</f>
        <v>cp ./img2/imgb414.jpg ../catalog/category/img2/;</v>
      </c>
      <c r="B115" t="str">
        <f>IF(LEN(categories!G115) &gt; 0, SUBSTITUTE("copy ."&amp;categories!G115&amp;" ./category"&amp;LEFT(categories!G115,6),"/","\"), "")</f>
        <v>copy .\img2\imgb414.jpg .\category\img2\</v>
      </c>
    </row>
    <row r="116" spans="1:2" x14ac:dyDescent="0.25">
      <c r="A116" t="str">
        <f>IF(LEN(categories!G116) &gt; 0, "cp ."&amp;categories!G116&amp;" ../catalog/category"&amp;LEFT(categories!G116,6)&amp;";", "")</f>
        <v>cp ./img3/img22de.jpg ../catalog/category/img3/;</v>
      </c>
      <c r="B116" t="str">
        <f>IF(LEN(categories!G116) &gt; 0, SUBSTITUTE("copy ."&amp;categories!G116&amp;" ./category"&amp;LEFT(categories!G116,6),"/","\"), "")</f>
        <v>copy .\img3\img22de.jpg .\category\img3\</v>
      </c>
    </row>
    <row r="117" spans="1:2" x14ac:dyDescent="0.25">
      <c r="A117" t="str">
        <f>IF(LEN(categories!G117) &gt; 0, "cp ."&amp;categories!G117&amp;" ../catalog/category"&amp;LEFT(categories!G117,6)&amp;";", "")</f>
        <v>cp ./img3/imga6e1.jpg ../catalog/category/img3/;</v>
      </c>
      <c r="B117" t="str">
        <f>IF(LEN(categories!G117) &gt; 0, SUBSTITUTE("copy ."&amp;categories!G117&amp;" ./category"&amp;LEFT(categories!G117,6),"/","\"), "")</f>
        <v>copy .\img3\imga6e1.jpg .\category\img3\</v>
      </c>
    </row>
    <row r="118" spans="1:2" x14ac:dyDescent="0.25">
      <c r="A118" t="str">
        <f>IF(LEN(categories!G118) &gt; 0, "cp ."&amp;categories!G118&amp;" ../catalog/category"&amp;LEFT(categories!G118,6)&amp;";", "")</f>
        <v>cp ./img3/imgc7a2.jpg ../catalog/category/img3/;</v>
      </c>
      <c r="B118" t="str">
        <f>IF(LEN(categories!G118) &gt; 0, SUBSTITUTE("copy ."&amp;categories!G118&amp;" ./category"&amp;LEFT(categories!G118,6),"/","\"), "")</f>
        <v>copy .\img3\imgc7a2.jpg .\category\img3\</v>
      </c>
    </row>
    <row r="119" spans="1:2" x14ac:dyDescent="0.25">
      <c r="A119" t="str">
        <f>IF(LEN(categories!G119) &gt; 0, "cp ."&amp;categories!G119&amp;" ../catalog/category"&amp;LEFT(categories!G119,6)&amp;";", "")</f>
        <v>cp ./img3/img8654.jpg ../catalog/category/img3/;</v>
      </c>
      <c r="B119" t="str">
        <f>IF(LEN(categories!G119) &gt; 0, SUBSTITUTE("copy ."&amp;categories!G119&amp;" ./category"&amp;LEFT(categories!G119,6),"/","\"), "")</f>
        <v>copy .\img3\img8654.jpg .\category\img3\</v>
      </c>
    </row>
    <row r="120" spans="1:2" x14ac:dyDescent="0.25">
      <c r="A120" t="str">
        <f>IF(LEN(categories!G120) &gt; 0, "cp ."&amp;categories!G120&amp;" ../catalog/category"&amp;LEFT(categories!G120,6)&amp;";", "")</f>
        <v>cp ./img3/img366d.jpg ../catalog/category/img3/;</v>
      </c>
      <c r="B120" t="str">
        <f>IF(LEN(categories!G120) &gt; 0, SUBSTITUTE("copy ."&amp;categories!G120&amp;" ./category"&amp;LEFT(categories!G120,6),"/","\"), "")</f>
        <v>copy .\img3\img366d.jpg .\category\img3\</v>
      </c>
    </row>
    <row r="121" spans="1:2" x14ac:dyDescent="0.25">
      <c r="A121" t="str">
        <f>IF(LEN(categories!G121) &gt; 0, "cp ."&amp;categories!G121&amp;" ../catalog/category"&amp;LEFT(categories!G121,6)&amp;";", "")</f>
        <v>cp ./img2/img2be7.jpg ../catalog/category/img2/;</v>
      </c>
      <c r="B121" t="str">
        <f>IF(LEN(categories!G121) &gt; 0, SUBSTITUTE("copy ."&amp;categories!G121&amp;" ./category"&amp;LEFT(categories!G121,6),"/","\"), "")</f>
        <v>copy .\img2\img2be7.jpg .\category\img2\</v>
      </c>
    </row>
    <row r="122" spans="1:2" x14ac:dyDescent="0.25">
      <c r="A122" t="str">
        <f>IF(LEN(categories!G122) &gt; 0, "cp ."&amp;categories!G122&amp;" ../catalog/category"&amp;LEFT(categories!G122,6)&amp;";", "")</f>
        <v>cp ./img1/imgb035.jpg ../catalog/category/img1/;</v>
      </c>
      <c r="B122" t="str">
        <f>IF(LEN(categories!G122) &gt; 0, SUBSTITUTE("copy ."&amp;categories!G122&amp;" ./category"&amp;LEFT(categories!G122,6),"/","\"), "")</f>
        <v>copy .\img1\imgb035.jpg .\category\img1\</v>
      </c>
    </row>
    <row r="123" spans="1:2" x14ac:dyDescent="0.25">
      <c r="A123" t="str">
        <f>IF(LEN(categories!G123) &gt; 0, "cp ."&amp;categories!G123&amp;" ../catalog/category"&amp;LEFT(categories!G123,6)&amp;";", "")</f>
        <v>cp ./img1/img1b18.jpg ../catalog/category/img1/;</v>
      </c>
      <c r="B123" t="str">
        <f>IF(LEN(categories!G123) &gt; 0, SUBSTITUTE("copy ."&amp;categories!G123&amp;" ./category"&amp;LEFT(categories!G123,6),"/","\"), "")</f>
        <v>copy .\img1\img1b18.jpg .\category\img1\</v>
      </c>
    </row>
    <row r="124" spans="1:2" x14ac:dyDescent="0.25">
      <c r="A124" t="str">
        <f>IF(LEN(categories!G124) &gt; 0, "cp ."&amp;categories!G124&amp;" ../catalog/category"&amp;LEFT(categories!G124,6)&amp;";", "")</f>
        <v>cp ./img1/img0d76.jpg ../catalog/category/img1/;</v>
      </c>
      <c r="B124" t="str">
        <f>IF(LEN(categories!G124) &gt; 0, SUBSTITUTE("copy ."&amp;categories!G124&amp;" ./category"&amp;LEFT(categories!G124,6),"/","\"), "")</f>
        <v>copy .\img1\img0d76.jpg .\category\img1\</v>
      </c>
    </row>
    <row r="125" spans="1:2" x14ac:dyDescent="0.25">
      <c r="A125" t="str">
        <f>IF(LEN(categories!G125) &gt; 0, "cp ."&amp;categories!G125&amp;" ../catalog/category"&amp;LEFT(categories!G125,6)&amp;";", "")</f>
        <v>cp ./img1/img5168.jpg ../catalog/category/img1/;</v>
      </c>
      <c r="B125" t="str">
        <f>IF(LEN(categories!G125) &gt; 0, SUBSTITUTE("copy ."&amp;categories!G125&amp;" ./category"&amp;LEFT(categories!G125,6),"/","\"), "")</f>
        <v>copy .\img1\img5168.jpg .\category\img1\</v>
      </c>
    </row>
    <row r="126" spans="1:2" x14ac:dyDescent="0.25">
      <c r="A126" t="str">
        <f>IF(LEN(categories!G126) &gt; 0, "cp ."&amp;categories!G126&amp;" ../catalog/category"&amp;LEFT(categories!G126,6)&amp;";", "")</f>
        <v>cp ./img2/img7f19.jpg ../catalog/category/img2/;</v>
      </c>
      <c r="B126" t="str">
        <f>IF(LEN(categories!G126) &gt; 0, SUBSTITUTE("copy ."&amp;categories!G126&amp;" ./category"&amp;LEFT(categories!G126,6),"/","\"), "")</f>
        <v>copy .\img2\img7f19.jpg .\category\img2\</v>
      </c>
    </row>
    <row r="127" spans="1:2" x14ac:dyDescent="0.25">
      <c r="A127" t="str">
        <f>IF(LEN(categories!G127) &gt; 0, "cp ."&amp;categories!G127&amp;" ../catalog/category"&amp;LEFT(categories!G127,6)&amp;";", "")</f>
        <v>cp ./img2/img712a.jpg ../catalog/category/img2/;</v>
      </c>
      <c r="B127" t="str">
        <f>IF(LEN(categories!G127) &gt; 0, SUBSTITUTE("copy ."&amp;categories!G127&amp;" ./category"&amp;LEFT(categories!G127,6),"/","\"), "")</f>
        <v>copy .\img2\img712a.jpg .\category\img2\</v>
      </c>
    </row>
    <row r="128" spans="1:2" x14ac:dyDescent="0.25">
      <c r="A128" t="str">
        <f>IF(LEN(categories!G128) &gt; 0, "cp ."&amp;categories!G128&amp;" ../catalog/category"&amp;LEFT(categories!G128,6)&amp;";", "")</f>
        <v>cp ./img2/img380b.jpg ../catalog/category/img2/;</v>
      </c>
      <c r="B128" t="str">
        <f>IF(LEN(categories!G128) &gt; 0, SUBSTITUTE("copy ."&amp;categories!G128&amp;" ./category"&amp;LEFT(categories!G128,6),"/","\"), "")</f>
        <v>copy .\img2\img380b.jpg .\category\img2\</v>
      </c>
    </row>
    <row r="129" spans="1:2" x14ac:dyDescent="0.25">
      <c r="A129" t="str">
        <f>IF(LEN(categories!G129) &gt; 0, "cp ."&amp;categories!G129&amp;" ../catalog/category"&amp;LEFT(categories!G129,6)&amp;";", "")</f>
        <v>cp ./img2/imgf8e6.jpg ../catalog/category/img2/;</v>
      </c>
      <c r="B129" t="str">
        <f>IF(LEN(categories!G129) &gt; 0, SUBSTITUTE("copy ."&amp;categories!G129&amp;" ./category"&amp;LEFT(categories!G129,6),"/","\"), "")</f>
        <v>copy .\img2\imgf8e6.jpg .\category\img2\</v>
      </c>
    </row>
    <row r="130" spans="1:2" x14ac:dyDescent="0.25">
      <c r="A130" t="str">
        <f>IF(LEN(categories!G130) &gt; 0, "cp ."&amp;categories!G130&amp;" ../catalog/category"&amp;LEFT(categories!G130,6)&amp;";", "")</f>
        <v>cp ./img3/img2c63.jpg ../catalog/category/img3/;</v>
      </c>
      <c r="B130" t="str">
        <f>IF(LEN(categories!G130) &gt; 0, SUBSTITUTE("copy ."&amp;categories!G130&amp;" ./category"&amp;LEFT(categories!G130,6),"/","\"), "")</f>
        <v>copy .\img3\img2c63.jpg .\category\img3\</v>
      </c>
    </row>
    <row r="131" spans="1:2" x14ac:dyDescent="0.25">
      <c r="A131" t="str">
        <f>IF(LEN(categories!G131) &gt; 0, "cp ."&amp;categories!G131&amp;" ../catalog/category"&amp;LEFT(categories!G131,6)&amp;";", "")</f>
        <v>cp ./img1/img5fb6.jpg ../catalog/category/img1/;</v>
      </c>
      <c r="B131" t="str">
        <f>IF(LEN(categories!G131) &gt; 0, SUBSTITUTE("copy ."&amp;categories!G131&amp;" ./category"&amp;LEFT(categories!G131,6),"/","\"), "")</f>
        <v>copy .\img1\img5fb6.jpg .\category\img1\</v>
      </c>
    </row>
    <row r="132" spans="1:2" x14ac:dyDescent="0.25">
      <c r="A132" t="str">
        <f>IF(LEN(categories!G132) &gt; 0, "cp ."&amp;categories!G132&amp;" ../catalog/category"&amp;LEFT(categories!G132,6)&amp;";", "")</f>
        <v>cp ./img1/img816a.jpg ../catalog/category/img1/;</v>
      </c>
      <c r="B132" t="str">
        <f>IF(LEN(categories!G132) &gt; 0, SUBSTITUTE("copy ."&amp;categories!G132&amp;" ./category"&amp;LEFT(categories!G132,6),"/","\"), "")</f>
        <v>copy .\img1\img816a.jpg .\category\img1\</v>
      </c>
    </row>
    <row r="133" spans="1:2" x14ac:dyDescent="0.25">
      <c r="A133" t="str">
        <f>IF(LEN(categories!G133) &gt; 0, "cp ."&amp;categories!G133&amp;" ../catalog/category"&amp;LEFT(categories!G133,6)&amp;";", "")</f>
        <v>cp ./img3/imgf6b0.jpg ../catalog/category/img3/;</v>
      </c>
      <c r="B133" t="str">
        <f>IF(LEN(categories!G133) &gt; 0, SUBSTITUTE("copy ."&amp;categories!G133&amp;" ./category"&amp;LEFT(categories!G133,6),"/","\"), "")</f>
        <v>copy .\img3\imgf6b0.jpg .\category\img3\</v>
      </c>
    </row>
    <row r="134" spans="1:2" x14ac:dyDescent="0.25">
      <c r="A134" t="str">
        <f>IF(LEN(categories!G134) &gt; 0, "cp ."&amp;categories!G134&amp;" ../catalog/category"&amp;LEFT(categories!G134,6)&amp;";", "")</f>
        <v>cp ./img2/imgbfe3.jpg ../catalog/category/img2/;</v>
      </c>
      <c r="B134" t="str">
        <f>IF(LEN(categories!G134) &gt; 0, SUBSTITUTE("copy ."&amp;categories!G134&amp;" ./category"&amp;LEFT(categories!G134,6),"/","\"), "")</f>
        <v>copy .\img2\imgbfe3.jpg .\category\img2\</v>
      </c>
    </row>
    <row r="135" spans="1:2" x14ac:dyDescent="0.25">
      <c r="A135" t="str">
        <f>IF(LEN(categories!G135) &gt; 0, "cp ."&amp;categories!G135&amp;" ../catalog/category"&amp;LEFT(categories!G135,6)&amp;";", "")</f>
        <v>cp ./img3/img0acb.jpg ../catalog/category/img3/;</v>
      </c>
      <c r="B135" t="str">
        <f>IF(LEN(categories!G135) &gt; 0, SUBSTITUTE("copy ."&amp;categories!G135&amp;" ./category"&amp;LEFT(categories!G135,6),"/","\"), "")</f>
        <v>copy .\img3\img0acb.jpg .\category\img3\</v>
      </c>
    </row>
    <row r="136" spans="1:2" x14ac:dyDescent="0.25">
      <c r="A136" t="str">
        <f>IF(LEN(categories!G136) &gt; 0, "cp ."&amp;categories!G136&amp;" ../catalog/category"&amp;LEFT(categories!G136,6)&amp;";", "")</f>
        <v>cp ./img3/img73af.jpg ../catalog/category/img3/;</v>
      </c>
      <c r="B136" t="str">
        <f>IF(LEN(categories!G136) &gt; 0, SUBSTITUTE("copy ."&amp;categories!G136&amp;" ./category"&amp;LEFT(categories!G136,6),"/","\"), "")</f>
        <v>copy .\img3\img73af.jpg .\category\img3\</v>
      </c>
    </row>
    <row r="137" spans="1:2" x14ac:dyDescent="0.25">
      <c r="A137" t="str">
        <f>IF(LEN(categories!G137) &gt; 0, "cp ."&amp;categories!G137&amp;" ../catalog/category"&amp;LEFT(categories!G137,6)&amp;";", "")</f>
        <v>cp ./img1/imgb953.jpg ../catalog/category/img1/;</v>
      </c>
      <c r="B137" t="str">
        <f>IF(LEN(categories!G137) &gt; 0, SUBSTITUTE("copy ."&amp;categories!G137&amp;" ./category"&amp;LEFT(categories!G137,6),"/","\"), "")</f>
        <v>copy .\img1\imgb953.jpg .\category\img1\</v>
      </c>
    </row>
    <row r="138" spans="1:2" x14ac:dyDescent="0.25">
      <c r="A138" t="str">
        <f>IF(LEN(categories!G138) &gt; 0, "cp ."&amp;categories!G138&amp;" ../catalog/category"&amp;LEFT(categories!G138,6)&amp;";", "")</f>
        <v>cp ./img3/img87fa.jpg ../catalog/category/img3/;</v>
      </c>
      <c r="B138" t="str">
        <f>IF(LEN(categories!G138) &gt; 0, SUBSTITUTE("copy ."&amp;categories!G138&amp;" ./category"&amp;LEFT(categories!G138,6),"/","\"), "")</f>
        <v>copy .\img3\img87fa.jpg .\category\img3\</v>
      </c>
    </row>
    <row r="139" spans="1:2" x14ac:dyDescent="0.25">
      <c r="A139" t="str">
        <f>IF(LEN(categories!G139) &gt; 0, "cp ."&amp;categories!G139&amp;" ../catalog/category"&amp;LEFT(categories!G139,6)&amp;";", "")</f>
        <v>cp ./img3/img73af.jpg ../catalog/category/img3/;</v>
      </c>
      <c r="B139" t="str">
        <f>IF(LEN(categories!G139) &gt; 0, SUBSTITUTE("copy ."&amp;categories!G139&amp;" ./category"&amp;LEFT(categories!G139,6),"/","\"), "")</f>
        <v>copy .\img3\img73af.jpg .\category\img3\</v>
      </c>
    </row>
    <row r="140" spans="1:2" x14ac:dyDescent="0.25">
      <c r="A140" t="str">
        <f>IF(LEN(categories!G140) &gt; 0, "cp ."&amp;categories!G140&amp;" ../catalog/category"&amp;LEFT(categories!G140,6)&amp;";", "")</f>
        <v>cp ./img2/img1fff.jpg ../catalog/category/img2/;</v>
      </c>
      <c r="B140" t="str">
        <f>IF(LEN(categories!G140) &gt; 0, SUBSTITUTE("copy ."&amp;categories!G140&amp;" ./category"&amp;LEFT(categories!G140,6),"/","\"), "")</f>
        <v>copy .\img2\img1fff.jpg .\category\img2\</v>
      </c>
    </row>
    <row r="141" spans="1:2" x14ac:dyDescent="0.25">
      <c r="A141" t="str">
        <f>IF(LEN(categories!G141) &gt; 0, "cp ."&amp;categories!G141&amp;" ../catalog/category"&amp;LEFT(categories!G141,6)&amp;";", "")</f>
        <v>cp ./img2/img2760.jpg ../catalog/category/img2/;</v>
      </c>
      <c r="B141" t="str">
        <f>IF(LEN(categories!G141) &gt; 0, SUBSTITUTE("copy ."&amp;categories!G141&amp;" ./category"&amp;LEFT(categories!G141,6),"/","\"), "")</f>
        <v>copy .\img2\img2760.jpg .\category\img2\</v>
      </c>
    </row>
    <row r="142" spans="1:2" x14ac:dyDescent="0.25">
      <c r="A142" t="str">
        <f>IF(LEN(categories!G142) &gt; 0, "cp ."&amp;categories!G142&amp;" ../catalog/category"&amp;LEFT(categories!G142,6)&amp;";", "")</f>
        <v>cp ./img3/imgdfd0.jpg ../catalog/category/img3/;</v>
      </c>
      <c r="B142" t="str">
        <f>IF(LEN(categories!G142) &gt; 0, SUBSTITUTE("copy ."&amp;categories!G142&amp;" ./category"&amp;LEFT(categories!G142,6),"/","\"), "")</f>
        <v>copy .\img3\imgdfd0.jpg .\category\img3\</v>
      </c>
    </row>
    <row r="143" spans="1:2" x14ac:dyDescent="0.25">
      <c r="A143" t="str">
        <f>IF(LEN(categories!G143) &gt; 0, "cp ."&amp;categories!G143&amp;" ../catalog/category"&amp;LEFT(categories!G143,6)&amp;";", "")</f>
        <v>cp ./img3/imgb1e0.jpg ../catalog/category/img3/;</v>
      </c>
      <c r="B143" t="str">
        <f>IF(LEN(categories!G143) &gt; 0, SUBSTITUTE("copy ."&amp;categories!G143&amp;" ./category"&amp;LEFT(categories!G143,6),"/","\"), "")</f>
        <v>copy .\img3\imgb1e0.jpg .\category\img3\</v>
      </c>
    </row>
    <row r="144" spans="1:2" x14ac:dyDescent="0.25">
      <c r="A144" t="str">
        <f>IF(LEN(categories!G144) &gt; 0, "cp ."&amp;categories!G144&amp;" ../catalog/category"&amp;LEFT(categories!G144,6)&amp;";", "")</f>
        <v>cp ./img3/imgb8f2.jpg ../catalog/category/img3/;</v>
      </c>
      <c r="B144" t="str">
        <f>IF(LEN(categories!G144) &gt; 0, SUBSTITUTE("copy ."&amp;categories!G144&amp;" ./category"&amp;LEFT(categories!G144,6),"/","\"), "")</f>
        <v>copy .\img3\imgb8f2.jpg .\category\img3\</v>
      </c>
    </row>
    <row r="145" spans="1:2" x14ac:dyDescent="0.25">
      <c r="A145" t="str">
        <f>IF(LEN(categories!G145) &gt; 0, "cp ."&amp;categories!G145&amp;" ../catalog/category"&amp;LEFT(categories!G145,6)&amp;";", "")</f>
        <v>cp ./img3/imgcdd3.jpg ../catalog/category/img3/;</v>
      </c>
      <c r="B145" t="str">
        <f>IF(LEN(categories!G145) &gt; 0, SUBSTITUTE("copy ."&amp;categories!G145&amp;" ./category"&amp;LEFT(categories!G145,6),"/","\"), "")</f>
        <v>copy .\img3\imgcdd3.jpg .\category\img3\</v>
      </c>
    </row>
    <row r="146" spans="1:2" x14ac:dyDescent="0.25">
      <c r="A146" t="str">
        <f>IF(LEN(categories!G146) &gt; 0, "cp ."&amp;categories!G146&amp;" ../catalog/category"&amp;LEFT(categories!G146,6)&amp;";", "")</f>
        <v>cp ./img1/img9ef8.jpg ../catalog/category/img1/;</v>
      </c>
      <c r="B146" t="str">
        <f>IF(LEN(categories!G146) &gt; 0, SUBSTITUTE("copy ."&amp;categories!G146&amp;" ./category"&amp;LEFT(categories!G146,6),"/","\"), "")</f>
        <v>copy .\img1\img9ef8.jpg .\category\img1\</v>
      </c>
    </row>
    <row r="147" spans="1:2" x14ac:dyDescent="0.25">
      <c r="A147" t="str">
        <f>IF(LEN(categories!G147) &gt; 0, "cp ."&amp;categories!G147&amp;" ../catalog/category"&amp;LEFT(categories!G147,6)&amp;";", "")</f>
        <v>cp ./img3/img0598.jpg ../catalog/category/img3/;</v>
      </c>
      <c r="B147" t="str">
        <f>IF(LEN(categories!G147) &gt; 0, SUBSTITUTE("copy ."&amp;categories!G147&amp;" ./category"&amp;LEFT(categories!G147,6),"/","\"), "")</f>
        <v>copy .\img3\img0598.jpg .\category\img3\</v>
      </c>
    </row>
    <row r="148" spans="1:2" x14ac:dyDescent="0.25">
      <c r="A148" t="str">
        <f>IF(LEN(categories!G148) &gt; 0, "cp ."&amp;categories!G148&amp;" ../catalog/category"&amp;LEFT(categories!G148,6)&amp;";", "")</f>
        <v>cp ./img1/imgc84e.jpg ../catalog/category/img1/;</v>
      </c>
      <c r="B148" t="str">
        <f>IF(LEN(categories!G148) &gt; 0, SUBSTITUTE("copy ."&amp;categories!G148&amp;" ./category"&amp;LEFT(categories!G148,6),"/","\"), "")</f>
        <v>copy .\img1\imgc84e.jpg .\category\img1\</v>
      </c>
    </row>
    <row r="149" spans="1:2" x14ac:dyDescent="0.25">
      <c r="A149" t="str">
        <f>IF(LEN(categories!G149) &gt; 0, "cp ."&amp;categories!G149&amp;" ../catalog/category"&amp;LEFT(categories!G149,6)&amp;";", "")</f>
        <v>cp ./img1/imgd6be.jpg ../catalog/category/img1/;</v>
      </c>
      <c r="B149" t="str">
        <f>IF(LEN(categories!G149) &gt; 0, SUBSTITUTE("copy ."&amp;categories!G149&amp;" ./category"&amp;LEFT(categories!G149,6),"/","\"), "")</f>
        <v>copy .\img1\imgd6be.jpg .\category\img1\</v>
      </c>
    </row>
    <row r="150" spans="1:2" x14ac:dyDescent="0.25">
      <c r="A150" t="str">
        <f>IF(LEN(categories!G150) &gt; 0, "cp ."&amp;categories!G150&amp;" ../catalog/category"&amp;LEFT(categories!G150,6)&amp;";", "")</f>
        <v>cp ./img3/img218e.jpg ../catalog/category/img3/;</v>
      </c>
      <c r="B150" t="str">
        <f>IF(LEN(categories!G150) &gt; 0, SUBSTITUTE("copy ."&amp;categories!G150&amp;" ./category"&amp;LEFT(categories!G150,6),"/","\"), "")</f>
        <v>copy .\img3\img218e.jpg .\category\img3\</v>
      </c>
    </row>
    <row r="151" spans="1:2" x14ac:dyDescent="0.25">
      <c r="A151" t="str">
        <f>IF(LEN(categories!G151) &gt; 0, "cp ."&amp;categories!G151&amp;" ../catalog/category"&amp;LEFT(categories!G151,6)&amp;";", "")</f>
        <v>cp ./img1/img7e21.jpg ../catalog/category/img1/;</v>
      </c>
      <c r="B151" t="str">
        <f>IF(LEN(categories!G151) &gt; 0, SUBSTITUTE("copy ."&amp;categories!G151&amp;" ./category"&amp;LEFT(categories!G151,6),"/","\"), "")</f>
        <v>copy .\img1\img7e21.jpg .\category\img1\</v>
      </c>
    </row>
    <row r="152" spans="1:2" x14ac:dyDescent="0.25">
      <c r="A152" t="str">
        <f>IF(LEN(categories!G152) &gt; 0, "cp ."&amp;categories!G152&amp;" ../catalog/category"&amp;LEFT(categories!G152,6)&amp;";", "")</f>
        <v>cp ./img2/img5c3a.jpg ../catalog/category/img2/;</v>
      </c>
      <c r="B152" t="str">
        <f>IF(LEN(categories!G152) &gt; 0, SUBSTITUTE("copy ."&amp;categories!G152&amp;" ./category"&amp;LEFT(categories!G152,6),"/","\"), "")</f>
        <v>copy .\img2\img5c3a.jpg .\category\img2\</v>
      </c>
    </row>
    <row r="153" spans="1:2" x14ac:dyDescent="0.25">
      <c r="A153" t="str">
        <f>IF(LEN(categories!G153) &gt; 0, "cp ."&amp;categories!G153&amp;" ../catalog/category"&amp;LEFT(categories!G153,6)&amp;";", "")</f>
        <v>cp ./img1/img717c.jpg ../catalog/category/img1/;</v>
      </c>
      <c r="B153" t="str">
        <f>IF(LEN(categories!G153) &gt; 0, SUBSTITUTE("copy ."&amp;categories!G153&amp;" ./category"&amp;LEFT(categories!G153,6),"/","\"), "")</f>
        <v>copy .\img1\img717c.jpg .\category\img1\</v>
      </c>
    </row>
    <row r="154" spans="1:2" x14ac:dyDescent="0.25">
      <c r="A154" t="str">
        <f>IF(LEN(categories!G154) &gt; 0, "cp ."&amp;categories!G154&amp;" ../catalog/category"&amp;LEFT(categories!G154,6)&amp;";", "")</f>
        <v>cp ./img1/img2996.jpg ../catalog/category/img1/;</v>
      </c>
      <c r="B154" t="str">
        <f>IF(LEN(categories!G154) &gt; 0, SUBSTITUTE("copy ."&amp;categories!G154&amp;" ./category"&amp;LEFT(categories!G154,6),"/","\"), "")</f>
        <v>copy .\img1\img2996.jpg .\category\img1\</v>
      </c>
    </row>
    <row r="155" spans="1:2" x14ac:dyDescent="0.25">
      <c r="A155" t="str">
        <f>IF(LEN(categories!G155) &gt; 0, "cp ."&amp;categories!G155&amp;" ../catalog/category"&amp;LEFT(categories!G155,6)&amp;";", "")</f>
        <v>cp ./img2/imgc771.jpg ../catalog/category/img2/;</v>
      </c>
      <c r="B155" t="str">
        <f>IF(LEN(categories!G155) &gt; 0, SUBSTITUTE("copy ."&amp;categories!G155&amp;" ./category"&amp;LEFT(categories!G155,6),"/","\"), "")</f>
        <v>copy .\img2\imgc771.jpg .\category\img2\</v>
      </c>
    </row>
    <row r="156" spans="1:2" x14ac:dyDescent="0.25">
      <c r="A156" t="str">
        <f>IF(LEN(categories!G156) &gt; 0, "cp ."&amp;categories!G156&amp;" ../catalog/category"&amp;LEFT(categories!G156,6)&amp;";", "")</f>
        <v>cp ./img2/imgdc6b.jpg ../catalog/category/img2/;</v>
      </c>
      <c r="B156" t="str">
        <f>IF(LEN(categories!G156) &gt; 0, SUBSTITUTE("copy ."&amp;categories!G156&amp;" ./category"&amp;LEFT(categories!G156,6),"/","\"), "")</f>
        <v>copy .\img2\imgdc6b.jpg .\category\img2\</v>
      </c>
    </row>
    <row r="157" spans="1:2" x14ac:dyDescent="0.25">
      <c r="A157" t="str">
        <f>IF(LEN(categories!G157) &gt; 0, "cp ."&amp;categories!G157&amp;" ../catalog/category"&amp;LEFT(categories!G157,6)&amp;";", "")</f>
        <v>cp ./img1/img84b3.jpg ../catalog/category/img1/;</v>
      </c>
      <c r="B157" t="str">
        <f>IF(LEN(categories!G157) &gt; 0, SUBSTITUTE("copy ."&amp;categories!G157&amp;" ./category"&amp;LEFT(categories!G157,6),"/","\"), "")</f>
        <v>copy .\img1\img84b3.jpg .\category\img1\</v>
      </c>
    </row>
    <row r="158" spans="1:2" x14ac:dyDescent="0.25">
      <c r="A158" t="str">
        <f>IF(LEN(categories!G158) &gt; 0, "cp ."&amp;categories!G158&amp;" ../catalog/category"&amp;LEFT(categories!G158,6)&amp;";", "")</f>
        <v>cp ./img1/imge448.jpg ../catalog/category/img1/;</v>
      </c>
      <c r="B158" t="str">
        <f>IF(LEN(categories!G158) &gt; 0, SUBSTITUTE("copy ."&amp;categories!G158&amp;" ./category"&amp;LEFT(categories!G158,6),"/","\"), "")</f>
        <v>copy .\img1\imge448.jpg .\category\img1\</v>
      </c>
    </row>
    <row r="159" spans="1:2" x14ac:dyDescent="0.25">
      <c r="A159" t="str">
        <f>IF(LEN(categories!G159) &gt; 0, "cp ."&amp;categories!G159&amp;" ../catalog/category"&amp;LEFT(categories!G159,6)&amp;";", "")</f>
        <v>cp ./img3/img1dc7.jpg ../catalog/category/img3/;</v>
      </c>
      <c r="B159" t="str">
        <f>IF(LEN(categories!G159) &gt; 0, SUBSTITUTE("copy ."&amp;categories!G159&amp;" ./category"&amp;LEFT(categories!G159,6),"/","\"), "")</f>
        <v>copy .\img3\img1dc7.jpg .\category\img3\</v>
      </c>
    </row>
    <row r="160" spans="1:2" x14ac:dyDescent="0.25">
      <c r="A160" t="str">
        <f>IF(LEN(categories!G160) &gt; 0, "cp ."&amp;categories!G160&amp;" ../catalog/category"&amp;LEFT(categories!G160,6)&amp;";", "")</f>
        <v>cp ./img2/img8f41.jpg ../catalog/category/img2/;</v>
      </c>
      <c r="B160" t="str">
        <f>IF(LEN(categories!G160) &gt; 0, SUBSTITUTE("copy ."&amp;categories!G160&amp;" ./category"&amp;LEFT(categories!G160,6),"/","\"), "")</f>
        <v>copy .\img2\img8f41.jpg .\category\img2\</v>
      </c>
    </row>
    <row r="161" spans="1:2" x14ac:dyDescent="0.25">
      <c r="A161" t="str">
        <f>IF(LEN(categories!G161) &gt; 0, "cp ."&amp;categories!G161&amp;" ../catalog/category"&amp;LEFT(categories!G161,6)&amp;";", "")</f>
        <v>cp ./img2/imge028.jpg ../catalog/category/img2/;</v>
      </c>
      <c r="B161" t="str">
        <f>IF(LEN(categories!G161) &gt; 0, SUBSTITUTE("copy ."&amp;categories!G161&amp;" ./category"&amp;LEFT(categories!G161,6),"/","\"), "")</f>
        <v>copy .\img2\imge028.jpg .\category\img2\</v>
      </c>
    </row>
    <row r="162" spans="1:2" x14ac:dyDescent="0.25">
      <c r="A162" t="str">
        <f>IF(LEN(categories!G162) &gt; 0, "cp ."&amp;categories!G162&amp;" ../catalog/category"&amp;LEFT(categories!G162,6)&amp;";", "")</f>
        <v>cp ./img3/imgcacc.jpg ../catalog/category/img3/;</v>
      </c>
      <c r="B162" t="str">
        <f>IF(LEN(categories!G162) &gt; 0, SUBSTITUTE("copy ."&amp;categories!G162&amp;" ./category"&amp;LEFT(categories!G162,6),"/","\"), "")</f>
        <v>copy .\img3\imgcacc.jpg .\category\img3\</v>
      </c>
    </row>
    <row r="163" spans="1:2" x14ac:dyDescent="0.25">
      <c r="A163" t="str">
        <f>IF(LEN(categories!G163) &gt; 0, "cp ."&amp;categories!G163&amp;" ../catalog/category"&amp;LEFT(categories!G163,6)&amp;";", "")</f>
        <v>cp ./img2/img8ce6.jpg ../catalog/category/img2/;</v>
      </c>
      <c r="B163" t="str">
        <f>IF(LEN(categories!G163) &gt; 0, SUBSTITUTE("copy ."&amp;categories!G163&amp;" ./category"&amp;LEFT(categories!G163,6),"/","\"), "")</f>
        <v>copy .\img2\img8ce6.jpg .\category\img2\</v>
      </c>
    </row>
    <row r="164" spans="1:2" x14ac:dyDescent="0.25">
      <c r="A164" t="str">
        <f>IF(LEN(categories!G164) &gt; 0, "cp ."&amp;categories!G164&amp;" ../catalog/category"&amp;LEFT(categories!G164,6)&amp;";", "")</f>
        <v>cp ./img1/img460f.jpg ../catalog/category/img1/;</v>
      </c>
      <c r="B164" t="str">
        <f>IF(LEN(categories!G164) &gt; 0, SUBSTITUTE("copy ."&amp;categories!G164&amp;" ./category"&amp;LEFT(categories!G164,6),"/","\"), "")</f>
        <v>copy .\img1\img460f.jpg .\category\img1\</v>
      </c>
    </row>
    <row r="165" spans="1:2" x14ac:dyDescent="0.25">
      <c r="A165" t="str">
        <f>IF(LEN(categories!G165) &gt; 0, "cp ."&amp;categories!G165&amp;" ../catalog/category"&amp;LEFT(categories!G165,6)&amp;";", "")</f>
        <v>cp ./img3/imgead6.jpg ../catalog/category/img3/;</v>
      </c>
      <c r="B165" t="str">
        <f>IF(LEN(categories!G165) &gt; 0, SUBSTITUTE("copy ."&amp;categories!G165&amp;" ./category"&amp;LEFT(categories!G165,6),"/","\"), "")</f>
        <v>copy .\img3\imgead6.jpg .\category\img3\</v>
      </c>
    </row>
    <row r="166" spans="1:2" x14ac:dyDescent="0.25">
      <c r="A166" t="str">
        <f>IF(LEN(categories!G166) &gt; 0, "cp ."&amp;categories!G166&amp;" ../catalog/category"&amp;LEFT(categories!G166,6)&amp;";", "")</f>
        <v>cp ./img1/imga660.jpg ../catalog/category/img1/;</v>
      </c>
      <c r="B166" t="str">
        <f>IF(LEN(categories!G166) &gt; 0, SUBSTITUTE("copy ."&amp;categories!G166&amp;" ./category"&amp;LEFT(categories!G166,6),"/","\"), "")</f>
        <v>copy .\img1\imga660.jpg .\category\img1\</v>
      </c>
    </row>
    <row r="167" spans="1:2" x14ac:dyDescent="0.25">
      <c r="A167" t="str">
        <f>IF(LEN(categories!G167) &gt; 0, "cp ."&amp;categories!G167&amp;" ../catalog/category"&amp;LEFT(categories!G167,6)&amp;";", "")</f>
        <v>cp ./img3/imgc5dd.jpg ../catalog/category/img3/;</v>
      </c>
      <c r="B167" t="str">
        <f>IF(LEN(categories!G167) &gt; 0, SUBSTITUTE("copy ."&amp;categories!G167&amp;" ./category"&amp;LEFT(categories!G167,6),"/","\"), "")</f>
        <v>copy .\img3\imgc5dd.jpg .\category\img3\</v>
      </c>
    </row>
    <row r="168" spans="1:2" x14ac:dyDescent="0.25">
      <c r="A168" t="str">
        <f>IF(LEN(categories!G168) &gt; 0, "cp ."&amp;categories!G168&amp;" ../catalog/category"&amp;LEFT(categories!G168,6)&amp;";", "")</f>
        <v>cp ./img3/imga87a.jpg ../catalog/category/img3/;</v>
      </c>
      <c r="B168" t="str">
        <f>IF(LEN(categories!G168) &gt; 0, SUBSTITUTE("copy ."&amp;categories!G168&amp;" ./category"&amp;LEFT(categories!G168,6),"/","\"), "")</f>
        <v>copy .\img3\imga87a.jpg .\category\img3\</v>
      </c>
    </row>
    <row r="169" spans="1:2" x14ac:dyDescent="0.25">
      <c r="A169" t="str">
        <f>IF(LEN(categories!G169) &gt; 0, "cp ."&amp;categories!G169&amp;" ../catalog/category"&amp;LEFT(categories!G169,6)&amp;";", "")</f>
        <v>cp ./img1/imgd945.jpg ../catalog/category/img1/;</v>
      </c>
      <c r="B169" t="str">
        <f>IF(LEN(categories!G169) &gt; 0, SUBSTITUTE("copy ."&amp;categories!G169&amp;" ./category"&amp;LEFT(categories!G169,6),"/","\"), "")</f>
        <v>copy .\img1\imgd945.jpg .\category\img1\</v>
      </c>
    </row>
    <row r="170" spans="1:2" x14ac:dyDescent="0.25">
      <c r="A170" t="str">
        <f>IF(LEN(categories!G170) &gt; 0, "cp ."&amp;categories!G170&amp;" ../catalog/category"&amp;LEFT(categories!G170,6)&amp;";", "")</f>
        <v>cp ./img3/imgf048.jpg ../catalog/category/img3/;</v>
      </c>
      <c r="B170" t="str">
        <f>IF(LEN(categories!G170) &gt; 0, SUBSTITUTE("copy ."&amp;categories!G170&amp;" ./category"&amp;LEFT(categories!G170,6),"/","\"), "")</f>
        <v>copy .\img3\imgf048.jpg .\category\img3\</v>
      </c>
    </row>
    <row r="171" spans="1:2" x14ac:dyDescent="0.25">
      <c r="A171" t="str">
        <f>IF(LEN(categories!G171) &gt; 0, "cp ."&amp;categories!G171&amp;" ../catalog/category"&amp;LEFT(categories!G171,6)&amp;";", "")</f>
        <v>cp ./img2/img8f7e.jpg ../catalog/category/img2/;</v>
      </c>
      <c r="B171" t="str">
        <f>IF(LEN(categories!G171) &gt; 0, SUBSTITUTE("copy ."&amp;categories!G171&amp;" ./category"&amp;LEFT(categories!G171,6),"/","\"), "")</f>
        <v>copy .\img2\img8f7e.jpg .\category\img2\</v>
      </c>
    </row>
    <row r="172" spans="1:2" x14ac:dyDescent="0.25">
      <c r="A172" t="str">
        <f>IF(LEN(categories!G172) &gt; 0, "cp ."&amp;categories!G172&amp;" ../catalog/category"&amp;LEFT(categories!G172,6)&amp;";", "")</f>
        <v>cp ./img3/img9531.jpg ../catalog/category/img3/;</v>
      </c>
      <c r="B172" t="str">
        <f>IF(LEN(categories!G172) &gt; 0, SUBSTITUTE("copy ."&amp;categories!G172&amp;" ./category"&amp;LEFT(categories!G172,6),"/","\"), "")</f>
        <v>copy .\img3\img9531.jpg .\category\img3\</v>
      </c>
    </row>
    <row r="173" spans="1:2" x14ac:dyDescent="0.25">
      <c r="A173" t="str">
        <f>IF(LEN(categories!G173) &gt; 0, "cp ."&amp;categories!G173&amp;" ../catalog/category"&amp;LEFT(categories!G173,6)&amp;";", "")</f>
        <v>cp ./img1/imgd01a.jpg ../catalog/category/img1/;</v>
      </c>
      <c r="B173" t="str">
        <f>IF(LEN(categories!G173) &gt; 0, SUBSTITUTE("copy ."&amp;categories!G173&amp;" ./category"&amp;LEFT(categories!G173,6),"/","\"), "")</f>
        <v>copy .\img1\imgd01a.jpg .\category\img1\</v>
      </c>
    </row>
    <row r="174" spans="1:2" x14ac:dyDescent="0.25">
      <c r="A174" t="str">
        <f>IF(LEN(categories!G174) &gt; 0, "cp ."&amp;categories!G174&amp;" ../catalog/category"&amp;LEFT(categories!G174,6)&amp;";", "")</f>
        <v>cp ./img2/img22f5.jpg ../catalog/category/img2/;</v>
      </c>
      <c r="B174" t="str">
        <f>IF(LEN(categories!G174) &gt; 0, SUBSTITUTE("copy ."&amp;categories!G174&amp;" ./category"&amp;LEFT(categories!G174,6),"/","\"), "")</f>
        <v>copy .\img2\img22f5.jpg .\category\img2\</v>
      </c>
    </row>
    <row r="175" spans="1:2" x14ac:dyDescent="0.25">
      <c r="A175" t="str">
        <f>IF(LEN(categories!G175) &gt; 0, "cp ."&amp;categories!G175&amp;" ../catalog/category"&amp;LEFT(categories!G175,6)&amp;";", "")</f>
        <v>cp ./img3/img2773.jpg ../catalog/category/img3/;</v>
      </c>
      <c r="B175" t="str">
        <f>IF(LEN(categories!G175) &gt; 0, SUBSTITUTE("copy ."&amp;categories!G175&amp;" ./category"&amp;LEFT(categories!G175,6),"/","\"), "")</f>
        <v>copy .\img3\img2773.jpg .\category\img3\</v>
      </c>
    </row>
    <row r="176" spans="1:2" x14ac:dyDescent="0.25">
      <c r="A176" t="str">
        <f>IF(LEN(categories!G176) &gt; 0, "cp ."&amp;categories!G176&amp;" ../catalog/category"&amp;LEFT(categories!G176,6)&amp;";", "")</f>
        <v>cp ./img1/imgcd31.jpg ../catalog/category/img1/;</v>
      </c>
      <c r="B176" t="str">
        <f>IF(LEN(categories!G176) &gt; 0, SUBSTITUTE("copy ."&amp;categories!G176&amp;" ./category"&amp;LEFT(categories!G176,6),"/","\"), "")</f>
        <v>copy .\img1\imgcd31.jpg .\category\img1\</v>
      </c>
    </row>
    <row r="177" spans="1:2" x14ac:dyDescent="0.25">
      <c r="A177" t="str">
        <f>IF(LEN(categories!G177) &gt; 0, "cp ."&amp;categories!G177&amp;" ../catalog/category"&amp;LEFT(categories!G177,6)&amp;";", "")</f>
        <v>cp ./img2/img3c0b.jpg ../catalog/category/img2/;</v>
      </c>
      <c r="B177" t="str">
        <f>IF(LEN(categories!G177) &gt; 0, SUBSTITUTE("copy ."&amp;categories!G177&amp;" ./category"&amp;LEFT(categories!G177,6),"/","\"), "")</f>
        <v>copy .\img2\img3c0b.jpg .\category\img2\</v>
      </c>
    </row>
    <row r="178" spans="1:2" x14ac:dyDescent="0.25">
      <c r="A178" t="str">
        <f>IF(LEN(categories!G178) &gt; 0, "cp ."&amp;categories!G178&amp;" ../catalog/category"&amp;LEFT(categories!G178,6)&amp;";", "")</f>
        <v>cp ./img2/img30e0.jpg ../catalog/category/img2/;</v>
      </c>
      <c r="B178" t="str">
        <f>IF(LEN(categories!G178) &gt; 0, SUBSTITUTE("copy ."&amp;categories!G178&amp;" ./category"&amp;LEFT(categories!G178,6),"/","\"), "")</f>
        <v>copy .\img2\img30e0.jpg .\category\img2\</v>
      </c>
    </row>
    <row r="179" spans="1:2" x14ac:dyDescent="0.25">
      <c r="A179" t="str">
        <f>IF(LEN(categories!G179) &gt; 0, "cp ."&amp;categories!G179&amp;" ../catalog/category"&amp;LEFT(categories!G179,6)&amp;";", "")</f>
        <v>cp ./img1/img7803.jpg ../catalog/category/img1/;</v>
      </c>
      <c r="B179" t="str">
        <f>IF(LEN(categories!G179) &gt; 0, SUBSTITUTE("copy ."&amp;categories!G179&amp;" ./category"&amp;LEFT(categories!G179,6),"/","\"), "")</f>
        <v>copy .\img1\img7803.jpg .\category\img1\</v>
      </c>
    </row>
    <row r="180" spans="1:2" x14ac:dyDescent="0.25">
      <c r="A180" t="str">
        <f>IF(LEN(categories!G180) &gt; 0, "cp ."&amp;categories!G180&amp;" ../catalog/category"&amp;LEFT(categories!G180,6)&amp;";", "")</f>
        <v>cp ./img3/img12c2.jpg ../catalog/category/img3/;</v>
      </c>
      <c r="B180" t="str">
        <f>IF(LEN(categories!G180) &gt; 0, SUBSTITUTE("copy ."&amp;categories!G180&amp;" ./category"&amp;LEFT(categories!G180,6),"/","\"), "")</f>
        <v>copy .\img3\img12c2.jpg .\category\img3\</v>
      </c>
    </row>
    <row r="181" spans="1:2" x14ac:dyDescent="0.25">
      <c r="A181" t="str">
        <f>IF(LEN(categories!G181) &gt; 0, "cp ."&amp;categories!G181&amp;" ../catalog/category"&amp;LEFT(categories!G181,6)&amp;";", "")</f>
        <v>cp ./img2/img470d.jpg ../catalog/category/img2/;</v>
      </c>
      <c r="B181" t="str">
        <f>IF(LEN(categories!G181) &gt; 0, SUBSTITUTE("copy ."&amp;categories!G181&amp;" ./category"&amp;LEFT(categories!G181,6),"/","\"), "")</f>
        <v>copy .\img2\img470d.jpg .\category\img2\</v>
      </c>
    </row>
    <row r="182" spans="1:2" x14ac:dyDescent="0.25">
      <c r="A182" t="str">
        <f>IF(LEN(categories!G182) &gt; 0, "cp ."&amp;categories!G182&amp;" ../catalog/category"&amp;LEFT(categories!G182,6)&amp;";", "")</f>
        <v>cp ./img2/imgb35e.jpg ../catalog/category/img2/;</v>
      </c>
      <c r="B182" t="str">
        <f>IF(LEN(categories!G182) &gt; 0, SUBSTITUTE("copy ."&amp;categories!G182&amp;" ./category"&amp;LEFT(categories!G182,6),"/","\"), "")</f>
        <v>copy .\img2\imgb35e.jpg .\category\img2\</v>
      </c>
    </row>
    <row r="183" spans="1:2" x14ac:dyDescent="0.25">
      <c r="A183" t="str">
        <f>IF(LEN(categories!G183) &gt; 0, "cp ."&amp;categories!G183&amp;" ../catalog/category"&amp;LEFT(categories!G183,6)&amp;";", "")</f>
        <v>cp ./img2/img65a0.jpg ../catalog/category/img2/;</v>
      </c>
      <c r="B183" t="str">
        <f>IF(LEN(categories!G183) &gt; 0, SUBSTITUTE("copy ."&amp;categories!G183&amp;" ./category"&amp;LEFT(categories!G183,6),"/","\"), "")</f>
        <v>copy .\img2\img65a0.jpg .\category\img2\</v>
      </c>
    </row>
    <row r="184" spans="1:2" x14ac:dyDescent="0.25">
      <c r="A184" t="str">
        <f>IF(LEN(categories!G184) &gt; 0, "cp ."&amp;categories!G184&amp;" ../catalog/category"&amp;LEFT(categories!G184,6)&amp;";", "")</f>
        <v>cp ./img1/imgde32.jpg ../catalog/category/img1/;</v>
      </c>
      <c r="B184" t="str">
        <f>IF(LEN(categories!G184) &gt; 0, SUBSTITUTE("copy ."&amp;categories!G184&amp;" ./category"&amp;LEFT(categories!G184,6),"/","\"), "")</f>
        <v>copy .\img1\imgde32.jpg .\category\img1\</v>
      </c>
    </row>
    <row r="185" spans="1:2" x14ac:dyDescent="0.25">
      <c r="A185" t="str">
        <f>IF(LEN(categories!G185) &gt; 0, "cp ."&amp;categories!G185&amp;" ../catalog/category"&amp;LEFT(categories!G185,6)&amp;";", "")</f>
        <v>cp ./img2/img3461.jpg ../catalog/category/img2/;</v>
      </c>
      <c r="B185" t="str">
        <f>IF(LEN(categories!G185) &gt; 0, SUBSTITUTE("copy ."&amp;categories!G185&amp;" ./category"&amp;LEFT(categories!G185,6),"/","\"), "")</f>
        <v>copy .\img2\img3461.jpg .\category\img2\</v>
      </c>
    </row>
    <row r="186" spans="1:2" x14ac:dyDescent="0.25">
      <c r="A186" t="str">
        <f>IF(LEN(categories!G186) &gt; 0, "cp ."&amp;categories!G186&amp;" ../catalog/category"&amp;LEFT(categories!G186,6)&amp;";", "")</f>
        <v>cp ./img3/img06be.jpg ../catalog/category/img3/;</v>
      </c>
      <c r="B186" t="str">
        <f>IF(LEN(categories!G186) &gt; 0, SUBSTITUTE("copy ."&amp;categories!G186&amp;" ./category"&amp;LEFT(categories!G186,6),"/","\"), "")</f>
        <v>copy .\img3\img06be.jpg .\category\img3\</v>
      </c>
    </row>
    <row r="187" spans="1:2" x14ac:dyDescent="0.25">
      <c r="A187" t="str">
        <f>IF(LEN(categories!G187) &gt; 0, "cp ."&amp;categories!G187&amp;" ../catalog/category"&amp;LEFT(categories!G187,6)&amp;";", "")</f>
        <v>cp ./img1/imga339.jpg ../catalog/category/img1/;</v>
      </c>
      <c r="B187" t="str">
        <f>IF(LEN(categories!G187) &gt; 0, SUBSTITUTE("copy ."&amp;categories!G187&amp;" ./category"&amp;LEFT(categories!G187,6),"/","\"), "")</f>
        <v>copy .\img1\imga339.jpg .\category\img1\</v>
      </c>
    </row>
    <row r="188" spans="1:2" x14ac:dyDescent="0.25">
      <c r="A188" t="str">
        <f>IF(LEN(categories!G188) &gt; 0, "cp ."&amp;categories!G188&amp;" ../catalog/category"&amp;LEFT(categories!G188,6)&amp;";", "")</f>
        <v>cp ./img1/imgcd04.jpg ../catalog/category/img1/;</v>
      </c>
      <c r="B188" t="str">
        <f>IF(LEN(categories!G188) &gt; 0, SUBSTITUTE("copy ."&amp;categories!G188&amp;" ./category"&amp;LEFT(categories!G188,6),"/","\"), "")</f>
        <v>copy .\img1\imgcd04.jpg .\category\img1\</v>
      </c>
    </row>
    <row r="189" spans="1:2" x14ac:dyDescent="0.25">
      <c r="A189" t="str">
        <f>IF(LEN(categories!G189) &gt; 0, "cp ."&amp;categories!G189&amp;" ../catalog/category"&amp;LEFT(categories!G189,6)&amp;";", "")</f>
        <v>cp ./img3/img57df.jpg ../catalog/category/img3/;</v>
      </c>
      <c r="B189" t="str">
        <f>IF(LEN(categories!G189) &gt; 0, SUBSTITUTE("copy ."&amp;categories!G189&amp;" ./category"&amp;LEFT(categories!G189,6),"/","\"), "")</f>
        <v>copy .\img3\img57df.jpg .\category\img3\</v>
      </c>
    </row>
    <row r="190" spans="1:2" x14ac:dyDescent="0.25">
      <c r="A190" t="str">
        <f>IF(LEN(categories!G190) &gt; 0, "cp ."&amp;categories!G190&amp;" ../catalog/category"&amp;LEFT(categories!G190,6)&amp;";", "")</f>
        <v>cp ./img3/img4575.jpg ../catalog/category/img3/;</v>
      </c>
      <c r="B190" t="str">
        <f>IF(LEN(categories!G190) &gt; 0, SUBSTITUTE("copy ."&amp;categories!G190&amp;" ./category"&amp;LEFT(categories!G190,6),"/","\"), "")</f>
        <v>copy .\img3\img4575.jpg .\category\img3\</v>
      </c>
    </row>
    <row r="191" spans="1:2" x14ac:dyDescent="0.25">
      <c r="A191" t="str">
        <f>IF(LEN(categories!G191) &gt; 0, "cp ."&amp;categories!G191&amp;" ../catalog/category"&amp;LEFT(categories!G191,6)&amp;";", "")</f>
        <v>cp ./img2/imgb152.jpg ../catalog/category/img2/;</v>
      </c>
      <c r="B191" t="str">
        <f>IF(LEN(categories!G191) &gt; 0, SUBSTITUTE("copy ."&amp;categories!G191&amp;" ./category"&amp;LEFT(categories!G191,6),"/","\"), "")</f>
        <v>copy .\img2\imgb152.jpg .\category\img2\</v>
      </c>
    </row>
    <row r="192" spans="1:2" x14ac:dyDescent="0.25">
      <c r="A192" t="str">
        <f>IF(LEN(categories!G192) &gt; 0, "cp ."&amp;categories!G192&amp;" ../catalog/category"&amp;LEFT(categories!G192,6)&amp;";", "")</f>
        <v>cp ./img1/img4dd0.jpg ../catalog/category/img1/;</v>
      </c>
      <c r="B192" t="str">
        <f>IF(LEN(categories!G192) &gt; 0, SUBSTITUTE("copy ."&amp;categories!G192&amp;" ./category"&amp;LEFT(categories!G192,6),"/","\"), "")</f>
        <v>copy .\img1\img4dd0.jpg .\category\img1\</v>
      </c>
    </row>
    <row r="193" spans="1:2" x14ac:dyDescent="0.25">
      <c r="A193" t="str">
        <f>IF(LEN(categories!G193) &gt; 0, "cp ."&amp;categories!G193&amp;" ../catalog/category"&amp;LEFT(categories!G193,6)&amp;";", "")</f>
        <v>cp ./img3/img049b.jpg ../catalog/category/img3/;</v>
      </c>
      <c r="B193" t="str">
        <f>IF(LEN(categories!G193) &gt; 0, SUBSTITUTE("copy ."&amp;categories!G193&amp;" ./category"&amp;LEFT(categories!G193,6),"/","\"), "")</f>
        <v>copy .\img3\img049b.jpg .\category\img3\</v>
      </c>
    </row>
    <row r="194" spans="1:2" x14ac:dyDescent="0.25">
      <c r="A194" t="str">
        <f>IF(LEN(categories!G194) &gt; 0, "cp ."&amp;categories!G194&amp;" ../catalog/category"&amp;LEFT(categories!G194,6)&amp;";", "")</f>
        <v>cp ./img1/imgadc0.jpg ../catalog/category/img1/;</v>
      </c>
      <c r="B194" t="str">
        <f>IF(LEN(categories!G194) &gt; 0, SUBSTITUTE("copy ."&amp;categories!G194&amp;" ./category"&amp;LEFT(categories!G194,6),"/","\"), "")</f>
        <v>copy .\img1\imgadc0.jpg .\category\img1\</v>
      </c>
    </row>
    <row r="195" spans="1:2" x14ac:dyDescent="0.25">
      <c r="A195" t="str">
        <f>IF(LEN(categories!G195) &gt; 0, "cp ."&amp;categories!G195&amp;" ../catalog/category"&amp;LEFT(categories!G195,6)&amp;";", "")</f>
        <v>cp ./img3/imgf5cd.jpg ../catalog/category/img3/;</v>
      </c>
      <c r="B195" t="str">
        <f>IF(LEN(categories!G195) &gt; 0, SUBSTITUTE("copy ."&amp;categories!G195&amp;" ./category"&amp;LEFT(categories!G195,6),"/","\"), "")</f>
        <v>copy .\img3\imgf5cd.jpg .\category\img3\</v>
      </c>
    </row>
    <row r="196" spans="1:2" x14ac:dyDescent="0.25">
      <c r="A196" t="str">
        <f>IF(LEN(categories!G196) &gt; 0, "cp ."&amp;categories!G196&amp;" ../catalog/category"&amp;LEFT(categories!G196,6)&amp;";", "")</f>
        <v>cp ./img2/img1070.jpg ../catalog/category/img2/;</v>
      </c>
      <c r="B196" t="str">
        <f>IF(LEN(categories!G196) &gt; 0, SUBSTITUTE("copy ."&amp;categories!G196&amp;" ./category"&amp;LEFT(categories!G196,6),"/","\"), "")</f>
        <v>copy .\img2\img1070.jpg .\category\img2\</v>
      </c>
    </row>
    <row r="197" spans="1:2" x14ac:dyDescent="0.25">
      <c r="A197" t="str">
        <f>IF(LEN(categories!G197) &gt; 0, "cp ."&amp;categories!G197&amp;" ../catalog/category"&amp;LEFT(categories!G197,6)&amp;";", "")</f>
        <v>cp ./img3/imgefee.jpg ../catalog/category/img3/;</v>
      </c>
      <c r="B197" t="str">
        <f>IF(LEN(categories!G197) &gt; 0, SUBSTITUTE("copy ."&amp;categories!G197&amp;" ./category"&amp;LEFT(categories!G197,6),"/","\"), "")</f>
        <v>copy .\img3\imgefee.jpg .\category\img3\</v>
      </c>
    </row>
    <row r="198" spans="1:2" x14ac:dyDescent="0.25">
      <c r="A198" t="str">
        <f>IF(LEN(categories!G198) &gt; 0, "cp ."&amp;categories!G198&amp;" ../catalog/category"&amp;LEFT(categories!G198,6)&amp;";", "")</f>
        <v>cp ./img2/imga126.jpg ../catalog/category/img2/;</v>
      </c>
      <c r="B198" t="str">
        <f>IF(LEN(categories!G198) &gt; 0, SUBSTITUTE("copy ."&amp;categories!G198&amp;" ./category"&amp;LEFT(categories!G198,6),"/","\"), "")</f>
        <v>copy .\img2\imga126.jpg .\category\img2\</v>
      </c>
    </row>
    <row r="199" spans="1:2" x14ac:dyDescent="0.25">
      <c r="A199" t="str">
        <f>IF(LEN(categories!G199) &gt; 0, "cp ."&amp;categories!G199&amp;" ../catalog/category"&amp;LEFT(categories!G199,6)&amp;";", "")</f>
        <v>cp ./img2/imgedc5.jpg ../catalog/category/img2/;</v>
      </c>
      <c r="B199" t="str">
        <f>IF(LEN(categories!G199) &gt; 0, SUBSTITUTE("copy ."&amp;categories!G199&amp;" ./category"&amp;LEFT(categories!G199,6),"/","\"), "")</f>
        <v>copy .\img2\imgedc5.jpg .\category\img2\</v>
      </c>
    </row>
    <row r="200" spans="1:2" hidden="1" x14ac:dyDescent="0.25">
      <c r="A200" t="e">
        <f>IF(LEN(categories!G200) &gt; 0, "cp ."&amp;categories!G200&amp;" ../catalog/category"&amp;LEFT(categories!G200,6)&amp;";", "")</f>
        <v>#N/A</v>
      </c>
      <c r="B200" t="e">
        <f>IF(LEN(categories!G200) &gt; 0, SUBSTITUTE("copy ."&amp;categories!G200&amp;" ./category"&amp;LEFT(categories!G200,6),"/","\"), "")</f>
        <v>#N/A</v>
      </c>
    </row>
    <row r="201" spans="1:2" hidden="1" x14ac:dyDescent="0.25">
      <c r="A201" t="e">
        <f>IF(LEN(categories!G201) &gt; 0, "cp ."&amp;categories!G201&amp;" ../catalog/category"&amp;LEFT(categories!G201,6)&amp;";", "")</f>
        <v>#N/A</v>
      </c>
      <c r="B201" t="e">
        <f>IF(LEN(categories!G201) &gt; 0, SUBSTITUTE("copy ."&amp;categories!G201&amp;" ./category"&amp;LEFT(categories!G201,6),"/","\"), "")</f>
        <v>#N/A</v>
      </c>
    </row>
    <row r="202" spans="1:2" x14ac:dyDescent="0.25">
      <c r="A202" t="str">
        <f>IF(LEN(categories!G202) &gt; 0, "cp ."&amp;categories!G202&amp;" ../catalog/category"&amp;LEFT(categories!G202,6)&amp;";", "")</f>
        <v>cp ./img2/img9907.jpg ../catalog/category/img2/;</v>
      </c>
      <c r="B202" t="str">
        <f>IF(LEN(categories!G202) &gt; 0, SUBSTITUTE("copy ."&amp;categories!G202&amp;" ./category"&amp;LEFT(categories!G202,6),"/","\"), "")</f>
        <v>copy .\img2\img9907.jpg .\category\img2\</v>
      </c>
    </row>
    <row r="203" spans="1:2" x14ac:dyDescent="0.25">
      <c r="A203" t="str">
        <f>IF(LEN(categories!G203) &gt; 0, "cp ."&amp;categories!G203&amp;" ../catalog/category"&amp;LEFT(categories!G203,6)&amp;";", "")</f>
        <v>cp ./img1/img26c7.jpg ../catalog/category/img1/;</v>
      </c>
      <c r="B203" t="str">
        <f>IF(LEN(categories!G203) &gt; 0, SUBSTITUTE("copy ."&amp;categories!G203&amp;" ./category"&amp;LEFT(categories!G203,6),"/","\"), "")</f>
        <v>copy .\img1\img26c7.jpg .\category\img1\</v>
      </c>
    </row>
    <row r="204" spans="1:2" x14ac:dyDescent="0.25">
      <c r="A204" t="str">
        <f>IF(LEN(categories!G204) &gt; 0, "cp ."&amp;categories!G204&amp;" ../catalog/category"&amp;LEFT(categories!G204,6)&amp;";", "")</f>
        <v>cp ./img2/img4809.jpg ../catalog/category/img2/;</v>
      </c>
      <c r="B204" t="str">
        <f>IF(LEN(categories!G204) &gt; 0, SUBSTITUTE("copy ."&amp;categories!G204&amp;" ./category"&amp;LEFT(categories!G204,6),"/","\"), "")</f>
        <v>copy .\img2\img4809.jpg .\category\img2\</v>
      </c>
    </row>
    <row r="205" spans="1:2" x14ac:dyDescent="0.25">
      <c r="A205" t="str">
        <f>IF(LEN(categories!G205) &gt; 0, "cp ."&amp;categories!G205&amp;" ../catalog/category"&amp;LEFT(categories!G205,6)&amp;";", "")</f>
        <v>cp ./img2/img7a65.jpg ../catalog/category/img2/;</v>
      </c>
      <c r="B205" t="str">
        <f>IF(LEN(categories!G205) &gt; 0, SUBSTITUTE("copy ."&amp;categories!G205&amp;" ./category"&amp;LEFT(categories!G205,6),"/","\"), "")</f>
        <v>copy .\img2\img7a65.jpg .\category\img2\</v>
      </c>
    </row>
    <row r="206" spans="1:2" x14ac:dyDescent="0.25">
      <c r="A206" t="str">
        <f>IF(LEN(categories!G206) &gt; 0, "cp ."&amp;categories!G206&amp;" ../catalog/category"&amp;LEFT(categories!G206,6)&amp;";", "")</f>
        <v>cp ./img2/img194f.jpg ../catalog/category/img2/;</v>
      </c>
      <c r="B206" t="str">
        <f>IF(LEN(categories!G206) &gt; 0, SUBSTITUTE("copy ."&amp;categories!G206&amp;" ./category"&amp;LEFT(categories!G206,6),"/","\"), "")</f>
        <v>copy .\img2\img194f.jpg .\category\img2\</v>
      </c>
    </row>
    <row r="207" spans="1:2" x14ac:dyDescent="0.25">
      <c r="A207" t="str">
        <f>IF(LEN(categories!G207) &gt; 0, "cp ."&amp;categories!G207&amp;" ../catalog/category"&amp;LEFT(categories!G207,6)&amp;";", "")</f>
        <v>cp ./img3/img985d.jpg ../catalog/category/img3/;</v>
      </c>
      <c r="B207" t="str">
        <f>IF(LEN(categories!G207) &gt; 0, SUBSTITUTE("copy ."&amp;categories!G207&amp;" ./category"&amp;LEFT(categories!G207,6),"/","\"), "")</f>
        <v>copy .\img3\img985d.jpg .\category\img3\</v>
      </c>
    </row>
    <row r="208" spans="1:2" x14ac:dyDescent="0.25">
      <c r="A208" t="str">
        <f>IF(LEN(categories!G208) &gt; 0, "cp ."&amp;categories!G208&amp;" ../catalog/category"&amp;LEFT(categories!G208,6)&amp;";", "")</f>
        <v>cp ./img1/imgea71.jpg ../catalog/category/img1/;</v>
      </c>
      <c r="B208" t="str">
        <f>IF(LEN(categories!G208) &gt; 0, SUBSTITUTE("copy ."&amp;categories!G208&amp;" ./category"&amp;LEFT(categories!G208,6),"/","\"), "")</f>
        <v>copy .\img1\imgea71.jpg .\category\img1\</v>
      </c>
    </row>
    <row r="209" spans="1:2" x14ac:dyDescent="0.25">
      <c r="A209" t="str">
        <f>IF(LEN(categories!G209) &gt; 0, "cp ."&amp;categories!G209&amp;" ../catalog/category"&amp;LEFT(categories!G209,6)&amp;";", "")</f>
        <v>cp ./img3/imgaf45.jpg ../catalog/category/img3/;</v>
      </c>
      <c r="B209" t="str">
        <f>IF(LEN(categories!G209) &gt; 0, SUBSTITUTE("copy ."&amp;categories!G209&amp;" ./category"&amp;LEFT(categories!G209,6),"/","\"), "")</f>
        <v>copy .\img3\imgaf45.jpg .\category\img3\</v>
      </c>
    </row>
    <row r="210" spans="1:2" x14ac:dyDescent="0.25">
      <c r="A210" t="str">
        <f>IF(LEN(categories!G210) &gt; 0, "cp ."&amp;categories!G210&amp;" ../catalog/category"&amp;LEFT(categories!G210,6)&amp;";", "")</f>
        <v>cp ./img1/imgfec7.jpg ../catalog/category/img1/;</v>
      </c>
      <c r="B210" t="str">
        <f>IF(LEN(categories!G210) &gt; 0, SUBSTITUTE("copy ."&amp;categories!G210&amp;" ./category"&amp;LEFT(categories!G210,6),"/","\"), "")</f>
        <v>copy .\img1\imgfec7.jpg .\category\img1\</v>
      </c>
    </row>
    <row r="211" spans="1:2" x14ac:dyDescent="0.25">
      <c r="A211" t="str">
        <f>IF(LEN(categories!G211) &gt; 0, "cp ."&amp;categories!G211&amp;" ../catalog/category"&amp;LEFT(categories!G211,6)&amp;";", "")</f>
        <v>cp ./img2/img86ef.jpg ../catalog/category/img2/;</v>
      </c>
      <c r="B211" t="str">
        <f>IF(LEN(categories!G211) &gt; 0, SUBSTITUTE("copy ."&amp;categories!G211&amp;" ./category"&amp;LEFT(categories!G211,6),"/","\"), "")</f>
        <v>copy .\img2\img86ef.jpg .\category\img2\</v>
      </c>
    </row>
    <row r="212" spans="1:2" x14ac:dyDescent="0.25">
      <c r="A212" t="str">
        <f>IF(LEN(categories!G212) &gt; 0, "cp ."&amp;categories!G212&amp;" ../catalog/category"&amp;LEFT(categories!G212,6)&amp;";", "")</f>
        <v>cp ./img2/img1e6d.jpg ../catalog/category/img2/;</v>
      </c>
      <c r="B212" t="str">
        <f>IF(LEN(categories!G212) &gt; 0, SUBSTITUTE("copy ."&amp;categories!G212&amp;" ./category"&amp;LEFT(categories!G212,6),"/","\"), "")</f>
        <v>copy .\img2\img1e6d.jpg .\category\img2\</v>
      </c>
    </row>
    <row r="213" spans="1:2" x14ac:dyDescent="0.25">
      <c r="A213" t="str">
        <f>IF(LEN(categories!G213) &gt; 0, "cp ."&amp;categories!G213&amp;" ../catalog/category"&amp;LEFT(categories!G213,6)&amp;";", "")</f>
        <v>cp ./img2/imgbc36.jpg ../catalog/category/img2/;</v>
      </c>
      <c r="B213" t="str">
        <f>IF(LEN(categories!G213) &gt; 0, SUBSTITUTE("copy ."&amp;categories!G213&amp;" ./category"&amp;LEFT(categories!G213,6),"/","\"), "")</f>
        <v>copy .\img2\imgbc36.jpg .\category\img2\</v>
      </c>
    </row>
    <row r="214" spans="1:2" x14ac:dyDescent="0.25">
      <c r="A214" t="str">
        <f>IF(LEN(categories!G214) &gt; 0, "cp ."&amp;categories!G214&amp;" ../catalog/category"&amp;LEFT(categories!G214,6)&amp;";", "")</f>
        <v>cp ./img3/img9f1f.jpg ../catalog/category/img3/;</v>
      </c>
      <c r="B214" t="str">
        <f>IF(LEN(categories!G214) &gt; 0, SUBSTITUTE("copy ."&amp;categories!G214&amp;" ./category"&amp;LEFT(categories!G214,6),"/","\"), "")</f>
        <v>copy .\img3\img9f1f.jpg .\category\img3\</v>
      </c>
    </row>
    <row r="215" spans="1:2" x14ac:dyDescent="0.25">
      <c r="A215" t="str">
        <f>IF(LEN(categories!G215) &gt; 0, "cp ."&amp;categories!G215&amp;" ../catalog/category"&amp;LEFT(categories!G215,6)&amp;";", "")</f>
        <v>cp ./img1/img6ee1.jpg ../catalog/category/img1/;</v>
      </c>
      <c r="B215" t="str">
        <f>IF(LEN(categories!G215) &gt; 0, SUBSTITUTE("copy ."&amp;categories!G215&amp;" ./category"&amp;LEFT(categories!G215,6),"/","\"), "")</f>
        <v>copy .\img1\img6ee1.jpg .\category\img1\</v>
      </c>
    </row>
    <row r="216" spans="1:2" x14ac:dyDescent="0.25">
      <c r="A216" t="str">
        <f>IF(LEN(categories!G216) &gt; 0, "cp ."&amp;categories!G216&amp;" ../catalog/category"&amp;LEFT(categories!G216,6)&amp;";", "")</f>
        <v>cp ./img2/img3a91.jpg ../catalog/category/img2/;</v>
      </c>
      <c r="B216" t="str">
        <f>IF(LEN(categories!G216) &gt; 0, SUBSTITUTE("copy ."&amp;categories!G216&amp;" ./category"&amp;LEFT(categories!G216,6),"/","\"), "")</f>
        <v>copy .\img2\img3a91.jpg .\category\img2\</v>
      </c>
    </row>
    <row r="217" spans="1:2" x14ac:dyDescent="0.25">
      <c r="A217" t="str">
        <f>IF(LEN(categories!G217) &gt; 0, "cp ."&amp;categories!G217&amp;" ../catalog/category"&amp;LEFT(categories!G217,6)&amp;";", "")</f>
        <v>cp ./img3/imgbe6d-2.jpg ../catalog/category/img3/;</v>
      </c>
      <c r="B217" t="str">
        <f>IF(LEN(categories!G217) &gt; 0, SUBSTITUTE("copy ."&amp;categories!G217&amp;" ./category"&amp;LEFT(categories!G217,6),"/","\"), "")</f>
        <v>copy .\img3\imgbe6d-2.jpg .\category\img3\</v>
      </c>
    </row>
    <row r="218" spans="1:2" x14ac:dyDescent="0.25">
      <c r="A218" t="str">
        <f>IF(LEN(categories!G218) &gt; 0, "cp ."&amp;categories!G218&amp;" ../catalog/category"&amp;LEFT(categories!G218,6)&amp;";", "")</f>
        <v>cp ./img1/imgb1e8.jpg ../catalog/category/img1/;</v>
      </c>
      <c r="B218" t="str">
        <f>IF(LEN(categories!G218) &gt; 0, SUBSTITUTE("copy ."&amp;categories!G218&amp;" ./category"&amp;LEFT(categories!G218,6),"/","\"), "")</f>
        <v>copy .\img1\imgb1e8.jpg .\category\img1\</v>
      </c>
    </row>
    <row r="219" spans="1:2" x14ac:dyDescent="0.25">
      <c r="A219" t="str">
        <f>IF(LEN(categories!G219) &gt; 0, "cp ."&amp;categories!G219&amp;" ../catalog/category"&amp;LEFT(categories!G219,6)&amp;";", "")</f>
        <v>cp ./img2/img8592.jpg ../catalog/category/img2/;</v>
      </c>
      <c r="B219" t="str">
        <f>IF(LEN(categories!G219) &gt; 0, SUBSTITUTE("copy ."&amp;categories!G219&amp;" ./category"&amp;LEFT(categories!G219,6),"/","\"), "")</f>
        <v>copy .\img2\img8592.jpg .\category\img2\</v>
      </c>
    </row>
    <row r="220" spans="1:2" x14ac:dyDescent="0.25">
      <c r="A220" t="str">
        <f>IF(LEN(categories!G220) &gt; 0, "cp ."&amp;categories!G220&amp;" ../catalog/category"&amp;LEFT(categories!G220,6)&amp;";", "")</f>
        <v>cp ./img3/imga596.jpg ../catalog/category/img3/;</v>
      </c>
      <c r="B220" t="str">
        <f>IF(LEN(categories!G220) &gt; 0, SUBSTITUTE("copy ."&amp;categories!G220&amp;" ./category"&amp;LEFT(categories!G220,6),"/","\"), "")</f>
        <v>copy .\img3\imga596.jpg .\category\img3\</v>
      </c>
    </row>
    <row r="221" spans="1:2" x14ac:dyDescent="0.25">
      <c r="A221" t="str">
        <f>IF(LEN(categories!G221) &gt; 0, "cp ."&amp;categories!G221&amp;" ../catalog/category"&amp;LEFT(categories!G221,6)&amp;";", "")</f>
        <v>cp ./img1/img5c7c.jpg ../catalog/category/img1/;</v>
      </c>
      <c r="B221" t="str">
        <f>IF(LEN(categories!G221) &gt; 0, SUBSTITUTE("copy ."&amp;categories!G221&amp;" ./category"&amp;LEFT(categories!G221,6),"/","\"), "")</f>
        <v>copy .\img1\img5c7c.jpg .\category\img1\</v>
      </c>
    </row>
    <row r="222" spans="1:2" x14ac:dyDescent="0.25">
      <c r="A222" t="str">
        <f>IF(LEN(categories!G222) &gt; 0, "cp ."&amp;categories!G222&amp;" ../catalog/category"&amp;LEFT(categories!G222,6)&amp;";", "")</f>
        <v>cp ./img2/img3ceb.jpg ../catalog/category/img2/;</v>
      </c>
      <c r="B222" t="str">
        <f>IF(LEN(categories!G222) &gt; 0, SUBSTITUTE("copy ."&amp;categories!G222&amp;" ./category"&amp;LEFT(categories!G222,6),"/","\"), "")</f>
        <v>copy .\img2\img3ceb.jpg .\category\img2\</v>
      </c>
    </row>
    <row r="223" spans="1:2" x14ac:dyDescent="0.25">
      <c r="A223" t="str">
        <f>IF(LEN(categories!G223) &gt; 0, "cp ."&amp;categories!G223&amp;" ../catalog/category"&amp;LEFT(categories!G223,6)&amp;";", "")</f>
        <v>cp ./img3/imgeeb9.jpg ../catalog/category/img3/;</v>
      </c>
      <c r="B223" t="str">
        <f>IF(LEN(categories!G223) &gt; 0, SUBSTITUTE("copy ."&amp;categories!G223&amp;" ./category"&amp;LEFT(categories!G223,6),"/","\"), "")</f>
        <v>copy .\img3\imgeeb9.jpg .\category\img3\</v>
      </c>
    </row>
    <row r="224" spans="1:2" x14ac:dyDescent="0.25">
      <c r="A224" t="str">
        <f>IF(LEN(categories!G224) &gt; 0, "cp ."&amp;categories!G224&amp;" ../catalog/category"&amp;LEFT(categories!G224,6)&amp;";", "")</f>
        <v>cp ./img3/img4eba.jpg ../catalog/category/img3/;</v>
      </c>
      <c r="B224" t="str">
        <f>IF(LEN(categories!G224) &gt; 0, SUBSTITUTE("copy ."&amp;categories!G224&amp;" ./category"&amp;LEFT(categories!G224,6),"/","\"), "")</f>
        <v>copy .\img3\img4eba.jpg .\category\img3\</v>
      </c>
    </row>
    <row r="225" spans="1:2" x14ac:dyDescent="0.25">
      <c r="A225" t="str">
        <f>IF(LEN(categories!G225) &gt; 0, "cp ."&amp;categories!G225&amp;" ../catalog/category"&amp;LEFT(categories!G225,6)&amp;";", "")</f>
        <v>cp ./img3/imgce6b.jpg ../catalog/category/img3/;</v>
      </c>
      <c r="B225" t="str">
        <f>IF(LEN(categories!G225) &gt; 0, SUBSTITUTE("copy ."&amp;categories!G225&amp;" ./category"&amp;LEFT(categories!G225,6),"/","\"), "")</f>
        <v>copy .\img3\imgce6b.jpg .\category\img3\</v>
      </c>
    </row>
    <row r="226" spans="1:2" x14ac:dyDescent="0.25">
      <c r="A226" t="str">
        <f>IF(LEN(categories!G226) &gt; 0, "cp ."&amp;categories!G226&amp;" ../catalog/category"&amp;LEFT(categories!G226,6)&amp;";", "")</f>
        <v>cp ./img3/img5b2f.jpg ../catalog/category/img3/;</v>
      </c>
      <c r="B226" t="str">
        <f>IF(LEN(categories!G226) &gt; 0, SUBSTITUTE("copy ."&amp;categories!G226&amp;" ./category"&amp;LEFT(categories!G226,6),"/","\"), "")</f>
        <v>copy .\img3\img5b2f.jpg .\category\img3\</v>
      </c>
    </row>
    <row r="227" spans="1:2" x14ac:dyDescent="0.25">
      <c r="A227" t="str">
        <f>IF(LEN(categories!G227) &gt; 0, "cp ."&amp;categories!G227&amp;" ../catalog/category"&amp;LEFT(categories!G227,6)&amp;";", "")</f>
        <v>cp ./img2/imgfefb.jpg ../catalog/category/img2/;</v>
      </c>
      <c r="B227" t="str">
        <f>IF(LEN(categories!G227) &gt; 0, SUBSTITUTE("copy ."&amp;categories!G227&amp;" ./category"&amp;LEFT(categories!G227,6),"/","\"), "")</f>
        <v>copy .\img2\imgfefb.jpg .\category\img2\</v>
      </c>
    </row>
    <row r="228" spans="1:2" x14ac:dyDescent="0.25">
      <c r="A228" t="str">
        <f>IF(LEN(categories!G228) &gt; 0, "cp ."&amp;categories!G228&amp;" ../catalog/category"&amp;LEFT(categories!G228,6)&amp;";", "")</f>
        <v>cp ./img1/img3c40.jpg ../catalog/category/img1/;</v>
      </c>
      <c r="B228" t="str">
        <f>IF(LEN(categories!G228) &gt; 0, SUBSTITUTE("copy ."&amp;categories!G228&amp;" ./category"&amp;LEFT(categories!G228,6),"/","\"), "")</f>
        <v>copy .\img1\img3c40.jpg .\category\img1\</v>
      </c>
    </row>
    <row r="229" spans="1:2" x14ac:dyDescent="0.25">
      <c r="A229" t="str">
        <f>IF(LEN(categories!G229) &gt; 0, "cp ."&amp;categories!G229&amp;" ../catalog/category"&amp;LEFT(categories!G229,6)&amp;";", "")</f>
        <v>cp ./img2/imge011.jpg ../catalog/category/img2/;</v>
      </c>
      <c r="B229" t="str">
        <f>IF(LEN(categories!G229) &gt; 0, SUBSTITUTE("copy ."&amp;categories!G229&amp;" ./category"&amp;LEFT(categories!G229,6),"/","\"), "")</f>
        <v>copy .\img2\imge011.jpg .\category\img2\</v>
      </c>
    </row>
    <row r="230" spans="1:2" x14ac:dyDescent="0.25">
      <c r="A230" t="str">
        <f>IF(LEN(categories!G230) &gt; 0, "cp ."&amp;categories!G230&amp;" ../catalog/category"&amp;LEFT(categories!G230,6)&amp;";", "")</f>
        <v>cp ./img1/img0c59.jpg ../catalog/category/img1/;</v>
      </c>
      <c r="B230" t="str">
        <f>IF(LEN(categories!G230) &gt; 0, SUBSTITUTE("copy ."&amp;categories!G230&amp;" ./category"&amp;LEFT(categories!G230,6),"/","\"), "")</f>
        <v>copy .\img1\img0c59.jpg .\category\img1\</v>
      </c>
    </row>
    <row r="231" spans="1:2" x14ac:dyDescent="0.25">
      <c r="A231" t="str">
        <f>IF(LEN(categories!G231) &gt; 0, "cp ."&amp;categories!G231&amp;" ../catalog/category"&amp;LEFT(categories!G231,6)&amp;";", "")</f>
        <v>cp ./img3/imgd090.jpg ../catalog/category/img3/;</v>
      </c>
      <c r="B231" t="str">
        <f>IF(LEN(categories!G231) &gt; 0, SUBSTITUTE("copy ."&amp;categories!G231&amp;" ./category"&amp;LEFT(categories!G231,6),"/","\"), "")</f>
        <v>copy .\img3\imgd090.jpg .\category\img3\</v>
      </c>
    </row>
    <row r="232" spans="1:2" x14ac:dyDescent="0.25">
      <c r="A232" t="str">
        <f>IF(LEN(categories!G232) &gt; 0, "cp ."&amp;categories!G232&amp;" ../catalog/category"&amp;LEFT(categories!G232,6)&amp;";", "")</f>
        <v>cp ./img2/img9411.jpg ../catalog/category/img2/;</v>
      </c>
      <c r="B232" t="str">
        <f>IF(LEN(categories!G232) &gt; 0, SUBSTITUTE("copy ."&amp;categories!G232&amp;" ./category"&amp;LEFT(categories!G232,6),"/","\"), "")</f>
        <v>copy .\img2\img9411.jpg .\category\img2\</v>
      </c>
    </row>
    <row r="233" spans="1:2" x14ac:dyDescent="0.25">
      <c r="A233" t="str">
        <f>IF(LEN(categories!G233) &gt; 0, "cp ."&amp;categories!G233&amp;" ../catalog/category"&amp;LEFT(categories!G233,6)&amp;";", "")</f>
        <v>cp ./img1/imgee12.jpg ../catalog/category/img1/;</v>
      </c>
      <c r="B233" t="str">
        <f>IF(LEN(categories!G233) &gt; 0, SUBSTITUTE("copy ."&amp;categories!G233&amp;" ./category"&amp;LEFT(categories!G233,6),"/","\"), "")</f>
        <v>copy .\img1\imgee12.jpg .\category\img1\</v>
      </c>
    </row>
    <row r="234" spans="1:2" x14ac:dyDescent="0.25">
      <c r="A234" t="str">
        <f>IF(LEN(categories!G234) &gt; 0, "cp ."&amp;categories!G234&amp;" ../catalog/category"&amp;LEFT(categories!G234,6)&amp;";", "")</f>
        <v>cp ./img3/img1b06.jpg ../catalog/category/img3/;</v>
      </c>
      <c r="B234" t="str">
        <f>IF(LEN(categories!G234) &gt; 0, SUBSTITUTE("copy ."&amp;categories!G234&amp;" ./category"&amp;LEFT(categories!G234,6),"/","\"), "")</f>
        <v>copy .\img3\img1b06.jpg .\category\img3\</v>
      </c>
    </row>
    <row r="235" spans="1:2" x14ac:dyDescent="0.25">
      <c r="A235" t="str">
        <f>IF(LEN(categories!G235) &gt; 0, "cp ."&amp;categories!G235&amp;" ../catalog/category"&amp;LEFT(categories!G235,6)&amp;";", "")</f>
        <v>cp ./img1/imgf1e4.jpg ../catalog/category/img1/;</v>
      </c>
      <c r="B235" t="str">
        <f>IF(LEN(categories!G235) &gt; 0, SUBSTITUTE("copy ."&amp;categories!G235&amp;" ./category"&amp;LEFT(categories!G235,6),"/","\"), "")</f>
        <v>copy .\img1\imgf1e4.jpg .\category\img1\</v>
      </c>
    </row>
    <row r="236" spans="1:2" x14ac:dyDescent="0.25">
      <c r="A236" t="str">
        <f>IF(LEN(categories!G236) &gt; 0, "cp ."&amp;categories!G236&amp;" ../catalog/category"&amp;LEFT(categories!G236,6)&amp;";", "")</f>
        <v>cp ./img3/img4438.jpg ../catalog/category/img3/;</v>
      </c>
      <c r="B236" t="str">
        <f>IF(LEN(categories!G236) &gt; 0, SUBSTITUTE("copy ."&amp;categories!G236&amp;" ./category"&amp;LEFT(categories!G236,6),"/","\"), "")</f>
        <v>copy .\img3\img4438.jpg .\category\img3\</v>
      </c>
    </row>
    <row r="237" spans="1:2" x14ac:dyDescent="0.25">
      <c r="A237" t="str">
        <f>IF(LEN(categories!G237) &gt; 0, "cp ."&amp;categories!G237&amp;" ../catalog/category"&amp;LEFT(categories!G237,6)&amp;";", "")</f>
        <v>cp ./img3/imgf63f.jpg ../catalog/category/img3/;</v>
      </c>
      <c r="B237" t="str">
        <f>IF(LEN(categories!G237) &gt; 0, SUBSTITUTE("copy ."&amp;categories!G237&amp;" ./category"&amp;LEFT(categories!G237,6),"/","\"), "")</f>
        <v>copy .\img3\imgf63f.jpg .\category\img3\</v>
      </c>
    </row>
    <row r="238" spans="1:2" x14ac:dyDescent="0.25">
      <c r="A238" t="str">
        <f>IF(LEN(categories!G238) &gt; 0, "cp ."&amp;categories!G238&amp;" ../catalog/category"&amp;LEFT(categories!G238,6)&amp;";", "")</f>
        <v>cp ./img2/img7e59.jpg ../catalog/category/img2/;</v>
      </c>
      <c r="B238" t="str">
        <f>IF(LEN(categories!G238) &gt; 0, SUBSTITUTE("copy ."&amp;categories!G238&amp;" ./category"&amp;LEFT(categories!G238,6),"/","\"), "")</f>
        <v>copy .\img2\img7e59.jpg .\category\img2\</v>
      </c>
    </row>
    <row r="239" spans="1:2" x14ac:dyDescent="0.25">
      <c r="A239" t="str">
        <f>IF(LEN(categories!G239) &gt; 0, "cp ."&amp;categories!G239&amp;" ../catalog/category"&amp;LEFT(categories!G239,6)&amp;";", "")</f>
        <v>cp ./img3/img8e6a.jpg ../catalog/category/img3/;</v>
      </c>
      <c r="B239" t="str">
        <f>IF(LEN(categories!G239) &gt; 0, SUBSTITUTE("copy ."&amp;categories!G239&amp;" ./category"&amp;LEFT(categories!G239,6),"/","\"), "")</f>
        <v>copy .\img3\img8e6a.jpg .\category\img3\</v>
      </c>
    </row>
    <row r="240" spans="1:2" x14ac:dyDescent="0.25">
      <c r="A240" t="str">
        <f>IF(LEN(categories!G240) &gt; 0, "cp ."&amp;categories!G240&amp;" ../catalog/category"&amp;LEFT(categories!G240,6)&amp;";", "")</f>
        <v>cp ./img1/img803e.jpg ../catalog/category/img1/;</v>
      </c>
      <c r="B240" t="str">
        <f>IF(LEN(categories!G240) &gt; 0, SUBSTITUTE("copy ."&amp;categories!G240&amp;" ./category"&amp;LEFT(categories!G240,6),"/","\"), "")</f>
        <v>copy .\img1\img803e.jpg .\category\img1\</v>
      </c>
    </row>
    <row r="241" spans="1:2" x14ac:dyDescent="0.25">
      <c r="A241" t="str">
        <f>IF(LEN(categories!G241) &gt; 0, "cp ."&amp;categories!G241&amp;" ../catalog/category"&amp;LEFT(categories!G241,6)&amp;";", "")</f>
        <v>cp ./img3/img9123.jpg ../catalog/category/img3/;</v>
      </c>
      <c r="B241" t="str">
        <f>IF(LEN(categories!G241) &gt; 0, SUBSTITUTE("copy ."&amp;categories!G241&amp;" ./category"&amp;LEFT(categories!G241,6),"/","\"), "")</f>
        <v>copy .\img3\img9123.jpg .\category\img3\</v>
      </c>
    </row>
    <row r="242" spans="1:2" x14ac:dyDescent="0.25">
      <c r="A242" t="str">
        <f>IF(LEN(categories!G242) &gt; 0, "cp ."&amp;categories!G242&amp;" ../catalog/category"&amp;LEFT(categories!G242,6)&amp;";", "")</f>
        <v>cp ./img2/imgf49b.jpg ../catalog/category/img2/;</v>
      </c>
      <c r="B242" t="str">
        <f>IF(LEN(categories!G242) &gt; 0, SUBSTITUTE("copy ."&amp;categories!G242&amp;" ./category"&amp;LEFT(categories!G242,6),"/","\"), "")</f>
        <v>copy .\img2\imgf49b.jpg .\category\img2\</v>
      </c>
    </row>
    <row r="243" spans="1:2" x14ac:dyDescent="0.25">
      <c r="A243" t="str">
        <f>IF(LEN(categories!G243) &gt; 0, "cp ."&amp;categories!G243&amp;" ../catalog/category"&amp;LEFT(categories!G243,6)&amp;";", "")</f>
        <v>cp ./img2/img46c7.jpg ../catalog/category/img2/;</v>
      </c>
      <c r="B243" t="str">
        <f>IF(LEN(categories!G243) &gt; 0, SUBSTITUTE("copy ."&amp;categories!G243&amp;" ./category"&amp;LEFT(categories!G243,6),"/","\"), "")</f>
        <v>copy .\img2\img46c7.jpg .\category\img2\</v>
      </c>
    </row>
    <row r="244" spans="1:2" x14ac:dyDescent="0.25">
      <c r="A244" t="str">
        <f>IF(LEN(categories!G244) &gt; 0, "cp ."&amp;categories!G244&amp;" ../catalog/category"&amp;LEFT(categories!G244,6)&amp;";", "")</f>
        <v>cp ./img1/img31ea.jpg ../catalog/category/img1/;</v>
      </c>
      <c r="B244" t="str">
        <f>IF(LEN(categories!G244) &gt; 0, SUBSTITUTE("copy ."&amp;categories!G244&amp;" ./category"&amp;LEFT(categories!G244,6),"/","\"), "")</f>
        <v>copy .\img1\img31ea.jpg .\category\img1\</v>
      </c>
    </row>
    <row r="245" spans="1:2" x14ac:dyDescent="0.25">
      <c r="A245" t="str">
        <f>IF(LEN(categories!G245) &gt; 0, "cp ."&amp;categories!G245&amp;" ../catalog/category"&amp;LEFT(categories!G245,6)&amp;";", "")</f>
        <v>cp ./img3/img878b.jpg ../catalog/category/img3/;</v>
      </c>
      <c r="B245" t="str">
        <f>IF(LEN(categories!G245) &gt; 0, SUBSTITUTE("copy ."&amp;categories!G245&amp;" ./category"&amp;LEFT(categories!G245,6),"/","\"), "")</f>
        <v>copy .\img3\img878b.jpg .\category\img3\</v>
      </c>
    </row>
    <row r="246" spans="1:2" x14ac:dyDescent="0.25">
      <c r="A246" t="str">
        <f>IF(LEN(categories!G246) &gt; 0, "cp ."&amp;categories!G246&amp;" ../catalog/category"&amp;LEFT(categories!G246,6)&amp;";", "")</f>
        <v>cp ./img1/img4f85.jpg ../catalog/category/img1/;</v>
      </c>
      <c r="B246" t="str">
        <f>IF(LEN(categories!G246) &gt; 0, SUBSTITUTE("copy ."&amp;categories!G246&amp;" ./category"&amp;LEFT(categories!G246,6),"/","\"), "")</f>
        <v>copy .\img1\img4f85.jpg .\category\img1\</v>
      </c>
    </row>
    <row r="247" spans="1:2" x14ac:dyDescent="0.25">
      <c r="A247" t="str">
        <f>IF(LEN(categories!G247) &gt; 0, "cp ."&amp;categories!G247&amp;" ../catalog/category"&amp;LEFT(categories!G247,6)&amp;";", "")</f>
        <v>cp ./img2/img5ecf.jpg ../catalog/category/img2/;</v>
      </c>
      <c r="B247" t="str">
        <f>IF(LEN(categories!G247) &gt; 0, SUBSTITUTE("copy ."&amp;categories!G247&amp;" ./category"&amp;LEFT(categories!G247,6),"/","\"), "")</f>
        <v>copy .\img2\img5ecf.jpg .\category\img2\</v>
      </c>
    </row>
    <row r="248" spans="1:2" x14ac:dyDescent="0.25">
      <c r="A248" t="str">
        <f>IF(LEN(categories!G248) &gt; 0, "cp ."&amp;categories!G248&amp;" ../catalog/category"&amp;LEFT(categories!G248,6)&amp;";", "")</f>
        <v>cp ./img2/imge27b.jpg ../catalog/category/img2/;</v>
      </c>
      <c r="B248" t="str">
        <f>IF(LEN(categories!G248) &gt; 0, SUBSTITUTE("copy ."&amp;categories!G248&amp;" ./category"&amp;LEFT(categories!G248,6),"/","\"), "")</f>
        <v>copy .\img2\imge27b.jpg .\category\img2\</v>
      </c>
    </row>
    <row r="249" spans="1:2" x14ac:dyDescent="0.25">
      <c r="A249" t="str">
        <f>IF(LEN(categories!G249) &gt; 0, "cp ."&amp;categories!G249&amp;" ../catalog/category"&amp;LEFT(categories!G249,6)&amp;";", "")</f>
        <v>cp ./img1/imgaa54.jpg ../catalog/category/img1/;</v>
      </c>
      <c r="B249" t="str">
        <f>IF(LEN(categories!G249) &gt; 0, SUBSTITUTE("copy ."&amp;categories!G249&amp;" ./category"&amp;LEFT(categories!G249,6),"/","\"), "")</f>
        <v>copy .\img1\imgaa54.jpg .\category\img1\</v>
      </c>
    </row>
    <row r="250" spans="1:2" x14ac:dyDescent="0.25">
      <c r="A250" t="str">
        <f>IF(LEN(categories!G250) &gt; 0, "cp ."&amp;categories!G250&amp;" ../catalog/category"&amp;LEFT(categories!G250,6)&amp;";", "")</f>
        <v>cp ./img1/img525c.jpg ../catalog/category/img1/;</v>
      </c>
      <c r="B250" t="str">
        <f>IF(LEN(categories!G250) &gt; 0, SUBSTITUTE("copy ."&amp;categories!G250&amp;" ./category"&amp;LEFT(categories!G250,6),"/","\"), "")</f>
        <v>copy .\img1\img525c.jpg .\category\img1\</v>
      </c>
    </row>
    <row r="251" spans="1:2" x14ac:dyDescent="0.25">
      <c r="A251" t="str">
        <f>IF(LEN(categories!G251) &gt; 0, "cp ."&amp;categories!G251&amp;" ../catalog/category"&amp;LEFT(categories!G251,6)&amp;";", "")</f>
        <v>cp ./img3/imgbb8b.jpg ../catalog/category/img3/;</v>
      </c>
      <c r="B251" t="str">
        <f>IF(LEN(categories!G251) &gt; 0, SUBSTITUTE("copy ."&amp;categories!G251&amp;" ./category"&amp;LEFT(categories!G251,6),"/","\"), "")</f>
        <v>copy .\img3\imgbb8b.jpg .\category\img3\</v>
      </c>
    </row>
    <row r="252" spans="1:2" x14ac:dyDescent="0.25">
      <c r="A252" t="str">
        <f>IF(LEN(categories!G252) &gt; 0, "cp ."&amp;categories!G252&amp;" ../catalog/category"&amp;LEFT(categories!G252,6)&amp;";", "")</f>
        <v>cp ./img3/img44e5.jpg ../catalog/category/img3/;</v>
      </c>
      <c r="B252" t="str">
        <f>IF(LEN(categories!G252) &gt; 0, SUBSTITUTE("copy ."&amp;categories!G252&amp;" ./category"&amp;LEFT(categories!G252,6),"/","\"), "")</f>
        <v>copy .\img3\img44e5.jpg .\category\img3\</v>
      </c>
    </row>
    <row r="253" spans="1:2" x14ac:dyDescent="0.25">
      <c r="A253" t="str">
        <f>IF(LEN(categories!G253) &gt; 0, "cp ."&amp;categories!G253&amp;" ../catalog/category"&amp;LEFT(categories!G253,6)&amp;";", "")</f>
        <v>cp ./img3/img2833.jpg ../catalog/category/img3/;</v>
      </c>
      <c r="B253" t="str">
        <f>IF(LEN(categories!G253) &gt; 0, SUBSTITUTE("copy ."&amp;categories!G253&amp;" ./category"&amp;LEFT(categories!G253,6),"/","\"), "")</f>
        <v>copy .\img3\img2833.jpg .\category\img3\</v>
      </c>
    </row>
    <row r="254" spans="1:2" x14ac:dyDescent="0.25">
      <c r="A254" t="str">
        <f>IF(LEN(categories!G254) &gt; 0, "cp ."&amp;categories!G254&amp;" ../catalog/category"&amp;LEFT(categories!G254,6)&amp;";", "")</f>
        <v>cp ./img2/imgcba2.jpg ../catalog/category/img2/;</v>
      </c>
      <c r="B254" t="str">
        <f>IF(LEN(categories!G254) &gt; 0, SUBSTITUTE("copy ."&amp;categories!G254&amp;" ./category"&amp;LEFT(categories!G254,6),"/","\"), "")</f>
        <v>copy .\img2\imgcba2.jpg .\category\img2\</v>
      </c>
    </row>
    <row r="255" spans="1:2" x14ac:dyDescent="0.25">
      <c r="A255" t="str">
        <f>IF(LEN(categories!G255) &gt; 0, "cp ."&amp;categories!G255&amp;" ../catalog/category"&amp;LEFT(categories!G255,6)&amp;";", "")</f>
        <v>cp ./img3/img878b.jpg ../catalog/category/img3/;</v>
      </c>
      <c r="B255" t="str">
        <f>IF(LEN(categories!G255) &gt; 0, SUBSTITUTE("copy ."&amp;categories!G255&amp;" ./category"&amp;LEFT(categories!G255,6),"/","\"), "")</f>
        <v>copy .\img3\img878b.jpg .\category\img3\</v>
      </c>
    </row>
    <row r="256" spans="1:2" x14ac:dyDescent="0.25">
      <c r="A256" t="str">
        <f>IF(LEN(categories!G256) &gt; 0, "cp ."&amp;categories!G256&amp;" ../catalog/category"&amp;LEFT(categories!G256,6)&amp;";", "")</f>
        <v>cp ./img1/imgcb83.jpg ../catalog/category/img1/;</v>
      </c>
      <c r="B256" t="str">
        <f>IF(LEN(categories!G256) &gt; 0, SUBSTITUTE("copy ."&amp;categories!G256&amp;" ./category"&amp;LEFT(categories!G256,6),"/","\"), "")</f>
        <v>copy .\img1\imgcb83.jpg .\category\img1\</v>
      </c>
    </row>
    <row r="257" spans="1:2" x14ac:dyDescent="0.25">
      <c r="A257" t="str">
        <f>IF(LEN(categories!G257) &gt; 0, "cp ."&amp;categories!G257&amp;" ../catalog/category"&amp;LEFT(categories!G257,6)&amp;";", "")</f>
        <v>cp ./img1/imgfed4.jpg ../catalog/category/img1/;</v>
      </c>
      <c r="B257" t="str">
        <f>IF(LEN(categories!G257) &gt; 0, SUBSTITUTE("copy ."&amp;categories!G257&amp;" ./category"&amp;LEFT(categories!G257,6),"/","\"), "")</f>
        <v>copy .\img1\imgfed4.jpg .\category\img1\</v>
      </c>
    </row>
    <row r="258" spans="1:2" x14ac:dyDescent="0.25">
      <c r="A258" t="str">
        <f>IF(LEN(categories!G258) &gt; 0, "cp ."&amp;categories!G258&amp;" ../catalog/category"&amp;LEFT(categories!G258,6)&amp;";", "")</f>
        <v>cp ./img1/img156e.jpg ../catalog/category/img1/;</v>
      </c>
      <c r="B258" t="str">
        <f>IF(LEN(categories!G258) &gt; 0, SUBSTITUTE("copy ."&amp;categories!G258&amp;" ./category"&amp;LEFT(categories!G258,6),"/","\"), "")</f>
        <v>copy .\img1\img156e.jpg .\category\img1\</v>
      </c>
    </row>
    <row r="259" spans="1:2" x14ac:dyDescent="0.25">
      <c r="A259" t="str">
        <f>IF(LEN(categories!G259) &gt; 0, "cp ."&amp;categories!G259&amp;" ../catalog/category"&amp;LEFT(categories!G259,6)&amp;";", "")</f>
        <v>cp ./img2/img1e6e.jpg ../catalog/category/img2/;</v>
      </c>
      <c r="B259" t="str">
        <f>IF(LEN(categories!G259) &gt; 0, SUBSTITUTE("copy ."&amp;categories!G259&amp;" ./category"&amp;LEFT(categories!G259,6),"/","\"), "")</f>
        <v>copy .\img2\img1e6e.jpg .\category\img2\</v>
      </c>
    </row>
    <row r="260" spans="1:2" x14ac:dyDescent="0.25">
      <c r="A260" t="str">
        <f>IF(LEN(categories!G260) &gt; 0, "cp ."&amp;categories!G260&amp;" ../catalog/category"&amp;LEFT(categories!G260,6)&amp;";", "")</f>
        <v>cp ./img1/img15ca.jpg ../catalog/category/img1/;</v>
      </c>
      <c r="B260" t="str">
        <f>IF(LEN(categories!G260) &gt; 0, SUBSTITUTE("copy ."&amp;categories!G260&amp;" ./category"&amp;LEFT(categories!G260,6),"/","\"), "")</f>
        <v>copy .\img1\img15ca.jpg .\category\img1\</v>
      </c>
    </row>
    <row r="261" spans="1:2" x14ac:dyDescent="0.25">
      <c r="A261" t="str">
        <f>IF(LEN(categories!G261) &gt; 0, "cp ."&amp;categories!G261&amp;" ../catalog/category"&amp;LEFT(categories!G261,6)&amp;";", "")</f>
        <v>cp ./img3/imga45c.jpg ../catalog/category/img3/;</v>
      </c>
      <c r="B261" t="str">
        <f>IF(LEN(categories!G261) &gt; 0, SUBSTITUTE("copy ."&amp;categories!G261&amp;" ./category"&amp;LEFT(categories!G261,6),"/","\"), "")</f>
        <v>copy .\img3\imga45c.jpg .\category\img3\</v>
      </c>
    </row>
    <row r="262" spans="1:2" x14ac:dyDescent="0.25">
      <c r="A262" t="str">
        <f>IF(LEN(categories!G262) &gt; 0, "cp ."&amp;categories!G262&amp;" ../catalog/category"&amp;LEFT(categories!G262,6)&amp;";", "")</f>
        <v>cp ./img2/img526c.jpg ../catalog/category/img2/;</v>
      </c>
      <c r="B262" t="str">
        <f>IF(LEN(categories!G262) &gt; 0, SUBSTITUTE("copy ."&amp;categories!G262&amp;" ./category"&amp;LEFT(categories!G262,6),"/","\"), "")</f>
        <v>copy .\img2\img526c.jpg .\category\img2\</v>
      </c>
    </row>
    <row r="263" spans="1:2" x14ac:dyDescent="0.25">
      <c r="A263" t="str">
        <f>IF(LEN(categories!G263) &gt; 0, "cp ."&amp;categories!G263&amp;" ../catalog/category"&amp;LEFT(categories!G263,6)&amp;";", "")</f>
        <v>cp ./img1/img8a28.jpg ../catalog/category/img1/;</v>
      </c>
      <c r="B263" t="str">
        <f>IF(LEN(categories!G263) &gt; 0, SUBSTITUTE("copy ."&amp;categories!G263&amp;" ./category"&amp;LEFT(categories!G263,6),"/","\"), "")</f>
        <v>copy .\img1\img8a28.jpg .\category\img1\</v>
      </c>
    </row>
    <row r="264" spans="1:2" x14ac:dyDescent="0.25">
      <c r="A264" t="str">
        <f>IF(LEN(categories!G264) &gt; 0, "cp ."&amp;categories!G264&amp;" ../catalog/category"&amp;LEFT(categories!G264,6)&amp;";", "")</f>
        <v>cp ./img3/img1e30.jpg ../catalog/category/img3/;</v>
      </c>
      <c r="B264" t="str">
        <f>IF(LEN(categories!G264) &gt; 0, SUBSTITUTE("copy ."&amp;categories!G264&amp;" ./category"&amp;LEFT(categories!G264,6),"/","\"), "")</f>
        <v>copy .\img3\img1e30.jpg .\category\img3\</v>
      </c>
    </row>
    <row r="265" spans="1:2" x14ac:dyDescent="0.25">
      <c r="A265" t="str">
        <f>IF(LEN(categories!G265) &gt; 0, "cp ."&amp;categories!G265&amp;" ../catalog/category"&amp;LEFT(categories!G265,6)&amp;";", "")</f>
        <v>cp ./img2/imgafae.jpg ../catalog/category/img2/;</v>
      </c>
      <c r="B265" t="str">
        <f>IF(LEN(categories!G265) &gt; 0, SUBSTITUTE("copy ."&amp;categories!G265&amp;" ./category"&amp;LEFT(categories!G265,6),"/","\"), "")</f>
        <v>copy .\img2\imgafae.jpg .\category\img2\</v>
      </c>
    </row>
    <row r="266" spans="1:2" x14ac:dyDescent="0.25">
      <c r="A266" t="str">
        <f>IF(LEN(categories!G266) &gt; 0, "cp ."&amp;categories!G266&amp;" ../catalog/category"&amp;LEFT(categories!G266,6)&amp;";", "")</f>
        <v>cp ./img2/imgc8e7.jpg ../catalog/category/img2/;</v>
      </c>
      <c r="B266" t="str">
        <f>IF(LEN(categories!G266) &gt; 0, SUBSTITUTE("copy ."&amp;categories!G266&amp;" ./category"&amp;LEFT(categories!G266,6),"/","\"), "")</f>
        <v>copy .\img2\imgc8e7.jpg .\category\img2\</v>
      </c>
    </row>
    <row r="267" spans="1:2" x14ac:dyDescent="0.25">
      <c r="A267" t="str">
        <f>IF(LEN(categories!G267) &gt; 0, "cp ."&amp;categories!G267&amp;" ../catalog/category"&amp;LEFT(categories!G267,6)&amp;";", "")</f>
        <v>cp ./img3/imgb5ab.jpg ../catalog/category/img3/;</v>
      </c>
      <c r="B267" t="str">
        <f>IF(LEN(categories!G267) &gt; 0, SUBSTITUTE("copy ."&amp;categories!G267&amp;" ./category"&amp;LEFT(categories!G267,6),"/","\"), "")</f>
        <v>copy .\img3\imgb5ab.jpg .\category\img3\</v>
      </c>
    </row>
    <row r="268" spans="1:2" x14ac:dyDescent="0.25">
      <c r="A268" t="str">
        <f>IF(LEN(categories!G268) &gt; 0, "cp ."&amp;categories!G268&amp;" ../catalog/category"&amp;LEFT(categories!G268,6)&amp;";", "")</f>
        <v>cp ./img2/imgb5c0-2.jpg ../catalog/category/img2/;</v>
      </c>
      <c r="B268" t="str">
        <f>IF(LEN(categories!G268) &gt; 0, SUBSTITUTE("copy ."&amp;categories!G268&amp;" ./category"&amp;LEFT(categories!G268,6),"/","\"), "")</f>
        <v>copy .\img2\imgb5c0-2.jpg .\category\img2\</v>
      </c>
    </row>
    <row r="269" spans="1:2" x14ac:dyDescent="0.25">
      <c r="A269" t="str">
        <f>IF(LEN(categories!G269) &gt; 0, "cp ."&amp;categories!G269&amp;" ../catalog/category"&amp;LEFT(categories!G269,6)&amp;";", "")</f>
        <v>cp ./img2/img1a68.jpg ../catalog/category/img2/;</v>
      </c>
      <c r="B269" t="str">
        <f>IF(LEN(categories!G269) &gt; 0, SUBSTITUTE("copy ."&amp;categories!G269&amp;" ./category"&amp;LEFT(categories!G269,6),"/","\"), "")</f>
        <v>copy .\img2\img1a68.jpg .\category\img2\</v>
      </c>
    </row>
    <row r="270" spans="1:2" x14ac:dyDescent="0.25">
      <c r="A270" t="str">
        <f>IF(LEN(categories!G270) &gt; 0, "cp ."&amp;categories!G270&amp;" ../catalog/category"&amp;LEFT(categories!G270,6)&amp;";", "")</f>
        <v>cp ./img2/img1a16.jpg ../catalog/category/img2/;</v>
      </c>
      <c r="B270" t="str">
        <f>IF(LEN(categories!G270) &gt; 0, SUBSTITUTE("copy ."&amp;categories!G270&amp;" ./category"&amp;LEFT(categories!G270,6),"/","\"), "")</f>
        <v>copy .\img2\img1a16.jpg .\category\img2\</v>
      </c>
    </row>
    <row r="271" spans="1:2" x14ac:dyDescent="0.25">
      <c r="A271" t="str">
        <f>IF(LEN(categories!G271) &gt; 0, "cp ."&amp;categories!G271&amp;" ../catalog/category"&amp;LEFT(categories!G271,6)&amp;";", "")</f>
        <v>cp ./img1/img6027.jpg ../catalog/category/img1/;</v>
      </c>
      <c r="B271" t="str">
        <f>IF(LEN(categories!G271) &gt; 0, SUBSTITUTE("copy ."&amp;categories!G271&amp;" ./category"&amp;LEFT(categories!G271,6),"/","\"), "")</f>
        <v>copy .\img1\img6027.jpg .\category\img1\</v>
      </c>
    </row>
    <row r="272" spans="1:2" x14ac:dyDescent="0.25">
      <c r="A272" t="str">
        <f>IF(LEN(categories!G272) &gt; 0, "cp ."&amp;categories!G272&amp;" ../catalog/category"&amp;LEFT(categories!G272,6)&amp;";", "")</f>
        <v>cp ./img1/img3a2a.jpg ../catalog/category/img1/;</v>
      </c>
      <c r="B272" t="str">
        <f>IF(LEN(categories!G272) &gt; 0, SUBSTITUTE("copy ."&amp;categories!G272&amp;" ./category"&amp;LEFT(categories!G272,6),"/","\"), "")</f>
        <v>copy .\img1\img3a2a.jpg .\category\img1\</v>
      </c>
    </row>
    <row r="273" spans="1:2" x14ac:dyDescent="0.25">
      <c r="A273" t="str">
        <f>IF(LEN(categories!G273) &gt; 0, "cp ."&amp;categories!G273&amp;" ../catalog/category"&amp;LEFT(categories!G273,6)&amp;";", "")</f>
        <v>cp ./img1/img4f51.jpg ../catalog/category/img1/;</v>
      </c>
      <c r="B273" t="str">
        <f>IF(LEN(categories!G273) &gt; 0, SUBSTITUTE("copy ."&amp;categories!G273&amp;" ./category"&amp;LEFT(categories!G273,6),"/","\"), "")</f>
        <v>copy .\img1\img4f51.jpg .\category\img1\</v>
      </c>
    </row>
    <row r="274" spans="1:2" x14ac:dyDescent="0.25">
      <c r="A274" t="str">
        <f>IF(LEN(categories!G274) &gt; 0, "cp ."&amp;categories!G274&amp;" ../catalog/category"&amp;LEFT(categories!G274,6)&amp;";", "")</f>
        <v>cp ./img3/img5da2.jpg ../catalog/category/img3/;</v>
      </c>
      <c r="B274" t="str">
        <f>IF(LEN(categories!G274) &gt; 0, SUBSTITUTE("copy ."&amp;categories!G274&amp;" ./category"&amp;LEFT(categories!G274,6),"/","\"), "")</f>
        <v>copy .\img3\img5da2.jpg .\category\img3\</v>
      </c>
    </row>
    <row r="275" spans="1:2" x14ac:dyDescent="0.25">
      <c r="A275" t="str">
        <f>IF(LEN(categories!G275) &gt; 0, "cp ."&amp;categories!G275&amp;" ../catalog/category"&amp;LEFT(categories!G275,6)&amp;";", "")</f>
        <v>cp ./img1/img59cd.jpg ../catalog/category/img1/;</v>
      </c>
      <c r="B275" t="str">
        <f>IF(LEN(categories!G275) &gt; 0, SUBSTITUTE("copy ."&amp;categories!G275&amp;" ./category"&amp;LEFT(categories!G275,6),"/","\"), "")</f>
        <v>copy .\img1\img59cd.jpg .\category\img1\</v>
      </c>
    </row>
    <row r="276" spans="1:2" x14ac:dyDescent="0.25">
      <c r="A276" t="str">
        <f>IF(LEN(categories!G276) &gt; 0, "cp ."&amp;categories!G276&amp;" ../catalog/category"&amp;LEFT(categories!G276,6)&amp;";", "")</f>
        <v>cp ./img1/img75c2.jpg ../catalog/category/img1/;</v>
      </c>
      <c r="B276" t="str">
        <f>IF(LEN(categories!G276) &gt; 0, SUBSTITUTE("copy ."&amp;categories!G276&amp;" ./category"&amp;LEFT(categories!G276,6),"/","\"), "")</f>
        <v>copy .\img1\img75c2.jpg .\category\img1\</v>
      </c>
    </row>
    <row r="277" spans="1:2" x14ac:dyDescent="0.25">
      <c r="A277" t="str">
        <f>IF(LEN(categories!G277) &gt; 0, "cp ."&amp;categories!G277&amp;" ../catalog/category"&amp;LEFT(categories!G277,6)&amp;";", "")</f>
        <v>cp ./img3/imgdc76.jpg ../catalog/category/img3/;</v>
      </c>
      <c r="B277" t="str">
        <f>IF(LEN(categories!G277) &gt; 0, SUBSTITUTE("copy ."&amp;categories!G277&amp;" ./category"&amp;LEFT(categories!G277,6),"/","\"), "")</f>
        <v>copy .\img3\imgdc76.jpg .\category\img3\</v>
      </c>
    </row>
    <row r="278" spans="1:2" x14ac:dyDescent="0.25">
      <c r="A278" t="str">
        <f>IF(LEN(categories!G278) &gt; 0, "cp ."&amp;categories!G278&amp;" ../catalog/category"&amp;LEFT(categories!G278,6)&amp;";", "")</f>
        <v>cp ./img3/img7c7b.jpg ../catalog/category/img3/;</v>
      </c>
      <c r="B278" t="str">
        <f>IF(LEN(categories!G278) &gt; 0, SUBSTITUTE("copy ."&amp;categories!G278&amp;" ./category"&amp;LEFT(categories!G278,6),"/","\"), "")</f>
        <v>copy .\img3\img7c7b.jpg .\category\img3\</v>
      </c>
    </row>
    <row r="279" spans="1:2" x14ac:dyDescent="0.25">
      <c r="A279" t="str">
        <f>IF(LEN(categories!G279) &gt; 0, "cp ."&amp;categories!G279&amp;" ../catalog/category"&amp;LEFT(categories!G279,6)&amp;";", "")</f>
        <v>cp ./img1/img10fb.jpg ../catalog/category/img1/;</v>
      </c>
      <c r="B279" t="str">
        <f>IF(LEN(categories!G279) &gt; 0, SUBSTITUTE("copy ."&amp;categories!G279&amp;" ./category"&amp;LEFT(categories!G279,6),"/","\"), "")</f>
        <v>copy .\img1\img10fb.jpg .\category\img1\</v>
      </c>
    </row>
    <row r="280" spans="1:2" x14ac:dyDescent="0.25">
      <c r="A280" t="str">
        <f>IF(LEN(categories!G280) &gt; 0, "cp ."&amp;categories!G280&amp;" ../catalog/category"&amp;LEFT(categories!G280,6)&amp;";", "")</f>
        <v>cp ./img1/imge68e.jpg ../catalog/category/img1/;</v>
      </c>
      <c r="B280" t="str">
        <f>IF(LEN(categories!G280) &gt; 0, SUBSTITUTE("copy ."&amp;categories!G280&amp;" ./category"&amp;LEFT(categories!G280,6),"/","\"), "")</f>
        <v>copy .\img1\imge68e.jpg .\category\img1\</v>
      </c>
    </row>
    <row r="281" spans="1:2" x14ac:dyDescent="0.25">
      <c r="A281" t="str">
        <f>IF(LEN(categories!G281) &gt; 0, "cp ."&amp;categories!G281&amp;" ../catalog/category"&amp;LEFT(categories!G281,6)&amp;";", "")</f>
        <v>cp ./img2/imga7d0.jpg ../catalog/category/img2/;</v>
      </c>
      <c r="B281" t="str">
        <f>IF(LEN(categories!G281) &gt; 0, SUBSTITUTE("copy ."&amp;categories!G281&amp;" ./category"&amp;LEFT(categories!G281,6),"/","\"), "")</f>
        <v>copy .\img2\imga7d0.jpg .\category\img2\</v>
      </c>
    </row>
    <row r="282" spans="1:2" x14ac:dyDescent="0.25">
      <c r="A282" t="str">
        <f>IF(LEN(categories!G282) &gt; 0, "cp ."&amp;categories!G282&amp;" ../catalog/category"&amp;LEFT(categories!G282,6)&amp;";", "")</f>
        <v>cp ./img1/img64c2.jpg ../catalog/category/img1/;</v>
      </c>
      <c r="B282" t="str">
        <f>IF(LEN(categories!G282) &gt; 0, SUBSTITUTE("copy ."&amp;categories!G282&amp;" ./category"&amp;LEFT(categories!G282,6),"/","\"), "")</f>
        <v>copy .\img1\img64c2.jpg .\category\img1\</v>
      </c>
    </row>
    <row r="283" spans="1:2" x14ac:dyDescent="0.25">
      <c r="A283" t="str">
        <f>IF(LEN(categories!G283) &gt; 0, "cp ."&amp;categories!G283&amp;" ../catalog/category"&amp;LEFT(categories!G283,6)&amp;";", "")</f>
        <v>cp ./img2/img06d8.jpg ../catalog/category/img2/;</v>
      </c>
      <c r="B283" t="str">
        <f>IF(LEN(categories!G283) &gt; 0, SUBSTITUTE("copy ."&amp;categories!G283&amp;" ./category"&amp;LEFT(categories!G283,6),"/","\"), "")</f>
        <v>copy .\img2\img06d8.jpg .\category\img2\</v>
      </c>
    </row>
    <row r="284" spans="1:2" x14ac:dyDescent="0.25">
      <c r="A284" t="str">
        <f>IF(LEN(categories!G284) &gt; 0, "cp ."&amp;categories!G284&amp;" ../catalog/category"&amp;LEFT(categories!G284,6)&amp;";", "")</f>
        <v>cp ./img2/img6675.jpg ../catalog/category/img2/;</v>
      </c>
      <c r="B284" t="str">
        <f>IF(LEN(categories!G284) &gt; 0, SUBSTITUTE("copy ."&amp;categories!G284&amp;" ./category"&amp;LEFT(categories!G284,6),"/","\"), "")</f>
        <v>copy .\img2\img6675.jpg .\category\img2\</v>
      </c>
    </row>
    <row r="285" spans="1:2" x14ac:dyDescent="0.25">
      <c r="A285" t="str">
        <f>IF(LEN(categories!G285) &gt; 0, "cp ."&amp;categories!G285&amp;" ../catalog/category"&amp;LEFT(categories!G285,6)&amp;";", "")</f>
        <v>cp ./img3/imgb9c1-2.jpg ../catalog/category/img3/;</v>
      </c>
      <c r="B285" t="str">
        <f>IF(LEN(categories!G285) &gt; 0, SUBSTITUTE("copy ."&amp;categories!G285&amp;" ./category"&amp;LEFT(categories!G285,6),"/","\"), "")</f>
        <v>copy .\img3\imgb9c1-2.jpg .\category\img3\</v>
      </c>
    </row>
    <row r="286" spans="1:2" x14ac:dyDescent="0.25">
      <c r="A286" t="str">
        <f>IF(LEN(categories!G286) &gt; 0, "cp ."&amp;categories!G286&amp;" ../catalog/category"&amp;LEFT(categories!G286,6)&amp;";", "")</f>
        <v>cp ./img2/img4201.jpg ../catalog/category/img2/;</v>
      </c>
      <c r="B286" t="str">
        <f>IF(LEN(categories!G286) &gt; 0, SUBSTITUTE("copy ."&amp;categories!G286&amp;" ./category"&amp;LEFT(categories!G286,6),"/","\"), "")</f>
        <v>copy .\img2\img4201.jpg .\category\img2\</v>
      </c>
    </row>
    <row r="287" spans="1:2" x14ac:dyDescent="0.25">
      <c r="A287" t="str">
        <f>IF(LEN(categories!G287) &gt; 0, "cp ."&amp;categories!G287&amp;" ../catalog/category"&amp;LEFT(categories!G287,6)&amp;";", "")</f>
        <v>cp ./img1/img1265.jpg ../catalog/category/img1/;</v>
      </c>
      <c r="B287" t="str">
        <f>IF(LEN(categories!G287) &gt; 0, SUBSTITUTE("copy ."&amp;categories!G287&amp;" ./category"&amp;LEFT(categories!G287,6),"/","\"), "")</f>
        <v>copy .\img1\img1265.jpg .\category\img1\</v>
      </c>
    </row>
    <row r="288" spans="1:2" x14ac:dyDescent="0.25">
      <c r="A288" t="str">
        <f>IF(LEN(categories!G288) &gt; 0, "cp ."&amp;categories!G288&amp;" ../catalog/category"&amp;LEFT(categories!G288,6)&amp;";", "")</f>
        <v>cp ./img1/imgb7af.jpg ../catalog/category/img1/;</v>
      </c>
      <c r="B288" t="str">
        <f>IF(LEN(categories!G288) &gt; 0, SUBSTITUTE("copy ."&amp;categories!G288&amp;" ./category"&amp;LEFT(categories!G288,6),"/","\"), "")</f>
        <v>copy .\img1\imgb7af.jpg .\category\img1\</v>
      </c>
    </row>
    <row r="289" spans="1:2" x14ac:dyDescent="0.25">
      <c r="A289" t="str">
        <f>IF(LEN(categories!G289) &gt; 0, "cp ."&amp;categories!G289&amp;" ../catalog/category"&amp;LEFT(categories!G289,6)&amp;";", "")</f>
        <v>cp ./img2/img3c46.jpg ../catalog/category/img2/;</v>
      </c>
      <c r="B289" t="str">
        <f>IF(LEN(categories!G289) &gt; 0, SUBSTITUTE("copy ."&amp;categories!G289&amp;" ./category"&amp;LEFT(categories!G289,6),"/","\"), "")</f>
        <v>copy .\img2\img3c46.jpg .\category\img2\</v>
      </c>
    </row>
    <row r="290" spans="1:2" x14ac:dyDescent="0.25">
      <c r="A290" t="str">
        <f>IF(LEN(categories!G290) &gt; 0, "cp ."&amp;categories!G290&amp;" ../catalog/category"&amp;LEFT(categories!G290,6)&amp;";", "")</f>
        <v>cp ./img3/img6596.jpg ../catalog/category/img3/;</v>
      </c>
      <c r="B290" t="str">
        <f>IF(LEN(categories!G290) &gt; 0, SUBSTITUTE("copy ."&amp;categories!G290&amp;" ./category"&amp;LEFT(categories!G290,6),"/","\"), "")</f>
        <v>copy .\img3\img6596.jpg .\category\img3\</v>
      </c>
    </row>
    <row r="291" spans="1:2" x14ac:dyDescent="0.25">
      <c r="A291" t="str">
        <f>IF(LEN(categories!G291) &gt; 0, "cp ."&amp;categories!G291&amp;" ../catalog/category"&amp;LEFT(categories!G291,6)&amp;";", "")</f>
        <v>cp ./img2/img0ee0.jpg ../catalog/category/img2/;</v>
      </c>
      <c r="B291" t="str">
        <f>IF(LEN(categories!G291) &gt; 0, SUBSTITUTE("copy ."&amp;categories!G291&amp;" ./category"&amp;LEFT(categories!G291,6),"/","\"), "")</f>
        <v>copy .\img2\img0ee0.jpg .\category\img2\</v>
      </c>
    </row>
    <row r="292" spans="1:2" x14ac:dyDescent="0.25">
      <c r="A292" t="str">
        <f>IF(LEN(categories!G292) &gt; 0, "cp ."&amp;categories!G292&amp;" ../catalog/category"&amp;LEFT(categories!G292,6)&amp;";", "")</f>
        <v>cp ./img1/img52a2-2.jpg ../catalog/category/img1/;</v>
      </c>
      <c r="B292" t="str">
        <f>IF(LEN(categories!G292) &gt; 0, SUBSTITUTE("copy ."&amp;categories!G292&amp;" ./category"&amp;LEFT(categories!G292,6),"/","\"), "")</f>
        <v>copy .\img1\img52a2-2.jpg .\category\img1\</v>
      </c>
    </row>
    <row r="293" spans="1:2" x14ac:dyDescent="0.25">
      <c r="A293" t="str">
        <f>IF(LEN(categories!G293) &gt; 0, "cp ."&amp;categories!G293&amp;" ../catalog/category"&amp;LEFT(categories!G293,6)&amp;";", "")</f>
        <v>cp ./img1/img234d.jpg ../catalog/category/img1/;</v>
      </c>
      <c r="B293" t="str">
        <f>IF(LEN(categories!G293) &gt; 0, SUBSTITUTE("copy ."&amp;categories!G293&amp;" ./category"&amp;LEFT(categories!G293,6),"/","\"), "")</f>
        <v>copy .\img1\img234d.jpg .\category\img1\</v>
      </c>
    </row>
    <row r="294" spans="1:2" x14ac:dyDescent="0.25">
      <c r="A294" t="str">
        <f>IF(LEN(categories!G294) &gt; 0, "cp ."&amp;categories!G294&amp;" ../catalog/category"&amp;LEFT(categories!G294,6)&amp;";", "")</f>
        <v>cp ./img1/imgffde.jpg ../catalog/category/img1/;</v>
      </c>
      <c r="B294" t="str">
        <f>IF(LEN(categories!G294) &gt; 0, SUBSTITUTE("copy ."&amp;categories!G294&amp;" ./category"&amp;LEFT(categories!G294,6),"/","\"), "")</f>
        <v>copy .\img1\imgffde.jpg .\category\img1\</v>
      </c>
    </row>
    <row r="295" spans="1:2" x14ac:dyDescent="0.25">
      <c r="A295" t="str">
        <f>IF(LEN(categories!G295) &gt; 0, "cp ."&amp;categories!G295&amp;" ../catalog/category"&amp;LEFT(categories!G295,6)&amp;";", "")</f>
        <v>cp ./img3/img07b0.jpg ../catalog/category/img3/;</v>
      </c>
      <c r="B295" t="str">
        <f>IF(LEN(categories!G295) &gt; 0, SUBSTITUTE("copy ."&amp;categories!G295&amp;" ./category"&amp;LEFT(categories!G295,6),"/","\"), "")</f>
        <v>copy .\img3\img07b0.jpg .\category\img3\</v>
      </c>
    </row>
    <row r="296" spans="1:2" x14ac:dyDescent="0.25">
      <c r="A296" t="str">
        <f>IF(LEN(categories!G296) &gt; 0, "cp ."&amp;categories!G296&amp;" ../catalog/category"&amp;LEFT(categories!G296,6)&amp;";", "")</f>
        <v>cp ./img1/img2953.jpg ../catalog/category/img1/;</v>
      </c>
      <c r="B296" t="str">
        <f>IF(LEN(categories!G296) &gt; 0, SUBSTITUTE("copy ."&amp;categories!G296&amp;" ./category"&amp;LEFT(categories!G296,6),"/","\"), "")</f>
        <v>copy .\img1\img2953.jpg .\category\img1\</v>
      </c>
    </row>
    <row r="297" spans="1:2" x14ac:dyDescent="0.25">
      <c r="A297" t="str">
        <f>IF(LEN(categories!G297) &gt; 0, "cp ."&amp;categories!G297&amp;" ../catalog/category"&amp;LEFT(categories!G297,6)&amp;";", "")</f>
        <v>cp ./img2/img4973.jpg ../catalog/category/img2/;</v>
      </c>
      <c r="B297" t="str">
        <f>IF(LEN(categories!G297) &gt; 0, SUBSTITUTE("copy ."&amp;categories!G297&amp;" ./category"&amp;LEFT(categories!G297,6),"/","\"), "")</f>
        <v>copy .\img2\img4973.jpg .\category\img2\</v>
      </c>
    </row>
    <row r="298" spans="1:2" x14ac:dyDescent="0.25">
      <c r="A298" t="str">
        <f>IF(LEN(categories!G298) &gt; 0, "cp ."&amp;categories!G298&amp;" ../catalog/category"&amp;LEFT(categories!G298,6)&amp;";", "")</f>
        <v>cp ./img3/img0abb.jpg ../catalog/category/img3/;</v>
      </c>
      <c r="B298" t="str">
        <f>IF(LEN(categories!G298) &gt; 0, SUBSTITUTE("copy ."&amp;categories!G298&amp;" ./category"&amp;LEFT(categories!G298,6),"/","\"), "")</f>
        <v>copy .\img3\img0abb.jpg .\category\img3\</v>
      </c>
    </row>
    <row r="299" spans="1:2" x14ac:dyDescent="0.25">
      <c r="A299" t="str">
        <f>IF(LEN(categories!G299) &gt; 0, "cp ."&amp;categories!G299&amp;" ../catalog/category"&amp;LEFT(categories!G299,6)&amp;";", "")</f>
        <v>cp ./img1/img0193.jpg ../catalog/category/img1/;</v>
      </c>
      <c r="B299" t="str">
        <f>IF(LEN(categories!G299) &gt; 0, SUBSTITUTE("copy ."&amp;categories!G299&amp;" ./category"&amp;LEFT(categories!G299,6),"/","\"), "")</f>
        <v>copy .\img1\img0193.jpg .\category\img1\</v>
      </c>
    </row>
    <row r="300" spans="1:2" x14ac:dyDescent="0.25">
      <c r="A300" t="str">
        <f>IF(LEN(categories!G300) &gt; 0, "cp ."&amp;categories!G300&amp;" ../catalog/category"&amp;LEFT(categories!G300,6)&amp;";", "")</f>
        <v>cp ./img1/imga69b.jpg ../catalog/category/img1/;</v>
      </c>
      <c r="B300" t="str">
        <f>IF(LEN(categories!G300) &gt; 0, SUBSTITUTE("copy ."&amp;categories!G300&amp;" ./category"&amp;LEFT(categories!G300,6),"/","\"), "")</f>
        <v>copy .\img1\imga69b.jpg .\category\img1\</v>
      </c>
    </row>
    <row r="301" spans="1:2" x14ac:dyDescent="0.25">
      <c r="A301" t="str">
        <f>IF(LEN(categories!G301) &gt; 0, "cp ."&amp;categories!G301&amp;" ../catalog/category"&amp;LEFT(categories!G301,6)&amp;";", "")</f>
        <v>cp ./img3/img204d.jpg ../catalog/category/img3/;</v>
      </c>
      <c r="B301" t="str">
        <f>IF(LEN(categories!G301) &gt; 0, SUBSTITUTE("copy ."&amp;categories!G301&amp;" ./category"&amp;LEFT(categories!G301,6),"/","\"), "")</f>
        <v>copy .\img3\img204d.jpg .\category\img3\</v>
      </c>
    </row>
    <row r="302" spans="1:2" x14ac:dyDescent="0.25">
      <c r="A302" t="str">
        <f>IF(LEN(categories!G302) &gt; 0, "cp ."&amp;categories!G302&amp;" ../catalog/category"&amp;LEFT(categories!G302,6)&amp;";", "")</f>
        <v>cp ./img1/img5c81.jpg ../catalog/category/img1/;</v>
      </c>
      <c r="B302" t="str">
        <f>IF(LEN(categories!G302) &gt; 0, SUBSTITUTE("copy ."&amp;categories!G302&amp;" ./category"&amp;LEFT(categories!G302,6),"/","\"), "")</f>
        <v>copy .\img1\img5c81.jpg .\category\img1\</v>
      </c>
    </row>
    <row r="303" spans="1:2" x14ac:dyDescent="0.25">
      <c r="A303" t="str">
        <f>IF(LEN(categories!G303) &gt; 0, "cp ."&amp;categories!G303&amp;" ../catalog/category"&amp;LEFT(categories!G303,6)&amp;";", "")</f>
        <v>cp ./img3/img683e.jpg ../catalog/category/img3/;</v>
      </c>
      <c r="B303" t="str">
        <f>IF(LEN(categories!G303) &gt; 0, SUBSTITUTE("copy ."&amp;categories!G303&amp;" ./category"&amp;LEFT(categories!G303,6),"/","\"), "")</f>
        <v>copy .\img3\img683e.jpg .\category\img3\</v>
      </c>
    </row>
    <row r="304" spans="1:2" x14ac:dyDescent="0.25">
      <c r="A304" t="str">
        <f>IF(LEN(categories!G304) &gt; 0, "cp ."&amp;categories!G304&amp;" ../catalog/category"&amp;LEFT(categories!G304,6)&amp;";", "")</f>
        <v>cp ./img2/img40cd.jpg ../catalog/category/img2/;</v>
      </c>
      <c r="B304" t="str">
        <f>IF(LEN(categories!G304) &gt; 0, SUBSTITUTE("copy ."&amp;categories!G304&amp;" ./category"&amp;LEFT(categories!G304,6),"/","\"), "")</f>
        <v>copy .\img2\img40cd.jpg .\category\img2\</v>
      </c>
    </row>
    <row r="305" spans="1:2" x14ac:dyDescent="0.25">
      <c r="A305" t="str">
        <f>IF(LEN(categories!G305) &gt; 0, "cp ."&amp;categories!G305&amp;" ../catalog/category"&amp;LEFT(categories!G305,6)&amp;";", "")</f>
        <v>cp ./img2/img40cd.jpg ../catalog/category/img2/;</v>
      </c>
      <c r="B305" t="str">
        <f>IF(LEN(categories!G305) &gt; 0, SUBSTITUTE("copy ."&amp;categories!G305&amp;" ./category"&amp;LEFT(categories!G305,6),"/","\"), "")</f>
        <v>copy .\img2\img40cd.jpg .\category\img2\</v>
      </c>
    </row>
    <row r="306" spans="1:2" x14ac:dyDescent="0.25">
      <c r="A306" t="str">
        <f>IF(LEN(categories!G306) &gt; 0, "cp ."&amp;categories!G306&amp;" ../catalog/category"&amp;LEFT(categories!G306,6)&amp;";", "")</f>
        <v>cp ./img3/img7ce6.jpg ../catalog/category/img3/;</v>
      </c>
      <c r="B306" t="str">
        <f>IF(LEN(categories!G306) &gt; 0, SUBSTITUTE("copy ."&amp;categories!G306&amp;" ./category"&amp;LEFT(categories!G306,6),"/","\"), "")</f>
        <v>copy .\img3\img7ce6.jpg .\category\img3\</v>
      </c>
    </row>
    <row r="307" spans="1:2" x14ac:dyDescent="0.25">
      <c r="A307" t="str">
        <f>IF(LEN(categories!G307) &gt; 0, "cp ."&amp;categories!G307&amp;" ../catalog/category"&amp;LEFT(categories!G307,6)&amp;";", "")</f>
        <v>cp ./img3/imgc8f4.jpg ../catalog/category/img3/;</v>
      </c>
      <c r="B307" t="str">
        <f>IF(LEN(categories!G307) &gt; 0, SUBSTITUTE("copy ."&amp;categories!G307&amp;" ./category"&amp;LEFT(categories!G307,6),"/","\"), "")</f>
        <v>copy .\img3\imgc8f4.jpg .\category\img3\</v>
      </c>
    </row>
    <row r="308" spans="1:2" x14ac:dyDescent="0.25">
      <c r="A308" t="str">
        <f>IF(LEN(categories!G308) &gt; 0, "cp ."&amp;categories!G308&amp;" ../catalog/category"&amp;LEFT(categories!G308,6)&amp;";", "")</f>
        <v>cp ./img2/imgeb07.jpg ../catalog/category/img2/;</v>
      </c>
      <c r="B308" t="str">
        <f>IF(LEN(categories!G308) &gt; 0, SUBSTITUTE("copy ."&amp;categories!G308&amp;" ./category"&amp;LEFT(categories!G308,6),"/","\"), "")</f>
        <v>copy .\img2\imgeb07.jpg .\category\img2\</v>
      </c>
    </row>
    <row r="309" spans="1:2" x14ac:dyDescent="0.25">
      <c r="A309" t="str">
        <f>IF(LEN(categories!G309) &gt; 0, "cp ."&amp;categories!G309&amp;" ../catalog/category"&amp;LEFT(categories!G309,6)&amp;";", "")</f>
        <v>cp ./img2/img71dc.jpg ../catalog/category/img2/;</v>
      </c>
      <c r="B309" t="str">
        <f>IF(LEN(categories!G309) &gt; 0, SUBSTITUTE("copy ."&amp;categories!G309&amp;" ./category"&amp;LEFT(categories!G309,6),"/","\"), "")</f>
        <v>copy .\img2\img71dc.jpg .\category\img2\</v>
      </c>
    </row>
    <row r="310" spans="1:2" x14ac:dyDescent="0.25">
      <c r="A310" t="str">
        <f>IF(LEN(categories!G310) &gt; 0, "cp ."&amp;categories!G310&amp;" ../catalog/category"&amp;LEFT(categories!G310,6)&amp;";", "")</f>
        <v>cp ./img2/img7f48.jpg ../catalog/category/img2/;</v>
      </c>
      <c r="B310" t="str">
        <f>IF(LEN(categories!G310) &gt; 0, SUBSTITUTE("copy ."&amp;categories!G310&amp;" ./category"&amp;LEFT(categories!G310,6),"/","\"), "")</f>
        <v>copy .\img2\img7f48.jpg .\category\img2\</v>
      </c>
    </row>
    <row r="311" spans="1:2" x14ac:dyDescent="0.25">
      <c r="A311" t="str">
        <f>IF(LEN(categories!G311) &gt; 0, "cp ."&amp;categories!G311&amp;" ../catalog/category"&amp;LEFT(categories!G311,6)&amp;";", "")</f>
        <v>cp ./img1/img3bb2.jpg ../catalog/category/img1/;</v>
      </c>
      <c r="B311" t="str">
        <f>IF(LEN(categories!G311) &gt; 0, SUBSTITUTE("copy ."&amp;categories!G311&amp;" ./category"&amp;LEFT(categories!G311,6),"/","\"), "")</f>
        <v>copy .\img1\img3bb2.jpg .\category\img1\</v>
      </c>
    </row>
    <row r="312" spans="1:2" x14ac:dyDescent="0.25">
      <c r="A312" t="str">
        <f>IF(LEN(categories!G312) &gt; 0, "cp ."&amp;categories!G312&amp;" ../catalog/category"&amp;LEFT(categories!G312,6)&amp;";", "")</f>
        <v>cp ./img3/imgb28a.jpg ../catalog/category/img3/;</v>
      </c>
      <c r="B312" t="str">
        <f>IF(LEN(categories!G312) &gt; 0, SUBSTITUTE("copy ."&amp;categories!G312&amp;" ./category"&amp;LEFT(categories!G312,6),"/","\"), "")</f>
        <v>copy .\img3\imgb28a.jpg .\category\img3\</v>
      </c>
    </row>
    <row r="313" spans="1:2" x14ac:dyDescent="0.25">
      <c r="A313" t="str">
        <f>IF(LEN(categories!G313) &gt; 0, "cp ."&amp;categories!G313&amp;" ../catalog/category"&amp;LEFT(categories!G313,6)&amp;";", "")</f>
        <v>cp ./img2/imgb111-2.jpg ../catalog/category/img2/;</v>
      </c>
      <c r="B313" t="str">
        <f>IF(LEN(categories!G313) &gt; 0, SUBSTITUTE("copy ."&amp;categories!G313&amp;" ./category"&amp;LEFT(categories!G313,6),"/","\"), "")</f>
        <v>copy .\img2\imgb111-2.jpg .\category\img2\</v>
      </c>
    </row>
    <row r="314" spans="1:2" x14ac:dyDescent="0.25">
      <c r="A314" t="str">
        <f>IF(LEN(categories!G314) &gt; 0, "cp ."&amp;categories!G314&amp;" ../catalog/category"&amp;LEFT(categories!G314,6)&amp;";", "")</f>
        <v>cp ./img1/img02df.jpg ../catalog/category/img1/;</v>
      </c>
      <c r="B314" t="str">
        <f>IF(LEN(categories!G314) &gt; 0, SUBSTITUTE("copy ."&amp;categories!G314&amp;" ./category"&amp;LEFT(categories!G314,6),"/","\"), "")</f>
        <v>copy .\img1\img02df.jpg .\category\img1\</v>
      </c>
    </row>
    <row r="315" spans="1:2" x14ac:dyDescent="0.25">
      <c r="A315" t="str">
        <f>IF(LEN(categories!G315) &gt; 0, "cp ."&amp;categories!G315&amp;" ../catalog/category"&amp;LEFT(categories!G315,6)&amp;";", "")</f>
        <v>cp ./img1/img93f1.jpg ../catalog/category/img1/;</v>
      </c>
      <c r="B315" t="str">
        <f>IF(LEN(categories!G315) &gt; 0, SUBSTITUTE("copy ."&amp;categories!G315&amp;" ./category"&amp;LEFT(categories!G315,6),"/","\"), "")</f>
        <v>copy .\img1\img93f1.jpg .\category\img1\</v>
      </c>
    </row>
    <row r="316" spans="1:2" x14ac:dyDescent="0.25">
      <c r="A316" t="str">
        <f>IF(LEN(categories!G316) &gt; 0, "cp ."&amp;categories!G316&amp;" ../catalog/category"&amp;LEFT(categories!G316,6)&amp;";", "")</f>
        <v>cp ./img3/imgfe71.jpg ../catalog/category/img3/;</v>
      </c>
      <c r="B316" t="str">
        <f>IF(LEN(categories!G316) &gt; 0, SUBSTITUTE("copy ."&amp;categories!G316&amp;" ./category"&amp;LEFT(categories!G316,6),"/","\"), "")</f>
        <v>copy .\img3\imgfe71.jpg .\category\img3\</v>
      </c>
    </row>
    <row r="317" spans="1:2" x14ac:dyDescent="0.25">
      <c r="A317" t="str">
        <f>IF(LEN(categories!G317) &gt; 0, "cp ."&amp;categories!G317&amp;" ../catalog/category"&amp;LEFT(categories!G317,6)&amp;";", "")</f>
        <v>cp ./img2/imga616.jpg ../catalog/category/img2/;</v>
      </c>
      <c r="B317" t="str">
        <f>IF(LEN(categories!G317) &gt; 0, SUBSTITUTE("copy ."&amp;categories!G317&amp;" ./category"&amp;LEFT(categories!G317,6),"/","\"), "")</f>
        <v>copy .\img2\imga616.jpg .\category\img2\</v>
      </c>
    </row>
    <row r="318" spans="1:2" x14ac:dyDescent="0.25">
      <c r="A318" t="str">
        <f>IF(LEN(categories!G318) &gt; 0, "cp ."&amp;categories!G318&amp;" ../catalog/category"&amp;LEFT(categories!G318,6)&amp;";", "")</f>
        <v>cp ./img2/img8c2b.jpg ../catalog/category/img2/;</v>
      </c>
      <c r="B318" t="str">
        <f>IF(LEN(categories!G318) &gt; 0, SUBSTITUTE("copy ."&amp;categories!G318&amp;" ./category"&amp;LEFT(categories!G318,6),"/","\"), "")</f>
        <v>copy .\img2\img8c2b.jpg .\category\img2\</v>
      </c>
    </row>
    <row r="319" spans="1:2" x14ac:dyDescent="0.25">
      <c r="A319" t="str">
        <f>IF(LEN(categories!G319) &gt; 0, "cp ."&amp;categories!G319&amp;" ../catalog/category"&amp;LEFT(categories!G319,6)&amp;";", "")</f>
        <v>cp ./img3/imgfb70.jpg ../catalog/category/img3/;</v>
      </c>
      <c r="B319" t="str">
        <f>IF(LEN(categories!G319) &gt; 0, SUBSTITUTE("copy ."&amp;categories!G319&amp;" ./category"&amp;LEFT(categories!G319,6),"/","\"), "")</f>
        <v>copy .\img3\imgfb70.jpg .\category\img3\</v>
      </c>
    </row>
    <row r="320" spans="1:2" x14ac:dyDescent="0.25">
      <c r="A320" t="str">
        <f>IF(LEN(categories!G320) &gt; 0, "cp ."&amp;categories!G320&amp;" ../catalog/category"&amp;LEFT(categories!G320,6)&amp;";", "")</f>
        <v>cp ./img2/img25f4.jpg ../catalog/category/img2/;</v>
      </c>
      <c r="B320" t="str">
        <f>IF(LEN(categories!G320) &gt; 0, SUBSTITUTE("copy ."&amp;categories!G320&amp;" ./category"&amp;LEFT(categories!G320,6),"/","\"), "")</f>
        <v>copy .\img2\img25f4.jpg .\category\img2\</v>
      </c>
    </row>
    <row r="321" spans="1:2" x14ac:dyDescent="0.25">
      <c r="A321" t="str">
        <f>IF(LEN(categories!G321) &gt; 0, "cp ."&amp;categories!G321&amp;" ../catalog/category"&amp;LEFT(categories!G321,6)&amp;";", "")</f>
        <v>cp ./img2/img47b7.jpg ../catalog/category/img2/;</v>
      </c>
      <c r="B321" t="str">
        <f>IF(LEN(categories!G321) &gt; 0, SUBSTITUTE("copy ."&amp;categories!G321&amp;" ./category"&amp;LEFT(categories!G321,6),"/","\"), "")</f>
        <v>copy .\img2\img47b7.jpg .\category\img2\</v>
      </c>
    </row>
    <row r="322" spans="1:2" x14ac:dyDescent="0.25">
      <c r="A322" t="str">
        <f>IF(LEN(categories!G322) &gt; 0, "cp ."&amp;categories!G322&amp;" ../catalog/category"&amp;LEFT(categories!G322,6)&amp;";", "")</f>
        <v>cp ./img2/imgc4be.jpg ../catalog/category/img2/;</v>
      </c>
      <c r="B322" t="str">
        <f>IF(LEN(categories!G322) &gt; 0, SUBSTITUTE("copy ."&amp;categories!G322&amp;" ./category"&amp;LEFT(categories!G322,6),"/","\"), "")</f>
        <v>copy .\img2\imgc4be.jpg .\category\img2\</v>
      </c>
    </row>
    <row r="323" spans="1:2" x14ac:dyDescent="0.25">
      <c r="A323" t="str">
        <f>IF(LEN(categories!G323) &gt; 0, "cp ."&amp;categories!G323&amp;" ../catalog/category"&amp;LEFT(categories!G323,6)&amp;";", "")</f>
        <v>cp ./img1/img53d0.jpg ../catalog/category/img1/;</v>
      </c>
      <c r="B323" t="str">
        <f>IF(LEN(categories!G323) &gt; 0, SUBSTITUTE("copy ."&amp;categories!G323&amp;" ./category"&amp;LEFT(categories!G323,6),"/","\"), "")</f>
        <v>copy .\img1\img53d0.jpg .\category\img1\</v>
      </c>
    </row>
    <row r="324" spans="1:2" x14ac:dyDescent="0.25">
      <c r="A324" t="str">
        <f>IF(LEN(categories!G324) &gt; 0, "cp ."&amp;categories!G324&amp;" ../catalog/category"&amp;LEFT(categories!G324,6)&amp;";", "")</f>
        <v>cp ./img2/img1454.jpg ../catalog/category/img2/;</v>
      </c>
      <c r="B324" t="str">
        <f>IF(LEN(categories!G324) &gt; 0, SUBSTITUTE("copy ."&amp;categories!G324&amp;" ./category"&amp;LEFT(categories!G324,6),"/","\"), "")</f>
        <v>copy .\img2\img1454.jpg .\category\img2\</v>
      </c>
    </row>
    <row r="325" spans="1:2" x14ac:dyDescent="0.25">
      <c r="A325" t="str">
        <f>IF(LEN(categories!G325) &gt; 0, "cp ."&amp;categories!G325&amp;" ../catalog/category"&amp;LEFT(categories!G325,6)&amp;";", "")</f>
        <v>cp ./img1/img8ede.jpg ../catalog/category/img1/;</v>
      </c>
      <c r="B325" t="str">
        <f>IF(LEN(categories!G325) &gt; 0, SUBSTITUTE("copy ."&amp;categories!G325&amp;" ./category"&amp;LEFT(categories!G325,6),"/","\"), "")</f>
        <v>copy .\img1\img8ede.jpg .\category\img1\</v>
      </c>
    </row>
    <row r="326" spans="1:2" x14ac:dyDescent="0.25">
      <c r="A326" t="str">
        <f>IF(LEN(categories!G326) &gt; 0, "cp ."&amp;categories!G326&amp;" ../catalog/category"&amp;LEFT(categories!G326,6)&amp;";", "")</f>
        <v>cp ./img2/imgdad4.jpg ../catalog/category/img2/;</v>
      </c>
      <c r="B326" t="str">
        <f>IF(LEN(categories!G326) &gt; 0, SUBSTITUTE("copy ."&amp;categories!G326&amp;" ./category"&amp;LEFT(categories!G326,6),"/","\"), "")</f>
        <v>copy .\img2\imgdad4.jpg .\category\img2\</v>
      </c>
    </row>
    <row r="327" spans="1:2" x14ac:dyDescent="0.25">
      <c r="A327" t="str">
        <f>IF(LEN(categories!G327) &gt; 0, "cp ."&amp;categories!G327&amp;" ../catalog/category"&amp;LEFT(categories!G327,6)&amp;";", "")</f>
        <v>cp ./img3/img61c1.jpg ../catalog/category/img3/;</v>
      </c>
      <c r="B327" t="str">
        <f>IF(LEN(categories!G327) &gt; 0, SUBSTITUTE("copy ."&amp;categories!G327&amp;" ./category"&amp;LEFT(categories!G327,6),"/","\"), "")</f>
        <v>copy .\img3\img61c1.jpg .\category\img3\</v>
      </c>
    </row>
    <row r="328" spans="1:2" x14ac:dyDescent="0.25">
      <c r="A328" t="str">
        <f>IF(LEN(categories!G328) &gt; 0, "cp ."&amp;categories!G328&amp;" ../catalog/category"&amp;LEFT(categories!G328,6)&amp;";", "")</f>
        <v>cp ./img3/img8217.jpg ../catalog/category/img3/;</v>
      </c>
      <c r="B328" t="str">
        <f>IF(LEN(categories!G328) &gt; 0, SUBSTITUTE("copy ."&amp;categories!G328&amp;" ./category"&amp;LEFT(categories!G328,6),"/","\"), "")</f>
        <v>copy .\img3\img8217.jpg .\category\img3\</v>
      </c>
    </row>
    <row r="329" spans="1:2" x14ac:dyDescent="0.25">
      <c r="A329" t="str">
        <f>IF(LEN(categories!G329) &gt; 0, "cp ."&amp;categories!G329&amp;" ../catalog/category"&amp;LEFT(categories!G329,6)&amp;";", "")</f>
        <v>cp ./img1/img665b.jpg ../catalog/category/img1/;</v>
      </c>
      <c r="B329" t="str">
        <f>IF(LEN(categories!G329) &gt; 0, SUBSTITUTE("copy ."&amp;categories!G329&amp;" ./category"&amp;LEFT(categories!G329,6),"/","\"), "")</f>
        <v>copy .\img1\img665b.jpg .\category\img1\</v>
      </c>
    </row>
    <row r="330" spans="1:2" x14ac:dyDescent="0.25">
      <c r="A330" t="str">
        <f>IF(LEN(categories!G330) &gt; 0, "cp ."&amp;categories!G330&amp;" ../catalog/category"&amp;LEFT(categories!G330,6)&amp;";", "")</f>
        <v>cp ./img1/img563b.jpg ../catalog/category/img1/;</v>
      </c>
      <c r="B330" t="str">
        <f>IF(LEN(categories!G330) &gt; 0, SUBSTITUTE("copy ."&amp;categories!G330&amp;" ./category"&amp;LEFT(categories!G330,6),"/","\"), "")</f>
        <v>copy .\img1\img563b.jpg .\category\img1\</v>
      </c>
    </row>
    <row r="331" spans="1:2" x14ac:dyDescent="0.25">
      <c r="A331" t="str">
        <f>IF(LEN(categories!G331) &gt; 0, "cp ."&amp;categories!G331&amp;" ../catalog/category"&amp;LEFT(categories!G331,6)&amp;";", "")</f>
        <v>cp ./img1/imgbefa.jpg ../catalog/category/img1/;</v>
      </c>
      <c r="B331" t="str">
        <f>IF(LEN(categories!G331) &gt; 0, SUBSTITUTE("copy ."&amp;categories!G331&amp;" ./category"&amp;LEFT(categories!G331,6),"/","\"), "")</f>
        <v>copy .\img1\imgbefa.jpg .\category\img1\</v>
      </c>
    </row>
    <row r="332" spans="1:2" x14ac:dyDescent="0.25">
      <c r="A332" t="str">
        <f>IF(LEN(categories!G332) &gt; 0, "cp ."&amp;categories!G332&amp;" ../catalog/category"&amp;LEFT(categories!G332,6)&amp;";", "")</f>
        <v>cp ./img3/imgf1d9.jpg ../catalog/category/img3/;</v>
      </c>
      <c r="B332" t="str">
        <f>IF(LEN(categories!G332) &gt; 0, SUBSTITUTE("copy ."&amp;categories!G332&amp;" ./category"&amp;LEFT(categories!G332,6),"/","\"), "")</f>
        <v>copy .\img3\imgf1d9.jpg .\category\img3\</v>
      </c>
    </row>
    <row r="333" spans="1:2" x14ac:dyDescent="0.25">
      <c r="A333" t="str">
        <f>IF(LEN(categories!G333) &gt; 0, "cp ."&amp;categories!G333&amp;" ../catalog/category"&amp;LEFT(categories!G333,6)&amp;";", "")</f>
        <v>cp ./img3/img47ee.jpg ../catalog/category/img3/;</v>
      </c>
      <c r="B333" t="str">
        <f>IF(LEN(categories!G333) &gt; 0, SUBSTITUTE("copy ."&amp;categories!G333&amp;" ./category"&amp;LEFT(categories!G333,6),"/","\"), "")</f>
        <v>copy .\img3\img47ee.jpg .\category\img3\</v>
      </c>
    </row>
    <row r="334" spans="1:2" x14ac:dyDescent="0.25">
      <c r="A334" t="str">
        <f>IF(LEN(categories!G334) &gt; 0, "cp ."&amp;categories!G334&amp;" ../catalog/category"&amp;LEFT(categories!G334,6)&amp;";", "")</f>
        <v>cp ./img3/img32ba.jpg ../catalog/category/img3/;</v>
      </c>
      <c r="B334" t="str">
        <f>IF(LEN(categories!G334) &gt; 0, SUBSTITUTE("copy ."&amp;categories!G334&amp;" ./category"&amp;LEFT(categories!G334,6),"/","\"), "")</f>
        <v>copy .\img3\img32ba.jpg .\category\img3\</v>
      </c>
    </row>
    <row r="335" spans="1:2" x14ac:dyDescent="0.25">
      <c r="A335" t="str">
        <f>IF(LEN(categories!G335) &gt; 0, "cp ."&amp;categories!G335&amp;" ../catalog/category"&amp;LEFT(categories!G335,6)&amp;";", "")</f>
        <v>cp ./img1/imgba4d.jpg ../catalog/category/img1/;</v>
      </c>
      <c r="B335" t="str">
        <f>IF(LEN(categories!G335) &gt; 0, SUBSTITUTE("copy ."&amp;categories!G335&amp;" ./category"&amp;LEFT(categories!G335,6),"/","\"), "")</f>
        <v>copy .\img1\imgba4d.jpg .\category\img1\</v>
      </c>
    </row>
    <row r="336" spans="1:2" x14ac:dyDescent="0.25">
      <c r="A336" t="str">
        <f>IF(LEN(categories!G336) &gt; 0, "cp ."&amp;categories!G336&amp;" ../catalog/category"&amp;LEFT(categories!G336,6)&amp;";", "")</f>
        <v>cp ./img3/img352c.jpg ../catalog/category/img3/;</v>
      </c>
      <c r="B336" t="str">
        <f>IF(LEN(categories!G336) &gt; 0, SUBSTITUTE("copy ."&amp;categories!G336&amp;" ./category"&amp;LEFT(categories!G336,6),"/","\"), "")</f>
        <v>copy .\img3\img352c.jpg .\category\img3\</v>
      </c>
    </row>
    <row r="337" spans="1:2" x14ac:dyDescent="0.25">
      <c r="A337" t="str">
        <f>IF(LEN(categories!G337) &gt; 0, "cp ."&amp;categories!G337&amp;" ../catalog/category"&amp;LEFT(categories!G337,6)&amp;";", "")</f>
        <v>cp ./img2/img678b.jpg ../catalog/category/img2/;</v>
      </c>
      <c r="B337" t="str">
        <f>IF(LEN(categories!G337) &gt; 0, SUBSTITUTE("copy ."&amp;categories!G337&amp;" ./category"&amp;LEFT(categories!G337,6),"/","\"), "")</f>
        <v>copy .\img2\img678b.jpg .\category\img2\</v>
      </c>
    </row>
    <row r="338" spans="1:2" x14ac:dyDescent="0.25">
      <c r="A338" t="str">
        <f>IF(LEN(categories!G338) &gt; 0, "cp ."&amp;categories!G338&amp;" ../catalog/category"&amp;LEFT(categories!G338,6)&amp;";", "")</f>
        <v>cp ./img3/img0755.jpg ../catalog/category/img3/;</v>
      </c>
      <c r="B338" t="str">
        <f>IF(LEN(categories!G338) &gt; 0, SUBSTITUTE("copy ."&amp;categories!G338&amp;" ./category"&amp;LEFT(categories!G338,6),"/","\"), "")</f>
        <v>copy .\img3\img0755.jpg .\category\img3\</v>
      </c>
    </row>
    <row r="339" spans="1:2" x14ac:dyDescent="0.25">
      <c r="A339" t="str">
        <f>IF(LEN(categories!G339) &gt; 0, "cp ."&amp;categories!G339&amp;" ../catalog/category"&amp;LEFT(categories!G339,6)&amp;";", "")</f>
        <v>cp ./img1/imgaf6c.jpg ../catalog/category/img1/;</v>
      </c>
      <c r="B339" t="str">
        <f>IF(LEN(categories!G339) &gt; 0, SUBSTITUTE("copy ."&amp;categories!G339&amp;" ./category"&amp;LEFT(categories!G339,6),"/","\"), "")</f>
        <v>copy .\img1\imgaf6c.jpg .\category\img1\</v>
      </c>
    </row>
    <row r="340" spans="1:2" x14ac:dyDescent="0.25">
      <c r="A340" t="str">
        <f>IF(LEN(categories!G340) &gt; 0, "cp ."&amp;categories!G340&amp;" ../catalog/category"&amp;LEFT(categories!G340,6)&amp;";", "")</f>
        <v>cp ./img3/img2c73.jpg ../catalog/category/img3/;</v>
      </c>
      <c r="B340" t="str">
        <f>IF(LEN(categories!G340) &gt; 0, SUBSTITUTE("copy ."&amp;categories!G340&amp;" ./category"&amp;LEFT(categories!G340,6),"/","\"), "")</f>
        <v>copy .\img3\img2c73.jpg .\category\img3\</v>
      </c>
    </row>
    <row r="341" spans="1:2" x14ac:dyDescent="0.25">
      <c r="A341" t="str">
        <f>IF(LEN(categories!G341) &gt; 0, "cp ."&amp;categories!G341&amp;" ../catalog/category"&amp;LEFT(categories!G341,6)&amp;";", "")</f>
        <v>cp ./img1/img0fc5.jpg ../catalog/category/img1/;</v>
      </c>
      <c r="B341" t="str">
        <f>IF(LEN(categories!G341) &gt; 0, SUBSTITUTE("copy ."&amp;categories!G341&amp;" ./category"&amp;LEFT(categories!G341,6),"/","\"), "")</f>
        <v>copy .\img1\img0fc5.jpg .\category\img1\</v>
      </c>
    </row>
    <row r="342" spans="1:2" x14ac:dyDescent="0.25">
      <c r="A342" t="str">
        <f>IF(LEN(categories!G342) &gt; 0, "cp ."&amp;categories!G342&amp;" ../catalog/category"&amp;LEFT(categories!G342,6)&amp;";", "")</f>
        <v>cp ./img3/img783f.jpg ../catalog/category/img3/;</v>
      </c>
      <c r="B342" t="str">
        <f>IF(LEN(categories!G342) &gt; 0, SUBSTITUTE("copy ."&amp;categories!G342&amp;" ./category"&amp;LEFT(categories!G342,6),"/","\"), "")</f>
        <v>copy .\img3\img783f.jpg .\category\img3\</v>
      </c>
    </row>
    <row r="343" spans="1:2" x14ac:dyDescent="0.25">
      <c r="A343" t="str">
        <f>IF(LEN(categories!G343) &gt; 0, "cp ."&amp;categories!G343&amp;" ../catalog/category"&amp;LEFT(categories!G343,6)&amp;";", "")</f>
        <v>cp ./img2/img866b.jpg ../catalog/category/img2/;</v>
      </c>
      <c r="B343" t="str">
        <f>IF(LEN(categories!G343) &gt; 0, SUBSTITUTE("copy ."&amp;categories!G343&amp;" ./category"&amp;LEFT(categories!G343,6),"/","\"), "")</f>
        <v>copy .\img2\img866b.jpg .\category\img2\</v>
      </c>
    </row>
    <row r="344" spans="1:2" x14ac:dyDescent="0.25">
      <c r="A344" t="str">
        <f>IF(LEN(categories!G344) &gt; 0, "cp ."&amp;categories!G344&amp;" ../catalog/category"&amp;LEFT(categories!G344,6)&amp;";", "")</f>
        <v>cp ./img1/img995e.jpg ../catalog/category/img1/;</v>
      </c>
      <c r="B344" t="str">
        <f>IF(LEN(categories!G344) &gt; 0, SUBSTITUTE("copy ."&amp;categories!G344&amp;" ./category"&amp;LEFT(categories!G344,6),"/","\"), "")</f>
        <v>copy .\img1\img995e.jpg .\category\img1\</v>
      </c>
    </row>
    <row r="345" spans="1:2" x14ac:dyDescent="0.25">
      <c r="A345" t="str">
        <f>IF(LEN(categories!G345) &gt; 0, "cp ."&amp;categories!G345&amp;" ../catalog/category"&amp;LEFT(categories!G345,6)&amp;";", "")</f>
        <v>cp ./img3/img5a5f.jpg ../catalog/category/img3/;</v>
      </c>
      <c r="B345" t="str">
        <f>IF(LEN(categories!G345) &gt; 0, SUBSTITUTE("copy ."&amp;categories!G345&amp;" ./category"&amp;LEFT(categories!G345,6),"/","\"), "")</f>
        <v>copy .\img3\img5a5f.jpg .\category\img3\</v>
      </c>
    </row>
    <row r="346" spans="1:2" x14ac:dyDescent="0.25">
      <c r="A346" t="str">
        <f>IF(LEN(categories!G346) &gt; 0, "cp ."&amp;categories!G346&amp;" ../catalog/category"&amp;LEFT(categories!G346,6)&amp;";", "")</f>
        <v>cp ./img3/img8bc7.jpg ../catalog/category/img3/;</v>
      </c>
      <c r="B346" t="str">
        <f>IF(LEN(categories!G346) &gt; 0, SUBSTITUTE("copy ."&amp;categories!G346&amp;" ./category"&amp;LEFT(categories!G346,6),"/","\"), "")</f>
        <v>copy .\img3\img8bc7.jpg .\category\img3\</v>
      </c>
    </row>
    <row r="347" spans="1:2" x14ac:dyDescent="0.25">
      <c r="A347" t="str">
        <f>IF(LEN(categories!G347) &gt; 0, "cp ."&amp;categories!G347&amp;" ../catalog/category"&amp;LEFT(categories!G347,6)&amp;";", "")</f>
        <v>cp ./img1/imgf522.jpg ../catalog/category/img1/;</v>
      </c>
      <c r="B347" t="str">
        <f>IF(LEN(categories!G347) &gt; 0, SUBSTITUTE("copy ."&amp;categories!G347&amp;" ./category"&amp;LEFT(categories!G347,6),"/","\"), "")</f>
        <v>copy .\img1\imgf522.jpg .\category\img1\</v>
      </c>
    </row>
    <row r="348" spans="1:2" x14ac:dyDescent="0.25">
      <c r="A348" t="str">
        <f>IF(LEN(categories!G348) &gt; 0, "cp ."&amp;categories!G348&amp;" ../catalog/category"&amp;LEFT(categories!G348,6)&amp;";", "")</f>
        <v>cp ./img2/imgb0d2.jpg ../catalog/category/img2/;</v>
      </c>
      <c r="B348" t="str">
        <f>IF(LEN(categories!G348) &gt; 0, SUBSTITUTE("copy ."&amp;categories!G348&amp;" ./category"&amp;LEFT(categories!G348,6),"/","\"), "")</f>
        <v>copy .\img2\imgb0d2.jpg .\category\img2\</v>
      </c>
    </row>
    <row r="349" spans="1:2" x14ac:dyDescent="0.25">
      <c r="A349" t="str">
        <f>IF(LEN(categories!G349) &gt; 0, "cp ."&amp;categories!G349&amp;" ../catalog/category"&amp;LEFT(categories!G349,6)&amp;";", "")</f>
        <v>cp ./img3/imgc158.jpg ../catalog/category/img3/;</v>
      </c>
      <c r="B349" t="str">
        <f>IF(LEN(categories!G349) &gt; 0, SUBSTITUTE("copy ."&amp;categories!G349&amp;" ./category"&amp;LEFT(categories!G349,6),"/","\"), "")</f>
        <v>copy .\img3\imgc158.jpg .\category\img3\</v>
      </c>
    </row>
    <row r="350" spans="1:2" x14ac:dyDescent="0.25">
      <c r="A350" t="str">
        <f>IF(LEN(categories!G350) &gt; 0, "cp ."&amp;categories!G350&amp;" ../catalog/category"&amp;LEFT(categories!G350,6)&amp;";", "")</f>
        <v>cp ./img2/img476b.jpg ../catalog/category/img2/;</v>
      </c>
      <c r="B350" t="str">
        <f>IF(LEN(categories!G350) &gt; 0, SUBSTITUTE("copy ."&amp;categories!G350&amp;" ./category"&amp;LEFT(categories!G350,6),"/","\"), "")</f>
        <v>copy .\img2\img476b.jpg .\category\img2\</v>
      </c>
    </row>
    <row r="351" spans="1:2" x14ac:dyDescent="0.25">
      <c r="A351" t="str">
        <f>IF(LEN(categories!G351) &gt; 0, "cp ."&amp;categories!G351&amp;" ../catalog/category"&amp;LEFT(categories!G351,6)&amp;";", "")</f>
        <v>cp ./img3/img8907.jpg ../catalog/category/img3/;</v>
      </c>
      <c r="B351" t="str">
        <f>IF(LEN(categories!G351) &gt; 0, SUBSTITUTE("copy ."&amp;categories!G351&amp;" ./category"&amp;LEFT(categories!G351,6),"/","\"), "")</f>
        <v>copy .\img3\img8907.jpg .\category\img3\</v>
      </c>
    </row>
    <row r="352" spans="1:2" x14ac:dyDescent="0.25">
      <c r="A352" t="str">
        <f>IF(LEN(categories!G352) &gt; 0, "cp ."&amp;categories!G352&amp;" ../catalog/category"&amp;LEFT(categories!G352,6)&amp;";", "")</f>
        <v>cp ./img3/img6e4e.jpg ../catalog/category/img3/;</v>
      </c>
      <c r="B352" t="str">
        <f>IF(LEN(categories!G352) &gt; 0, SUBSTITUTE("copy ."&amp;categories!G352&amp;" ./category"&amp;LEFT(categories!G352,6),"/","\"), "")</f>
        <v>copy .\img3\img6e4e.jpg .\category\img3\</v>
      </c>
    </row>
    <row r="353" spans="1:2" x14ac:dyDescent="0.25">
      <c r="A353" t="str">
        <f>IF(LEN(categories!G353) &gt; 0, "cp ."&amp;categories!G353&amp;" ../catalog/category"&amp;LEFT(categories!G353,6)&amp;";", "")</f>
        <v>cp ./img2/imgd6cf.jpg ../catalog/category/img2/;</v>
      </c>
      <c r="B353" t="str">
        <f>IF(LEN(categories!G353) &gt; 0, SUBSTITUTE("copy ."&amp;categories!G353&amp;" ./category"&amp;LEFT(categories!G353,6),"/","\"), "")</f>
        <v>copy .\img2\imgd6cf.jpg .\category\img2\</v>
      </c>
    </row>
    <row r="354" spans="1:2" x14ac:dyDescent="0.25">
      <c r="A354" t="str">
        <f>IF(LEN(categories!G354) &gt; 0, "cp ."&amp;categories!G354&amp;" ../catalog/category"&amp;LEFT(categories!G354,6)&amp;";", "")</f>
        <v>cp ./img1/img211e.jpg ../catalog/category/img1/;</v>
      </c>
      <c r="B354" t="str">
        <f>IF(LEN(categories!G354) &gt; 0, SUBSTITUTE("copy ."&amp;categories!G354&amp;" ./category"&amp;LEFT(categories!G354,6),"/","\"), "")</f>
        <v>copy .\img1\img211e.jpg .\category\img1\</v>
      </c>
    </row>
    <row r="355" spans="1:2" x14ac:dyDescent="0.25">
      <c r="A355" t="str">
        <f>IF(LEN(categories!G355) &gt; 0, "cp ."&amp;categories!G355&amp;" ../catalog/category"&amp;LEFT(categories!G355,6)&amp;";", "")</f>
        <v>cp ./img1/imga2b1.jpg ../catalog/category/img1/;</v>
      </c>
      <c r="B355" t="str">
        <f>IF(LEN(categories!G355) &gt; 0, SUBSTITUTE("copy ."&amp;categories!G355&amp;" ./category"&amp;LEFT(categories!G355,6),"/","\"), "")</f>
        <v>copy .\img1\imga2b1.jpg .\category\img1\</v>
      </c>
    </row>
    <row r="356" spans="1:2" x14ac:dyDescent="0.25">
      <c r="A356" t="str">
        <f>IF(LEN(categories!G356) &gt; 0, "cp ."&amp;categories!G356&amp;" ../catalog/category"&amp;LEFT(categories!G356,6)&amp;";", "")</f>
        <v>cp ./img1/img2016.jpg ../catalog/category/img1/;</v>
      </c>
      <c r="B356" t="str">
        <f>IF(LEN(categories!G356) &gt; 0, SUBSTITUTE("copy ."&amp;categories!G356&amp;" ./category"&amp;LEFT(categories!G356,6),"/","\"), "")</f>
        <v>copy .\img1\img2016.jpg .\category\img1\</v>
      </c>
    </row>
    <row r="357" spans="1:2" x14ac:dyDescent="0.25">
      <c r="A357" t="str">
        <f>IF(LEN(categories!G357) &gt; 0, "cp ."&amp;categories!G357&amp;" ../catalog/category"&amp;LEFT(categories!G357,6)&amp;";", "")</f>
        <v>cp ./img2/img9a2f-2.jpg ../catalog/category/img2/;</v>
      </c>
      <c r="B357" t="str">
        <f>IF(LEN(categories!G357) &gt; 0, SUBSTITUTE("copy ."&amp;categories!G357&amp;" ./category"&amp;LEFT(categories!G357,6),"/","\"), "")</f>
        <v>copy .\img2\img9a2f-2.jpg .\category\img2\</v>
      </c>
    </row>
    <row r="358" spans="1:2" x14ac:dyDescent="0.25">
      <c r="A358" t="str">
        <f>IF(LEN(categories!G358) &gt; 0, "cp ."&amp;categories!G358&amp;" ../catalog/category"&amp;LEFT(categories!G358,6)&amp;";", "")</f>
        <v>cp ./img1/imge280.jpg ../catalog/category/img1/;</v>
      </c>
      <c r="B358" t="str">
        <f>IF(LEN(categories!G358) &gt; 0, SUBSTITUTE("copy ."&amp;categories!G358&amp;" ./category"&amp;LEFT(categories!G358,6),"/","\"), "")</f>
        <v>copy .\img1\imge280.jpg .\category\img1\</v>
      </c>
    </row>
    <row r="359" spans="1:2" x14ac:dyDescent="0.25">
      <c r="A359" t="str">
        <f>IF(LEN(categories!G359) &gt; 0, "cp ."&amp;categories!G359&amp;" ../catalog/category"&amp;LEFT(categories!G359,6)&amp;";", "")</f>
        <v>cp ./img1/img0ac2.jpg ../catalog/category/img1/;</v>
      </c>
      <c r="B359" t="str">
        <f>IF(LEN(categories!G359) &gt; 0, SUBSTITUTE("copy ."&amp;categories!G359&amp;" ./category"&amp;LEFT(categories!G359,6),"/","\"), "")</f>
        <v>copy .\img1\img0ac2.jpg .\category\img1\</v>
      </c>
    </row>
    <row r="360" spans="1:2" x14ac:dyDescent="0.25">
      <c r="A360" t="str">
        <f>IF(LEN(categories!G360) &gt; 0, "cp ."&amp;categories!G360&amp;" ../catalog/category"&amp;LEFT(categories!G360,6)&amp;";", "")</f>
        <v>cp ./img1/imgfce3.jpg ../catalog/category/img1/;</v>
      </c>
      <c r="B360" t="str">
        <f>IF(LEN(categories!G360) &gt; 0, SUBSTITUTE("copy ."&amp;categories!G360&amp;" ./category"&amp;LEFT(categories!G360,6),"/","\"), "")</f>
        <v>copy .\img1\imgfce3.jpg .\category\img1\</v>
      </c>
    </row>
    <row r="361" spans="1:2" x14ac:dyDescent="0.25">
      <c r="A361" t="str">
        <f>IF(LEN(categories!G361) &gt; 0, "cp ."&amp;categories!G361&amp;" ../catalog/category"&amp;LEFT(categories!G361,6)&amp;";", "")</f>
        <v>cp ./img2/img1ce8.jpg ../catalog/category/img2/;</v>
      </c>
      <c r="B361" t="str">
        <f>IF(LEN(categories!G361) &gt; 0, SUBSTITUTE("copy ."&amp;categories!G361&amp;" ./category"&amp;LEFT(categories!G361,6),"/","\"), "")</f>
        <v>copy .\img2\img1ce8.jpg .\category\img2\</v>
      </c>
    </row>
    <row r="362" spans="1:2" x14ac:dyDescent="0.25">
      <c r="A362" t="str">
        <f>IF(LEN(categories!G362) &gt; 0, "cp ."&amp;categories!G362&amp;" ../catalog/category"&amp;LEFT(categories!G362,6)&amp;";", "")</f>
        <v>cp ./img1/imgf866.jpg ../catalog/category/img1/;</v>
      </c>
      <c r="B362" t="str">
        <f>IF(LEN(categories!G362) &gt; 0, SUBSTITUTE("copy ."&amp;categories!G362&amp;" ./category"&amp;LEFT(categories!G362,6),"/","\"), "")</f>
        <v>copy .\img1\imgf866.jpg .\category\img1\</v>
      </c>
    </row>
    <row r="363" spans="1:2" x14ac:dyDescent="0.25">
      <c r="A363" t="str">
        <f>IF(LEN(categories!G363) &gt; 0, "cp ."&amp;categories!G363&amp;" ../catalog/category"&amp;LEFT(categories!G363,6)&amp;";", "")</f>
        <v>cp ./img2/imgb887.jpg ../catalog/category/img2/;</v>
      </c>
      <c r="B363" t="str">
        <f>IF(LEN(categories!G363) &gt; 0, SUBSTITUTE("copy ."&amp;categories!G363&amp;" ./category"&amp;LEFT(categories!G363,6),"/","\"), "")</f>
        <v>copy .\img2\imgb887.jpg .\category\img2\</v>
      </c>
    </row>
    <row r="364" spans="1:2" x14ac:dyDescent="0.25">
      <c r="A364" t="str">
        <f>IF(LEN(categories!G364) &gt; 0, "cp ."&amp;categories!G364&amp;" ../catalog/category"&amp;LEFT(categories!G364,6)&amp;";", "")</f>
        <v>cp ./img2/imgd84a.jpg ../catalog/category/img2/;</v>
      </c>
      <c r="B364" t="str">
        <f>IF(LEN(categories!G364) &gt; 0, SUBSTITUTE("copy ."&amp;categories!G364&amp;" ./category"&amp;LEFT(categories!G364,6),"/","\"), "")</f>
        <v>copy .\img2\imgd84a.jpg .\category\img2\</v>
      </c>
    </row>
    <row r="365" spans="1:2" x14ac:dyDescent="0.25">
      <c r="A365" t="str">
        <f>IF(LEN(categories!G365) &gt; 0, "cp ."&amp;categories!G365&amp;" ../catalog/category"&amp;LEFT(categories!G365,6)&amp;";", "")</f>
        <v>cp ./img1/img26fe.jpg ../catalog/category/img1/;</v>
      </c>
      <c r="B365" t="str">
        <f>IF(LEN(categories!G365) &gt; 0, SUBSTITUTE("copy ."&amp;categories!G365&amp;" ./category"&amp;LEFT(categories!G365,6),"/","\"), "")</f>
        <v>copy .\img1\img26fe.jpg .\category\img1\</v>
      </c>
    </row>
    <row r="366" spans="1:2" x14ac:dyDescent="0.25">
      <c r="A366" t="str">
        <f>IF(LEN(categories!G366) &gt; 0, "cp ."&amp;categories!G366&amp;" ../catalog/category"&amp;LEFT(categories!G366,6)&amp;";", "")</f>
        <v>cp ./img1/imgfff0.jpg ../catalog/category/img1/;</v>
      </c>
      <c r="B366" t="str">
        <f>IF(LEN(categories!G366) &gt; 0, SUBSTITUTE("copy ."&amp;categories!G366&amp;" ./category"&amp;LEFT(categories!G366,6),"/","\"), "")</f>
        <v>copy .\img1\imgfff0.jpg .\category\img1\</v>
      </c>
    </row>
    <row r="367" spans="1:2" x14ac:dyDescent="0.25">
      <c r="A367" t="str">
        <f>IF(LEN(categories!G367) &gt; 0, "cp ."&amp;categories!G367&amp;" ../catalog/category"&amp;LEFT(categories!G367,6)&amp;";", "")</f>
        <v>cp ./img2/img481a.jpg ../catalog/category/img2/;</v>
      </c>
      <c r="B367" t="str">
        <f>IF(LEN(categories!G367) &gt; 0, SUBSTITUTE("copy ."&amp;categories!G367&amp;" ./category"&amp;LEFT(categories!G367,6),"/","\"), "")</f>
        <v>copy .\img2\img481a.jpg .\category\img2\</v>
      </c>
    </row>
    <row r="368" spans="1:2" x14ac:dyDescent="0.25">
      <c r="A368" t="str">
        <f>IF(LEN(categories!G368) &gt; 0, "cp ."&amp;categories!G368&amp;" ../catalog/category"&amp;LEFT(categories!G368,6)&amp;";", "")</f>
        <v>cp ./img1/img3f93.jpg ../catalog/category/img1/;</v>
      </c>
      <c r="B368" t="str">
        <f>IF(LEN(categories!G368) &gt; 0, SUBSTITUTE("copy ."&amp;categories!G368&amp;" ./category"&amp;LEFT(categories!G368,6),"/","\"), "")</f>
        <v>copy .\img1\img3f93.jpg .\category\img1\</v>
      </c>
    </row>
    <row r="369" spans="1:2" x14ac:dyDescent="0.25">
      <c r="A369" t="str">
        <f>IF(LEN(categories!G369) &gt; 0, "cp ."&amp;categories!G369&amp;" ../catalog/category"&amp;LEFT(categories!G369,6)&amp;";", "")</f>
        <v>cp ./img3/imgca8f.jpg ../catalog/category/img3/;</v>
      </c>
      <c r="B369" t="str">
        <f>IF(LEN(categories!G369) &gt; 0, SUBSTITUTE("copy ."&amp;categories!G369&amp;" ./category"&amp;LEFT(categories!G369,6),"/","\"), "")</f>
        <v>copy .\img3\imgca8f.jpg .\category\img3\</v>
      </c>
    </row>
    <row r="370" spans="1:2" x14ac:dyDescent="0.25">
      <c r="A370" t="str">
        <f>IF(LEN(categories!G370) &gt; 0, "cp ."&amp;categories!G370&amp;" ../catalog/category"&amp;LEFT(categories!G370,6)&amp;";", "")</f>
        <v>cp ./img2/img07b5.jpg ../catalog/category/img2/;</v>
      </c>
      <c r="B370" t="str">
        <f>IF(LEN(categories!G370) &gt; 0, SUBSTITUTE("copy ."&amp;categories!G370&amp;" ./category"&amp;LEFT(categories!G370,6),"/","\"), "")</f>
        <v>copy .\img2\img07b5.jpg .\category\img2\</v>
      </c>
    </row>
    <row r="371" spans="1:2" x14ac:dyDescent="0.25">
      <c r="A371" t="str">
        <f>IF(LEN(categories!G371) &gt; 0, "cp ."&amp;categories!G371&amp;" ../catalog/category"&amp;LEFT(categories!G371,6)&amp;";", "")</f>
        <v>cp ./img2/imgbb37.jpg ../catalog/category/img2/;</v>
      </c>
      <c r="B371" t="str">
        <f>IF(LEN(categories!G371) &gt; 0, SUBSTITUTE("copy ."&amp;categories!G371&amp;" ./category"&amp;LEFT(categories!G371,6),"/","\"), "")</f>
        <v>copy .\img2\imgbb37.jpg .\category\img2\</v>
      </c>
    </row>
    <row r="372" spans="1:2" x14ac:dyDescent="0.25">
      <c r="A372" t="str">
        <f>IF(LEN(categories!G372) &gt; 0, "cp ."&amp;categories!G372&amp;" ../catalog/category"&amp;LEFT(categories!G372,6)&amp;";", "")</f>
        <v>cp ./img2/img60eb.jpg ../catalog/category/img2/;</v>
      </c>
      <c r="B372" t="str">
        <f>IF(LEN(categories!G372) &gt; 0, SUBSTITUTE("copy ."&amp;categories!G372&amp;" ./category"&amp;LEFT(categories!G372,6),"/","\"), "")</f>
        <v>copy .\img2\img60eb.jpg .\category\img2\</v>
      </c>
    </row>
    <row r="373" spans="1:2" x14ac:dyDescent="0.25">
      <c r="A373" t="str">
        <f>IF(LEN(categories!G373) &gt; 0, "cp ."&amp;categories!G373&amp;" ../catalog/category"&amp;LEFT(categories!G373,6)&amp;";", "")</f>
        <v>cp ./img3/img39e9.jpg ../catalog/category/img3/;</v>
      </c>
      <c r="B373" t="str">
        <f>IF(LEN(categories!G373) &gt; 0, SUBSTITUTE("copy ."&amp;categories!G373&amp;" ./category"&amp;LEFT(categories!G373,6),"/","\"), "")</f>
        <v>copy .\img3\img39e9.jpg .\category\img3\</v>
      </c>
    </row>
    <row r="374" spans="1:2" x14ac:dyDescent="0.25">
      <c r="A374" t="str">
        <f>IF(LEN(categories!G374) &gt; 0, "cp ."&amp;categories!G374&amp;" ../catalog/category"&amp;LEFT(categories!G374,6)&amp;";", "")</f>
        <v>cp ./img2/img1f9c.jpg ../catalog/category/img2/;</v>
      </c>
      <c r="B374" t="str">
        <f>IF(LEN(categories!G374) &gt; 0, SUBSTITUTE("copy ."&amp;categories!G374&amp;" ./category"&amp;LEFT(categories!G374,6),"/","\"), "")</f>
        <v>copy .\img2\img1f9c.jpg .\category\img2\</v>
      </c>
    </row>
    <row r="375" spans="1:2" x14ac:dyDescent="0.25">
      <c r="A375" t="str">
        <f>IF(LEN(categories!G375) &gt; 0, "cp ."&amp;categories!G375&amp;" ../catalog/category"&amp;LEFT(categories!G375,6)&amp;";", "")</f>
        <v>cp ./img2/img7c18-2.jpg ../catalog/category/img2/;</v>
      </c>
      <c r="B375" t="str">
        <f>IF(LEN(categories!G375) &gt; 0, SUBSTITUTE("copy ."&amp;categories!G375&amp;" ./category"&amp;LEFT(categories!G375,6),"/","\"), "")</f>
        <v>copy .\img2\img7c18-2.jpg .\category\img2\</v>
      </c>
    </row>
    <row r="376" spans="1:2" x14ac:dyDescent="0.25">
      <c r="A376" t="str">
        <f>IF(LEN(categories!G376) &gt; 0, "cp ."&amp;categories!G376&amp;" ../catalog/category"&amp;LEFT(categories!G376,6)&amp;";", "")</f>
        <v>cp ./img3/img5f86.jpg ../catalog/category/img3/;</v>
      </c>
      <c r="B376" t="str">
        <f>IF(LEN(categories!G376) &gt; 0, SUBSTITUTE("copy ."&amp;categories!G376&amp;" ./category"&amp;LEFT(categories!G376,6),"/","\"), "")</f>
        <v>copy .\img3\img5f86.jpg .\category\img3\</v>
      </c>
    </row>
    <row r="377" spans="1:2" x14ac:dyDescent="0.25">
      <c r="A377" t="str">
        <f>IF(LEN(categories!G377) &gt; 0, "cp ."&amp;categories!G377&amp;" ../catalog/category"&amp;LEFT(categories!G377,6)&amp;";", "")</f>
        <v>cp ./img3/img2f23.jpg ../catalog/category/img3/;</v>
      </c>
      <c r="B377" t="str">
        <f>IF(LEN(categories!G377) &gt; 0, SUBSTITUTE("copy ."&amp;categories!G377&amp;" ./category"&amp;LEFT(categories!G377,6),"/","\"), "")</f>
        <v>copy .\img3\img2f23.jpg .\category\img3\</v>
      </c>
    </row>
    <row r="378" spans="1:2" x14ac:dyDescent="0.25">
      <c r="A378" t="str">
        <f>IF(LEN(categories!G378) &gt; 0, "cp ."&amp;categories!G378&amp;" ../catalog/category"&amp;LEFT(categories!G378,6)&amp;";", "")</f>
        <v>cp ./img2/img500d.jpg ../catalog/category/img2/;</v>
      </c>
      <c r="B378" t="str">
        <f>IF(LEN(categories!G378) &gt; 0, SUBSTITUTE("copy ."&amp;categories!G378&amp;" ./category"&amp;LEFT(categories!G378,6),"/","\"), "")</f>
        <v>copy .\img2\img500d.jpg .\category\img2\</v>
      </c>
    </row>
    <row r="379" spans="1:2" x14ac:dyDescent="0.25">
      <c r="A379" t="str">
        <f>IF(LEN(categories!G379) &gt; 0, "cp ."&amp;categories!G379&amp;" ../catalog/category"&amp;LEFT(categories!G379,6)&amp;";", "")</f>
        <v>cp ./img2/img4a7b.jpg ../catalog/category/img2/;</v>
      </c>
      <c r="B379" t="str">
        <f>IF(LEN(categories!G379) &gt; 0, SUBSTITUTE("copy ."&amp;categories!G379&amp;" ./category"&amp;LEFT(categories!G379,6),"/","\"), "")</f>
        <v>copy .\img2\img4a7b.jpg .\category\img2\</v>
      </c>
    </row>
    <row r="380" spans="1:2" x14ac:dyDescent="0.25">
      <c r="A380" t="str">
        <f>IF(LEN(categories!G380) &gt; 0, "cp ."&amp;categories!G380&amp;" ../catalog/category"&amp;LEFT(categories!G380,6)&amp;";", "")</f>
        <v>cp ./img2/img187c.jpg ../catalog/category/img2/;</v>
      </c>
      <c r="B380" t="str">
        <f>IF(LEN(categories!G380) &gt; 0, SUBSTITUTE("copy ."&amp;categories!G380&amp;" ./category"&amp;LEFT(categories!G380,6),"/","\"), "")</f>
        <v>copy .\img2\img187c.jpg .\category\img2\</v>
      </c>
    </row>
    <row r="381" spans="1:2" x14ac:dyDescent="0.25">
      <c r="A381" t="str">
        <f>IF(LEN(categories!G381) &gt; 0, "cp ."&amp;categories!G381&amp;" ../catalog/category"&amp;LEFT(categories!G381,6)&amp;";", "")</f>
        <v>cp ./img2/img3394.jpg ../catalog/category/img2/;</v>
      </c>
      <c r="B381" t="str">
        <f>IF(LEN(categories!G381) &gt; 0, SUBSTITUTE("copy ."&amp;categories!G381&amp;" ./category"&amp;LEFT(categories!G381,6),"/","\"), "")</f>
        <v>copy .\img2\img3394.jpg .\category\img2\</v>
      </c>
    </row>
    <row r="382" spans="1:2" x14ac:dyDescent="0.25">
      <c r="A382" t="str">
        <f>IF(LEN(categories!G382) &gt; 0, "cp ."&amp;categories!G382&amp;" ../catalog/category"&amp;LEFT(categories!G382,6)&amp;";", "")</f>
        <v>cp ./img1/imgef18.jpg ../catalog/category/img1/;</v>
      </c>
      <c r="B382" t="str">
        <f>IF(LEN(categories!G382) &gt; 0, SUBSTITUTE("copy ."&amp;categories!G382&amp;" ./category"&amp;LEFT(categories!G382,6),"/","\"), "")</f>
        <v>copy .\img1\imgef18.jpg .\category\img1\</v>
      </c>
    </row>
    <row r="383" spans="1:2" x14ac:dyDescent="0.25">
      <c r="A383" t="str">
        <f>IF(LEN(categories!G383) &gt; 0, "cp ."&amp;categories!G383&amp;" ../catalog/category"&amp;LEFT(categories!G383,6)&amp;";", "")</f>
        <v>cp ./img3/img3888.jpg ../catalog/category/img3/;</v>
      </c>
      <c r="B383" t="str">
        <f>IF(LEN(categories!G383) &gt; 0, SUBSTITUTE("copy ."&amp;categories!G383&amp;" ./category"&amp;LEFT(categories!G383,6),"/","\"), "")</f>
        <v>copy .\img3\img3888.jpg .\category\img3\</v>
      </c>
    </row>
    <row r="384" spans="1:2" x14ac:dyDescent="0.25">
      <c r="A384" t="str">
        <f>IF(LEN(categories!G384) &gt; 0, "cp ."&amp;categories!G384&amp;" ../catalog/category"&amp;LEFT(categories!G384,6)&amp;";", "")</f>
        <v>cp ./img3/imgc067.jpg ../catalog/category/img3/;</v>
      </c>
      <c r="B384" t="str">
        <f>IF(LEN(categories!G384) &gt; 0, SUBSTITUTE("copy ."&amp;categories!G384&amp;" ./category"&amp;LEFT(categories!G384,6),"/","\"), "")</f>
        <v>copy .\img3\imgc067.jpg .\category\img3\</v>
      </c>
    </row>
    <row r="385" spans="1:2" x14ac:dyDescent="0.25">
      <c r="A385" t="str">
        <f>IF(LEN(categories!G385) &gt; 0, "cp ."&amp;categories!G385&amp;" ../catalog/category"&amp;LEFT(categories!G385,6)&amp;";", "")</f>
        <v>cp ./img3/img5458.jpg ../catalog/category/img3/;</v>
      </c>
      <c r="B385" t="str">
        <f>IF(LEN(categories!G385) &gt; 0, SUBSTITUTE("copy ."&amp;categories!G385&amp;" ./category"&amp;LEFT(categories!G385,6),"/","\"), "")</f>
        <v>copy .\img3\img5458.jpg .\category\img3\</v>
      </c>
    </row>
    <row r="386" spans="1:2" x14ac:dyDescent="0.25">
      <c r="A386" t="str">
        <f>IF(LEN(categories!G386) &gt; 0, "cp ."&amp;categories!G386&amp;" ../catalog/category"&amp;LEFT(categories!G386,6)&amp;";", "")</f>
        <v>cp ./img3/img37a2.jpg ../catalog/category/img3/;</v>
      </c>
      <c r="B386" t="str">
        <f>IF(LEN(categories!G386) &gt; 0, SUBSTITUTE("copy ."&amp;categories!G386&amp;" ./category"&amp;LEFT(categories!G386,6),"/","\"), "")</f>
        <v>copy .\img3\img37a2.jpg .\category\img3\</v>
      </c>
    </row>
    <row r="387" spans="1:2" x14ac:dyDescent="0.25">
      <c r="A387" t="str">
        <f>IF(LEN(categories!G387) &gt; 0, "cp ."&amp;categories!G387&amp;" ../catalog/category"&amp;LEFT(categories!G387,6)&amp;";", "")</f>
        <v>cp ./img1/img9b19.jpg ../catalog/category/img1/;</v>
      </c>
      <c r="B387" t="str">
        <f>IF(LEN(categories!G387) &gt; 0, SUBSTITUTE("copy ."&amp;categories!G387&amp;" ./category"&amp;LEFT(categories!G387,6),"/","\"), "")</f>
        <v>copy .\img1\img9b19.jpg .\category\img1\</v>
      </c>
    </row>
    <row r="388" spans="1:2" x14ac:dyDescent="0.25">
      <c r="A388" t="str">
        <f>IF(LEN(categories!G388) &gt; 0, "cp ."&amp;categories!G388&amp;" ../catalog/category"&amp;LEFT(categories!G388,6)&amp;";", "")</f>
        <v>cp ./img2/img3394.jpg ../catalog/category/img2/;</v>
      </c>
      <c r="B388" t="str">
        <f>IF(LEN(categories!G388) &gt; 0, SUBSTITUTE("copy ."&amp;categories!G388&amp;" ./category"&amp;LEFT(categories!G388,6),"/","\"), "")</f>
        <v>copy .\img2\img3394.jpg .\category\img2\</v>
      </c>
    </row>
    <row r="389" spans="1:2" x14ac:dyDescent="0.25">
      <c r="A389" t="str">
        <f>IF(LEN(categories!G389) &gt; 0, "cp ."&amp;categories!G389&amp;" ../catalog/category"&amp;LEFT(categories!G389,6)&amp;";", "")</f>
        <v>cp ./img1/img8d37.jpg ../catalog/category/img1/;</v>
      </c>
      <c r="B389" t="str">
        <f>IF(LEN(categories!G389) &gt; 0, SUBSTITUTE("copy ."&amp;categories!G389&amp;" ./category"&amp;LEFT(categories!G389,6),"/","\"), "")</f>
        <v>copy .\img1\img8d37.jpg .\category\img1\</v>
      </c>
    </row>
    <row r="390" spans="1:2" x14ac:dyDescent="0.25">
      <c r="A390" t="str">
        <f>IF(LEN(categories!G390) &gt; 0, "cp ."&amp;categories!G390&amp;" ../catalog/category"&amp;LEFT(categories!G390,6)&amp;";", "")</f>
        <v>cp ./img1/img7308.jpg ../catalog/category/img1/;</v>
      </c>
      <c r="B390" t="str">
        <f>IF(LEN(categories!G390) &gt; 0, SUBSTITUTE("copy ."&amp;categories!G390&amp;" ./category"&amp;LEFT(categories!G390,6),"/","\"), "")</f>
        <v>copy .\img1\img7308.jpg .\category\img1\</v>
      </c>
    </row>
    <row r="391" spans="1:2" x14ac:dyDescent="0.25">
      <c r="A391" t="str">
        <f>IF(LEN(categories!G391) &gt; 0, "cp ."&amp;categories!G391&amp;" ../catalog/category"&amp;LEFT(categories!G391,6)&amp;";", "")</f>
        <v>cp ./img1/img8652.jpg ../catalog/category/img1/;</v>
      </c>
      <c r="B391" t="str">
        <f>IF(LEN(categories!G391) &gt; 0, SUBSTITUTE("copy ."&amp;categories!G391&amp;" ./category"&amp;LEFT(categories!G391,6),"/","\"), "")</f>
        <v>copy .\img1\img8652.jpg .\category\img1\</v>
      </c>
    </row>
    <row r="392" spans="1:2" x14ac:dyDescent="0.25">
      <c r="A392" t="str">
        <f>IF(LEN(categories!G392) &gt; 0, "cp ."&amp;categories!G392&amp;" ../catalog/category"&amp;LEFT(categories!G392,6)&amp;";", "")</f>
        <v>cp ./img1/imga451.jpg ../catalog/category/img1/;</v>
      </c>
      <c r="B392" t="str">
        <f>IF(LEN(categories!G392) &gt; 0, SUBSTITUTE("copy ."&amp;categories!G392&amp;" ./category"&amp;LEFT(categories!G392,6),"/","\"), "")</f>
        <v>copy .\img1\imga451.jpg .\category\img1\</v>
      </c>
    </row>
    <row r="393" spans="1:2" x14ac:dyDescent="0.25">
      <c r="A393" t="str">
        <f>IF(LEN(categories!G393) &gt; 0, "cp ."&amp;categories!G393&amp;" ../catalog/category"&amp;LEFT(categories!G393,6)&amp;";", "")</f>
        <v>cp ./img3/imgcb4a.jpg ../catalog/category/img3/;</v>
      </c>
      <c r="B393" t="str">
        <f>IF(LEN(categories!G393) &gt; 0, SUBSTITUTE("copy ."&amp;categories!G393&amp;" ./category"&amp;LEFT(categories!G393,6),"/","\"), "")</f>
        <v>copy .\img3\imgcb4a.jpg .\category\img3\</v>
      </c>
    </row>
    <row r="394" spans="1:2" x14ac:dyDescent="0.25">
      <c r="A394" t="str">
        <f>IF(LEN(categories!G394) &gt; 0, "cp ."&amp;categories!G394&amp;" ../catalog/category"&amp;LEFT(categories!G394,6)&amp;";", "")</f>
        <v>cp ./img2/img2ab1.jpg ../catalog/category/img2/;</v>
      </c>
      <c r="B394" t="str">
        <f>IF(LEN(categories!G394) &gt; 0, SUBSTITUTE("copy ."&amp;categories!G394&amp;" ./category"&amp;LEFT(categories!G394,6),"/","\"), "")</f>
        <v>copy .\img2\img2ab1.jpg .\category\img2\</v>
      </c>
    </row>
    <row r="395" spans="1:2" x14ac:dyDescent="0.25">
      <c r="A395" t="str">
        <f>IF(LEN(categories!G395) &gt; 0, "cp ."&amp;categories!G395&amp;" ../catalog/category"&amp;LEFT(categories!G395,6)&amp;";", "")</f>
        <v>cp ./img3/imgd60d.jpg ../catalog/category/img3/;</v>
      </c>
      <c r="B395" t="str">
        <f>IF(LEN(categories!G395) &gt; 0, SUBSTITUTE("copy ."&amp;categories!G395&amp;" ./category"&amp;LEFT(categories!G395,6),"/","\"), "")</f>
        <v>copy .\img3\imgd60d.jpg .\category\img3\</v>
      </c>
    </row>
    <row r="396" spans="1:2" x14ac:dyDescent="0.25">
      <c r="A396" t="str">
        <f>IF(LEN(categories!G396) &gt; 0, "cp ."&amp;categories!G396&amp;" ../catalog/category"&amp;LEFT(categories!G396,6)&amp;";", "")</f>
        <v>cp ./img2/imgd07b.jpg ../catalog/category/img2/;</v>
      </c>
      <c r="B396" t="str">
        <f>IF(LEN(categories!G396) &gt; 0, SUBSTITUTE("copy ."&amp;categories!G396&amp;" ./category"&amp;LEFT(categories!G396,6),"/","\"), "")</f>
        <v>copy .\img2\imgd07b.jpg .\category\img2\</v>
      </c>
    </row>
    <row r="397" spans="1:2" x14ac:dyDescent="0.25">
      <c r="A397" t="str">
        <f>IF(LEN(categories!G397) &gt; 0, "cp ."&amp;categories!G397&amp;" ../catalog/category"&amp;LEFT(categories!G397,6)&amp;";", "")</f>
        <v>cp ./img3/img4dcb.jpg ../catalog/category/img3/;</v>
      </c>
      <c r="B397" t="str">
        <f>IF(LEN(categories!G397) &gt; 0, SUBSTITUTE("copy ."&amp;categories!G397&amp;" ./category"&amp;LEFT(categories!G397,6),"/","\"), "")</f>
        <v>copy .\img3\img4dcb.jpg .\category\img3\</v>
      </c>
    </row>
    <row r="398" spans="1:2" x14ac:dyDescent="0.25">
      <c r="A398" t="str">
        <f>IF(LEN(categories!G398) &gt; 0, "cp ."&amp;categories!G398&amp;" ../catalog/category"&amp;LEFT(categories!G398,6)&amp;";", "")</f>
        <v>cp ./img3/img63b4.jpg ../catalog/category/img3/;</v>
      </c>
      <c r="B398" t="str">
        <f>IF(LEN(categories!G398) &gt; 0, SUBSTITUTE("copy ."&amp;categories!G398&amp;" ./category"&amp;LEFT(categories!G398,6),"/","\"), "")</f>
        <v>copy .\img3\img63b4.jpg .\category\img3\</v>
      </c>
    </row>
    <row r="399" spans="1:2" x14ac:dyDescent="0.25">
      <c r="A399" t="str">
        <f>IF(LEN(categories!G399) &gt; 0, "cp ."&amp;categories!G399&amp;" ../catalog/category"&amp;LEFT(categories!G399,6)&amp;";", "")</f>
        <v>cp ./img1/imgf2ff-2.jpg ../catalog/category/img1/;</v>
      </c>
      <c r="B399" t="str">
        <f>IF(LEN(categories!G399) &gt; 0, SUBSTITUTE("copy ."&amp;categories!G399&amp;" ./category"&amp;LEFT(categories!G399,6),"/","\"), "")</f>
        <v>copy .\img1\imgf2ff-2.jpg .\category\img1\</v>
      </c>
    </row>
    <row r="400" spans="1:2" x14ac:dyDescent="0.25">
      <c r="A400" t="str">
        <f>IF(LEN(categories!G400) &gt; 0, "cp ."&amp;categories!G400&amp;" ../catalog/category"&amp;LEFT(categories!G400,6)&amp;";", "")</f>
        <v>cp ./img2/imga120.jpg ../catalog/category/img2/;</v>
      </c>
      <c r="B400" t="str">
        <f>IF(LEN(categories!G400) &gt; 0, SUBSTITUTE("copy ."&amp;categories!G400&amp;" ./category"&amp;LEFT(categories!G400,6),"/","\"), "")</f>
        <v>copy .\img2\imga120.jpg .\category\img2\</v>
      </c>
    </row>
    <row r="401" spans="1:2" x14ac:dyDescent="0.25">
      <c r="A401" t="str">
        <f>IF(LEN(categories!G401) &gt; 0, "cp ."&amp;categories!G401&amp;" ../catalog/category"&amp;LEFT(categories!G401,6)&amp;";", "")</f>
        <v>cp ./img3/img1dcd.jpg ../catalog/category/img3/;</v>
      </c>
      <c r="B401" t="str">
        <f>IF(LEN(categories!G401) &gt; 0, SUBSTITUTE("copy ."&amp;categories!G401&amp;" ./category"&amp;LEFT(categories!G401,6),"/","\"), "")</f>
        <v>copy .\img3\img1dcd.jpg .\category\img3\</v>
      </c>
    </row>
    <row r="402" spans="1:2" x14ac:dyDescent="0.25">
      <c r="A402" t="str">
        <f>IF(LEN(categories!G402) &gt; 0, "cp ."&amp;categories!G402&amp;" ../catalog/category"&amp;LEFT(categories!G402,6)&amp;";", "")</f>
        <v>cp ./img2/img23da.jpg ../catalog/category/img2/;</v>
      </c>
      <c r="B402" t="str">
        <f>IF(LEN(categories!G402) &gt; 0, SUBSTITUTE("copy ."&amp;categories!G402&amp;" ./category"&amp;LEFT(categories!G402,6),"/","\"), "")</f>
        <v>copy .\img2\img23da.jpg .\category\img2\</v>
      </c>
    </row>
    <row r="403" spans="1:2" x14ac:dyDescent="0.25">
      <c r="A403" t="str">
        <f>IF(LEN(categories!G403) &gt; 0, "cp ."&amp;categories!G403&amp;" ../catalog/category"&amp;LEFT(categories!G403,6)&amp;";", "")</f>
        <v>cp ./img1/imgaea7.jpg ../catalog/category/img1/;</v>
      </c>
      <c r="B403" t="str">
        <f>IF(LEN(categories!G403) &gt; 0, SUBSTITUTE("copy ."&amp;categories!G403&amp;" ./category"&amp;LEFT(categories!G403,6),"/","\"), "")</f>
        <v>copy .\img1\imgaea7.jpg .\category\img1\</v>
      </c>
    </row>
    <row r="404" spans="1:2" x14ac:dyDescent="0.25">
      <c r="A404" t="str">
        <f>IF(LEN(categories!G404) &gt; 0, "cp ."&amp;categories!G404&amp;" ../catalog/category"&amp;LEFT(categories!G404,6)&amp;";", "")</f>
        <v>cp ./img3/imgbd2c.jpg ../catalog/category/img3/;</v>
      </c>
      <c r="B404" t="str">
        <f>IF(LEN(categories!G404) &gt; 0, SUBSTITUTE("copy ."&amp;categories!G404&amp;" ./category"&amp;LEFT(categories!G404,6),"/","\"), "")</f>
        <v>copy .\img3\imgbd2c.jpg .\category\img3\</v>
      </c>
    </row>
    <row r="405" spans="1:2" x14ac:dyDescent="0.25">
      <c r="A405" t="str">
        <f>IF(LEN(categories!G405) &gt; 0, "cp ."&amp;categories!G405&amp;" ../catalog/category"&amp;LEFT(categories!G405,6)&amp;";", "")</f>
        <v>cp ./img2/img192c-2.jpg ../catalog/category/img2/;</v>
      </c>
      <c r="B405" t="str">
        <f>IF(LEN(categories!G405) &gt; 0, SUBSTITUTE("copy ."&amp;categories!G405&amp;" ./category"&amp;LEFT(categories!G405,6),"/","\"), "")</f>
        <v>copy .\img2\img192c-2.jpg .\category\img2\</v>
      </c>
    </row>
    <row r="406" spans="1:2" x14ac:dyDescent="0.25">
      <c r="A406" t="str">
        <f>IF(LEN(categories!G406) &gt; 0, "cp ."&amp;categories!G406&amp;" ../catalog/category"&amp;LEFT(categories!G406,6)&amp;";", "")</f>
        <v>cp ./img3/imgf663-2.jpg ../catalog/category/img3/;</v>
      </c>
      <c r="B406" t="str">
        <f>IF(LEN(categories!G406) &gt; 0, SUBSTITUTE("copy ."&amp;categories!G406&amp;" ./category"&amp;LEFT(categories!G406,6),"/","\"), "")</f>
        <v>copy .\img3\imgf663-2.jpg .\category\img3\</v>
      </c>
    </row>
    <row r="407" spans="1:2" x14ac:dyDescent="0.25">
      <c r="A407" t="str">
        <f>IF(LEN(categories!G407) &gt; 0, "cp ."&amp;categories!G407&amp;" ../catalog/category"&amp;LEFT(categories!G407,6)&amp;";", "")</f>
        <v>cp ./img2/img883d.jpg ../catalog/category/img2/;</v>
      </c>
      <c r="B407" t="str">
        <f>IF(LEN(categories!G407) &gt; 0, SUBSTITUTE("copy ."&amp;categories!G407&amp;" ./category"&amp;LEFT(categories!G407,6),"/","\"), "")</f>
        <v>copy .\img2\img883d.jpg .\category\img2\</v>
      </c>
    </row>
    <row r="408" spans="1:2" x14ac:dyDescent="0.25">
      <c r="A408" t="str">
        <f>IF(LEN(categories!G408) &gt; 0, "cp ."&amp;categories!G408&amp;" ../catalog/category"&amp;LEFT(categories!G408,6)&amp;";", "")</f>
        <v>cp ./img3/img2b64.jpg ../catalog/category/img3/;</v>
      </c>
      <c r="B408" t="str">
        <f>IF(LEN(categories!G408) &gt; 0, SUBSTITUTE("copy ."&amp;categories!G408&amp;" ./category"&amp;LEFT(categories!G408,6),"/","\"), "")</f>
        <v>copy .\img3\img2b64.jpg .\category\img3\</v>
      </c>
    </row>
    <row r="409" spans="1:2" x14ac:dyDescent="0.25">
      <c r="A409" t="str">
        <f>IF(LEN(categories!G409) &gt; 0, "cp ."&amp;categories!G409&amp;" ../catalog/category"&amp;LEFT(categories!G409,6)&amp;";", "")</f>
        <v>cp ./img1/img8cfb.jpg ../catalog/category/img1/;</v>
      </c>
      <c r="B409" t="str">
        <f>IF(LEN(categories!G409) &gt; 0, SUBSTITUTE("copy ."&amp;categories!G409&amp;" ./category"&amp;LEFT(categories!G409,6),"/","\"), "")</f>
        <v>copy .\img1\img8cfb.jpg .\category\img1\</v>
      </c>
    </row>
    <row r="410" spans="1:2" x14ac:dyDescent="0.25">
      <c r="A410" t="str">
        <f>IF(LEN(categories!G410) &gt; 0, "cp ."&amp;categories!G410&amp;" ../catalog/category"&amp;LEFT(categories!G410,6)&amp;";", "")</f>
        <v>cp ./img2/img2ad5.jpg ../catalog/category/img2/;</v>
      </c>
      <c r="B410" t="str">
        <f>IF(LEN(categories!G410) &gt; 0, SUBSTITUTE("copy ."&amp;categories!G410&amp;" ./category"&amp;LEFT(categories!G410,6),"/","\"), "")</f>
        <v>copy .\img2\img2ad5.jpg .\category\img2\</v>
      </c>
    </row>
    <row r="411" spans="1:2" x14ac:dyDescent="0.25">
      <c r="A411" t="str">
        <f>IF(LEN(categories!G411) &gt; 0, "cp ."&amp;categories!G411&amp;" ../catalog/category"&amp;LEFT(categories!G411,6)&amp;";", "")</f>
        <v>cp ./img2/img5dd5.jpg ../catalog/category/img2/;</v>
      </c>
      <c r="B411" t="str">
        <f>IF(LEN(categories!G411) &gt; 0, SUBSTITUTE("copy ."&amp;categories!G411&amp;" ./category"&amp;LEFT(categories!G411,6),"/","\"), "")</f>
        <v>copy .\img2\img5dd5.jpg .\category\img2\</v>
      </c>
    </row>
    <row r="412" spans="1:2" x14ac:dyDescent="0.25">
      <c r="A412" t="str">
        <f>IF(LEN(categories!G412) &gt; 0, "cp ."&amp;categories!G412&amp;" ../catalog/category"&amp;LEFT(categories!G412,6)&amp;";", "")</f>
        <v>cp ./img3/imgd28d.jpg ../catalog/category/img3/;</v>
      </c>
      <c r="B412" t="str">
        <f>IF(LEN(categories!G412) &gt; 0, SUBSTITUTE("copy ."&amp;categories!G412&amp;" ./category"&amp;LEFT(categories!G412,6),"/","\"), "")</f>
        <v>copy .\img3\imgd28d.jpg .\category\img3\</v>
      </c>
    </row>
    <row r="413" spans="1:2" x14ac:dyDescent="0.25">
      <c r="A413" t="str">
        <f>IF(LEN(categories!G413) &gt; 0, "cp ."&amp;categories!G413&amp;" ../catalog/category"&amp;LEFT(categories!G413,6)&amp;";", "")</f>
        <v>cp ./img1/imgd8b8.jpg ../catalog/category/img1/;</v>
      </c>
      <c r="B413" t="str">
        <f>IF(LEN(categories!G413) &gt; 0, SUBSTITUTE("copy ."&amp;categories!G413&amp;" ./category"&amp;LEFT(categories!G413,6),"/","\"), "")</f>
        <v>copy .\img1\imgd8b8.jpg .\category\img1\</v>
      </c>
    </row>
    <row r="414" spans="1:2" x14ac:dyDescent="0.25">
      <c r="A414" t="str">
        <f>IF(LEN(categories!G414) &gt; 0, "cp ."&amp;categories!G414&amp;" ../catalog/category"&amp;LEFT(categories!G414,6)&amp;";", "")</f>
        <v>cp ./img2/img8461.jpg ../catalog/category/img2/;</v>
      </c>
      <c r="B414" t="str">
        <f>IF(LEN(categories!G414) &gt; 0, SUBSTITUTE("copy ."&amp;categories!G414&amp;" ./category"&amp;LEFT(categories!G414,6),"/","\"), "")</f>
        <v>copy .\img2\img8461.jpg .\category\img2\</v>
      </c>
    </row>
    <row r="415" spans="1:2" x14ac:dyDescent="0.25">
      <c r="A415" t="str">
        <f>IF(LEN(categories!G415) &gt; 0, "cp ."&amp;categories!G415&amp;" ../catalog/category"&amp;LEFT(categories!G415,6)&amp;";", "")</f>
        <v>cp ./img3/imgcbce.jpg ../catalog/category/img3/;</v>
      </c>
      <c r="B415" t="str">
        <f>IF(LEN(categories!G415) &gt; 0, SUBSTITUTE("copy ."&amp;categories!G415&amp;" ./category"&amp;LEFT(categories!G415,6),"/","\"), "")</f>
        <v>copy .\img3\imgcbce.jpg .\category\img3\</v>
      </c>
    </row>
    <row r="416" spans="1:2" x14ac:dyDescent="0.25">
      <c r="A416" t="str">
        <f>IF(LEN(categories!G416) &gt; 0, "cp ."&amp;categories!G416&amp;" ../catalog/category"&amp;LEFT(categories!G416,6)&amp;";", "")</f>
        <v>cp ./img3/img2e02.jpg ../catalog/category/img3/;</v>
      </c>
      <c r="B416" t="str">
        <f>IF(LEN(categories!G416) &gt; 0, SUBSTITUTE("copy ."&amp;categories!G416&amp;" ./category"&amp;LEFT(categories!G416,6),"/","\"), "")</f>
        <v>copy .\img3\img2e02.jpg .\category\img3\</v>
      </c>
    </row>
    <row r="417" spans="1:2" x14ac:dyDescent="0.25">
      <c r="A417" t="str">
        <f>IF(LEN(categories!G417) &gt; 0, "cp ."&amp;categories!G417&amp;" ../catalog/category"&amp;LEFT(categories!G417,6)&amp;";", "")</f>
        <v>cp ./img3/img14a5.jpg ../catalog/category/img3/;</v>
      </c>
      <c r="B417" t="str">
        <f>IF(LEN(categories!G417) &gt; 0, SUBSTITUTE("copy ."&amp;categories!G417&amp;" ./category"&amp;LEFT(categories!G417,6),"/","\"), "")</f>
        <v>copy .\img3\img14a5.jpg .\category\img3\</v>
      </c>
    </row>
    <row r="418" spans="1:2" x14ac:dyDescent="0.25">
      <c r="A418" t="str">
        <f>IF(LEN(categories!G418) &gt; 0, "cp ."&amp;categories!G418&amp;" ../catalog/category"&amp;LEFT(categories!G418,6)&amp;";", "")</f>
        <v>cp ./img1/imga7c2.jpg ../catalog/category/img1/;</v>
      </c>
      <c r="B418" t="str">
        <f>IF(LEN(categories!G418) &gt; 0, SUBSTITUTE("copy ."&amp;categories!G418&amp;" ./category"&amp;LEFT(categories!G418,6),"/","\"), "")</f>
        <v>copy .\img1\imga7c2.jpg .\category\img1\</v>
      </c>
    </row>
    <row r="419" spans="1:2" x14ac:dyDescent="0.25">
      <c r="A419" t="str">
        <f>IF(LEN(categories!G419) &gt; 0, "cp ."&amp;categories!G419&amp;" ../catalog/category"&amp;LEFT(categories!G419,6)&amp;";", "")</f>
        <v>cp ./img3/img5e30.jpg ../catalog/category/img3/;</v>
      </c>
      <c r="B419" t="str">
        <f>IF(LEN(categories!G419) &gt; 0, SUBSTITUTE("copy ."&amp;categories!G419&amp;" ./category"&amp;LEFT(categories!G419,6),"/","\"), "")</f>
        <v>copy .\img3\img5e30.jpg .\category\img3\</v>
      </c>
    </row>
    <row r="420" spans="1:2" x14ac:dyDescent="0.25">
      <c r="A420" t="str">
        <f>IF(LEN(categories!G420) &gt; 0, "cp ."&amp;categories!G420&amp;" ../catalog/category"&amp;LEFT(categories!G420,6)&amp;";", "")</f>
        <v>cp ./img2/img22b2.jpg ../catalog/category/img2/;</v>
      </c>
      <c r="B420" t="str">
        <f>IF(LEN(categories!G420) &gt; 0, SUBSTITUTE("copy ."&amp;categories!G420&amp;" ./category"&amp;LEFT(categories!G420,6),"/","\"), "")</f>
        <v>copy .\img2\img22b2.jpg .\category\img2\</v>
      </c>
    </row>
    <row r="421" spans="1:2" x14ac:dyDescent="0.25">
      <c r="A421" t="str">
        <f>IF(LEN(categories!G421) &gt; 0, "cp ."&amp;categories!G421&amp;" ../catalog/category"&amp;LEFT(categories!G421,6)&amp;";", "")</f>
        <v>cp ./img3/imgd7bf.jpg ../catalog/category/img3/;</v>
      </c>
      <c r="B421" t="str">
        <f>IF(LEN(categories!G421) &gt; 0, SUBSTITUTE("copy ."&amp;categories!G421&amp;" ./category"&amp;LEFT(categories!G421,6),"/","\"), "")</f>
        <v>copy .\img3\imgd7bf.jpg .\category\img3\</v>
      </c>
    </row>
    <row r="422" spans="1:2" x14ac:dyDescent="0.25">
      <c r="A422" t="str">
        <f>IF(LEN(categories!G422) &gt; 0, "cp ."&amp;categories!G422&amp;" ../catalog/category"&amp;LEFT(categories!G422,6)&amp;";", "")</f>
        <v>cp ./img2/img81ae.jpg ../catalog/category/img2/;</v>
      </c>
      <c r="B422" t="str">
        <f>IF(LEN(categories!G422) &gt; 0, SUBSTITUTE("copy ."&amp;categories!G422&amp;" ./category"&amp;LEFT(categories!G422,6),"/","\"), "")</f>
        <v>copy .\img2\img81ae.jpg .\category\img2\</v>
      </c>
    </row>
    <row r="423" spans="1:2" x14ac:dyDescent="0.25">
      <c r="A423" t="str">
        <f>IF(LEN(categories!G423) &gt; 0, "cp ."&amp;categories!G423&amp;" ../catalog/category"&amp;LEFT(categories!G423,6)&amp;";", "")</f>
        <v>cp ./img1/img82a9.jpg ../catalog/category/img1/;</v>
      </c>
      <c r="B423" t="str">
        <f>IF(LEN(categories!G423) &gt; 0, SUBSTITUTE("copy ."&amp;categories!G423&amp;" ./category"&amp;LEFT(categories!G423,6),"/","\"), "")</f>
        <v>copy .\img1\img82a9.jpg .\category\img1\</v>
      </c>
    </row>
    <row r="424" spans="1:2" x14ac:dyDescent="0.25">
      <c r="A424" t="str">
        <f>IF(LEN(categories!G424) &gt; 0, "cp ."&amp;categories!G424&amp;" ../catalog/category"&amp;LEFT(categories!G424,6)&amp;";", "")</f>
        <v>cp ./img3/imgd86d.jpg ../catalog/category/img3/;</v>
      </c>
      <c r="B424" t="str">
        <f>IF(LEN(categories!G424) &gt; 0, SUBSTITUTE("copy ."&amp;categories!G424&amp;" ./category"&amp;LEFT(categories!G424,6),"/","\"), "")</f>
        <v>copy .\img3\imgd86d.jpg .\category\img3\</v>
      </c>
    </row>
    <row r="425" spans="1:2" x14ac:dyDescent="0.25">
      <c r="A425" t="str">
        <f>IF(LEN(categories!G425) &gt; 0, "cp ."&amp;categories!G425&amp;" ../catalog/category"&amp;LEFT(categories!G425,6)&amp;";", "")</f>
        <v>cp ./img2/imgc48b.jpg ../catalog/category/img2/;</v>
      </c>
      <c r="B425" t="str">
        <f>IF(LEN(categories!G425) &gt; 0, SUBSTITUTE("copy ."&amp;categories!G425&amp;" ./category"&amp;LEFT(categories!G425,6),"/","\"), "")</f>
        <v>copy .\img2\imgc48b.jpg .\category\img2\</v>
      </c>
    </row>
    <row r="426" spans="1:2" x14ac:dyDescent="0.25">
      <c r="A426" t="str">
        <f>IF(LEN(categories!G426) &gt; 0, "cp ."&amp;categories!G426&amp;" ../catalog/category"&amp;LEFT(categories!G426,6)&amp;";", "")</f>
        <v>cp ./img2/img192c.jpg ../catalog/category/img2/;</v>
      </c>
      <c r="B426" t="str">
        <f>IF(LEN(categories!G426) &gt; 0, SUBSTITUTE("copy ."&amp;categories!G426&amp;" ./category"&amp;LEFT(categories!G426,6),"/","\"), "")</f>
        <v>copy .\img2\img192c.jpg .\category\img2\</v>
      </c>
    </row>
    <row r="427" spans="1:2" x14ac:dyDescent="0.25">
      <c r="A427" t="str">
        <f>IF(LEN(categories!G427) &gt; 0, "cp ."&amp;categories!G427&amp;" ../catalog/category"&amp;LEFT(categories!G427,6)&amp;";", "")</f>
        <v>cp ./img3/imgda5b.jpg ../catalog/category/img3/;</v>
      </c>
      <c r="B427" t="str">
        <f>IF(LEN(categories!G427) &gt; 0, SUBSTITUTE("copy ."&amp;categories!G427&amp;" ./category"&amp;LEFT(categories!G427,6),"/","\"), "")</f>
        <v>copy .\img3\imgda5b.jpg .\category\img3\</v>
      </c>
    </row>
    <row r="428" spans="1:2" x14ac:dyDescent="0.25">
      <c r="A428" t="str">
        <f>IF(LEN(categories!G428) &gt; 0, "cp ."&amp;categories!G428&amp;" ../catalog/category"&amp;LEFT(categories!G428,6)&amp;";", "")</f>
        <v>cp ./img1/img0c14.jpg ../catalog/category/img1/;</v>
      </c>
      <c r="B428" t="str">
        <f>IF(LEN(categories!G428) &gt; 0, SUBSTITUTE("copy ."&amp;categories!G428&amp;" ./category"&amp;LEFT(categories!G428,6),"/","\"), "")</f>
        <v>copy .\img1\img0c14.jpg .\category\img1\</v>
      </c>
    </row>
    <row r="429" spans="1:2" x14ac:dyDescent="0.25">
      <c r="A429" t="str">
        <f>IF(LEN(categories!G429) &gt; 0, "cp ."&amp;categories!G429&amp;" ../catalog/category"&amp;LEFT(categories!G429,6)&amp;";", "")</f>
        <v>cp ./img2/img1b8b.jpg ../catalog/category/img2/;</v>
      </c>
      <c r="B429" t="str">
        <f>IF(LEN(categories!G429) &gt; 0, SUBSTITUTE("copy ."&amp;categories!G429&amp;" ./category"&amp;LEFT(categories!G429,6),"/","\"), "")</f>
        <v>copy .\img2\img1b8b.jpg .\category\img2\</v>
      </c>
    </row>
    <row r="430" spans="1:2" x14ac:dyDescent="0.25">
      <c r="A430" t="str">
        <f>IF(LEN(categories!G430) &gt; 0, "cp ."&amp;categories!G430&amp;" ../catalog/category"&amp;LEFT(categories!G430,6)&amp;";", "")</f>
        <v>cp ./img3/imgdd7e.jpg ../catalog/category/img3/;</v>
      </c>
      <c r="B430" t="str">
        <f>IF(LEN(categories!G430) &gt; 0, SUBSTITUTE("copy ."&amp;categories!G430&amp;" ./category"&amp;LEFT(categories!G430,6),"/","\"), "")</f>
        <v>copy .\img3\imgdd7e.jpg .\category\img3\</v>
      </c>
    </row>
    <row r="431" spans="1:2" x14ac:dyDescent="0.25">
      <c r="A431" t="str">
        <f>IF(LEN(categories!G431) &gt; 0, "cp ."&amp;categories!G431&amp;" ../catalog/category"&amp;LEFT(categories!G431,6)&amp;";", "")</f>
        <v>cp ./img1/img1b66-2.jpg ../catalog/category/img1/;</v>
      </c>
      <c r="B431" t="str">
        <f>IF(LEN(categories!G431) &gt; 0, SUBSTITUTE("copy ."&amp;categories!G431&amp;" ./category"&amp;LEFT(categories!G431,6),"/","\"), "")</f>
        <v>copy .\img1\img1b66-2.jpg .\category\img1\</v>
      </c>
    </row>
    <row r="432" spans="1:2" x14ac:dyDescent="0.25">
      <c r="A432" t="str">
        <f>IF(LEN(categories!G432) &gt; 0, "cp ."&amp;categories!G432&amp;" ../catalog/category"&amp;LEFT(categories!G432,6)&amp;";", "")</f>
        <v>cp ./img1/img0ffd.jpg ../catalog/category/img1/;</v>
      </c>
      <c r="B432" t="str">
        <f>IF(LEN(categories!G432) &gt; 0, SUBSTITUTE("copy ."&amp;categories!G432&amp;" ./category"&amp;LEFT(categories!G432,6),"/","\"), "")</f>
        <v>copy .\img1\img0ffd.jpg .\category\img1\</v>
      </c>
    </row>
    <row r="433" spans="1:2" x14ac:dyDescent="0.25">
      <c r="A433" t="str">
        <f>IF(LEN(categories!G433) &gt; 0, "cp ."&amp;categories!G433&amp;" ../catalog/category"&amp;LEFT(categories!G433,6)&amp;";", "")</f>
        <v>cp ./img2/img90b7.jpg ../catalog/category/img2/;</v>
      </c>
      <c r="B433" t="str">
        <f>IF(LEN(categories!G433) &gt; 0, SUBSTITUTE("copy ."&amp;categories!G433&amp;" ./category"&amp;LEFT(categories!G433,6),"/","\"), "")</f>
        <v>copy .\img2\img90b7.jpg .\category\img2\</v>
      </c>
    </row>
    <row r="434" spans="1:2" x14ac:dyDescent="0.25">
      <c r="A434" t="str">
        <f>IF(LEN(categories!G434) &gt; 0, "cp ."&amp;categories!G434&amp;" ../catalog/category"&amp;LEFT(categories!G434,6)&amp;";", "")</f>
        <v>cp ./img3/img622f.jpg ../catalog/category/img3/;</v>
      </c>
      <c r="B434" t="str">
        <f>IF(LEN(categories!G434) &gt; 0, SUBSTITUTE("copy ."&amp;categories!G434&amp;" ./category"&amp;LEFT(categories!G434,6),"/","\"), "")</f>
        <v>copy .\img3\img622f.jpg .\category\img3\</v>
      </c>
    </row>
    <row r="435" spans="1:2" x14ac:dyDescent="0.25">
      <c r="A435" t="str">
        <f>IF(LEN(categories!G435) &gt; 0, "cp ."&amp;categories!G435&amp;" ../catalog/category"&amp;LEFT(categories!G435,6)&amp;";", "")</f>
        <v>cp ./img3/img6f00.jpg ../catalog/category/img3/;</v>
      </c>
      <c r="B435" t="str">
        <f>IF(LEN(categories!G435) &gt; 0, SUBSTITUTE("copy ."&amp;categories!G435&amp;" ./category"&amp;LEFT(categories!G435,6),"/","\"), "")</f>
        <v>copy .\img3\img6f00.jpg .\category\img3\</v>
      </c>
    </row>
    <row r="436" spans="1:2" x14ac:dyDescent="0.25">
      <c r="A436" t="str">
        <f>IF(LEN(categories!G436) &gt; 0, "cp ."&amp;categories!G436&amp;" ../catalog/category"&amp;LEFT(categories!G436,6)&amp;";", "")</f>
        <v>cp ./img3/img9f5a.jpg ../catalog/category/img3/;</v>
      </c>
      <c r="B436" t="str">
        <f>IF(LEN(categories!G436) &gt; 0, SUBSTITUTE("copy ."&amp;categories!G436&amp;" ./category"&amp;LEFT(categories!G436,6),"/","\"), "")</f>
        <v>copy .\img3\img9f5a.jpg .\category\img3\</v>
      </c>
    </row>
    <row r="437" spans="1:2" x14ac:dyDescent="0.25">
      <c r="A437" t="str">
        <f>IF(LEN(categories!G437) &gt; 0, "cp ."&amp;categories!G437&amp;" ../catalog/category"&amp;LEFT(categories!G437,6)&amp;";", "")</f>
        <v>cp ./img3/img58d7.jpg ../catalog/category/img3/;</v>
      </c>
      <c r="B437" t="str">
        <f>IF(LEN(categories!G437) &gt; 0, SUBSTITUTE("copy ."&amp;categories!G437&amp;" ./category"&amp;LEFT(categories!G437,6),"/","\"), "")</f>
        <v>copy .\img3\img58d7.jpg .\category\img3\</v>
      </c>
    </row>
    <row r="438" spans="1:2" x14ac:dyDescent="0.25">
      <c r="A438" t="str">
        <f>IF(LEN(categories!G438) &gt; 0, "cp ."&amp;categories!G438&amp;" ../catalog/category"&amp;LEFT(categories!G438,6)&amp;";", "")</f>
        <v>cp ./img1/imgd137.jpg ../catalog/category/img1/;</v>
      </c>
      <c r="B438" t="str">
        <f>IF(LEN(categories!G438) &gt; 0, SUBSTITUTE("copy ."&amp;categories!G438&amp;" ./category"&amp;LEFT(categories!G438,6),"/","\"), "")</f>
        <v>copy .\img1\imgd137.jpg .\category\img1\</v>
      </c>
    </row>
    <row r="439" spans="1:2" x14ac:dyDescent="0.25">
      <c r="A439" t="str">
        <f>IF(LEN(categories!G439) &gt; 0, "cp ."&amp;categories!G439&amp;" ../catalog/category"&amp;LEFT(categories!G439,6)&amp;";", "")</f>
        <v>cp ./img2/imgbd53.jpg ../catalog/category/img2/;</v>
      </c>
      <c r="B439" t="str">
        <f>IF(LEN(categories!G439) &gt; 0, SUBSTITUTE("copy ."&amp;categories!G439&amp;" ./category"&amp;LEFT(categories!G439,6),"/","\"), "")</f>
        <v>copy .\img2\imgbd53.jpg .\category\img2\</v>
      </c>
    </row>
    <row r="440" spans="1:2" x14ac:dyDescent="0.25">
      <c r="A440" t="str">
        <f>IF(LEN(categories!G440) &gt; 0, "cp ."&amp;categories!G440&amp;" ../catalog/category"&amp;LEFT(categories!G440,6)&amp;";", "")</f>
        <v>cp ./img1/img2777.jpg ../catalog/category/img1/;</v>
      </c>
      <c r="B440" t="str">
        <f>IF(LEN(categories!G440) &gt; 0, SUBSTITUTE("copy ."&amp;categories!G440&amp;" ./category"&amp;LEFT(categories!G440,6),"/","\"), "")</f>
        <v>copy .\img1\img2777.jpg .\category\img1\</v>
      </c>
    </row>
    <row r="441" spans="1:2" x14ac:dyDescent="0.25">
      <c r="A441" t="str">
        <f>IF(LEN(categories!G441) &gt; 0, "cp ."&amp;categories!G441&amp;" ../catalog/category"&amp;LEFT(categories!G441,6)&amp;";", "")</f>
        <v>cp ./img2/img0d8c.jpg ../catalog/category/img2/;</v>
      </c>
      <c r="B441" t="str">
        <f>IF(LEN(categories!G441) &gt; 0, SUBSTITUTE("copy ."&amp;categories!G441&amp;" ./category"&amp;LEFT(categories!G441,6),"/","\"), "")</f>
        <v>copy .\img2\img0d8c.jpg .\category\img2\</v>
      </c>
    </row>
    <row r="442" spans="1:2" x14ac:dyDescent="0.25">
      <c r="A442" t="str">
        <f>IF(LEN(categories!G442) &gt; 0, "cp ."&amp;categories!G442&amp;" ../catalog/category"&amp;LEFT(categories!G442,6)&amp;";", "")</f>
        <v>cp ./img3/imge888.jpg ../catalog/category/img3/;</v>
      </c>
      <c r="B442" t="str">
        <f>IF(LEN(categories!G442) &gt; 0, SUBSTITUTE("copy ."&amp;categories!G442&amp;" ./category"&amp;LEFT(categories!G442,6),"/","\"), "")</f>
        <v>copy .\img3\imge888.jpg .\category\img3\</v>
      </c>
    </row>
    <row r="443" spans="1:2" x14ac:dyDescent="0.25">
      <c r="A443" t="str">
        <f>IF(LEN(categories!G443) &gt; 0, "cp ."&amp;categories!G443&amp;" ../catalog/category"&amp;LEFT(categories!G443,6)&amp;";", "")</f>
        <v>cp ./img3/img8890.jpg ../catalog/category/img3/;</v>
      </c>
      <c r="B443" t="str">
        <f>IF(LEN(categories!G443) &gt; 0, SUBSTITUTE("copy ."&amp;categories!G443&amp;" ./category"&amp;LEFT(categories!G443,6),"/","\"), "")</f>
        <v>copy .\img3\img8890.jpg .\category\img3\</v>
      </c>
    </row>
    <row r="444" spans="1:2" x14ac:dyDescent="0.25">
      <c r="A444" t="str">
        <f>IF(LEN(categories!G444) &gt; 0, "cp ."&amp;categories!G444&amp;" ../catalog/category"&amp;LEFT(categories!G444,6)&amp;";", "")</f>
        <v>cp ./img1/imgdf6e.jpg ../catalog/category/img1/;</v>
      </c>
      <c r="B444" t="str">
        <f>IF(LEN(categories!G444) &gt; 0, SUBSTITUTE("copy ."&amp;categories!G444&amp;" ./category"&amp;LEFT(categories!G444,6),"/","\"), "")</f>
        <v>copy .\img1\imgdf6e.jpg .\category\img1\</v>
      </c>
    </row>
    <row r="445" spans="1:2" x14ac:dyDescent="0.25">
      <c r="A445" t="str">
        <f>IF(LEN(categories!G445) &gt; 0, "cp ."&amp;categories!G445&amp;" ../catalog/category"&amp;LEFT(categories!G445,6)&amp;";", "")</f>
        <v>cp ./img3/img3f41.jpg ../catalog/category/img3/;</v>
      </c>
      <c r="B445" t="str">
        <f>IF(LEN(categories!G445) &gt; 0, SUBSTITUTE("copy ."&amp;categories!G445&amp;" ./category"&amp;LEFT(categories!G445,6),"/","\"), "")</f>
        <v>copy .\img3\img3f41.jpg .\category\img3\</v>
      </c>
    </row>
    <row r="446" spans="1:2" x14ac:dyDescent="0.25">
      <c r="A446" t="str">
        <f>IF(LEN(categories!G446) &gt; 0, "cp ."&amp;categories!G446&amp;" ../catalog/category"&amp;LEFT(categories!G446,6)&amp;";", "")</f>
        <v>cp ./img2/img817e.jpg ../catalog/category/img2/;</v>
      </c>
      <c r="B446" t="str">
        <f>IF(LEN(categories!G446) &gt; 0, SUBSTITUTE("copy ."&amp;categories!G446&amp;" ./category"&amp;LEFT(categories!G446,6),"/","\"), "")</f>
        <v>copy .\img2\img817e.jpg .\category\img2\</v>
      </c>
    </row>
    <row r="447" spans="1:2" x14ac:dyDescent="0.25">
      <c r="A447" t="str">
        <f>IF(LEN(categories!G447) &gt; 0, "cp ."&amp;categories!G447&amp;" ../catalog/category"&amp;LEFT(categories!G447,6)&amp;";", "")</f>
        <v>cp ./img3/img2791.jpg ../catalog/category/img3/;</v>
      </c>
      <c r="B447" t="str">
        <f>IF(LEN(categories!G447) &gt; 0, SUBSTITUTE("copy ."&amp;categories!G447&amp;" ./category"&amp;LEFT(categories!G447,6),"/","\"), "")</f>
        <v>copy .\img3\img2791.jpg .\category\img3\</v>
      </c>
    </row>
    <row r="448" spans="1:2" x14ac:dyDescent="0.25">
      <c r="A448" t="str">
        <f>IF(LEN(categories!G448) &gt; 0, "cp ."&amp;categories!G448&amp;" ../catalog/category"&amp;LEFT(categories!G448,6)&amp;";", "")</f>
        <v>cp ./img3/img8c7a.jpg ../catalog/category/img3/;</v>
      </c>
      <c r="B448" t="str">
        <f>IF(LEN(categories!G448) &gt; 0, SUBSTITUTE("copy ."&amp;categories!G448&amp;" ./category"&amp;LEFT(categories!G448,6),"/","\"), "")</f>
        <v>copy .\img3\img8c7a.jpg .\category\img3\</v>
      </c>
    </row>
    <row r="449" spans="1:2" x14ac:dyDescent="0.25">
      <c r="A449" t="str">
        <f>IF(LEN(categories!G449) &gt; 0, "cp ."&amp;categories!G449&amp;" ../catalog/category"&amp;LEFT(categories!G449,6)&amp;";", "")</f>
        <v>cp ./img2/img63b0.jpg ../catalog/category/img2/;</v>
      </c>
      <c r="B449" t="str">
        <f>IF(LEN(categories!G449) &gt; 0, SUBSTITUTE("copy ."&amp;categories!G449&amp;" ./category"&amp;LEFT(categories!G449,6),"/","\"), "")</f>
        <v>copy .\img2\img63b0.jpg .\category\img2\</v>
      </c>
    </row>
    <row r="450" spans="1:2" x14ac:dyDescent="0.25">
      <c r="A450" t="str">
        <f>IF(LEN(categories!G450) &gt; 0, "cp ."&amp;categories!G450&amp;" ../catalog/category"&amp;LEFT(categories!G450,6)&amp;";", "")</f>
        <v>cp ./img2/img421a.jpg ../catalog/category/img2/;</v>
      </c>
      <c r="B450" t="str">
        <f>IF(LEN(categories!G450) &gt; 0, SUBSTITUTE("copy ."&amp;categories!G450&amp;" ./category"&amp;LEFT(categories!G450,6),"/","\"), "")</f>
        <v>copy .\img2\img421a.jpg .\category\img2\</v>
      </c>
    </row>
    <row r="451" spans="1:2" x14ac:dyDescent="0.25">
      <c r="A451" t="str">
        <f>IF(LEN(categories!G451) &gt; 0, "cp ."&amp;categories!G451&amp;" ../catalog/category"&amp;LEFT(categories!G451,6)&amp;";", "")</f>
        <v>cp ./img2/imgee5b.jpg ../catalog/category/img2/;</v>
      </c>
      <c r="B451" t="str">
        <f>IF(LEN(categories!G451) &gt; 0, SUBSTITUTE("copy ."&amp;categories!G451&amp;" ./category"&amp;LEFT(categories!G451,6),"/","\"), "")</f>
        <v>copy .\img2\imgee5b.jpg .\category\img2\</v>
      </c>
    </row>
    <row r="452" spans="1:2" x14ac:dyDescent="0.25">
      <c r="A452" t="str">
        <f>IF(LEN(categories!G452) &gt; 0, "cp ."&amp;categories!G452&amp;" ../catalog/category"&amp;LEFT(categories!G452,6)&amp;";", "")</f>
        <v>cp ./img1/img3506.jpg ../catalog/category/img1/;</v>
      </c>
      <c r="B452" t="str">
        <f>IF(LEN(categories!G452) &gt; 0, SUBSTITUTE("copy ."&amp;categories!G452&amp;" ./category"&amp;LEFT(categories!G452,6),"/","\"), "")</f>
        <v>copy .\img1\img3506.jpg .\category\img1\</v>
      </c>
    </row>
    <row r="453" spans="1:2" x14ac:dyDescent="0.25">
      <c r="A453" t="str">
        <f>IF(LEN(categories!G453) &gt; 0, "cp ."&amp;categories!G453&amp;" ../catalog/category"&amp;LEFT(categories!G453,6)&amp;";", "")</f>
        <v>cp ./img3/img8067.jpg ../catalog/category/img3/;</v>
      </c>
      <c r="B453" t="str">
        <f>IF(LEN(categories!G453) &gt; 0, SUBSTITUTE("copy ."&amp;categories!G453&amp;" ./category"&amp;LEFT(categories!G453,6),"/","\"), "")</f>
        <v>copy .\img3\img8067.jpg .\category\img3\</v>
      </c>
    </row>
    <row r="454" spans="1:2" x14ac:dyDescent="0.25">
      <c r="A454" t="str">
        <f>IF(LEN(categories!G454) &gt; 0, "cp ."&amp;categories!G454&amp;" ../catalog/category"&amp;LEFT(categories!G454,6)&amp;";", "")</f>
        <v>cp ./img1/img8944.jpg ../catalog/category/img1/;</v>
      </c>
      <c r="B454" t="str">
        <f>IF(LEN(categories!G454) &gt; 0, SUBSTITUTE("copy ."&amp;categories!G454&amp;" ./category"&amp;LEFT(categories!G454,6),"/","\"), "")</f>
        <v>copy .\img1\img8944.jpg .\category\img1\</v>
      </c>
    </row>
    <row r="455" spans="1:2" x14ac:dyDescent="0.25">
      <c r="A455" t="str">
        <f>IF(LEN(categories!G455) &gt; 0, "cp ."&amp;categories!G455&amp;" ../catalog/category"&amp;LEFT(categories!G455,6)&amp;";", "")</f>
        <v>cp ./img1/imgf3b3.jpg ../catalog/category/img1/;</v>
      </c>
      <c r="B455" t="str">
        <f>IF(LEN(categories!G455) &gt; 0, SUBSTITUTE("copy ."&amp;categories!G455&amp;" ./category"&amp;LEFT(categories!G455,6),"/","\"), "")</f>
        <v>copy .\img1\imgf3b3.jpg .\category\img1\</v>
      </c>
    </row>
    <row r="456" spans="1:2" x14ac:dyDescent="0.25">
      <c r="A456" t="str">
        <f>IF(LEN(categories!G456) &gt; 0, "cp ."&amp;categories!G456&amp;" ../catalog/category"&amp;LEFT(categories!G456,6)&amp;";", "")</f>
        <v>cp ./img1/imgd6d7.jpg ../catalog/category/img1/;</v>
      </c>
      <c r="B456" t="str">
        <f>IF(LEN(categories!G456) &gt; 0, SUBSTITUTE("copy ."&amp;categories!G456&amp;" ./category"&amp;LEFT(categories!G456,6),"/","\"), "")</f>
        <v>copy .\img1\imgd6d7.jpg .\category\img1\</v>
      </c>
    </row>
    <row r="457" spans="1:2" x14ac:dyDescent="0.25">
      <c r="A457" t="str">
        <f>IF(LEN(categories!G457) &gt; 0, "cp ."&amp;categories!G457&amp;" ../catalog/category"&amp;LEFT(categories!G457,6)&amp;";", "")</f>
        <v>cp ./img1/imgda19.jpg ../catalog/category/img1/;</v>
      </c>
      <c r="B457" t="str">
        <f>IF(LEN(categories!G457) &gt; 0, SUBSTITUTE("copy ."&amp;categories!G457&amp;" ./category"&amp;LEFT(categories!G457,6),"/","\"), "")</f>
        <v>copy .\img1\imgda19.jpg .\category\img1\</v>
      </c>
    </row>
    <row r="458" spans="1:2" x14ac:dyDescent="0.25">
      <c r="A458" t="str">
        <f>IF(LEN(categories!G458) &gt; 0, "cp ."&amp;categories!G458&amp;" ../catalog/category"&amp;LEFT(categories!G458,6)&amp;";", "")</f>
        <v>cp ./img3/img1816.jpg ../catalog/category/img3/;</v>
      </c>
      <c r="B458" t="str">
        <f>IF(LEN(categories!G458) &gt; 0, SUBSTITUTE("copy ."&amp;categories!G458&amp;" ./category"&amp;LEFT(categories!G458,6),"/","\"), "")</f>
        <v>copy .\img3\img1816.jpg .\category\img3\</v>
      </c>
    </row>
    <row r="459" spans="1:2" x14ac:dyDescent="0.25">
      <c r="A459" t="str">
        <f>IF(LEN(categories!G459) &gt; 0, "cp ."&amp;categories!G459&amp;" ../catalog/category"&amp;LEFT(categories!G459,6)&amp;";", "")</f>
        <v>cp ./img3/imgdd1d.jpg ../catalog/category/img3/;</v>
      </c>
      <c r="B459" t="str">
        <f>IF(LEN(categories!G459) &gt; 0, SUBSTITUTE("copy ."&amp;categories!G459&amp;" ./category"&amp;LEFT(categories!G459,6),"/","\"), "")</f>
        <v>copy .\img3\imgdd1d.jpg .\category\img3\</v>
      </c>
    </row>
    <row r="460" spans="1:2" x14ac:dyDescent="0.25">
      <c r="A460" t="str">
        <f>IF(LEN(categories!G460) &gt; 0, "cp ."&amp;categories!G460&amp;" ../catalog/category"&amp;LEFT(categories!G460,6)&amp;";", "")</f>
        <v>cp ./img2/img0089.jpg ../catalog/category/img2/;</v>
      </c>
      <c r="B460" t="str">
        <f>IF(LEN(categories!G460) &gt; 0, SUBSTITUTE("copy ."&amp;categories!G460&amp;" ./category"&amp;LEFT(categories!G460,6),"/","\"), "")</f>
        <v>copy .\img2\img0089.jpg .\category\img2\</v>
      </c>
    </row>
    <row r="461" spans="1:2" x14ac:dyDescent="0.25">
      <c r="A461" t="str">
        <f>IF(LEN(categories!G461) &gt; 0, "cp ."&amp;categories!G461&amp;" ../catalog/category"&amp;LEFT(categories!G461,6)&amp;";", "")</f>
        <v>cp ./img2/img6198.jpg ../catalog/category/img2/;</v>
      </c>
      <c r="B461" t="str">
        <f>IF(LEN(categories!G461) &gt; 0, SUBSTITUTE("copy ."&amp;categories!G461&amp;" ./category"&amp;LEFT(categories!G461,6),"/","\"), "")</f>
        <v>copy .\img2\img6198.jpg .\category\img2\</v>
      </c>
    </row>
    <row r="462" spans="1:2" x14ac:dyDescent="0.25">
      <c r="A462" t="str">
        <f>IF(LEN(categories!G462) &gt; 0, "cp ."&amp;categories!G462&amp;" ../catalog/category"&amp;LEFT(categories!G462,6)&amp;";", "")</f>
        <v>cp ./img2/imgfd78.jpg ../catalog/category/img2/;</v>
      </c>
      <c r="B462" t="str">
        <f>IF(LEN(categories!G462) &gt; 0, SUBSTITUTE("copy ."&amp;categories!G462&amp;" ./category"&amp;LEFT(categories!G462,6),"/","\"), "")</f>
        <v>copy .\img2\imgfd78.jpg .\category\img2\</v>
      </c>
    </row>
    <row r="463" spans="1:2" x14ac:dyDescent="0.25">
      <c r="A463" t="str">
        <f>IF(LEN(categories!G463) &gt; 0, "cp ."&amp;categories!G463&amp;" ../catalog/category"&amp;LEFT(categories!G463,6)&amp;";", "")</f>
        <v>cp ./img1/img97ba.jpg ../catalog/category/img1/;</v>
      </c>
      <c r="B463" t="str">
        <f>IF(LEN(categories!G463) &gt; 0, SUBSTITUTE("copy ."&amp;categories!G463&amp;" ./category"&amp;LEFT(categories!G463,6),"/","\"), "")</f>
        <v>copy .\img1\img97ba.jpg .\category\img1\</v>
      </c>
    </row>
    <row r="464" spans="1:2" x14ac:dyDescent="0.25">
      <c r="A464" t="str">
        <f>IF(LEN(categories!G464) &gt; 0, "cp ."&amp;categories!G464&amp;" ../catalog/category"&amp;LEFT(categories!G464,6)&amp;";", "")</f>
        <v>cp ./img3/img0488.jpg ../catalog/category/img3/;</v>
      </c>
      <c r="B464" t="str">
        <f>IF(LEN(categories!G464) &gt; 0, SUBSTITUTE("copy ."&amp;categories!G464&amp;" ./category"&amp;LEFT(categories!G464,6),"/","\"), "")</f>
        <v>copy .\img3\img0488.jpg .\category\img3\</v>
      </c>
    </row>
    <row r="465" spans="1:2" x14ac:dyDescent="0.25">
      <c r="A465" t="str">
        <f>IF(LEN(categories!G465) &gt; 0, "cp ."&amp;categories!G465&amp;" ../catalog/category"&amp;LEFT(categories!G465,6)&amp;";", "")</f>
        <v>cp ./img1/img2485.jpg ../catalog/category/img1/;</v>
      </c>
      <c r="B465" t="str">
        <f>IF(LEN(categories!G465) &gt; 0, SUBSTITUTE("copy ."&amp;categories!G465&amp;" ./category"&amp;LEFT(categories!G465,6),"/","\"), "")</f>
        <v>copy .\img1\img2485.jpg .\category\img1\</v>
      </c>
    </row>
    <row r="466" spans="1:2" x14ac:dyDescent="0.25">
      <c r="A466" t="str">
        <f>IF(LEN(categories!G466) &gt; 0, "cp ."&amp;categories!G466&amp;" ../catalog/category"&amp;LEFT(categories!G466,6)&amp;";", "")</f>
        <v>cp ./img3/img1263.jpg ../catalog/category/img3/;</v>
      </c>
      <c r="B466" t="str">
        <f>IF(LEN(categories!G466) &gt; 0, SUBSTITUTE("copy ."&amp;categories!G466&amp;" ./category"&amp;LEFT(categories!G466,6),"/","\"), "")</f>
        <v>copy .\img3\img1263.jpg .\category\img3\</v>
      </c>
    </row>
    <row r="467" spans="1:2" x14ac:dyDescent="0.25">
      <c r="A467" t="str">
        <f>IF(LEN(categories!G467) &gt; 0, "cp ."&amp;categories!G467&amp;" ../catalog/category"&amp;LEFT(categories!G467,6)&amp;";", "")</f>
        <v>cp ./img1/img9140.jpg ../catalog/category/img1/;</v>
      </c>
      <c r="B467" t="str">
        <f>IF(LEN(categories!G467) &gt; 0, SUBSTITUTE("copy ."&amp;categories!G467&amp;" ./category"&amp;LEFT(categories!G467,6),"/","\"), "")</f>
        <v>copy .\img1\img9140.jpg .\category\img1\</v>
      </c>
    </row>
    <row r="468" spans="1:2" x14ac:dyDescent="0.25">
      <c r="A468" t="str">
        <f>IF(LEN(categories!G468) &gt; 0, "cp ."&amp;categories!G468&amp;" ../catalog/category"&amp;LEFT(categories!G468,6)&amp;";", "")</f>
        <v>cp ./img1/imgb397.jpg ../catalog/category/img1/;</v>
      </c>
      <c r="B468" t="str">
        <f>IF(LEN(categories!G468) &gt; 0, SUBSTITUTE("copy ."&amp;categories!G468&amp;" ./category"&amp;LEFT(categories!G468,6),"/","\"), "")</f>
        <v>copy .\img1\imgb397.jpg .\category\img1\</v>
      </c>
    </row>
    <row r="469" spans="1:2" x14ac:dyDescent="0.25">
      <c r="A469" t="str">
        <f>IF(LEN(categories!G469) &gt; 0, "cp ."&amp;categories!G469&amp;" ../catalog/category"&amp;LEFT(categories!G469,6)&amp;";", "")</f>
        <v>cp ./img2/imge6f3.jpg ../catalog/category/img2/;</v>
      </c>
      <c r="B469" t="str">
        <f>IF(LEN(categories!G469) &gt; 0, SUBSTITUTE("copy ."&amp;categories!G469&amp;" ./category"&amp;LEFT(categories!G469,6),"/","\"), "")</f>
        <v>copy .\img2\imge6f3.jpg .\category\img2\</v>
      </c>
    </row>
    <row r="470" spans="1:2" x14ac:dyDescent="0.25">
      <c r="A470" t="str">
        <f>IF(LEN(categories!G470) &gt; 0, "cp ."&amp;categories!G470&amp;" ../catalog/category"&amp;LEFT(categories!G470,6)&amp;";", "")</f>
        <v>cp ./img3/img3b74.jpg ../catalog/category/img3/;</v>
      </c>
      <c r="B470" t="str">
        <f>IF(LEN(categories!G470) &gt; 0, SUBSTITUTE("copy ."&amp;categories!G470&amp;" ./category"&amp;LEFT(categories!G470,6),"/","\"), "")</f>
        <v>copy .\img3\img3b74.jpg .\category\img3\</v>
      </c>
    </row>
    <row r="471" spans="1:2" x14ac:dyDescent="0.25">
      <c r="A471" t="str">
        <f>IF(LEN(categories!G471) &gt; 0, "cp ."&amp;categories!G471&amp;" ../catalog/category"&amp;LEFT(categories!G471,6)&amp;";", "")</f>
        <v>cp ./img3/imgaa2c.jpg ../catalog/category/img3/;</v>
      </c>
      <c r="B471" t="str">
        <f>IF(LEN(categories!G471) &gt; 0, SUBSTITUTE("copy ."&amp;categories!G471&amp;" ./category"&amp;LEFT(categories!G471,6),"/","\"), "")</f>
        <v>copy .\img3\imgaa2c.jpg .\category\img3\</v>
      </c>
    </row>
    <row r="472" spans="1:2" x14ac:dyDescent="0.25">
      <c r="A472" t="str">
        <f>IF(LEN(categories!G472) &gt; 0, "cp ."&amp;categories!G472&amp;" ../catalog/category"&amp;LEFT(categories!G472,6)&amp;";", "")</f>
        <v>cp ./img2/img1017.jpg ../catalog/category/img2/;</v>
      </c>
      <c r="B472" t="str">
        <f>IF(LEN(categories!G472) &gt; 0, SUBSTITUTE("copy ."&amp;categories!G472&amp;" ./category"&amp;LEFT(categories!G472,6),"/","\"), "")</f>
        <v>copy .\img2\img1017.jpg .\category\img2\</v>
      </c>
    </row>
    <row r="473" spans="1:2" x14ac:dyDescent="0.25">
      <c r="A473" t="str">
        <f>IF(LEN(categories!G473) &gt; 0, "cp ."&amp;categories!G473&amp;" ../catalog/category"&amp;LEFT(categories!G473,6)&amp;";", "")</f>
        <v>cp ./img3/imgcc95.jpg ../catalog/category/img3/;</v>
      </c>
      <c r="B473" t="str">
        <f>IF(LEN(categories!G473) &gt; 0, SUBSTITUTE("copy ."&amp;categories!G473&amp;" ./category"&amp;LEFT(categories!G473,6),"/","\"), "")</f>
        <v>copy .\img3\imgcc95.jpg .\category\img3\</v>
      </c>
    </row>
    <row r="474" spans="1:2" x14ac:dyDescent="0.25">
      <c r="A474" t="str">
        <f>IF(LEN(categories!G474) &gt; 0, "cp ."&amp;categories!G474&amp;" ../catalog/category"&amp;LEFT(categories!G474,6)&amp;";", "")</f>
        <v>cp ./img3/img4227.jpg ../catalog/category/img3/;</v>
      </c>
      <c r="B474" t="str">
        <f>IF(LEN(categories!G474) &gt; 0, SUBSTITUTE("copy ."&amp;categories!G474&amp;" ./category"&amp;LEFT(categories!G474,6),"/","\"), "")</f>
        <v>copy .\img3\img4227.jpg .\category\img3\</v>
      </c>
    </row>
    <row r="475" spans="1:2" x14ac:dyDescent="0.25">
      <c r="A475" t="str">
        <f>IF(LEN(categories!G475) &gt; 0, "cp ."&amp;categories!G475&amp;" ../catalog/category"&amp;LEFT(categories!G475,6)&amp;";", "")</f>
        <v>cp ./img1/imge6f8.jpg ../catalog/category/img1/;</v>
      </c>
      <c r="B475" t="str">
        <f>IF(LEN(categories!G475) &gt; 0, SUBSTITUTE("copy ."&amp;categories!G475&amp;" ./category"&amp;LEFT(categories!G475,6),"/","\"), "")</f>
        <v>copy .\img1\imge6f8.jpg .\category\img1\</v>
      </c>
    </row>
    <row r="476" spans="1:2" x14ac:dyDescent="0.25">
      <c r="A476" t="str">
        <f>IF(LEN(categories!G476) &gt; 0, "cp ."&amp;categories!G476&amp;" ../catalog/category"&amp;LEFT(categories!G476,6)&amp;";", "")</f>
        <v>cp ./img2/imgac58-2.jpg ../catalog/category/img2/;</v>
      </c>
      <c r="B476" t="str">
        <f>IF(LEN(categories!G476) &gt; 0, SUBSTITUTE("copy ."&amp;categories!G476&amp;" ./category"&amp;LEFT(categories!G476,6),"/","\"), "")</f>
        <v>copy .\img2\imgac58-2.jpg .\category\img2\</v>
      </c>
    </row>
    <row r="477" spans="1:2" x14ac:dyDescent="0.25">
      <c r="A477" t="str">
        <f>IF(LEN(categories!G477) &gt; 0, "cp ."&amp;categories!G477&amp;" ../catalog/category"&amp;LEFT(categories!G477,6)&amp;";", "")</f>
        <v>cp ./img2/img68f9.jpg ../catalog/category/img2/;</v>
      </c>
      <c r="B477" t="str">
        <f>IF(LEN(categories!G477) &gt; 0, SUBSTITUTE("copy ."&amp;categories!G477&amp;" ./category"&amp;LEFT(categories!G477,6),"/","\"), "")</f>
        <v>copy .\img2\img68f9.jpg .\category\img2\</v>
      </c>
    </row>
    <row r="478" spans="1:2" x14ac:dyDescent="0.25">
      <c r="A478" t="str">
        <f>IF(LEN(categories!G478) &gt; 0, "cp ."&amp;categories!G478&amp;" ../catalog/category"&amp;LEFT(categories!G478,6)&amp;";", "")</f>
        <v>cp ./img3/img2d59.jpg ../catalog/category/img3/;</v>
      </c>
      <c r="B478" t="str">
        <f>IF(LEN(categories!G478) &gt; 0, SUBSTITUTE("copy ."&amp;categories!G478&amp;" ./category"&amp;LEFT(categories!G478,6),"/","\"), "")</f>
        <v>copy .\img3\img2d59.jpg .\category\img3\</v>
      </c>
    </row>
    <row r="479" spans="1:2" x14ac:dyDescent="0.25">
      <c r="A479" t="str">
        <f>IF(LEN(categories!G479) &gt; 0, "cp ."&amp;categories!G479&amp;" ../catalog/category"&amp;LEFT(categories!G479,6)&amp;";", "")</f>
        <v>cp ./img1/img9303.jpg ../catalog/category/img1/;</v>
      </c>
      <c r="B479" t="str">
        <f>IF(LEN(categories!G479) &gt; 0, SUBSTITUTE("copy ."&amp;categories!G479&amp;" ./category"&amp;LEFT(categories!G479,6),"/","\"), "")</f>
        <v>copy .\img1\img9303.jpg .\category\img1\</v>
      </c>
    </row>
    <row r="480" spans="1:2" x14ac:dyDescent="0.25">
      <c r="A480" t="str">
        <f>IF(LEN(categories!G480) &gt; 0, "cp ."&amp;categories!G480&amp;" ../catalog/category"&amp;LEFT(categories!G480,6)&amp;";", "")</f>
        <v>cp ./img3/imgb0d8.jpg ../catalog/category/img3/;</v>
      </c>
      <c r="B480" t="str">
        <f>IF(LEN(categories!G480) &gt; 0, SUBSTITUTE("copy ."&amp;categories!G480&amp;" ./category"&amp;LEFT(categories!G480,6),"/","\"), "")</f>
        <v>copy .\img3\imgb0d8.jpg .\category\img3\</v>
      </c>
    </row>
    <row r="481" spans="1:2" x14ac:dyDescent="0.25">
      <c r="A481" t="str">
        <f>IF(LEN(categories!G481) &gt; 0, "cp ."&amp;categories!G481&amp;" ../catalog/category"&amp;LEFT(categories!G481,6)&amp;";", "")</f>
        <v>cp ./img1/img44c2.jpg ../catalog/category/img1/;</v>
      </c>
      <c r="B481" t="str">
        <f>IF(LEN(categories!G481) &gt; 0, SUBSTITUTE("copy ."&amp;categories!G481&amp;" ./category"&amp;LEFT(categories!G481,6),"/","\"), "")</f>
        <v>copy .\img1\img44c2.jpg .\category\img1\</v>
      </c>
    </row>
    <row r="482" spans="1:2" x14ac:dyDescent="0.25">
      <c r="A482" t="str">
        <f>IF(LEN(categories!G482) &gt; 0, "cp ."&amp;categories!G482&amp;" ../catalog/category"&amp;LEFT(categories!G482,6)&amp;";", "")</f>
        <v>cp ./img3/img1bc1.jpg ../catalog/category/img3/;</v>
      </c>
      <c r="B482" t="str">
        <f>IF(LEN(categories!G482) &gt; 0, SUBSTITUTE("copy ."&amp;categories!G482&amp;" ./category"&amp;LEFT(categories!G482,6),"/","\"), "")</f>
        <v>copy .\img3\img1bc1.jpg .\category\img3\</v>
      </c>
    </row>
    <row r="483" spans="1:2" x14ac:dyDescent="0.25">
      <c r="A483" t="str">
        <f>IF(LEN(categories!G483) &gt; 0, "cp ."&amp;categories!G483&amp;" ../catalog/category"&amp;LEFT(categories!G483,6)&amp;";", "")</f>
        <v>cp ./img2/img4d3e.jpg ../catalog/category/img2/;</v>
      </c>
      <c r="B483" t="str">
        <f>IF(LEN(categories!G483) &gt; 0, SUBSTITUTE("copy ."&amp;categories!G483&amp;" ./category"&amp;LEFT(categories!G483,6),"/","\"), "")</f>
        <v>copy .\img2\img4d3e.jpg .\category\img2\</v>
      </c>
    </row>
    <row r="484" spans="1:2" x14ac:dyDescent="0.25">
      <c r="A484" t="str">
        <f>IF(LEN(categories!G484) &gt; 0, "cp ."&amp;categories!G484&amp;" ../catalog/category"&amp;LEFT(categories!G484,6)&amp;";", "")</f>
        <v>cp ./img2/imgf3ba.jpg ../catalog/category/img2/;</v>
      </c>
      <c r="B484" t="str">
        <f>IF(LEN(categories!G484) &gt; 0, SUBSTITUTE("copy ."&amp;categories!G484&amp;" ./category"&amp;LEFT(categories!G484,6),"/","\"), "")</f>
        <v>copy .\img2\imgf3ba.jpg .\category\img2\</v>
      </c>
    </row>
    <row r="485" spans="1:2" x14ac:dyDescent="0.25">
      <c r="A485" t="str">
        <f>IF(LEN(categories!G485) &gt; 0, "cp ."&amp;categories!G485&amp;" ../catalog/category"&amp;LEFT(categories!G485,6)&amp;";", "")</f>
        <v>cp ./img3/img964e.jpg ../catalog/category/img3/;</v>
      </c>
      <c r="B485" t="str">
        <f>IF(LEN(categories!G485) &gt; 0, SUBSTITUTE("copy ."&amp;categories!G485&amp;" ./category"&amp;LEFT(categories!G485,6),"/","\"), "")</f>
        <v>copy .\img3\img964e.jpg .\category\img3\</v>
      </c>
    </row>
    <row r="486" spans="1:2" x14ac:dyDescent="0.25">
      <c r="A486" t="str">
        <f>IF(LEN(categories!G486) &gt; 0, "cp ."&amp;categories!G486&amp;" ../catalog/category"&amp;LEFT(categories!G486,6)&amp;";", "")</f>
        <v>cp ./img1/imga98c.jpg ../catalog/category/img1/;</v>
      </c>
      <c r="B486" t="str">
        <f>IF(LEN(categories!G486) &gt; 0, SUBSTITUTE("copy ."&amp;categories!G486&amp;" ./category"&amp;LEFT(categories!G486,6),"/","\"), "")</f>
        <v>copy .\img1\imga98c.jpg .\category\img1\</v>
      </c>
    </row>
    <row r="487" spans="1:2" x14ac:dyDescent="0.25">
      <c r="A487" t="str">
        <f>IF(LEN(categories!G487) &gt; 0, "cp ."&amp;categories!G487&amp;" ../catalog/category"&amp;LEFT(categories!G487,6)&amp;";", "")</f>
        <v>cp ./img3/imgf532.jpg ../catalog/category/img3/;</v>
      </c>
      <c r="B487" t="str">
        <f>IF(LEN(categories!G487) &gt; 0, SUBSTITUTE("copy ."&amp;categories!G487&amp;" ./category"&amp;LEFT(categories!G487,6),"/","\"), "")</f>
        <v>copy .\img3\imgf532.jpg .\category\img3\</v>
      </c>
    </row>
    <row r="488" spans="1:2" x14ac:dyDescent="0.25">
      <c r="A488" t="str">
        <f>IF(LEN(categories!G488) &gt; 0, "cp ."&amp;categories!G488&amp;" ../catalog/category"&amp;LEFT(categories!G488,6)&amp;";", "")</f>
        <v>cp ./img3/imgcc81.jpg ../catalog/category/img3/;</v>
      </c>
      <c r="B488" t="str">
        <f>IF(LEN(categories!G488) &gt; 0, SUBSTITUTE("copy ."&amp;categories!G488&amp;" ./category"&amp;LEFT(categories!G488,6),"/","\"), "")</f>
        <v>copy .\img3\imgcc81.jpg .\category\img3\</v>
      </c>
    </row>
    <row r="489" spans="1:2" x14ac:dyDescent="0.25">
      <c r="A489" t="str">
        <f>IF(LEN(categories!G489) &gt; 0, "cp ."&amp;categories!G489&amp;" ../catalog/category"&amp;LEFT(categories!G489,6)&amp;";", "")</f>
        <v>cp ./img3/imgcc81.jpg ../catalog/category/img3/;</v>
      </c>
      <c r="B489" t="str">
        <f>IF(LEN(categories!G489) &gt; 0, SUBSTITUTE("copy ."&amp;categories!G489&amp;" ./category"&amp;LEFT(categories!G489,6),"/","\"), "")</f>
        <v>copy .\img3\imgcc81.jpg .\category\img3\</v>
      </c>
    </row>
    <row r="490" spans="1:2" x14ac:dyDescent="0.25">
      <c r="A490" t="str">
        <f>IF(LEN(categories!G490) &gt; 0, "cp ."&amp;categories!G490&amp;" ../catalog/category"&amp;LEFT(categories!G490,6)&amp;";", "")</f>
        <v>cp ./img3/img8204.jpg ../catalog/category/img3/;</v>
      </c>
      <c r="B490" t="str">
        <f>IF(LEN(categories!G490) &gt; 0, SUBSTITUTE("copy ."&amp;categories!G490&amp;" ./category"&amp;LEFT(categories!G490,6),"/","\"), "")</f>
        <v>copy .\img3\img8204.jpg .\category\img3\</v>
      </c>
    </row>
    <row r="491" spans="1:2" x14ac:dyDescent="0.25">
      <c r="A491" t="str">
        <f>IF(LEN(categories!G491) &gt; 0, "cp ."&amp;categories!G491&amp;" ../catalog/category"&amp;LEFT(categories!G491,6)&amp;";", "")</f>
        <v>cp ./img1/imgc7bc.jpg ../catalog/category/img1/;</v>
      </c>
      <c r="B491" t="str">
        <f>IF(LEN(categories!G491) &gt; 0, SUBSTITUTE("copy ."&amp;categories!G491&amp;" ./category"&amp;LEFT(categories!G491,6),"/","\"), "")</f>
        <v>copy .\img1\imgc7bc.jpg .\category\img1\</v>
      </c>
    </row>
    <row r="492" spans="1:2" x14ac:dyDescent="0.25">
      <c r="A492" t="str">
        <f>IF(LEN(categories!G492) &gt; 0, "cp ."&amp;categories!G492&amp;" ../catalog/category"&amp;LEFT(categories!G492,6)&amp;";", "")</f>
        <v>cp ./img2/imgda40.jpg ../catalog/category/img2/;</v>
      </c>
      <c r="B492" t="str">
        <f>IF(LEN(categories!G492) &gt; 0, SUBSTITUTE("copy ."&amp;categories!G492&amp;" ./category"&amp;LEFT(categories!G492,6),"/","\"), "")</f>
        <v>copy .\img2\imgda40.jpg .\category\img2\</v>
      </c>
    </row>
    <row r="493" spans="1:2" x14ac:dyDescent="0.25">
      <c r="A493" t="str">
        <f>IF(LEN(categories!G493) &gt; 0, "cp ."&amp;categories!G493&amp;" ../catalog/category"&amp;LEFT(categories!G493,6)&amp;";", "")</f>
        <v>cp ./img1/img53cd.jpg ../catalog/category/img1/;</v>
      </c>
      <c r="B493" t="str">
        <f>IF(LEN(categories!G493) &gt; 0, SUBSTITUTE("copy ."&amp;categories!G493&amp;" ./category"&amp;LEFT(categories!G493,6),"/","\"), "")</f>
        <v>copy .\img1\img53cd.jpg .\category\img1\</v>
      </c>
    </row>
    <row r="494" spans="1:2" x14ac:dyDescent="0.25">
      <c r="A494" t="str">
        <f>IF(LEN(categories!G494) &gt; 0, "cp ."&amp;categories!G494&amp;" ../catalog/category"&amp;LEFT(categories!G494,6)&amp;";", "")</f>
        <v>cp ./img3/img57b0.jpg ../catalog/category/img3/;</v>
      </c>
      <c r="B494" t="str">
        <f>IF(LEN(categories!G494) &gt; 0, SUBSTITUTE("copy ."&amp;categories!G494&amp;" ./category"&amp;LEFT(categories!G494,6),"/","\"), "")</f>
        <v>copy .\img3\img57b0.jpg .\category\img3\</v>
      </c>
    </row>
    <row r="495" spans="1:2" x14ac:dyDescent="0.25">
      <c r="A495" t="str">
        <f>IF(LEN(categories!G495) &gt; 0, "cp ."&amp;categories!G495&amp;" ../catalog/category"&amp;LEFT(categories!G495,6)&amp;";", "")</f>
        <v>cp ./img1/img85c3.jpg ../catalog/category/img1/;</v>
      </c>
      <c r="B495" t="str">
        <f>IF(LEN(categories!G495) &gt; 0, SUBSTITUTE("copy ."&amp;categories!G495&amp;" ./category"&amp;LEFT(categories!G495,6),"/","\"), "")</f>
        <v>copy .\img1\img85c3.jpg .\category\img1\</v>
      </c>
    </row>
    <row r="496" spans="1:2" x14ac:dyDescent="0.25">
      <c r="A496" t="str">
        <f>IF(LEN(categories!G496) &gt; 0, "cp ."&amp;categories!G496&amp;" ../catalog/category"&amp;LEFT(categories!G496,6)&amp;";", "")</f>
        <v>cp ./img1/img2d5f.jpg ../catalog/category/img1/;</v>
      </c>
      <c r="B496" t="str">
        <f>IF(LEN(categories!G496) &gt; 0, SUBSTITUTE("copy ."&amp;categories!G496&amp;" ./category"&amp;LEFT(categories!G496,6),"/","\"), "")</f>
        <v>copy .\img1\img2d5f.jpg .\category\img1\</v>
      </c>
    </row>
    <row r="497" spans="1:2" x14ac:dyDescent="0.25">
      <c r="A497" t="str">
        <f>IF(LEN(categories!G497) &gt; 0, "cp ."&amp;categories!G497&amp;" ../catalog/category"&amp;LEFT(categories!G497,6)&amp;";", "")</f>
        <v>cp ./img2/img39b3.jpg ../catalog/category/img2/;</v>
      </c>
      <c r="B497" t="str">
        <f>IF(LEN(categories!G497) &gt; 0, SUBSTITUTE("copy ."&amp;categories!G497&amp;" ./category"&amp;LEFT(categories!G497,6),"/","\"), "")</f>
        <v>copy .\img2\img39b3.jpg .\category\img2\</v>
      </c>
    </row>
    <row r="498" spans="1:2" x14ac:dyDescent="0.25">
      <c r="A498" t="str">
        <f>IF(LEN(categories!G498) &gt; 0, "cp ."&amp;categories!G498&amp;" ../catalog/category"&amp;LEFT(categories!G498,6)&amp;";", "")</f>
        <v>cp ./img1/imge454.jpg ../catalog/category/img1/;</v>
      </c>
      <c r="B498" t="str">
        <f>IF(LEN(categories!G498) &gt; 0, SUBSTITUTE("copy ."&amp;categories!G498&amp;" ./category"&amp;LEFT(categories!G498,6),"/","\"), "")</f>
        <v>copy .\img1\imge454.jpg .\category\img1\</v>
      </c>
    </row>
    <row r="499" spans="1:2" x14ac:dyDescent="0.25">
      <c r="A499" t="str">
        <f>IF(LEN(categories!G499) &gt; 0, "cp ."&amp;categories!G499&amp;" ../catalog/category"&amp;LEFT(categories!G499,6)&amp;";", "")</f>
        <v>cp ./img2/img21cb.jpg ../catalog/category/img2/;</v>
      </c>
      <c r="B499" t="str">
        <f>IF(LEN(categories!G499) &gt; 0, SUBSTITUTE("copy ."&amp;categories!G499&amp;" ./category"&amp;LEFT(categories!G499,6),"/","\"), "")</f>
        <v>copy .\img2\img21cb.jpg .\category\img2\</v>
      </c>
    </row>
    <row r="500" spans="1:2" x14ac:dyDescent="0.25">
      <c r="A500" t="str">
        <f>IF(LEN(categories!G500) &gt; 0, "cp ."&amp;categories!G500&amp;" ../catalog/category"&amp;LEFT(categories!G500,6)&amp;";", "")</f>
        <v>cp ./img1/imgb401.jpg ../catalog/category/img1/;</v>
      </c>
      <c r="B500" t="str">
        <f>IF(LEN(categories!G500) &gt; 0, SUBSTITUTE("copy ."&amp;categories!G500&amp;" ./category"&amp;LEFT(categories!G500,6),"/","\"), "")</f>
        <v>copy .\img1\imgb401.jpg .\category\img1\</v>
      </c>
    </row>
    <row r="501" spans="1:2" x14ac:dyDescent="0.25">
      <c r="A501" t="str">
        <f>IF(LEN(categories!G501) &gt; 0, "cp ."&amp;categories!G501&amp;" ../catalog/category"&amp;LEFT(categories!G501,6)&amp;";", "")</f>
        <v>cp ./img3/imga511.jpg ../catalog/category/img3/;</v>
      </c>
      <c r="B501" t="str">
        <f>IF(LEN(categories!G501) &gt; 0, SUBSTITUTE("copy ."&amp;categories!G501&amp;" ./category"&amp;LEFT(categories!G501,6),"/","\"), "")</f>
        <v>copy .\img3\imga511.jpg .\category\img3\</v>
      </c>
    </row>
    <row r="502" spans="1:2" x14ac:dyDescent="0.25">
      <c r="A502" t="str">
        <f>IF(LEN(categories!G502) &gt; 0, "cp ."&amp;categories!G502&amp;" ../catalog/category"&amp;LEFT(categories!G502,6)&amp;";", "")</f>
        <v>cp ./img1/img4d60.jpg ../catalog/category/img1/;</v>
      </c>
      <c r="B502" t="str">
        <f>IF(LEN(categories!G502) &gt; 0, SUBSTITUTE("copy ."&amp;categories!G502&amp;" ./category"&amp;LEFT(categories!G502,6),"/","\"), "")</f>
        <v>copy .\img1\img4d60.jpg .\category\img1\</v>
      </c>
    </row>
    <row r="503" spans="1:2" x14ac:dyDescent="0.25">
      <c r="A503" t="str">
        <f>IF(LEN(categories!G503) &gt; 0, "cp ."&amp;categories!G503&amp;" ../catalog/category"&amp;LEFT(categories!G503,6)&amp;";", "")</f>
        <v>cp ./img3/img223e.jpg ../catalog/category/img3/;</v>
      </c>
      <c r="B503" t="str">
        <f>IF(LEN(categories!G503) &gt; 0, SUBSTITUTE("copy ."&amp;categories!G503&amp;" ./category"&amp;LEFT(categories!G503,6),"/","\"), "")</f>
        <v>copy .\img3\img223e.jpg .\category\img3\</v>
      </c>
    </row>
    <row r="504" spans="1:2" x14ac:dyDescent="0.25">
      <c r="A504" t="str">
        <f>IF(LEN(categories!G504) &gt; 0, "cp ."&amp;categories!G504&amp;" ../catalog/category"&amp;LEFT(categories!G504,6)&amp;";", "")</f>
        <v>cp ./img1/img4bc7.jpg ../catalog/category/img1/;</v>
      </c>
      <c r="B504" t="str">
        <f>IF(LEN(categories!G504) &gt; 0, SUBSTITUTE("copy ."&amp;categories!G504&amp;" ./category"&amp;LEFT(categories!G504,6),"/","\"), "")</f>
        <v>copy .\img1\img4bc7.jpg .\category\img1\</v>
      </c>
    </row>
    <row r="505" spans="1:2" x14ac:dyDescent="0.25">
      <c r="A505" t="str">
        <f>IF(LEN(categories!G505) &gt; 0, "cp ."&amp;categories!G505&amp;" ../catalog/category"&amp;LEFT(categories!G505,6)&amp;";", "")</f>
        <v>cp ./img1/imgc8ea.jpg ../catalog/category/img1/;</v>
      </c>
      <c r="B505" t="str">
        <f>IF(LEN(categories!G505) &gt; 0, SUBSTITUTE("copy ."&amp;categories!G505&amp;" ./category"&amp;LEFT(categories!G505,6),"/","\"), "")</f>
        <v>copy .\img1\imgc8ea.jpg .\category\img1\</v>
      </c>
    </row>
    <row r="506" spans="1:2" x14ac:dyDescent="0.25">
      <c r="A506" t="str">
        <f>IF(LEN(categories!G506) &gt; 0, "cp ."&amp;categories!G506&amp;" ../catalog/category"&amp;LEFT(categories!G506,6)&amp;";", "")</f>
        <v>cp ./img2/img163f.jpg ../catalog/category/img2/;</v>
      </c>
      <c r="B506" t="str">
        <f>IF(LEN(categories!G506) &gt; 0, SUBSTITUTE("copy ."&amp;categories!G506&amp;" ./category"&amp;LEFT(categories!G506,6),"/","\"), "")</f>
        <v>copy .\img2\img163f.jpg .\category\img2\</v>
      </c>
    </row>
    <row r="507" spans="1:2" x14ac:dyDescent="0.25">
      <c r="A507" t="str">
        <f>IF(LEN(categories!G507) &gt; 0, "cp ."&amp;categories!G507&amp;" ../catalog/category"&amp;LEFT(categories!G507,6)&amp;";", "")</f>
        <v>cp ./img3/img26df.jpg ../catalog/category/img3/;</v>
      </c>
      <c r="B507" t="str">
        <f>IF(LEN(categories!G507) &gt; 0, SUBSTITUTE("copy ."&amp;categories!G507&amp;" ./category"&amp;LEFT(categories!G507,6),"/","\"), "")</f>
        <v>copy .\img3\img26df.jpg .\category\img3\</v>
      </c>
    </row>
    <row r="508" spans="1:2" x14ac:dyDescent="0.25">
      <c r="A508" t="str">
        <f>IF(LEN(categories!G508) &gt; 0, "cp ."&amp;categories!G508&amp;" ../catalog/category"&amp;LEFT(categories!G508,6)&amp;";", "")</f>
        <v>cp ./img1/img48ea.jpg ../catalog/category/img1/;</v>
      </c>
      <c r="B508" t="str">
        <f>IF(LEN(categories!G508) &gt; 0, SUBSTITUTE("copy ."&amp;categories!G508&amp;" ./category"&amp;LEFT(categories!G508,6),"/","\"), "")</f>
        <v>copy .\img1\img48ea.jpg .\category\img1\</v>
      </c>
    </row>
    <row r="509" spans="1:2" x14ac:dyDescent="0.25">
      <c r="A509" t="str">
        <f>IF(LEN(categories!G509) &gt; 0, "cp ."&amp;categories!G509&amp;" ../catalog/category"&amp;LEFT(categories!G509,6)&amp;";", "")</f>
        <v>cp ./img1/imge193.jpg ../catalog/category/img1/;</v>
      </c>
      <c r="B509" t="str">
        <f>IF(LEN(categories!G509) &gt; 0, SUBSTITUTE("copy ."&amp;categories!G509&amp;" ./category"&amp;LEFT(categories!G509,6),"/","\"), "")</f>
        <v>copy .\img1\imge193.jpg .\category\img1\</v>
      </c>
    </row>
    <row r="510" spans="1:2" x14ac:dyDescent="0.25">
      <c r="A510" t="str">
        <f>IF(LEN(categories!G510) &gt; 0, "cp ."&amp;categories!G510&amp;" ../catalog/category"&amp;LEFT(categories!G510,6)&amp;";", "")</f>
        <v>cp ./img3/img8c47.jpg ../catalog/category/img3/;</v>
      </c>
      <c r="B510" t="str">
        <f>IF(LEN(categories!G510) &gt; 0, SUBSTITUTE("copy ."&amp;categories!G510&amp;" ./category"&amp;LEFT(categories!G510,6),"/","\"), "")</f>
        <v>copy .\img3\img8c47.jpg .\category\img3\</v>
      </c>
    </row>
    <row r="511" spans="1:2" hidden="1" x14ac:dyDescent="0.25">
      <c r="A511" t="str">
        <f>IF(LEN(categories!G511) &gt; 0, "cp ."&amp;categories!G511&amp;" ../catalog/category"&amp;LEFT(categories!G511,6)&amp;";", "")</f>
        <v/>
      </c>
      <c r="B511" t="str">
        <f>IF(LEN(categories!G511) &gt; 0, SUBSTITUTE("copy ."&amp;categories!G511&amp;" ./category"&amp;LEFT(categories!G511,6),"/","\"), "")</f>
        <v/>
      </c>
    </row>
    <row r="512" spans="1:2" x14ac:dyDescent="0.25">
      <c r="A512" t="str">
        <f>IF(LEN(categories!G512) &gt; 0, "cp ."&amp;categories!G512&amp;" ../catalog/category"&amp;LEFT(categories!G512,6)&amp;";", "")</f>
        <v>cp ./img3/img26df.jpg ../catalog/category/img3/;</v>
      </c>
      <c r="B512" t="str">
        <f>IF(LEN(categories!G512) &gt; 0, SUBSTITUTE("copy ."&amp;categories!G512&amp;" ./category"&amp;LEFT(categories!G512,6),"/","\"), "")</f>
        <v>copy .\img3\img26df.jpg .\category\img3\</v>
      </c>
    </row>
    <row r="513" spans="1:2" x14ac:dyDescent="0.25">
      <c r="A513" t="str">
        <f>IF(LEN(categories!G513) &gt; 0, "cp ."&amp;categories!G513&amp;" ../catalog/category"&amp;LEFT(categories!G513,6)&amp;";", "")</f>
        <v>cp ./img2/img23da.jpg ../catalog/category/img2/;</v>
      </c>
      <c r="B513" t="str">
        <f>IF(LEN(categories!G513) &gt; 0, SUBSTITUTE("copy ."&amp;categories!G513&amp;" ./category"&amp;LEFT(categories!G513,6),"/","\"), "")</f>
        <v>copy .\img2\img23da.jpg .\category\img2\</v>
      </c>
    </row>
    <row r="514" spans="1:2" x14ac:dyDescent="0.25">
      <c r="A514" t="str">
        <f>IF(LEN(categories!G514) &gt; 0, "cp ."&amp;categories!G514&amp;" ../catalog/category"&amp;LEFT(categories!G514,6)&amp;";", "")</f>
        <v>cp ./img2/img0e43.jpg ../catalog/category/img2/;</v>
      </c>
      <c r="B514" t="str">
        <f>IF(LEN(categories!G514) &gt; 0, SUBSTITUTE("copy ."&amp;categories!G514&amp;" ./category"&amp;LEFT(categories!G514,6),"/","\"), "")</f>
        <v>copy .\img2\img0e43.jpg .\category\img2\</v>
      </c>
    </row>
    <row r="515" spans="1:2" x14ac:dyDescent="0.25">
      <c r="A515" t="str">
        <f>IF(LEN(categories!G515) &gt; 0, "cp ."&amp;categories!G515&amp;" ../catalog/category"&amp;LEFT(categories!G515,6)&amp;";", "")</f>
        <v>cp ./img1/img20b6.jpg ../catalog/category/img1/;</v>
      </c>
      <c r="B515" t="str">
        <f>IF(LEN(categories!G515) &gt; 0, SUBSTITUTE("copy ."&amp;categories!G515&amp;" ./category"&amp;LEFT(categories!G515,6),"/","\"), "")</f>
        <v>copy .\img1\img20b6.jpg .\category\img1\</v>
      </c>
    </row>
    <row r="516" spans="1:2" x14ac:dyDescent="0.25">
      <c r="A516" t="str">
        <f>IF(LEN(categories!G516) &gt; 0, "cp ."&amp;categories!G516&amp;" ../catalog/category"&amp;LEFT(categories!G516,6)&amp;";", "")</f>
        <v>cp ./img1/img48ea.jpg ../catalog/category/img1/;</v>
      </c>
      <c r="B516" t="str">
        <f>IF(LEN(categories!G516) &gt; 0, SUBSTITUTE("copy ."&amp;categories!G516&amp;" ./category"&amp;LEFT(categories!G516,6),"/","\"), "")</f>
        <v>copy .\img1\img48ea.jpg .\category\img1\</v>
      </c>
    </row>
    <row r="517" spans="1:2" x14ac:dyDescent="0.25">
      <c r="A517" t="str">
        <f>IF(LEN(categories!G517) &gt; 0, "cp ."&amp;categories!G517&amp;" ../catalog/category"&amp;LEFT(categories!G517,6)&amp;";", "")</f>
        <v>cp ./img2/imgbea7.jpg ../catalog/category/img2/;</v>
      </c>
      <c r="B517" t="str">
        <f>IF(LEN(categories!G517) &gt; 0, SUBSTITUTE("copy ."&amp;categories!G517&amp;" ./category"&amp;LEFT(categories!G517,6),"/","\"), "")</f>
        <v>copy .\img2\imgbea7.jpg .\category\img2\</v>
      </c>
    </row>
    <row r="518" spans="1:2" x14ac:dyDescent="0.25">
      <c r="A518" t="str">
        <f>IF(LEN(categories!G518) &gt; 0, "cp ."&amp;categories!G518&amp;" ../catalog/category"&amp;LEFT(categories!G518,6)&amp;";", "")</f>
        <v>cp ./img3/img0e35.jpg ../catalog/category/img3/;</v>
      </c>
      <c r="B518" t="str">
        <f>IF(LEN(categories!G518) &gt; 0, SUBSTITUTE("copy ."&amp;categories!G518&amp;" ./category"&amp;LEFT(categories!G518,6),"/","\"), "")</f>
        <v>copy .\img3\img0e35.jpg .\category\img3\</v>
      </c>
    </row>
    <row r="519" spans="1:2" x14ac:dyDescent="0.25">
      <c r="A519" t="str">
        <f>IF(LEN(categories!G519) &gt; 0, "cp ."&amp;categories!G519&amp;" ../catalog/category"&amp;LEFT(categories!G519,6)&amp;";", "")</f>
        <v>cp ./img1/imge93e.jpg ../catalog/category/img1/;</v>
      </c>
      <c r="B519" t="str">
        <f>IF(LEN(categories!G519) &gt; 0, SUBSTITUTE("copy ."&amp;categories!G519&amp;" ./category"&amp;LEFT(categories!G519,6),"/","\"), "")</f>
        <v>copy .\img1\imge93e.jpg .\category\img1\</v>
      </c>
    </row>
    <row r="520" spans="1:2" x14ac:dyDescent="0.25">
      <c r="A520" t="str">
        <f>IF(LEN(categories!G520) &gt; 0, "cp ."&amp;categories!G520&amp;" ../catalog/category"&amp;LEFT(categories!G520,6)&amp;";", "")</f>
        <v>cp ./img3/img3dc9.jpg ../catalog/category/img3/;</v>
      </c>
      <c r="B520" t="str">
        <f>IF(LEN(categories!G520) &gt; 0, SUBSTITUTE("copy ."&amp;categories!G520&amp;" ./category"&amp;LEFT(categories!G520,6),"/","\"), "")</f>
        <v>copy .\img3\img3dc9.jpg .\category\img3\</v>
      </c>
    </row>
    <row r="521" spans="1:2" x14ac:dyDescent="0.25">
      <c r="A521" t="str">
        <f>IF(LEN(categories!G521) &gt; 0, "cp ."&amp;categories!G521&amp;" ../catalog/category"&amp;LEFT(categories!G521,6)&amp;";", "")</f>
        <v>cp ./img1/img640e.jpg ../catalog/category/img1/;</v>
      </c>
      <c r="B521" t="str">
        <f>IF(LEN(categories!G521) &gt; 0, SUBSTITUTE("copy ."&amp;categories!G521&amp;" ./category"&amp;LEFT(categories!G521,6),"/","\"), "")</f>
        <v>copy .\img1\img640e.jpg .\category\img1\</v>
      </c>
    </row>
    <row r="522" spans="1:2" x14ac:dyDescent="0.25">
      <c r="A522" t="str">
        <f>IF(LEN(categories!G522) &gt; 0, "cp ."&amp;categories!G522&amp;" ../catalog/category"&amp;LEFT(categories!G522,6)&amp;";", "")</f>
        <v>cp ./img1/imgae39.jpg ../catalog/category/img1/;</v>
      </c>
      <c r="B522" t="str">
        <f>IF(LEN(categories!G522) &gt; 0, SUBSTITUTE("copy ."&amp;categories!G522&amp;" ./category"&amp;LEFT(categories!G522,6),"/","\"), "")</f>
        <v>copy .\img1\imgae39.jpg .\category\img1\</v>
      </c>
    </row>
    <row r="523" spans="1:2" x14ac:dyDescent="0.25">
      <c r="A523" t="str">
        <f>IF(LEN(categories!G523) &gt; 0, "cp ."&amp;categories!G523&amp;" ../catalog/category"&amp;LEFT(categories!G523,6)&amp;";", "")</f>
        <v>cp ./img1/img0c14.jpg ../catalog/category/img1/;</v>
      </c>
      <c r="B523" t="str">
        <f>IF(LEN(categories!G523) &gt; 0, SUBSTITUTE("copy ."&amp;categories!G523&amp;" ./category"&amp;LEFT(categories!G523,6),"/","\"), "")</f>
        <v>copy .\img1\img0c14.jpg .\category\img1\</v>
      </c>
    </row>
    <row r="524" spans="1:2" x14ac:dyDescent="0.25">
      <c r="A524" t="str">
        <f>IF(LEN(categories!G524) &gt; 0, "cp ."&amp;categories!G524&amp;" ../catalog/category"&amp;LEFT(categories!G524,6)&amp;";", "")</f>
        <v>cp ./img3/img7a0d.jpg ../catalog/category/img3/;</v>
      </c>
      <c r="B524" t="str">
        <f>IF(LEN(categories!G524) &gt; 0, SUBSTITUTE("copy ."&amp;categories!G524&amp;" ./category"&amp;LEFT(categories!G524,6),"/","\"), "")</f>
        <v>copy .\img3\img7a0d.jpg .\category\img3\</v>
      </c>
    </row>
    <row r="525" spans="1:2" x14ac:dyDescent="0.25">
      <c r="A525" t="str">
        <f>IF(LEN(categories!G525) &gt; 0, "cp ."&amp;categories!G525&amp;" ../catalog/category"&amp;LEFT(categories!G525,6)&amp;";", "")</f>
        <v>cp ./img1/img2462.jpg ../catalog/category/img1/;</v>
      </c>
      <c r="B525" t="str">
        <f>IF(LEN(categories!G525) &gt; 0, SUBSTITUTE("copy ."&amp;categories!G525&amp;" ./category"&amp;LEFT(categories!G525,6),"/","\"), "")</f>
        <v>copy .\img1\img2462.jpg .\category\img1\</v>
      </c>
    </row>
    <row r="526" spans="1:2" x14ac:dyDescent="0.25">
      <c r="A526" t="str">
        <f>IF(LEN(categories!G526) &gt; 0, "cp ."&amp;categories!G526&amp;" ../catalog/category"&amp;LEFT(categories!G526,6)&amp;";", "")</f>
        <v>cp ./img1/img9140.jpg ../catalog/category/img1/;</v>
      </c>
      <c r="B526" t="str">
        <f>IF(LEN(categories!G526) &gt; 0, SUBSTITUTE("copy ."&amp;categories!G526&amp;" ./category"&amp;LEFT(categories!G526,6),"/","\"), "")</f>
        <v>copy .\img1\img9140.jpg .\category\img1\</v>
      </c>
    </row>
    <row r="527" spans="1:2" x14ac:dyDescent="0.25">
      <c r="A527" t="str">
        <f>IF(LEN(categories!G527) &gt; 0, "cp ."&amp;categories!G527&amp;" ../catalog/category"&amp;LEFT(categories!G527,6)&amp;";", "")</f>
        <v>cp ./img1/img6a7a.jpg ../catalog/category/img1/;</v>
      </c>
      <c r="B527" t="str">
        <f>IF(LEN(categories!G527) &gt; 0, SUBSTITUTE("copy ."&amp;categories!G527&amp;" ./category"&amp;LEFT(categories!G527,6),"/","\"), "")</f>
        <v>copy .\img1\img6a7a.jpg .\category\img1\</v>
      </c>
    </row>
    <row r="528" spans="1:2" x14ac:dyDescent="0.25">
      <c r="A528" t="str">
        <f>IF(LEN(categories!G528) &gt; 0, "cp ."&amp;categories!G528&amp;" ../catalog/category"&amp;LEFT(categories!G528,6)&amp;";", "")</f>
        <v>cp ./img2/img848c.jpg ../catalog/category/img2/;</v>
      </c>
      <c r="B528" t="str">
        <f>IF(LEN(categories!G528) &gt; 0, SUBSTITUTE("copy ."&amp;categories!G528&amp;" ./category"&amp;LEFT(categories!G528,6),"/","\"), "")</f>
        <v>copy .\img2\img848c.jpg .\category\img2\</v>
      </c>
    </row>
    <row r="529" spans="1:2" x14ac:dyDescent="0.25">
      <c r="A529" t="str">
        <f>IF(LEN(categories!G529) &gt; 0, "cp ."&amp;categories!G529&amp;" ../catalog/category"&amp;LEFT(categories!G529,6)&amp;";", "")</f>
        <v>cp ./img2/img813f.jpg ../catalog/category/img2/;</v>
      </c>
      <c r="B529" t="str">
        <f>IF(LEN(categories!G529) &gt; 0, SUBSTITUTE("copy ."&amp;categories!G529&amp;" ./category"&amp;LEFT(categories!G529,6),"/","\"), "")</f>
        <v>copy .\img2\img813f.jpg .\category\img2\</v>
      </c>
    </row>
    <row r="530" spans="1:2" x14ac:dyDescent="0.25">
      <c r="A530" t="str">
        <f>IF(LEN(categories!G530) &gt; 0, "cp ."&amp;categories!G530&amp;" ../catalog/category"&amp;LEFT(categories!G530,6)&amp;";", "")</f>
        <v>cp ./img1/img4847.jpg ../catalog/category/img1/;</v>
      </c>
      <c r="B530" t="str">
        <f>IF(LEN(categories!G530) &gt; 0, SUBSTITUTE("copy ."&amp;categories!G530&amp;" ./category"&amp;LEFT(categories!G530,6),"/","\"), "")</f>
        <v>copy .\img1\img4847.jpg .\category\img1\</v>
      </c>
    </row>
    <row r="531" spans="1:2" x14ac:dyDescent="0.25">
      <c r="A531" t="str">
        <f>IF(LEN(categories!G531) &gt; 0, "cp ."&amp;categories!G531&amp;" ../catalog/category"&amp;LEFT(categories!G531,6)&amp;";", "")</f>
        <v>cp ./img3/img90e0.jpg ../catalog/category/img3/;</v>
      </c>
      <c r="B531" t="str">
        <f>IF(LEN(categories!G531) &gt; 0, SUBSTITUTE("copy ."&amp;categories!G531&amp;" ./category"&amp;LEFT(categories!G531,6),"/","\"), "")</f>
        <v>copy .\img3\img90e0.jpg .\category\img3\</v>
      </c>
    </row>
    <row r="532" spans="1:2" x14ac:dyDescent="0.25">
      <c r="A532" t="str">
        <f>IF(LEN(categories!G532) &gt; 0, "cp ."&amp;categories!G532&amp;" ../catalog/category"&amp;LEFT(categories!G532,6)&amp;";", "")</f>
        <v>cp ./img3/imgfcd3.jpg ../catalog/category/img3/;</v>
      </c>
      <c r="B532" t="str">
        <f>IF(LEN(categories!G532) &gt; 0, SUBSTITUTE("copy ."&amp;categories!G532&amp;" ./category"&amp;LEFT(categories!G532,6),"/","\"), "")</f>
        <v>copy .\img3\imgfcd3.jpg .\category\img3\</v>
      </c>
    </row>
    <row r="533" spans="1:2" x14ac:dyDescent="0.25">
      <c r="A533" t="str">
        <f>IF(LEN(categories!G533) &gt; 0, "cp ."&amp;categories!G533&amp;" ../catalog/category"&amp;LEFT(categories!G533,6)&amp;";", "")</f>
        <v>cp ./img1/img290e.jpg ../catalog/category/img1/;</v>
      </c>
      <c r="B533" t="str">
        <f>IF(LEN(categories!G533) &gt; 0, SUBSTITUTE("copy ."&amp;categories!G533&amp;" ./category"&amp;LEFT(categories!G533,6),"/","\"), "")</f>
        <v>copy .\img1\img290e.jpg .\category\img1\</v>
      </c>
    </row>
    <row r="534" spans="1:2" x14ac:dyDescent="0.25">
      <c r="A534" t="str">
        <f>IF(LEN(categories!G534) &gt; 0, "cp ."&amp;categories!G534&amp;" ../catalog/category"&amp;LEFT(categories!G534,6)&amp;";", "")</f>
        <v>cp ./img2/imgcf5e.jpg ../catalog/category/img2/;</v>
      </c>
      <c r="B534" t="str">
        <f>IF(LEN(categories!G534) &gt; 0, SUBSTITUTE("copy ."&amp;categories!G534&amp;" ./category"&amp;LEFT(categories!G534,6),"/","\"), "")</f>
        <v>copy .\img2\imgcf5e.jpg .\category\img2\</v>
      </c>
    </row>
    <row r="535" spans="1:2" x14ac:dyDescent="0.25">
      <c r="A535" t="str">
        <f>IF(LEN(categories!G535) &gt; 0, "cp ."&amp;categories!G535&amp;" ../catalog/category"&amp;LEFT(categories!G535,6)&amp;";", "")</f>
        <v>cp ./img3/img7dd3.jpg ../catalog/category/img3/;</v>
      </c>
      <c r="B535" t="str">
        <f>IF(LEN(categories!G535) &gt; 0, SUBSTITUTE("copy ."&amp;categories!G535&amp;" ./category"&amp;LEFT(categories!G535,6),"/","\"), "")</f>
        <v>copy .\img3\img7dd3.jpg .\category\img3\</v>
      </c>
    </row>
    <row r="536" spans="1:2" x14ac:dyDescent="0.25">
      <c r="A536" t="str">
        <f>IF(LEN(categories!G536) &gt; 0, "cp ."&amp;categories!G536&amp;" ../catalog/category"&amp;LEFT(categories!G536,6)&amp;";", "")</f>
        <v>cp ./img2/img6823.jpg ../catalog/category/img2/;</v>
      </c>
      <c r="B536" t="str">
        <f>IF(LEN(categories!G536) &gt; 0, SUBSTITUTE("copy ."&amp;categories!G536&amp;" ./category"&amp;LEFT(categories!G536,6),"/","\"), "")</f>
        <v>copy .\img2\img6823.jpg .\category\img2\</v>
      </c>
    </row>
    <row r="537" spans="1:2" x14ac:dyDescent="0.25">
      <c r="A537" t="str">
        <f>IF(LEN(categories!G537) &gt; 0, "cp ."&amp;categories!G537&amp;" ../catalog/category"&amp;LEFT(categories!G537,6)&amp;";", "")</f>
        <v>cp ./img2/imge092.jpg ../catalog/category/img2/;</v>
      </c>
      <c r="B537" t="str">
        <f>IF(LEN(categories!G537) &gt; 0, SUBSTITUTE("copy ."&amp;categories!G537&amp;" ./category"&amp;LEFT(categories!G537,6),"/","\"), "")</f>
        <v>copy .\img2\imge092.jpg .\category\img2\</v>
      </c>
    </row>
    <row r="538" spans="1:2" x14ac:dyDescent="0.25">
      <c r="A538" t="str">
        <f>IF(LEN(categories!G538) &gt; 0, "cp ."&amp;categories!G538&amp;" ../catalog/category"&amp;LEFT(categories!G538,6)&amp;";", "")</f>
        <v>cp ./img1/img826b.jpg ../catalog/category/img1/;</v>
      </c>
      <c r="B538" t="str">
        <f>IF(LEN(categories!G538) &gt; 0, SUBSTITUTE("copy ."&amp;categories!G538&amp;" ./category"&amp;LEFT(categories!G538,6),"/","\"), "")</f>
        <v>copy .\img1\img826b.jpg .\category\img1\</v>
      </c>
    </row>
    <row r="539" spans="1:2" x14ac:dyDescent="0.25">
      <c r="A539" t="str">
        <f>IF(LEN(categories!G539) &gt; 0, "cp ."&amp;categories!G539&amp;" ../catalog/category"&amp;LEFT(categories!G539,6)&amp;";", "")</f>
        <v>cp ./img3/img48db.jpg ../catalog/category/img3/;</v>
      </c>
      <c r="B539" t="str">
        <f>IF(LEN(categories!G539) &gt; 0, SUBSTITUTE("copy ."&amp;categories!G539&amp;" ./category"&amp;LEFT(categories!G539,6),"/","\"), "")</f>
        <v>copy .\img3\img48db.jpg .\category\img3\</v>
      </c>
    </row>
    <row r="540" spans="1:2" x14ac:dyDescent="0.25">
      <c r="A540" t="str">
        <f>IF(LEN(categories!G540) &gt; 0, "cp ."&amp;categories!G540&amp;" ../catalog/category"&amp;LEFT(categories!G540,6)&amp;";", "")</f>
        <v>cp ./img1/img5ef3.jpg ../catalog/category/img1/;</v>
      </c>
      <c r="B540" t="str">
        <f>IF(LEN(categories!G540) &gt; 0, SUBSTITUTE("copy ."&amp;categories!G540&amp;" ./category"&amp;LEFT(categories!G540,6),"/","\"), "")</f>
        <v>copy .\img1\img5ef3.jpg .\category\img1\</v>
      </c>
    </row>
    <row r="541" spans="1:2" x14ac:dyDescent="0.25">
      <c r="A541" t="str">
        <f>IF(LEN(categories!G541) &gt; 0, "cp ."&amp;categories!G541&amp;" ../catalog/category"&amp;LEFT(categories!G541,6)&amp;";", "")</f>
        <v>cp ./img1/imgcfb8.jpg ../catalog/category/img1/;</v>
      </c>
      <c r="B541" t="str">
        <f>IF(LEN(categories!G541) &gt; 0, SUBSTITUTE("copy ."&amp;categories!G541&amp;" ./category"&amp;LEFT(categories!G541,6),"/","\"), "")</f>
        <v>copy .\img1\imgcfb8.jpg .\category\img1\</v>
      </c>
    </row>
    <row r="542" spans="1:2" x14ac:dyDescent="0.25">
      <c r="A542" t="str">
        <f>IF(LEN(categories!G542) &gt; 0, "cp ."&amp;categories!G542&amp;" ../catalog/category"&amp;LEFT(categories!G542,6)&amp;";", "")</f>
        <v>cp ./img1/imgb624.jpg ../catalog/category/img1/;</v>
      </c>
      <c r="B542" t="str">
        <f>IF(LEN(categories!G542) &gt; 0, SUBSTITUTE("copy ."&amp;categories!G542&amp;" ./category"&amp;LEFT(categories!G542,6),"/","\"), "")</f>
        <v>copy .\img1\imgb624.jpg .\category\img1\</v>
      </c>
    </row>
    <row r="543" spans="1:2" x14ac:dyDescent="0.25">
      <c r="A543" t="str">
        <f>IF(LEN(categories!G543) &gt; 0, "cp ."&amp;categories!G543&amp;" ../catalog/category"&amp;LEFT(categories!G543,6)&amp;";", "")</f>
        <v>cp ./img2/imgfba5.jpg ../catalog/category/img2/;</v>
      </c>
      <c r="B543" t="str">
        <f>IF(LEN(categories!G543) &gt; 0, SUBSTITUTE("copy ."&amp;categories!G543&amp;" ./category"&amp;LEFT(categories!G543,6),"/","\"), "")</f>
        <v>copy .\img2\imgfba5.jpg .\category\img2\</v>
      </c>
    </row>
    <row r="544" spans="1:2" x14ac:dyDescent="0.25">
      <c r="A544" t="str">
        <f>IF(LEN(categories!G544) &gt; 0, "cp ."&amp;categories!G544&amp;" ../catalog/category"&amp;LEFT(categories!G544,6)&amp;";", "")</f>
        <v>cp ./img2/imgd851.jpg ../catalog/category/img2/;</v>
      </c>
      <c r="B544" t="str">
        <f>IF(LEN(categories!G544) &gt; 0, SUBSTITUTE("copy ."&amp;categories!G544&amp;" ./category"&amp;LEFT(categories!G544,6),"/","\"), "")</f>
        <v>copy .\img2\imgd851.jpg .\category\img2\</v>
      </c>
    </row>
    <row r="545" spans="1:2" x14ac:dyDescent="0.25">
      <c r="A545" t="str">
        <f>IF(LEN(categories!G545) &gt; 0, "cp ."&amp;categories!G545&amp;" ../catalog/category"&amp;LEFT(categories!G545,6)&amp;";", "")</f>
        <v>cp ./img1/img3532.jpg ../catalog/category/img1/;</v>
      </c>
      <c r="B545" t="str">
        <f>IF(LEN(categories!G545) &gt; 0, SUBSTITUTE("copy ."&amp;categories!G545&amp;" ./category"&amp;LEFT(categories!G545,6),"/","\"), "")</f>
        <v>copy .\img1\img3532.jpg .\category\img1\</v>
      </c>
    </row>
    <row r="546" spans="1:2" x14ac:dyDescent="0.25">
      <c r="A546" t="str">
        <f>IF(LEN(categories!G546) &gt; 0, "cp ."&amp;categories!G546&amp;" ../catalog/category"&amp;LEFT(categories!G546,6)&amp;";", "")</f>
        <v>cp ./img3/imgfb81.jpg ../catalog/category/img3/;</v>
      </c>
      <c r="B546" t="str">
        <f>IF(LEN(categories!G546) &gt; 0, SUBSTITUTE("copy ."&amp;categories!G546&amp;" ./category"&amp;LEFT(categories!G546,6),"/","\"), "")</f>
        <v>copy .\img3\imgfb81.jpg .\category\img3\</v>
      </c>
    </row>
    <row r="547" spans="1:2" x14ac:dyDescent="0.25">
      <c r="A547" t="str">
        <f>IF(LEN(categories!G547) &gt; 0, "cp ."&amp;categories!G547&amp;" ../catalog/category"&amp;LEFT(categories!G547,6)&amp;";", "")</f>
        <v>cp ./img1/imgb31a.jpg ../catalog/category/img1/;</v>
      </c>
      <c r="B547" t="str">
        <f>IF(LEN(categories!G547) &gt; 0, SUBSTITUTE("copy ."&amp;categories!G547&amp;" ./category"&amp;LEFT(categories!G547,6),"/","\"), "")</f>
        <v>copy .\img1\imgb31a.jpg .\category\img1\</v>
      </c>
    </row>
    <row r="548" spans="1:2" x14ac:dyDescent="0.25">
      <c r="A548" t="str">
        <f>IF(LEN(categories!G548) &gt; 0, "cp ."&amp;categories!G548&amp;" ../catalog/category"&amp;LEFT(categories!G548,6)&amp;";", "")</f>
        <v>cp ./img3/img4007.jpg ../catalog/category/img3/;</v>
      </c>
      <c r="B548" t="str">
        <f>IF(LEN(categories!G548) &gt; 0, SUBSTITUTE("copy ."&amp;categories!G548&amp;" ./category"&amp;LEFT(categories!G548,6),"/","\"), "")</f>
        <v>copy .\img3\img4007.jpg .\category\img3\</v>
      </c>
    </row>
    <row r="549" spans="1:2" x14ac:dyDescent="0.25">
      <c r="A549" t="str">
        <f>IF(LEN(categories!G549) &gt; 0, "cp ."&amp;categories!G549&amp;" ../catalog/category"&amp;LEFT(categories!G549,6)&amp;";", "")</f>
        <v>cp ./img3/imgd775.jpg ../catalog/category/img3/;</v>
      </c>
      <c r="B549" t="str">
        <f>IF(LEN(categories!G549) &gt; 0, SUBSTITUTE("copy ."&amp;categories!G549&amp;" ./category"&amp;LEFT(categories!G549,6),"/","\"), "")</f>
        <v>copy .\img3\imgd775.jpg .\category\img3\</v>
      </c>
    </row>
    <row r="550" spans="1:2" x14ac:dyDescent="0.25">
      <c r="A550" t="str">
        <f>IF(LEN(categories!G550) &gt; 0, "cp ."&amp;categories!G550&amp;" ../catalog/category"&amp;LEFT(categories!G550,6)&amp;";", "")</f>
        <v>cp ./img3/imgd775.jpg ../catalog/category/img3/;</v>
      </c>
      <c r="B550" t="str">
        <f>IF(LEN(categories!G550) &gt; 0, SUBSTITUTE("copy ."&amp;categories!G550&amp;" ./category"&amp;LEFT(categories!G550,6),"/","\"), "")</f>
        <v>copy .\img3\imgd775.jpg .\category\img3\</v>
      </c>
    </row>
    <row r="551" spans="1:2" x14ac:dyDescent="0.25">
      <c r="A551" t="str">
        <f>IF(LEN(categories!G551) &gt; 0, "cp ."&amp;categories!G551&amp;" ../catalog/category"&amp;LEFT(categories!G551,6)&amp;";", "")</f>
        <v>cp ./img2/imge395.jpg ../catalog/category/img2/;</v>
      </c>
      <c r="B551" t="str">
        <f>IF(LEN(categories!G551) &gt; 0, SUBSTITUTE("copy ."&amp;categories!G551&amp;" ./category"&amp;LEFT(categories!G551,6),"/","\"), "")</f>
        <v>copy .\img2\imge395.jpg .\category\img2\</v>
      </c>
    </row>
    <row r="552" spans="1:2" x14ac:dyDescent="0.25">
      <c r="A552" t="str">
        <f>IF(LEN(categories!G552) &gt; 0, "cp ."&amp;categories!G552&amp;" ../catalog/category"&amp;LEFT(categories!G552,6)&amp;";", "")</f>
        <v>cp ./img2/imgad27.jpg ../catalog/category/img2/;</v>
      </c>
      <c r="B552" t="str">
        <f>IF(LEN(categories!G552) &gt; 0, SUBSTITUTE("copy ."&amp;categories!G552&amp;" ./category"&amp;LEFT(categories!G552,6),"/","\"), "")</f>
        <v>copy .\img2\imgad27.jpg .\category\img2\</v>
      </c>
    </row>
    <row r="553" spans="1:2" x14ac:dyDescent="0.25">
      <c r="A553" t="str">
        <f>IF(LEN(categories!G553) &gt; 0, "cp ."&amp;categories!G553&amp;" ../catalog/category"&amp;LEFT(categories!G553,6)&amp;";", "")</f>
        <v>cp ./img3/img0c8d.jpg ../catalog/category/img3/;</v>
      </c>
      <c r="B553" t="str">
        <f>IF(LEN(categories!G553) &gt; 0, SUBSTITUTE("copy ."&amp;categories!G553&amp;" ./category"&amp;LEFT(categories!G553,6),"/","\"), "")</f>
        <v>copy .\img3\img0c8d.jpg .\category\img3\</v>
      </c>
    </row>
    <row r="554" spans="1:2" x14ac:dyDescent="0.25">
      <c r="A554" t="str">
        <f>IF(LEN(categories!G554) &gt; 0, "cp ."&amp;categories!G554&amp;" ../catalog/category"&amp;LEFT(categories!G554,6)&amp;";", "")</f>
        <v>cp ./img2/imgb97b.jpg ../catalog/category/img2/;</v>
      </c>
      <c r="B554" t="str">
        <f>IF(LEN(categories!G554) &gt; 0, SUBSTITUTE("copy ."&amp;categories!G554&amp;" ./category"&amp;LEFT(categories!G554,6),"/","\"), "")</f>
        <v>copy .\img2\imgb97b.jpg .\category\img2\</v>
      </c>
    </row>
    <row r="555" spans="1:2" x14ac:dyDescent="0.25">
      <c r="A555" t="str">
        <f>IF(LEN(categories!G555) &gt; 0, "cp ."&amp;categories!G555&amp;" ../catalog/category"&amp;LEFT(categories!G555,6)&amp;";", "")</f>
        <v>cp ./img1/img9604.jpg ../catalog/category/img1/;</v>
      </c>
      <c r="B555" t="str">
        <f>IF(LEN(categories!G555) &gt; 0, SUBSTITUTE("copy ."&amp;categories!G555&amp;" ./category"&amp;LEFT(categories!G555,6),"/","\"), "")</f>
        <v>copy .\img1\img9604.jpg .\category\img1\</v>
      </c>
    </row>
    <row r="556" spans="1:2" x14ac:dyDescent="0.25">
      <c r="A556" t="str">
        <f>IF(LEN(categories!G556) &gt; 0, "cp ."&amp;categories!G556&amp;" ../catalog/category"&amp;LEFT(categories!G556,6)&amp;";", "")</f>
        <v>cp ./img1/img59aa.jpg ../catalog/category/img1/;</v>
      </c>
      <c r="B556" t="str">
        <f>IF(LEN(categories!G556) &gt; 0, SUBSTITUTE("copy ."&amp;categories!G556&amp;" ./category"&amp;LEFT(categories!G556,6),"/","\"), "")</f>
        <v>copy .\img1\img59aa.jpg .\category\img1\</v>
      </c>
    </row>
    <row r="557" spans="1:2" x14ac:dyDescent="0.25">
      <c r="A557" t="str">
        <f>IF(LEN(categories!G557) &gt; 0, "cp ."&amp;categories!G557&amp;" ../catalog/category"&amp;LEFT(categories!G557,6)&amp;";", "")</f>
        <v>cp ./img2/img445c.jpg ../catalog/category/img2/;</v>
      </c>
      <c r="B557" t="str">
        <f>IF(LEN(categories!G557) &gt; 0, SUBSTITUTE("copy ."&amp;categories!G557&amp;" ./category"&amp;LEFT(categories!G557,6),"/","\"), "")</f>
        <v>copy .\img2\img445c.jpg .\category\img2\</v>
      </c>
    </row>
    <row r="558" spans="1:2" x14ac:dyDescent="0.25">
      <c r="A558" t="str">
        <f>IF(LEN(categories!G558) &gt; 0, "cp ."&amp;categories!G558&amp;" ../catalog/category"&amp;LEFT(categories!G558,6)&amp;";", "")</f>
        <v>cp ./img3/imgf2bf.jpg ../catalog/category/img3/;</v>
      </c>
      <c r="B558" t="str">
        <f>IF(LEN(categories!G558) &gt; 0, SUBSTITUTE("copy ."&amp;categories!G558&amp;" ./category"&amp;LEFT(categories!G558,6),"/","\"), "")</f>
        <v>copy .\img3\imgf2bf.jpg .\category\img3\</v>
      </c>
    </row>
    <row r="559" spans="1:2" x14ac:dyDescent="0.25">
      <c r="A559" t="str">
        <f>IF(LEN(categories!G559) &gt; 0, "cp ."&amp;categories!G559&amp;" ../catalog/category"&amp;LEFT(categories!G559,6)&amp;";", "")</f>
        <v>cp ./img2/img66ac.jpg ../catalog/category/img2/;</v>
      </c>
      <c r="B559" t="str">
        <f>IF(LEN(categories!G559) &gt; 0, SUBSTITUTE("copy ."&amp;categories!G559&amp;" ./category"&amp;LEFT(categories!G559,6),"/","\"), "")</f>
        <v>copy .\img2\img66ac.jpg .\category\img2\</v>
      </c>
    </row>
    <row r="560" spans="1:2" x14ac:dyDescent="0.25">
      <c r="A560" t="str">
        <f>IF(LEN(categories!G560) &gt; 0, "cp ."&amp;categories!G560&amp;" ../catalog/category"&amp;LEFT(categories!G560,6)&amp;";", "")</f>
        <v>cp ./img1/imgbf28.jpg ../catalog/category/img1/;</v>
      </c>
      <c r="B560" t="str">
        <f>IF(LEN(categories!G560) &gt; 0, SUBSTITUTE("copy ."&amp;categories!G560&amp;" ./category"&amp;LEFT(categories!G560,6),"/","\"), "")</f>
        <v>copy .\img1\imgbf28.jpg .\category\img1\</v>
      </c>
    </row>
    <row r="561" spans="1:2" x14ac:dyDescent="0.25">
      <c r="A561" t="str">
        <f>IF(LEN(categories!G561) &gt; 0, "cp ."&amp;categories!G561&amp;" ../catalog/category"&amp;LEFT(categories!G561,6)&amp;";", "")</f>
        <v>cp ./img1/img1259.jpg ../catalog/category/img1/;</v>
      </c>
      <c r="B561" t="str">
        <f>IF(LEN(categories!G561) &gt; 0, SUBSTITUTE("copy ."&amp;categories!G561&amp;" ./category"&amp;LEFT(categories!G561,6),"/","\"), "")</f>
        <v>copy .\img1\img1259.jpg .\category\img1\</v>
      </c>
    </row>
    <row r="562" spans="1:2" x14ac:dyDescent="0.25">
      <c r="A562" t="str">
        <f>IF(LEN(categories!G562) &gt; 0, "cp ."&amp;categories!G562&amp;" ../catalog/category"&amp;LEFT(categories!G562,6)&amp;";", "")</f>
        <v>cp ./img1/img31d4.jpg ../catalog/category/img1/;</v>
      </c>
      <c r="B562" t="str">
        <f>IF(LEN(categories!G562) &gt; 0, SUBSTITUTE("copy ."&amp;categories!G562&amp;" ./category"&amp;LEFT(categories!G562,6),"/","\"), "")</f>
        <v>copy .\img1\img31d4.jpg .\category\img1\</v>
      </c>
    </row>
    <row r="563" spans="1:2" x14ac:dyDescent="0.25">
      <c r="A563" t="str">
        <f>IF(LEN(categories!G563) &gt; 0, "cp ."&amp;categories!G563&amp;" ../catalog/category"&amp;LEFT(categories!G563,6)&amp;";", "")</f>
        <v>cp ./img1/imgc0bb.jpg ../catalog/category/img1/;</v>
      </c>
      <c r="B563" t="str">
        <f>IF(LEN(categories!G563) &gt; 0, SUBSTITUTE("copy ."&amp;categories!G563&amp;" ./category"&amp;LEFT(categories!G563,6),"/","\"), "")</f>
        <v>copy .\img1\imgc0bb.jpg .\category\img1\</v>
      </c>
    </row>
    <row r="564" spans="1:2" x14ac:dyDescent="0.25">
      <c r="A564" t="str">
        <f>IF(LEN(categories!G564) &gt; 0, "cp ."&amp;categories!G564&amp;" ../catalog/category"&amp;LEFT(categories!G564,6)&amp;";", "")</f>
        <v>cp ./img3/img5cee.jpg ../catalog/category/img3/;</v>
      </c>
      <c r="B564" t="str">
        <f>IF(LEN(categories!G564) &gt; 0, SUBSTITUTE("copy ."&amp;categories!G564&amp;" ./category"&amp;LEFT(categories!G564,6),"/","\"), "")</f>
        <v>copy .\img3\img5cee.jpg .\category\img3\</v>
      </c>
    </row>
    <row r="565" spans="1:2" x14ac:dyDescent="0.25">
      <c r="A565" t="str">
        <f>IF(LEN(categories!G565) &gt; 0, "cp ."&amp;categories!G565&amp;" ../catalog/category"&amp;LEFT(categories!G565,6)&amp;";", "")</f>
        <v>cp ./img3/imga160.jpg ../catalog/category/img3/;</v>
      </c>
      <c r="B565" t="str">
        <f>IF(LEN(categories!G565) &gt; 0, SUBSTITUTE("copy ."&amp;categories!G565&amp;" ./category"&amp;LEFT(categories!G565,6),"/","\"), "")</f>
        <v>copy .\img3\imga160.jpg .\category\img3\</v>
      </c>
    </row>
    <row r="566" spans="1:2" x14ac:dyDescent="0.25">
      <c r="A566" t="str">
        <f>IF(LEN(categories!G566) &gt; 0, "cp ."&amp;categories!G566&amp;" ../catalog/category"&amp;LEFT(categories!G566,6)&amp;";", "")</f>
        <v>cp ./img3/img06ab.jpg ../catalog/category/img3/;</v>
      </c>
      <c r="B566" t="str">
        <f>IF(LEN(categories!G566) &gt; 0, SUBSTITUTE("copy ."&amp;categories!G566&amp;" ./category"&amp;LEFT(categories!G566,6),"/","\"), "")</f>
        <v>copy .\img3\img06ab.jpg .\category\img3\</v>
      </c>
    </row>
    <row r="567" spans="1:2" x14ac:dyDescent="0.25">
      <c r="A567" t="str">
        <f>IF(LEN(categories!G567) &gt; 0, "cp ."&amp;categories!G567&amp;" ../catalog/category"&amp;LEFT(categories!G567,6)&amp;";", "")</f>
        <v>cp ./img3/imga2f5.jpg ../catalog/category/img3/;</v>
      </c>
      <c r="B567" t="str">
        <f>IF(LEN(categories!G567) &gt; 0, SUBSTITUTE("copy ."&amp;categories!G567&amp;" ./category"&amp;LEFT(categories!G567,6),"/","\"), "")</f>
        <v>copy .\img3\imga2f5.jpg .\category\img3\</v>
      </c>
    </row>
    <row r="568" spans="1:2" x14ac:dyDescent="0.25">
      <c r="A568" t="str">
        <f>IF(LEN(categories!G568) &gt; 0, "cp ."&amp;categories!G568&amp;" ../catalog/category"&amp;LEFT(categories!G568,6)&amp;";", "")</f>
        <v>cp ./img3/img6e1e.jpg ../catalog/category/img3/;</v>
      </c>
      <c r="B568" t="str">
        <f>IF(LEN(categories!G568) &gt; 0, SUBSTITUTE("copy ."&amp;categories!G568&amp;" ./category"&amp;LEFT(categories!G568,6),"/","\"), "")</f>
        <v>copy .\img3\img6e1e.jpg .\category\img3\</v>
      </c>
    </row>
    <row r="569" spans="1:2" x14ac:dyDescent="0.25">
      <c r="A569" t="str">
        <f>IF(LEN(categories!G569) &gt; 0, "cp ."&amp;categories!G569&amp;" ../catalog/category"&amp;LEFT(categories!G569,6)&amp;";", "")</f>
        <v>cp ./img1/imgf0e3.jpg ../catalog/category/img1/;</v>
      </c>
      <c r="B569" t="str">
        <f>IF(LEN(categories!G569) &gt; 0, SUBSTITUTE("copy ."&amp;categories!G569&amp;" ./category"&amp;LEFT(categories!G569,6),"/","\"), "")</f>
        <v>copy .\img1\imgf0e3.jpg .\category\img1\</v>
      </c>
    </row>
    <row r="570" spans="1:2" x14ac:dyDescent="0.25">
      <c r="A570" t="str">
        <f>IF(LEN(categories!G570) &gt; 0, "cp ."&amp;categories!G570&amp;" ../catalog/category"&amp;LEFT(categories!G570,6)&amp;";", "")</f>
        <v>cp ./img1/img8d46.jpg ../catalog/category/img1/;</v>
      </c>
      <c r="B570" t="str">
        <f>IF(LEN(categories!G570) &gt; 0, SUBSTITUTE("copy ."&amp;categories!G570&amp;" ./category"&amp;LEFT(categories!G570,6),"/","\"), "")</f>
        <v>copy .\img1\img8d46.jpg .\category\img1\</v>
      </c>
    </row>
    <row r="571" spans="1:2" x14ac:dyDescent="0.25">
      <c r="A571" t="str">
        <f>IF(LEN(categories!G571) &gt; 0, "cp ."&amp;categories!G571&amp;" ../catalog/category"&amp;LEFT(categories!G571,6)&amp;";", "")</f>
        <v>cp ./img2/imgf6b4.jpg ../catalog/category/img2/;</v>
      </c>
      <c r="B571" t="str">
        <f>IF(LEN(categories!G571) &gt; 0, SUBSTITUTE("copy ."&amp;categories!G571&amp;" ./category"&amp;LEFT(categories!G571,6),"/","\"), "")</f>
        <v>copy .\img2\imgf6b4.jpg .\category\img2\</v>
      </c>
    </row>
    <row r="572" spans="1:2" x14ac:dyDescent="0.25">
      <c r="A572" t="str">
        <f>IF(LEN(categories!G572) &gt; 0, "cp ."&amp;categories!G572&amp;" ../catalog/category"&amp;LEFT(categories!G572,6)&amp;";", "")</f>
        <v>cp ./img3/img50f3.jpg ../catalog/category/img3/;</v>
      </c>
      <c r="B572" t="str">
        <f>IF(LEN(categories!G572) &gt; 0, SUBSTITUTE("copy ."&amp;categories!G572&amp;" ./category"&amp;LEFT(categories!G572,6),"/","\"), "")</f>
        <v>copy .\img3\img50f3.jpg .\category\img3\</v>
      </c>
    </row>
    <row r="573" spans="1:2" x14ac:dyDescent="0.25">
      <c r="A573" t="str">
        <f>IF(LEN(categories!G573) &gt; 0, "cp ."&amp;categories!G573&amp;" ../catalog/category"&amp;LEFT(categories!G573,6)&amp;";", "")</f>
        <v>cp ./img3/img2ac8.jpg ../catalog/category/img3/;</v>
      </c>
      <c r="B573" t="str">
        <f>IF(LEN(categories!G573) &gt; 0, SUBSTITUTE("copy ."&amp;categories!G573&amp;" ./category"&amp;LEFT(categories!G573,6),"/","\"), "")</f>
        <v>copy .\img3\img2ac8.jpg .\category\img3\</v>
      </c>
    </row>
    <row r="574" spans="1:2" x14ac:dyDescent="0.25">
      <c r="A574" t="str">
        <f>IF(LEN(categories!G574) &gt; 0, "cp ."&amp;categories!G574&amp;" ../catalog/category"&amp;LEFT(categories!G574,6)&amp;";", "")</f>
        <v>cp ./img3/imgbe53.jpg ../catalog/category/img3/;</v>
      </c>
      <c r="B574" t="str">
        <f>IF(LEN(categories!G574) &gt; 0, SUBSTITUTE("copy ."&amp;categories!G574&amp;" ./category"&amp;LEFT(categories!G574,6),"/","\"), "")</f>
        <v>copy .\img3\imgbe53.jpg .\category\img3\</v>
      </c>
    </row>
    <row r="575" spans="1:2" x14ac:dyDescent="0.25">
      <c r="A575" t="str">
        <f>IF(LEN(categories!G575) &gt; 0, "cp ."&amp;categories!G575&amp;" ../catalog/category"&amp;LEFT(categories!G575,6)&amp;";", "")</f>
        <v>cp ./img2/img2933.jpg ../catalog/category/img2/;</v>
      </c>
      <c r="B575" t="str">
        <f>IF(LEN(categories!G575) &gt; 0, SUBSTITUTE("copy ."&amp;categories!G575&amp;" ./category"&amp;LEFT(categories!G575,6),"/","\"), "")</f>
        <v>copy .\img2\img2933.jpg .\category\img2\</v>
      </c>
    </row>
    <row r="576" spans="1:2" x14ac:dyDescent="0.25">
      <c r="A576" t="str">
        <f>IF(LEN(categories!G576) &gt; 0, "cp ."&amp;categories!G576&amp;" ../catalog/category"&amp;LEFT(categories!G576,6)&amp;";", "")</f>
        <v>cp ./img2/imge588.jpg ../catalog/category/img2/;</v>
      </c>
      <c r="B576" t="str">
        <f>IF(LEN(categories!G576) &gt; 0, SUBSTITUTE("copy ."&amp;categories!G576&amp;" ./category"&amp;LEFT(categories!G576,6),"/","\"), "")</f>
        <v>copy .\img2\imge588.jpg .\category\img2\</v>
      </c>
    </row>
    <row r="577" spans="1:2" x14ac:dyDescent="0.25">
      <c r="A577" t="str">
        <f>IF(LEN(categories!G577) &gt; 0, "cp ."&amp;categories!G577&amp;" ../catalog/category"&amp;LEFT(categories!G577,6)&amp;";", "")</f>
        <v>cp ./img3/imgd063.jpg ../catalog/category/img3/;</v>
      </c>
      <c r="B577" t="str">
        <f>IF(LEN(categories!G577) &gt; 0, SUBSTITUTE("copy ."&amp;categories!G577&amp;" ./category"&amp;LEFT(categories!G577,6),"/","\"), "")</f>
        <v>copy .\img3\imgd063.jpg .\category\img3\</v>
      </c>
    </row>
    <row r="578" spans="1:2" x14ac:dyDescent="0.25">
      <c r="A578" t="str">
        <f>IF(LEN(categories!G578) &gt; 0, "cp ."&amp;categories!G578&amp;" ../catalog/category"&amp;LEFT(categories!G578,6)&amp;";", "")</f>
        <v>cp ./img2/img5bb1.jpg ../catalog/category/img2/;</v>
      </c>
      <c r="B578" t="str">
        <f>IF(LEN(categories!G578) &gt; 0, SUBSTITUTE("copy ."&amp;categories!G578&amp;" ./category"&amp;LEFT(categories!G578,6),"/","\"), "")</f>
        <v>copy .\img2\img5bb1.jpg .\category\img2\</v>
      </c>
    </row>
    <row r="579" spans="1:2" x14ac:dyDescent="0.25">
      <c r="A579" t="str">
        <f>IF(LEN(categories!G579) &gt; 0, "cp ."&amp;categories!G579&amp;" ../catalog/category"&amp;LEFT(categories!G579,6)&amp;";", "")</f>
        <v>cp ./img2/img9066.jpg ../catalog/category/img2/;</v>
      </c>
      <c r="B579" t="str">
        <f>IF(LEN(categories!G579) &gt; 0, SUBSTITUTE("copy ."&amp;categories!G579&amp;" ./category"&amp;LEFT(categories!G579,6),"/","\"), "")</f>
        <v>copy .\img2\img9066.jpg .\category\img2\</v>
      </c>
    </row>
    <row r="580" spans="1:2" x14ac:dyDescent="0.25">
      <c r="A580" t="str">
        <f>IF(LEN(categories!G580) &gt; 0, "cp ."&amp;categories!G580&amp;" ../catalog/category"&amp;LEFT(categories!G580,6)&amp;";", "")</f>
        <v>cp ./img2/img8c5d.jpg ../catalog/category/img2/;</v>
      </c>
      <c r="B580" t="str">
        <f>IF(LEN(categories!G580) &gt; 0, SUBSTITUTE("copy ."&amp;categories!G580&amp;" ./category"&amp;LEFT(categories!G580,6),"/","\"), "")</f>
        <v>copy .\img2\img8c5d.jpg .\category\img2\</v>
      </c>
    </row>
    <row r="581" spans="1:2" x14ac:dyDescent="0.25">
      <c r="A581" t="str">
        <f>IF(LEN(categories!G581) &gt; 0, "cp ."&amp;categories!G581&amp;" ../catalog/category"&amp;LEFT(categories!G581,6)&amp;";", "")</f>
        <v>cp ./img1/imgddec.jpg ../catalog/category/img1/;</v>
      </c>
      <c r="B581" t="str">
        <f>IF(LEN(categories!G581) &gt; 0, SUBSTITUTE("copy ."&amp;categories!G581&amp;" ./category"&amp;LEFT(categories!G581,6),"/","\"), "")</f>
        <v>copy .\img1\imgddec.jpg .\category\img1\</v>
      </c>
    </row>
    <row r="582" spans="1:2" x14ac:dyDescent="0.25">
      <c r="A582" t="str">
        <f>IF(LEN(categories!G582) &gt; 0, "cp ."&amp;categories!G582&amp;" ../catalog/category"&amp;LEFT(categories!G582,6)&amp;";", "")</f>
        <v>cp ./img3/img0d1f.jpg ../catalog/category/img3/;</v>
      </c>
      <c r="B582" t="str">
        <f>IF(LEN(categories!G582) &gt; 0, SUBSTITUTE("copy ."&amp;categories!G582&amp;" ./category"&amp;LEFT(categories!G582,6),"/","\"), "")</f>
        <v>copy .\img3\img0d1f.jpg .\category\img3\</v>
      </c>
    </row>
    <row r="583" spans="1:2" x14ac:dyDescent="0.25">
      <c r="A583" t="str">
        <f>IF(LEN(categories!G583) &gt; 0, "cp ."&amp;categories!G583&amp;" ../catalog/category"&amp;LEFT(categories!G583,6)&amp;";", "")</f>
        <v>cp ./img1/img5089.jpg ../catalog/category/img1/;</v>
      </c>
      <c r="B583" t="str">
        <f>IF(LEN(categories!G583) &gt; 0, SUBSTITUTE("copy ."&amp;categories!G583&amp;" ./category"&amp;LEFT(categories!G583,6),"/","\"), "")</f>
        <v>copy .\img1\img5089.jpg .\category\img1\</v>
      </c>
    </row>
    <row r="584" spans="1:2" x14ac:dyDescent="0.25">
      <c r="A584" t="str">
        <f>IF(LEN(categories!G584) &gt; 0, "cp ."&amp;categories!G584&amp;" ../catalog/category"&amp;LEFT(categories!G584,6)&amp;";", "")</f>
        <v>cp ./img3/img7eb9.jpg ../catalog/category/img3/;</v>
      </c>
      <c r="B584" t="str">
        <f>IF(LEN(categories!G584) &gt; 0, SUBSTITUTE("copy ."&amp;categories!G584&amp;" ./category"&amp;LEFT(categories!G584,6),"/","\"), "")</f>
        <v>copy .\img3\img7eb9.jpg .\category\img3\</v>
      </c>
    </row>
    <row r="585" spans="1:2" x14ac:dyDescent="0.25">
      <c r="A585" t="str">
        <f>IF(LEN(categories!G585) &gt; 0, "cp ."&amp;categories!G585&amp;" ../catalog/category"&amp;LEFT(categories!G585,6)&amp;";", "")</f>
        <v>cp ./img1/imgfc92.jpg ../catalog/category/img1/;</v>
      </c>
      <c r="B585" t="str">
        <f>IF(LEN(categories!G585) &gt; 0, SUBSTITUTE("copy ."&amp;categories!G585&amp;" ./category"&amp;LEFT(categories!G585,6),"/","\"), "")</f>
        <v>copy .\img1\imgfc92.jpg .\category\img1\</v>
      </c>
    </row>
    <row r="586" spans="1:2" x14ac:dyDescent="0.25">
      <c r="A586" t="str">
        <f>IF(LEN(categories!G586) &gt; 0, "cp ."&amp;categories!G586&amp;" ../catalog/category"&amp;LEFT(categories!G586,6)&amp;";", "")</f>
        <v>cp ./img2/imgb06c.jpg ../catalog/category/img2/;</v>
      </c>
      <c r="B586" t="str">
        <f>IF(LEN(categories!G586) &gt; 0, SUBSTITUTE("copy ."&amp;categories!G586&amp;" ./category"&amp;LEFT(categories!G586,6),"/","\"), "")</f>
        <v>copy .\img2\imgb06c.jpg .\category\img2\</v>
      </c>
    </row>
    <row r="587" spans="1:2" x14ac:dyDescent="0.25">
      <c r="A587" t="str">
        <f>IF(LEN(categories!G587) &gt; 0, "cp ."&amp;categories!G587&amp;" ../catalog/category"&amp;LEFT(categories!G587,6)&amp;";", "")</f>
        <v>cp ./img3/imgc4b0.jpg ../catalog/category/img3/;</v>
      </c>
      <c r="B587" t="str">
        <f>IF(LEN(categories!G587) &gt; 0, SUBSTITUTE("copy ."&amp;categories!G587&amp;" ./category"&amp;LEFT(categories!G587,6),"/","\"), "")</f>
        <v>copy .\img3\imgc4b0.jpg .\category\img3\</v>
      </c>
    </row>
    <row r="588" spans="1:2" x14ac:dyDescent="0.25">
      <c r="A588" t="str">
        <f>IF(LEN(categories!G588) &gt; 0, "cp ."&amp;categories!G588&amp;" ../catalog/category"&amp;LEFT(categories!G588,6)&amp;";", "")</f>
        <v>cp ./img2/img27ea.jpg ../catalog/category/img2/;</v>
      </c>
      <c r="B588" t="str">
        <f>IF(LEN(categories!G588) &gt; 0, SUBSTITUTE("copy ."&amp;categories!G588&amp;" ./category"&amp;LEFT(categories!G588,6),"/","\"), "")</f>
        <v>copy .\img2\img27ea.jpg .\category\img2\</v>
      </c>
    </row>
    <row r="589" spans="1:2" x14ac:dyDescent="0.25">
      <c r="A589" t="str">
        <f>IF(LEN(categories!G589) &gt; 0, "cp ."&amp;categories!G589&amp;" ../catalog/category"&amp;LEFT(categories!G589,6)&amp;";", "")</f>
        <v>cp ./img2/img7062.jpg ../catalog/category/img2/;</v>
      </c>
      <c r="B589" t="str">
        <f>IF(LEN(categories!G589) &gt; 0, SUBSTITUTE("copy ."&amp;categories!G589&amp;" ./category"&amp;LEFT(categories!G589,6),"/","\"), "")</f>
        <v>copy .\img2\img7062.jpg .\category\img2\</v>
      </c>
    </row>
    <row r="590" spans="1:2" x14ac:dyDescent="0.25">
      <c r="A590" t="str">
        <f>IF(LEN(categories!G590) &gt; 0, "cp ."&amp;categories!G590&amp;" ../catalog/category"&amp;LEFT(categories!G590,6)&amp;";", "")</f>
        <v>cp ./img3/img753c.jpg ../catalog/category/img3/;</v>
      </c>
      <c r="B590" t="str">
        <f>IF(LEN(categories!G590) &gt; 0, SUBSTITUTE("copy ."&amp;categories!G590&amp;" ./category"&amp;LEFT(categories!G590,6),"/","\"), "")</f>
        <v>copy .\img3\img753c.jpg .\category\img3\</v>
      </c>
    </row>
    <row r="591" spans="1:2" x14ac:dyDescent="0.25">
      <c r="A591" t="str">
        <f>IF(LEN(categories!G591) &gt; 0, "cp ."&amp;categories!G591&amp;" ../catalog/category"&amp;LEFT(categories!G591,6)&amp;";", "")</f>
        <v>cp ./img2/imgbe3b.jpg ../catalog/category/img2/;</v>
      </c>
      <c r="B591" t="str">
        <f>IF(LEN(categories!G591) &gt; 0, SUBSTITUTE("copy ."&amp;categories!G591&amp;" ./category"&amp;LEFT(categories!G591,6),"/","\"), "")</f>
        <v>copy .\img2\imgbe3b.jpg .\category\img2\</v>
      </c>
    </row>
    <row r="592" spans="1:2" x14ac:dyDescent="0.25">
      <c r="A592" t="str">
        <f>IF(LEN(categories!G592) &gt; 0, "cp ."&amp;categories!G592&amp;" ../catalog/category"&amp;LEFT(categories!G592,6)&amp;";", "")</f>
        <v>cp ./img1/imgb80f.jpg ../catalog/category/img1/;</v>
      </c>
      <c r="B592" t="str">
        <f>IF(LEN(categories!G592) &gt; 0, SUBSTITUTE("copy ."&amp;categories!G592&amp;" ./category"&amp;LEFT(categories!G592,6),"/","\"), "")</f>
        <v>copy .\img1\imgb80f.jpg .\category\img1\</v>
      </c>
    </row>
    <row r="593" spans="1:2" x14ac:dyDescent="0.25">
      <c r="A593" t="str">
        <f>IF(LEN(categories!G593) &gt; 0, "cp ."&amp;categories!G593&amp;" ../catalog/category"&amp;LEFT(categories!G593,6)&amp;";", "")</f>
        <v>cp ./img3/img8c35.jpg ../catalog/category/img3/;</v>
      </c>
      <c r="B593" t="str">
        <f>IF(LEN(categories!G593) &gt; 0, SUBSTITUTE("copy ."&amp;categories!G593&amp;" ./category"&amp;LEFT(categories!G593,6),"/","\"), "")</f>
        <v>copy .\img3\img8c35.jpg .\category\img3\</v>
      </c>
    </row>
    <row r="594" spans="1:2" x14ac:dyDescent="0.25">
      <c r="A594" t="str">
        <f>IF(LEN(categories!G594) &gt; 0, "cp ."&amp;categories!G594&amp;" ../catalog/category"&amp;LEFT(categories!G594,6)&amp;";", "")</f>
        <v>cp ./img1/imgc95d.jpg ../catalog/category/img1/;</v>
      </c>
      <c r="B594" t="str">
        <f>IF(LEN(categories!G594) &gt; 0, SUBSTITUTE("copy ."&amp;categories!G594&amp;" ./category"&amp;LEFT(categories!G594,6),"/","\"), "")</f>
        <v>copy .\img1\imgc95d.jpg .\category\img1\</v>
      </c>
    </row>
    <row r="595" spans="1:2" x14ac:dyDescent="0.25">
      <c r="A595" t="str">
        <f>IF(LEN(categories!G595) &gt; 0, "cp ."&amp;categories!G595&amp;" ../catalog/category"&amp;LEFT(categories!G595,6)&amp;";", "")</f>
        <v>cp ./img3/imgbb9f.jpg ../catalog/category/img3/;</v>
      </c>
      <c r="B595" t="str">
        <f>IF(LEN(categories!G595) &gt; 0, SUBSTITUTE("copy ."&amp;categories!G595&amp;" ./category"&amp;LEFT(categories!G595,6),"/","\"), "")</f>
        <v>copy .\img3\imgbb9f.jpg .\category\img3\</v>
      </c>
    </row>
    <row r="596" spans="1:2" x14ac:dyDescent="0.25">
      <c r="A596" t="str">
        <f>IF(LEN(categories!G596) &gt; 0, "cp ."&amp;categories!G596&amp;" ../catalog/category"&amp;LEFT(categories!G596,6)&amp;";", "")</f>
        <v>cp ./img3/imgb906.jpg ../catalog/category/img3/;</v>
      </c>
      <c r="B596" t="str">
        <f>IF(LEN(categories!G596) &gt; 0, SUBSTITUTE("copy ."&amp;categories!G596&amp;" ./category"&amp;LEFT(categories!G596,6),"/","\"), "")</f>
        <v>copy .\img3\imgb906.jpg .\category\img3\</v>
      </c>
    </row>
    <row r="597" spans="1:2" x14ac:dyDescent="0.25">
      <c r="A597" t="str">
        <f>IF(LEN(categories!G597) &gt; 0, "cp ."&amp;categories!G597&amp;" ../catalog/category"&amp;LEFT(categories!G597,6)&amp;";", "")</f>
        <v>cp ./img3/imgaa38.jpg ../catalog/category/img3/;</v>
      </c>
      <c r="B597" t="str">
        <f>IF(LEN(categories!G597) &gt; 0, SUBSTITUTE("copy ."&amp;categories!G597&amp;" ./category"&amp;LEFT(categories!G597,6),"/","\"), "")</f>
        <v>copy .\img3\imgaa38.jpg .\category\img3\</v>
      </c>
    </row>
    <row r="598" spans="1:2" x14ac:dyDescent="0.25">
      <c r="A598" t="str">
        <f>IF(LEN(categories!G598) &gt; 0, "cp ."&amp;categories!G598&amp;" ../catalog/category"&amp;LEFT(categories!G598,6)&amp;";", "")</f>
        <v>cp ./img3/imgaa38.jpg ../catalog/category/img3/;</v>
      </c>
      <c r="B598" t="str">
        <f>IF(LEN(categories!G598) &gt; 0, SUBSTITUTE("copy ."&amp;categories!G598&amp;" ./category"&amp;LEFT(categories!G598,6),"/","\"), "")</f>
        <v>copy .\img3\imgaa38.jpg .\category\img3\</v>
      </c>
    </row>
    <row r="599" spans="1:2" x14ac:dyDescent="0.25">
      <c r="A599" t="str">
        <f>IF(LEN(categories!G599) &gt; 0, "cp ."&amp;categories!G599&amp;" ../catalog/category"&amp;LEFT(categories!G599,6)&amp;";", "")</f>
        <v>cp ./img2/img71ca.jpg ../catalog/category/img2/;</v>
      </c>
      <c r="B599" t="str">
        <f>IF(LEN(categories!G599) &gt; 0, SUBSTITUTE("copy ."&amp;categories!G599&amp;" ./category"&amp;LEFT(categories!G599,6),"/","\"), "")</f>
        <v>copy .\img2\img71ca.jpg .\category\img2\</v>
      </c>
    </row>
    <row r="600" spans="1:2" x14ac:dyDescent="0.25">
      <c r="A600" t="str">
        <f>IF(LEN(categories!G600) &gt; 0, "cp ."&amp;categories!G600&amp;" ../catalog/category"&amp;LEFT(categories!G600,6)&amp;";", "")</f>
        <v>cp ./img3/img3114.jpg ../catalog/category/img3/;</v>
      </c>
      <c r="B600" t="str">
        <f>IF(LEN(categories!G600) &gt; 0, SUBSTITUTE("copy ."&amp;categories!G600&amp;" ./category"&amp;LEFT(categories!G600,6),"/","\"), "")</f>
        <v>copy .\img3\img3114.jpg .\category\img3\</v>
      </c>
    </row>
    <row r="601" spans="1:2" x14ac:dyDescent="0.25">
      <c r="A601" t="str">
        <f>IF(LEN(categories!G601) &gt; 0, "cp ."&amp;categories!G601&amp;" ../catalog/category"&amp;LEFT(categories!G601,6)&amp;";", "")</f>
        <v>cp ./img1/img3bff.jpg ../catalog/category/img1/;</v>
      </c>
      <c r="B601" t="str">
        <f>IF(LEN(categories!G601) &gt; 0, SUBSTITUTE("copy ."&amp;categories!G601&amp;" ./category"&amp;LEFT(categories!G601,6),"/","\"), "")</f>
        <v>copy .\img1\img3bff.jpg .\category\img1\</v>
      </c>
    </row>
    <row r="602" spans="1:2" x14ac:dyDescent="0.25">
      <c r="A602" t="str">
        <f>IF(LEN(categories!G602) &gt; 0, "cp ."&amp;categories!G602&amp;" ../catalog/category"&amp;LEFT(categories!G602,6)&amp;";", "")</f>
        <v>cp ./img1/img6416.jpg ../catalog/category/img1/;</v>
      </c>
      <c r="B602" t="str">
        <f>IF(LEN(categories!G602) &gt; 0, SUBSTITUTE("copy ."&amp;categories!G602&amp;" ./category"&amp;LEFT(categories!G602,6),"/","\"), "")</f>
        <v>copy .\img1\img6416.jpg .\category\img1\</v>
      </c>
    </row>
    <row r="603" spans="1:2" x14ac:dyDescent="0.25">
      <c r="A603" t="str">
        <f>IF(LEN(categories!G603) &gt; 0, "cp ."&amp;categories!G603&amp;" ../catalog/category"&amp;LEFT(categories!G603,6)&amp;";", "")</f>
        <v>cp ./img1/img6416.jpg ../catalog/category/img1/;</v>
      </c>
      <c r="B603" t="str">
        <f>IF(LEN(categories!G603) &gt; 0, SUBSTITUTE("copy ."&amp;categories!G603&amp;" ./category"&amp;LEFT(categories!G603,6),"/","\"), "")</f>
        <v>copy .\img1\img6416.jpg .\category\img1\</v>
      </c>
    </row>
    <row r="604" spans="1:2" x14ac:dyDescent="0.25">
      <c r="A604" t="str">
        <f>IF(LEN(categories!G604) &gt; 0, "cp ."&amp;categories!G604&amp;" ../catalog/category"&amp;LEFT(categories!G604,6)&amp;";", "")</f>
        <v>cp ./img2/img06f3.jpg ../catalog/category/img2/;</v>
      </c>
      <c r="B604" t="str">
        <f>IF(LEN(categories!G604) &gt; 0, SUBSTITUTE("copy ."&amp;categories!G604&amp;" ./category"&amp;LEFT(categories!G604,6),"/","\"), "")</f>
        <v>copy .\img2\img06f3.jpg .\category\img2\</v>
      </c>
    </row>
    <row r="605" spans="1:2" x14ac:dyDescent="0.25">
      <c r="A605" t="str">
        <f>IF(LEN(categories!G605) &gt; 0, "cp ."&amp;categories!G605&amp;" ../catalog/category"&amp;LEFT(categories!G605,6)&amp;";", "")</f>
        <v>cp ./img1/img4245.jpg ../catalog/category/img1/;</v>
      </c>
      <c r="B605" t="str">
        <f>IF(LEN(categories!G605) &gt; 0, SUBSTITUTE("copy ."&amp;categories!G605&amp;" ./category"&amp;LEFT(categories!G605,6),"/","\"), "")</f>
        <v>copy .\img1\img4245.jpg .\category\img1\</v>
      </c>
    </row>
    <row r="606" spans="1:2" x14ac:dyDescent="0.25">
      <c r="A606" t="str">
        <f>IF(LEN(categories!G606) &gt; 0, "cp ."&amp;categories!G606&amp;" ../catalog/category"&amp;LEFT(categories!G606,6)&amp;";", "")</f>
        <v>cp ./img2/img7a61.jpg ../catalog/category/img2/;</v>
      </c>
      <c r="B606" t="str">
        <f>IF(LEN(categories!G606) &gt; 0, SUBSTITUTE("copy ."&amp;categories!G606&amp;" ./category"&amp;LEFT(categories!G606,6),"/","\"), "")</f>
        <v>copy .\img2\img7a61.jpg .\category\img2\</v>
      </c>
    </row>
    <row r="607" spans="1:2" x14ac:dyDescent="0.25">
      <c r="A607" t="str">
        <f>IF(LEN(categories!G607) &gt; 0, "cp ."&amp;categories!G607&amp;" ../catalog/category"&amp;LEFT(categories!G607,6)&amp;";", "")</f>
        <v>cp ./img2/imgdf17.jpg ../catalog/category/img2/;</v>
      </c>
      <c r="B607" t="str">
        <f>IF(LEN(categories!G607) &gt; 0, SUBSTITUTE("copy ."&amp;categories!G607&amp;" ./category"&amp;LEFT(categories!G607,6),"/","\"), "")</f>
        <v>copy .\img2\imgdf17.jpg .\category\img2\</v>
      </c>
    </row>
    <row r="608" spans="1:2" x14ac:dyDescent="0.25">
      <c r="A608" t="str">
        <f>IF(LEN(categories!G608) &gt; 0, "cp ."&amp;categories!G608&amp;" ../catalog/category"&amp;LEFT(categories!G608,6)&amp;";", "")</f>
        <v>cp ./img3/img1ef6.jpg ../catalog/category/img3/;</v>
      </c>
      <c r="B608" t="str">
        <f>IF(LEN(categories!G608) &gt; 0, SUBSTITUTE("copy ."&amp;categories!G608&amp;" ./category"&amp;LEFT(categories!G608,6),"/","\"), "")</f>
        <v>copy .\img3\img1ef6.jpg .\category\img3\</v>
      </c>
    </row>
    <row r="609" spans="1:2" x14ac:dyDescent="0.25">
      <c r="A609" t="str">
        <f>IF(LEN(categories!G609) &gt; 0, "cp ."&amp;categories!G609&amp;" ../catalog/category"&amp;LEFT(categories!G609,6)&amp;";", "")</f>
        <v>cp ./img2/img52c0.jpg ../catalog/category/img2/;</v>
      </c>
      <c r="B609" t="str">
        <f>IF(LEN(categories!G609) &gt; 0, SUBSTITUTE("copy ."&amp;categories!G609&amp;" ./category"&amp;LEFT(categories!G609,6),"/","\"), "")</f>
        <v>copy .\img2\img52c0.jpg .\category\img2\</v>
      </c>
    </row>
    <row r="610" spans="1:2" x14ac:dyDescent="0.25">
      <c r="A610" t="str">
        <f>IF(LEN(categories!G610) &gt; 0, "cp ."&amp;categories!G610&amp;" ../catalog/category"&amp;LEFT(categories!G610,6)&amp;";", "")</f>
        <v>cp ./img1/img4749.jpg ../catalog/category/img1/;</v>
      </c>
      <c r="B610" t="str">
        <f>IF(LEN(categories!G610) &gt; 0, SUBSTITUTE("copy ."&amp;categories!G610&amp;" ./category"&amp;LEFT(categories!G610,6),"/","\"), "")</f>
        <v>copy .\img1\img4749.jpg .\category\img1\</v>
      </c>
    </row>
    <row r="611" spans="1:2" x14ac:dyDescent="0.25">
      <c r="A611" t="str">
        <f>IF(LEN(categories!G611) &gt; 0, "cp ."&amp;categories!G611&amp;" ../catalog/category"&amp;LEFT(categories!G611,6)&amp;";", "")</f>
        <v>cp ./img1/imgffa4.jpg ../catalog/category/img1/;</v>
      </c>
      <c r="B611" t="str">
        <f>IF(LEN(categories!G611) &gt; 0, SUBSTITUTE("copy ."&amp;categories!G611&amp;" ./category"&amp;LEFT(categories!G611,6),"/","\"), "")</f>
        <v>copy .\img1\imgffa4.jpg .\category\img1\</v>
      </c>
    </row>
    <row r="612" spans="1:2" x14ac:dyDescent="0.25">
      <c r="A612" t="str">
        <f>IF(LEN(categories!G612) &gt; 0, "cp ."&amp;categories!G612&amp;" ../catalog/category"&amp;LEFT(categories!G612,6)&amp;";", "")</f>
        <v>cp ./img2/img79b5.jpg ../catalog/category/img2/;</v>
      </c>
      <c r="B612" t="str">
        <f>IF(LEN(categories!G612) &gt; 0, SUBSTITUTE("copy ."&amp;categories!G612&amp;" ./category"&amp;LEFT(categories!G612,6),"/","\"), "")</f>
        <v>copy .\img2\img79b5.jpg .\category\img2\</v>
      </c>
    </row>
    <row r="613" spans="1:2" x14ac:dyDescent="0.25">
      <c r="A613" t="str">
        <f>IF(LEN(categories!G613) &gt; 0, "cp ."&amp;categories!G613&amp;" ../catalog/category"&amp;LEFT(categories!G613,6)&amp;";", "")</f>
        <v>cp ./img1/img453d.jpg ../catalog/category/img1/;</v>
      </c>
      <c r="B613" t="str">
        <f>IF(LEN(categories!G613) &gt; 0, SUBSTITUTE("copy ."&amp;categories!G613&amp;" ./category"&amp;LEFT(categories!G613,6),"/","\"), "")</f>
        <v>copy .\img1\img453d.jpg .\category\img1\</v>
      </c>
    </row>
    <row r="614" spans="1:2" x14ac:dyDescent="0.25">
      <c r="A614" t="str">
        <f>IF(LEN(categories!G614) &gt; 0, "cp ."&amp;categories!G614&amp;" ../catalog/category"&amp;LEFT(categories!G614,6)&amp;";", "")</f>
        <v>cp ./img2/img1fb7.jpg ../catalog/category/img2/;</v>
      </c>
      <c r="B614" t="str">
        <f>IF(LEN(categories!G614) &gt; 0, SUBSTITUTE("copy ."&amp;categories!G614&amp;" ./category"&amp;LEFT(categories!G614,6),"/","\"), "")</f>
        <v>copy .\img2\img1fb7.jpg .\category\img2\</v>
      </c>
    </row>
    <row r="615" spans="1:2" x14ac:dyDescent="0.25">
      <c r="A615" t="str">
        <f>IF(LEN(categories!G615) &gt; 0, "cp ."&amp;categories!G615&amp;" ../catalog/category"&amp;LEFT(categories!G615,6)&amp;";", "")</f>
        <v>cp ./img2/img906c.jpg ../catalog/category/img2/;</v>
      </c>
      <c r="B615" t="str">
        <f>IF(LEN(categories!G615) &gt; 0, SUBSTITUTE("copy ."&amp;categories!G615&amp;" ./category"&amp;LEFT(categories!G615,6),"/","\"), "")</f>
        <v>copy .\img2\img906c.jpg .\category\img2\</v>
      </c>
    </row>
    <row r="616" spans="1:2" x14ac:dyDescent="0.25">
      <c r="A616" t="str">
        <f>IF(LEN(categories!G616) &gt; 0, "cp ."&amp;categories!G616&amp;" ../catalog/category"&amp;LEFT(categories!G616,6)&amp;";", "")</f>
        <v>cp ./img2/img1efc.jpg ../catalog/category/img2/;</v>
      </c>
      <c r="B616" t="str">
        <f>IF(LEN(categories!G616) &gt; 0, SUBSTITUTE("copy ."&amp;categories!G616&amp;" ./category"&amp;LEFT(categories!G616,6),"/","\"), "")</f>
        <v>copy .\img2\img1efc.jpg .\category\img2\</v>
      </c>
    </row>
    <row r="617" spans="1:2" x14ac:dyDescent="0.25">
      <c r="A617" t="str">
        <f>IF(LEN(categories!G617) &gt; 0, "cp ."&amp;categories!G617&amp;" ../catalog/category"&amp;LEFT(categories!G617,6)&amp;";", "")</f>
        <v>cp ./img3/img730b.jpg ../catalog/category/img3/;</v>
      </c>
      <c r="B617" t="str">
        <f>IF(LEN(categories!G617) &gt; 0, SUBSTITUTE("copy ."&amp;categories!G617&amp;" ./category"&amp;LEFT(categories!G617,6),"/","\"), "")</f>
        <v>copy .\img3\img730b.jpg .\category\img3\</v>
      </c>
    </row>
    <row r="618" spans="1:2" x14ac:dyDescent="0.25">
      <c r="A618" t="str">
        <f>IF(LEN(categories!G618) &gt; 0, "cp ."&amp;categories!G618&amp;" ../catalog/category"&amp;LEFT(categories!G618,6)&amp;";", "")</f>
        <v>cp ./img1/img1f69.jpg ../catalog/category/img1/;</v>
      </c>
      <c r="B618" t="str">
        <f>IF(LEN(categories!G618) &gt; 0, SUBSTITUTE("copy ."&amp;categories!G618&amp;" ./category"&amp;LEFT(categories!G618,6),"/","\"), "")</f>
        <v>copy .\img1\img1f69.jpg .\category\img1\</v>
      </c>
    </row>
    <row r="619" spans="1:2" x14ac:dyDescent="0.25">
      <c r="A619" t="str">
        <f>IF(LEN(categories!G619) &gt; 0, "cp ."&amp;categories!G619&amp;" ../catalog/category"&amp;LEFT(categories!G619,6)&amp;";", "")</f>
        <v>cp ./img1/img408b.jpg ../catalog/category/img1/;</v>
      </c>
      <c r="B619" t="str">
        <f>IF(LEN(categories!G619) &gt; 0, SUBSTITUTE("copy ."&amp;categories!G619&amp;" ./category"&amp;LEFT(categories!G619,6),"/","\"), "")</f>
        <v>copy .\img1\img408b.jpg .\category\img1\</v>
      </c>
    </row>
    <row r="620" spans="1:2" x14ac:dyDescent="0.25">
      <c r="A620" t="str">
        <f>IF(LEN(categories!G620) &gt; 0, "cp ."&amp;categories!G620&amp;" ../catalog/category"&amp;LEFT(categories!G620,6)&amp;";", "")</f>
        <v>cp ./img2/imgb4a0.jpg ../catalog/category/img2/;</v>
      </c>
      <c r="B620" t="str">
        <f>IF(LEN(categories!G620) &gt; 0, SUBSTITUTE("copy ."&amp;categories!G620&amp;" ./category"&amp;LEFT(categories!G620,6),"/","\"), "")</f>
        <v>copy .\img2\imgb4a0.jpg .\category\img2\</v>
      </c>
    </row>
    <row r="621" spans="1:2" x14ac:dyDescent="0.25">
      <c r="A621" t="str">
        <f>IF(LEN(categories!G621) &gt; 0, "cp ."&amp;categories!G621&amp;" ../catalog/category"&amp;LEFT(categories!G621,6)&amp;";", "")</f>
        <v>cp ./img3/img0020.jpg ../catalog/category/img3/;</v>
      </c>
      <c r="B621" t="str">
        <f>IF(LEN(categories!G621) &gt; 0, SUBSTITUTE("copy ."&amp;categories!G621&amp;" ./category"&amp;LEFT(categories!G621,6),"/","\"), "")</f>
        <v>copy .\img3\img0020.jpg .\category\img3\</v>
      </c>
    </row>
    <row r="622" spans="1:2" x14ac:dyDescent="0.25">
      <c r="A622" t="str">
        <f>IF(LEN(categories!G622) &gt; 0, "cp ."&amp;categories!G622&amp;" ../catalog/category"&amp;LEFT(categories!G622,6)&amp;";", "")</f>
        <v>cp ./img1/img84e3.jpg ../catalog/category/img1/;</v>
      </c>
      <c r="B622" t="str">
        <f>IF(LEN(categories!G622) &gt; 0, SUBSTITUTE("copy ."&amp;categories!G622&amp;" ./category"&amp;LEFT(categories!G622,6),"/","\"), "")</f>
        <v>copy .\img1\img84e3.jpg .\category\img1\</v>
      </c>
    </row>
    <row r="623" spans="1:2" x14ac:dyDescent="0.25">
      <c r="A623" t="str">
        <f>IF(LEN(categories!G623) &gt; 0, "cp ."&amp;categories!G623&amp;" ../catalog/category"&amp;LEFT(categories!G623,6)&amp;";", "")</f>
        <v>cp ./img2/img5a93.jpg ../catalog/category/img2/;</v>
      </c>
      <c r="B623" t="str">
        <f>IF(LEN(categories!G623) &gt; 0, SUBSTITUTE("copy ."&amp;categories!G623&amp;" ./category"&amp;LEFT(categories!G623,6),"/","\"), "")</f>
        <v>copy .\img2\img5a93.jpg .\category\img2\</v>
      </c>
    </row>
    <row r="624" spans="1:2" x14ac:dyDescent="0.25">
      <c r="A624" t="str">
        <f>IF(LEN(categories!G624) &gt; 0, "cp ."&amp;categories!G624&amp;" ../catalog/category"&amp;LEFT(categories!G624,6)&amp;";", "")</f>
        <v>cp ./img2/imgc203.jpg ../catalog/category/img2/;</v>
      </c>
      <c r="B624" t="str">
        <f>IF(LEN(categories!G624) &gt; 0, SUBSTITUTE("copy ."&amp;categories!G624&amp;" ./category"&amp;LEFT(categories!G624,6),"/","\"), "")</f>
        <v>copy .\img2\imgc203.jpg .\category\img2\</v>
      </c>
    </row>
    <row r="625" spans="1:2" x14ac:dyDescent="0.25">
      <c r="A625" t="str">
        <f>IF(LEN(categories!G625) &gt; 0, "cp ."&amp;categories!G625&amp;" ../catalog/category"&amp;LEFT(categories!G625,6)&amp;";", "")</f>
        <v>cp ./img2/imgf4d8.jpg ../catalog/category/img2/;</v>
      </c>
      <c r="B625" t="str">
        <f>IF(LEN(categories!G625) &gt; 0, SUBSTITUTE("copy ."&amp;categories!G625&amp;" ./category"&amp;LEFT(categories!G625,6),"/","\"), "")</f>
        <v>copy .\img2\imgf4d8.jpg .\category\img2\</v>
      </c>
    </row>
    <row r="626" spans="1:2" x14ac:dyDescent="0.25">
      <c r="A626" t="str">
        <f>IF(LEN(categories!G626) &gt; 0, "cp ."&amp;categories!G626&amp;" ../catalog/category"&amp;LEFT(categories!G626,6)&amp;";", "")</f>
        <v>cp ./img3/img3d40.jpg ../catalog/category/img3/;</v>
      </c>
      <c r="B626" t="str">
        <f>IF(LEN(categories!G626) &gt; 0, SUBSTITUTE("copy ."&amp;categories!G626&amp;" ./category"&amp;LEFT(categories!G626,6),"/","\"), "")</f>
        <v>copy .\img3\img3d40.jpg .\category\img3\</v>
      </c>
    </row>
    <row r="627" spans="1:2" x14ac:dyDescent="0.25">
      <c r="A627" t="str">
        <f>IF(LEN(categories!G627) &gt; 0, "cp ."&amp;categories!G627&amp;" ../catalog/category"&amp;LEFT(categories!G627,6)&amp;";", "")</f>
        <v>cp ./img3/imgace2.jpg ../catalog/category/img3/;</v>
      </c>
      <c r="B627" t="str">
        <f>IF(LEN(categories!G627) &gt; 0, SUBSTITUTE("copy ."&amp;categories!G627&amp;" ./category"&amp;LEFT(categories!G627,6),"/","\"), "")</f>
        <v>copy .\img3\imgace2.jpg .\category\img3\</v>
      </c>
    </row>
    <row r="628" spans="1:2" x14ac:dyDescent="0.25">
      <c r="A628" t="str">
        <f>IF(LEN(categories!G628) &gt; 0, "cp ."&amp;categories!G628&amp;" ../catalog/category"&amp;LEFT(categories!G628,6)&amp;";", "")</f>
        <v>cp ./img2/img6c29.jpg ../catalog/category/img2/;</v>
      </c>
      <c r="B628" t="str">
        <f>IF(LEN(categories!G628) &gt; 0, SUBSTITUTE("copy ."&amp;categories!G628&amp;" ./category"&amp;LEFT(categories!G628,6),"/","\"), "")</f>
        <v>copy .\img2\img6c29.jpg .\category\img2\</v>
      </c>
    </row>
    <row r="629" spans="1:2" x14ac:dyDescent="0.25">
      <c r="A629" t="str">
        <f>IF(LEN(categories!G629) &gt; 0, "cp ."&amp;categories!G629&amp;" ../catalog/category"&amp;LEFT(categories!G629,6)&amp;";", "")</f>
        <v>cp ./img2/img2e8d.jpg ../catalog/category/img2/;</v>
      </c>
      <c r="B629" t="str">
        <f>IF(LEN(categories!G629) &gt; 0, SUBSTITUTE("copy ."&amp;categories!G629&amp;" ./category"&amp;LEFT(categories!G629,6),"/","\"), "")</f>
        <v>copy .\img2\img2e8d.jpg .\category\img2\</v>
      </c>
    </row>
    <row r="630" spans="1:2" x14ac:dyDescent="0.25">
      <c r="A630" t="str">
        <f>IF(LEN(categories!G630) &gt; 0, "cp ."&amp;categories!G630&amp;" ../catalog/category"&amp;LEFT(categories!G630,6)&amp;";", "")</f>
        <v>cp ./img3/img4ebf.jpg ../catalog/category/img3/;</v>
      </c>
      <c r="B630" t="str">
        <f>IF(LEN(categories!G630) &gt; 0, SUBSTITUTE("copy ."&amp;categories!G630&amp;" ./category"&amp;LEFT(categories!G630,6),"/","\"), "")</f>
        <v>copy .\img3\img4ebf.jpg .\category\img3\</v>
      </c>
    </row>
    <row r="631" spans="1:2" x14ac:dyDescent="0.25">
      <c r="A631" t="str">
        <f>IF(LEN(categories!G631) &gt; 0, "cp ."&amp;categories!G631&amp;" ../catalog/category"&amp;LEFT(categories!G631,6)&amp;";", "")</f>
        <v>cp ./img1/img8268.jpg ../catalog/category/img1/;</v>
      </c>
      <c r="B631" t="str">
        <f>IF(LEN(categories!G631) &gt; 0, SUBSTITUTE("copy ."&amp;categories!G631&amp;" ./category"&amp;LEFT(categories!G631,6),"/","\"), "")</f>
        <v>copy .\img1\img8268.jpg .\category\img1\</v>
      </c>
    </row>
    <row r="632" spans="1:2" x14ac:dyDescent="0.25">
      <c r="A632" t="str">
        <f>IF(LEN(categories!G632) &gt; 0, "cp ."&amp;categories!G632&amp;" ../catalog/category"&amp;LEFT(categories!G632,6)&amp;";", "")</f>
        <v>cp ./img3/img1c75.jpg ../catalog/category/img3/;</v>
      </c>
      <c r="B632" t="str">
        <f>IF(LEN(categories!G632) &gt; 0, SUBSTITUTE("copy ."&amp;categories!G632&amp;" ./category"&amp;LEFT(categories!G632,6),"/","\"), "")</f>
        <v>copy .\img3\img1c75.jpg .\category\img3\</v>
      </c>
    </row>
    <row r="633" spans="1:2" x14ac:dyDescent="0.25">
      <c r="A633" t="str">
        <f>IF(LEN(categories!G633) &gt; 0, "cp ."&amp;categories!G633&amp;" ../catalog/category"&amp;LEFT(categories!G633,6)&amp;";", "")</f>
        <v>cp ./img2/img2020.jpg ../catalog/category/img2/;</v>
      </c>
      <c r="B633" t="str">
        <f>IF(LEN(categories!G633) &gt; 0, SUBSTITUTE("copy ."&amp;categories!G633&amp;" ./category"&amp;LEFT(categories!G633,6),"/","\"), "")</f>
        <v>copy .\img2\img2020.jpg .\category\img2\</v>
      </c>
    </row>
    <row r="634" spans="1:2" x14ac:dyDescent="0.25">
      <c r="A634" t="str">
        <f>IF(LEN(categories!G634) &gt; 0, "cp ."&amp;categories!G634&amp;" ../catalog/category"&amp;LEFT(categories!G634,6)&amp;";", "")</f>
        <v>cp ./img3/img36ff.jpg ../catalog/category/img3/;</v>
      </c>
      <c r="B634" t="str">
        <f>IF(LEN(categories!G634) &gt; 0, SUBSTITUTE("copy ."&amp;categories!G634&amp;" ./category"&amp;LEFT(categories!G634,6),"/","\"), "")</f>
        <v>copy .\img3\img36ff.jpg .\category\img3\</v>
      </c>
    </row>
    <row r="635" spans="1:2" x14ac:dyDescent="0.25">
      <c r="A635" t="str">
        <f>IF(LEN(categories!G635) &gt; 0, "cp ."&amp;categories!G635&amp;" ../catalog/category"&amp;LEFT(categories!G635,6)&amp;";", "")</f>
        <v>cp ./img3/img98cd.jpg ../catalog/category/img3/;</v>
      </c>
      <c r="B635" t="str">
        <f>IF(LEN(categories!G635) &gt; 0, SUBSTITUTE("copy ."&amp;categories!G635&amp;" ./category"&amp;LEFT(categories!G635,6),"/","\"), "")</f>
        <v>copy .\img3\img98cd.jpg .\category\img3\</v>
      </c>
    </row>
    <row r="636" spans="1:2" x14ac:dyDescent="0.25">
      <c r="A636" t="str">
        <f>IF(LEN(categories!G636) &gt; 0, "cp ."&amp;categories!G636&amp;" ../catalog/category"&amp;LEFT(categories!G636,6)&amp;";", "")</f>
        <v>cp ./img1/img6e55.jpg ../catalog/category/img1/;</v>
      </c>
      <c r="B636" t="str">
        <f>IF(LEN(categories!G636) &gt; 0, SUBSTITUTE("copy ."&amp;categories!G636&amp;" ./category"&amp;LEFT(categories!G636,6),"/","\"), "")</f>
        <v>copy .\img1\img6e55.jpg .\category\img1\</v>
      </c>
    </row>
    <row r="637" spans="1:2" x14ac:dyDescent="0.25">
      <c r="A637" t="str">
        <f>IF(LEN(categories!G637) &gt; 0, "cp ."&amp;categories!G637&amp;" ../catalog/category"&amp;LEFT(categories!G637,6)&amp;";", "")</f>
        <v>cp ./img3/imgc86c.jpg ../catalog/category/img3/;</v>
      </c>
      <c r="B637" t="str">
        <f>IF(LEN(categories!G637) &gt; 0, SUBSTITUTE("copy ."&amp;categories!G637&amp;" ./category"&amp;LEFT(categories!G637,6),"/","\"), "")</f>
        <v>copy .\img3\imgc86c.jpg .\category\img3\</v>
      </c>
    </row>
    <row r="638" spans="1:2" x14ac:dyDescent="0.25">
      <c r="A638" t="str">
        <f>IF(LEN(categories!G638) &gt; 0, "cp ."&amp;categories!G638&amp;" ../catalog/category"&amp;LEFT(categories!G638,6)&amp;";", "")</f>
        <v>cp ./img2/imgb690.jpg ../catalog/category/img2/;</v>
      </c>
      <c r="B638" t="str">
        <f>IF(LEN(categories!G638) &gt; 0, SUBSTITUTE("copy ."&amp;categories!G638&amp;" ./category"&amp;LEFT(categories!G638,6),"/","\"), "")</f>
        <v>copy .\img2\imgb690.jpg .\category\img2\</v>
      </c>
    </row>
    <row r="639" spans="1:2" x14ac:dyDescent="0.25">
      <c r="A639" t="str">
        <f>IF(LEN(categories!G639) &gt; 0, "cp ."&amp;categories!G639&amp;" ../catalog/category"&amp;LEFT(categories!G639,6)&amp;";", "")</f>
        <v>cp ./img2/img08f4.jpg ../catalog/category/img2/;</v>
      </c>
      <c r="B639" t="str">
        <f>IF(LEN(categories!G639) &gt; 0, SUBSTITUTE("copy ."&amp;categories!G639&amp;" ./category"&amp;LEFT(categories!G639,6),"/","\"), "")</f>
        <v>copy .\img2\img08f4.jpg .\category\img2\</v>
      </c>
    </row>
    <row r="640" spans="1:2" x14ac:dyDescent="0.25">
      <c r="A640" t="str">
        <f>IF(LEN(categories!G640) &gt; 0, "cp ."&amp;categories!G640&amp;" ../catalog/category"&amp;LEFT(categories!G640,6)&amp;";", "")</f>
        <v>cp ./img2/img6f16.jpg ../catalog/category/img2/;</v>
      </c>
      <c r="B640" t="str">
        <f>IF(LEN(categories!G640) &gt; 0, SUBSTITUTE("copy ."&amp;categories!G640&amp;" ./category"&amp;LEFT(categories!G640,6),"/","\"), "")</f>
        <v>copy .\img2\img6f16.jpg .\category\img2\</v>
      </c>
    </row>
    <row r="641" spans="1:2" x14ac:dyDescent="0.25">
      <c r="A641" t="str">
        <f>IF(LEN(categories!G641) &gt; 0, "cp ."&amp;categories!G641&amp;" ../catalog/category"&amp;LEFT(categories!G641,6)&amp;";", "")</f>
        <v>cp ./img1/img8eac.jpg ../catalog/category/img1/;</v>
      </c>
      <c r="B641" t="str">
        <f>IF(LEN(categories!G641) &gt; 0, SUBSTITUTE("copy ."&amp;categories!G641&amp;" ./category"&amp;LEFT(categories!G641,6),"/","\"), "")</f>
        <v>copy .\img1\img8eac.jpg .\category\img1\</v>
      </c>
    </row>
    <row r="642" spans="1:2" x14ac:dyDescent="0.25">
      <c r="A642" t="str">
        <f>IF(LEN(categories!G642) &gt; 0, "cp ."&amp;categories!G642&amp;" ../catalog/category"&amp;LEFT(categories!G642,6)&amp;";", "")</f>
        <v>cp ./img1/img1f1e.jpg ../catalog/category/img1/;</v>
      </c>
      <c r="B642" t="str">
        <f>IF(LEN(categories!G642) &gt; 0, SUBSTITUTE("copy ."&amp;categories!G642&amp;" ./category"&amp;LEFT(categories!G642,6),"/","\"), "")</f>
        <v>copy .\img1\img1f1e.jpg .\category\img1\</v>
      </c>
    </row>
    <row r="643" spans="1:2" x14ac:dyDescent="0.25">
      <c r="A643" t="str">
        <f>IF(LEN(categories!G643) &gt; 0, "cp ."&amp;categories!G643&amp;" ../catalog/category"&amp;LEFT(categories!G643,6)&amp;";", "")</f>
        <v>cp ./img1/imga6ab.jpg ../catalog/category/img1/;</v>
      </c>
      <c r="B643" t="str">
        <f>IF(LEN(categories!G643) &gt; 0, SUBSTITUTE("copy ."&amp;categories!G643&amp;" ./category"&amp;LEFT(categories!G643,6),"/","\"), "")</f>
        <v>copy .\img1\imga6ab.jpg .\category\img1\</v>
      </c>
    </row>
    <row r="644" spans="1:2" x14ac:dyDescent="0.25">
      <c r="A644" t="str">
        <f>IF(LEN(categories!G644) &gt; 0, "cp ."&amp;categories!G644&amp;" ../catalog/category"&amp;LEFT(categories!G644,6)&amp;";", "")</f>
        <v>cp ./img1/img80c5.jpg ../catalog/category/img1/;</v>
      </c>
      <c r="B644" t="str">
        <f>IF(LEN(categories!G644) &gt; 0, SUBSTITUTE("copy ."&amp;categories!G644&amp;" ./category"&amp;LEFT(categories!G644,6),"/","\"), "")</f>
        <v>copy .\img1\img80c5.jpg .\category\img1\</v>
      </c>
    </row>
    <row r="645" spans="1:2" x14ac:dyDescent="0.25">
      <c r="A645" t="str">
        <f>IF(LEN(categories!G645) &gt; 0, "cp ."&amp;categories!G645&amp;" ../catalog/category"&amp;LEFT(categories!G645,6)&amp;";", "")</f>
        <v>cp ./img2/img49e1.jpg ../catalog/category/img2/;</v>
      </c>
      <c r="B645" t="str">
        <f>IF(LEN(categories!G645) &gt; 0, SUBSTITUTE("copy ."&amp;categories!G645&amp;" ./category"&amp;LEFT(categories!G645,6),"/","\"), "")</f>
        <v>copy .\img2\img49e1.jpg .\category\img2\</v>
      </c>
    </row>
    <row r="646" spans="1:2" x14ac:dyDescent="0.25">
      <c r="A646" t="str">
        <f>IF(LEN(categories!G646) &gt; 0, "cp ."&amp;categories!G646&amp;" ../catalog/category"&amp;LEFT(categories!G646,6)&amp;";", "")</f>
        <v>cp ./img3/img2b4d.jpg ../catalog/category/img3/;</v>
      </c>
      <c r="B646" t="str">
        <f>IF(LEN(categories!G646) &gt; 0, SUBSTITUTE("copy ."&amp;categories!G646&amp;" ./category"&amp;LEFT(categories!G646,6),"/","\"), "")</f>
        <v>copy .\img3\img2b4d.jpg .\category\img3\</v>
      </c>
    </row>
    <row r="647" spans="1:2" x14ac:dyDescent="0.25">
      <c r="A647" t="str">
        <f>IF(LEN(categories!G647) &gt; 0, "cp ."&amp;categories!G647&amp;" ../catalog/category"&amp;LEFT(categories!G647,6)&amp;";", "")</f>
        <v>cp ./img1/imgad0b.jpg ../catalog/category/img1/;</v>
      </c>
      <c r="B647" t="str">
        <f>IF(LEN(categories!G647) &gt; 0, SUBSTITUTE("copy ."&amp;categories!G647&amp;" ./category"&amp;LEFT(categories!G647,6),"/","\"), "")</f>
        <v>copy .\img1\imgad0b.jpg .\category\img1\</v>
      </c>
    </row>
    <row r="648" spans="1:2" x14ac:dyDescent="0.25">
      <c r="A648" t="str">
        <f>IF(LEN(categories!G648) &gt; 0, "cp ."&amp;categories!G648&amp;" ../catalog/category"&amp;LEFT(categories!G648,6)&amp;";", "")</f>
        <v>cp ./img2/img01c3.jpg ../catalog/category/img2/;</v>
      </c>
      <c r="B648" t="str">
        <f>IF(LEN(categories!G648) &gt; 0, SUBSTITUTE("copy ."&amp;categories!G648&amp;" ./category"&amp;LEFT(categories!G648,6),"/","\"), "")</f>
        <v>copy .\img2\img01c3.jpg .\category\img2\</v>
      </c>
    </row>
    <row r="649" spans="1:2" x14ac:dyDescent="0.25">
      <c r="A649" t="str">
        <f>IF(LEN(categories!G649) &gt; 0, "cp ."&amp;categories!G649&amp;" ../catalog/category"&amp;LEFT(categories!G649,6)&amp;";", "")</f>
        <v>cp ./img3/imge5a9.jpg ../catalog/category/img3/;</v>
      </c>
      <c r="B649" t="str">
        <f>IF(LEN(categories!G649) &gt; 0, SUBSTITUTE("copy ."&amp;categories!G649&amp;" ./category"&amp;LEFT(categories!G649,6),"/","\"), "")</f>
        <v>copy .\img3\imge5a9.jpg .\category\img3\</v>
      </c>
    </row>
    <row r="650" spans="1:2" x14ac:dyDescent="0.25">
      <c r="A650" t="str">
        <f>IF(LEN(categories!G650) &gt; 0, "cp ."&amp;categories!G650&amp;" ../catalog/category"&amp;LEFT(categories!G650,6)&amp;";", "")</f>
        <v>cp ./img2/imgc329.jpg ../catalog/category/img2/;</v>
      </c>
      <c r="B650" t="str">
        <f>IF(LEN(categories!G650) &gt; 0, SUBSTITUTE("copy ."&amp;categories!G650&amp;" ./category"&amp;LEFT(categories!G650,6),"/","\"), "")</f>
        <v>copy .\img2\imgc329.jpg .\category\img2\</v>
      </c>
    </row>
    <row r="651" spans="1:2" x14ac:dyDescent="0.25">
      <c r="A651" t="str">
        <f>IF(LEN(categories!G651) &gt; 0, "cp ."&amp;categories!G651&amp;" ../catalog/category"&amp;LEFT(categories!G651,6)&amp;";", "")</f>
        <v>cp ./img1/img5884.jpg ../catalog/category/img1/;</v>
      </c>
      <c r="B651" t="str">
        <f>IF(LEN(categories!G651) &gt; 0, SUBSTITUTE("copy ."&amp;categories!G651&amp;" ./category"&amp;LEFT(categories!G651,6),"/","\"), "")</f>
        <v>copy .\img1\img5884.jpg .\category\img1\</v>
      </c>
    </row>
    <row r="652" spans="1:2" x14ac:dyDescent="0.25">
      <c r="A652" t="str">
        <f>IF(LEN(categories!G652) &gt; 0, "cp ."&amp;categories!G652&amp;" ../catalog/category"&amp;LEFT(categories!G652,6)&amp;";", "")</f>
        <v>cp ./img1/imgebad.jpg ../catalog/category/img1/;</v>
      </c>
      <c r="B652" t="str">
        <f>IF(LEN(categories!G652) &gt; 0, SUBSTITUTE("copy ."&amp;categories!G652&amp;" ./category"&amp;LEFT(categories!G652,6),"/","\"), "")</f>
        <v>copy .\img1\imgebad.jpg .\category\img1\</v>
      </c>
    </row>
    <row r="653" spans="1:2" x14ac:dyDescent="0.25">
      <c r="A653" t="str">
        <f>IF(LEN(categories!G653) &gt; 0, "cp ."&amp;categories!G653&amp;" ../catalog/category"&amp;LEFT(categories!G653,6)&amp;";", "")</f>
        <v>cp ./img2/img6bfa.jpg ../catalog/category/img2/;</v>
      </c>
      <c r="B653" t="str">
        <f>IF(LEN(categories!G653) &gt; 0, SUBSTITUTE("copy ."&amp;categories!G653&amp;" ./category"&amp;LEFT(categories!G653,6),"/","\"), "")</f>
        <v>copy .\img2\img6bfa.jpg .\category\img2\</v>
      </c>
    </row>
    <row r="654" spans="1:2" x14ac:dyDescent="0.25">
      <c r="A654" t="str">
        <f>IF(LEN(categories!G654) &gt; 0, "cp ."&amp;categories!G654&amp;" ../catalog/category"&amp;LEFT(categories!G654,6)&amp;";", "")</f>
        <v>cp ./img3/imga641.jpg ../catalog/category/img3/;</v>
      </c>
      <c r="B654" t="str">
        <f>IF(LEN(categories!G654) &gt; 0, SUBSTITUTE("copy ."&amp;categories!G654&amp;" ./category"&amp;LEFT(categories!G654,6),"/","\"), "")</f>
        <v>copy .\img3\imga641.jpg .\category\img3\</v>
      </c>
    </row>
    <row r="655" spans="1:2" x14ac:dyDescent="0.25">
      <c r="A655" t="str">
        <f>IF(LEN(categories!G655) &gt; 0, "cp ."&amp;categories!G655&amp;" ../catalog/category"&amp;LEFT(categories!G655,6)&amp;";", "")</f>
        <v>cp ./img1/img8969.jpg ../catalog/category/img1/;</v>
      </c>
      <c r="B655" t="str">
        <f>IF(LEN(categories!G655) &gt; 0, SUBSTITUTE("copy ."&amp;categories!G655&amp;" ./category"&amp;LEFT(categories!G655,6),"/","\"), "")</f>
        <v>copy .\img1\img8969.jpg .\category\img1\</v>
      </c>
    </row>
    <row r="656" spans="1:2" x14ac:dyDescent="0.25">
      <c r="A656" t="str">
        <f>IF(LEN(categories!G656) &gt; 0, "cp ."&amp;categories!G656&amp;" ../catalog/category"&amp;LEFT(categories!G656,6)&amp;";", "")</f>
        <v>cp ./img3/img2724.jpg ../catalog/category/img3/;</v>
      </c>
      <c r="B656" t="str">
        <f>IF(LEN(categories!G656) &gt; 0, SUBSTITUTE("copy ."&amp;categories!G656&amp;" ./category"&amp;LEFT(categories!G656,6),"/","\"), "")</f>
        <v>copy .\img3\img2724.jpg .\category\img3\</v>
      </c>
    </row>
    <row r="657" spans="1:2" x14ac:dyDescent="0.25">
      <c r="A657" t="str">
        <f>IF(LEN(categories!G657) &gt; 0, "cp ."&amp;categories!G657&amp;" ../catalog/category"&amp;LEFT(categories!G657,6)&amp;";", "")</f>
        <v>cp ./img3/img0a4d.jpg ../catalog/category/img3/;</v>
      </c>
      <c r="B657" t="str">
        <f>IF(LEN(categories!G657) &gt; 0, SUBSTITUTE("copy ."&amp;categories!G657&amp;" ./category"&amp;LEFT(categories!G657,6),"/","\"), "")</f>
        <v>copy .\img3\img0a4d.jpg .\category\img3\</v>
      </c>
    </row>
    <row r="658" spans="1:2" x14ac:dyDescent="0.25">
      <c r="A658" t="str">
        <f>IF(LEN(categories!G658) &gt; 0, "cp ."&amp;categories!G658&amp;" ../catalog/category"&amp;LEFT(categories!G658,6)&amp;";", "")</f>
        <v>cp ./img1/img12db.jpg ../catalog/category/img1/;</v>
      </c>
      <c r="B658" t="str">
        <f>IF(LEN(categories!G658) &gt; 0, SUBSTITUTE("copy ."&amp;categories!G658&amp;" ./category"&amp;LEFT(categories!G658,6),"/","\"), "")</f>
        <v>copy .\img1\img12db.jpg .\category\img1\</v>
      </c>
    </row>
    <row r="659" spans="1:2" x14ac:dyDescent="0.25">
      <c r="A659" t="str">
        <f>IF(LEN(categories!G659) &gt; 0, "cp ."&amp;categories!G659&amp;" ../catalog/category"&amp;LEFT(categories!G659,6)&amp;";", "")</f>
        <v>cp ./img1/imgeb61.jpg ../catalog/category/img1/;</v>
      </c>
      <c r="B659" t="str">
        <f>IF(LEN(categories!G659) &gt; 0, SUBSTITUTE("copy ."&amp;categories!G659&amp;" ./category"&amp;LEFT(categories!G659,6),"/","\"), "")</f>
        <v>copy .\img1\imgeb61.jpg .\category\img1\</v>
      </c>
    </row>
    <row r="660" spans="1:2" x14ac:dyDescent="0.25">
      <c r="A660" t="str">
        <f>IF(LEN(categories!G660) &gt; 0, "cp ."&amp;categories!G660&amp;" ../catalog/category"&amp;LEFT(categories!G660,6)&amp;";", "")</f>
        <v>cp ./img3/img0bfa.jpg ../catalog/category/img3/;</v>
      </c>
      <c r="B660" t="str">
        <f>IF(LEN(categories!G660) &gt; 0, SUBSTITUTE("copy ."&amp;categories!G660&amp;" ./category"&amp;LEFT(categories!G660,6),"/","\"), "")</f>
        <v>copy .\img3\img0bfa.jpg .\category\img3\</v>
      </c>
    </row>
    <row r="661" spans="1:2" x14ac:dyDescent="0.25">
      <c r="A661" t="str">
        <f>IF(LEN(categories!G661) &gt; 0, "cp ."&amp;categories!G661&amp;" ../catalog/category"&amp;LEFT(categories!G661,6)&amp;";", "")</f>
        <v>cp ./img1/img6406.jpg ../catalog/category/img1/;</v>
      </c>
      <c r="B661" t="str">
        <f>IF(LEN(categories!G661) &gt; 0, SUBSTITUTE("copy ."&amp;categories!G661&amp;" ./category"&amp;LEFT(categories!G661,6),"/","\"), "")</f>
        <v>copy .\img1\img6406.jpg .\category\img1\</v>
      </c>
    </row>
    <row r="662" spans="1:2" x14ac:dyDescent="0.25">
      <c r="A662" t="str">
        <f>IF(LEN(categories!G662) &gt; 0, "cp ."&amp;categories!G662&amp;" ../catalog/category"&amp;LEFT(categories!G662,6)&amp;";", "")</f>
        <v>cp ./img2/img2f43.jpg ../catalog/category/img2/;</v>
      </c>
      <c r="B662" t="str">
        <f>IF(LEN(categories!G662) &gt; 0, SUBSTITUTE("copy ."&amp;categories!G662&amp;" ./category"&amp;LEFT(categories!G662,6),"/","\"), "")</f>
        <v>copy .\img2\img2f43.jpg .\category\img2\</v>
      </c>
    </row>
    <row r="663" spans="1:2" x14ac:dyDescent="0.25">
      <c r="A663" t="str">
        <f>IF(LEN(categories!G663) &gt; 0, "cp ."&amp;categories!G663&amp;" ../catalog/category"&amp;LEFT(categories!G663,6)&amp;";", "")</f>
        <v>cp ./img3/img1fcd.jpg ../catalog/category/img3/;</v>
      </c>
      <c r="B663" t="str">
        <f>IF(LEN(categories!G663) &gt; 0, SUBSTITUTE("copy ."&amp;categories!G663&amp;" ./category"&amp;LEFT(categories!G663,6),"/","\"), "")</f>
        <v>copy .\img3\img1fcd.jpg .\category\img3\</v>
      </c>
    </row>
    <row r="664" spans="1:2" x14ac:dyDescent="0.25">
      <c r="A664" t="str">
        <f>IF(LEN(categories!G664) &gt; 0, "cp ."&amp;categories!G664&amp;" ../catalog/category"&amp;LEFT(categories!G664,6)&amp;";", "")</f>
        <v>cp ./img3/img27a1.jpg ../catalog/category/img3/;</v>
      </c>
      <c r="B664" t="str">
        <f>IF(LEN(categories!G664) &gt; 0, SUBSTITUTE("copy ."&amp;categories!G664&amp;" ./category"&amp;LEFT(categories!G664,6),"/","\"), "")</f>
        <v>copy .\img3\img27a1.jpg .\category\img3\</v>
      </c>
    </row>
    <row r="665" spans="1:2" x14ac:dyDescent="0.25">
      <c r="A665" t="str">
        <f>IF(LEN(categories!G665) &gt; 0, "cp ."&amp;categories!G665&amp;" ../catalog/category"&amp;LEFT(categories!G665,6)&amp;";", "")</f>
        <v>cp ./img2/img1688.jpg ../catalog/category/img2/;</v>
      </c>
      <c r="B665" t="str">
        <f>IF(LEN(categories!G665) &gt; 0, SUBSTITUTE("copy ."&amp;categories!G665&amp;" ./category"&amp;LEFT(categories!G665,6),"/","\"), "")</f>
        <v>copy .\img2\img1688.jpg .\category\img2\</v>
      </c>
    </row>
    <row r="666" spans="1:2" x14ac:dyDescent="0.25">
      <c r="A666" t="str">
        <f>IF(LEN(categories!G666) &gt; 0, "cp ."&amp;categories!G666&amp;" ../catalog/category"&amp;LEFT(categories!G666,6)&amp;";", "")</f>
        <v>cp ./img1/imgabdf.jpg ../catalog/category/img1/;</v>
      </c>
      <c r="B666" t="str">
        <f>IF(LEN(categories!G666) &gt; 0, SUBSTITUTE("copy ."&amp;categories!G666&amp;" ./category"&amp;LEFT(categories!G666,6),"/","\"), "")</f>
        <v>copy .\img1\imgabdf.jpg .\category\img1\</v>
      </c>
    </row>
    <row r="667" spans="1:2" x14ac:dyDescent="0.25">
      <c r="A667" t="str">
        <f>IF(LEN(categories!G667) &gt; 0, "cp ."&amp;categories!G667&amp;" ../catalog/category"&amp;LEFT(categories!G667,6)&amp;";", "")</f>
        <v>cp ./img2/img03a3.jpg ../catalog/category/img2/;</v>
      </c>
      <c r="B667" t="str">
        <f>IF(LEN(categories!G667) &gt; 0, SUBSTITUTE("copy ."&amp;categories!G667&amp;" ./category"&amp;LEFT(categories!G667,6),"/","\"), "")</f>
        <v>copy .\img2\img03a3.jpg .\category\img2\</v>
      </c>
    </row>
    <row r="668" spans="1:2" x14ac:dyDescent="0.25">
      <c r="A668" t="str">
        <f>IF(LEN(categories!G668) &gt; 0, "cp ."&amp;categories!G668&amp;" ../catalog/category"&amp;LEFT(categories!G668,6)&amp;";", "")</f>
        <v>cp ./img3/img5d1c.jpg ../catalog/category/img3/;</v>
      </c>
      <c r="B668" t="str">
        <f>IF(LEN(categories!G668) &gt; 0, SUBSTITUTE("copy ."&amp;categories!G668&amp;" ./category"&amp;LEFT(categories!G668,6),"/","\"), "")</f>
        <v>copy .\img3\img5d1c.jpg .\category\img3\</v>
      </c>
    </row>
    <row r="669" spans="1:2" x14ac:dyDescent="0.25">
      <c r="A669" t="str">
        <f>IF(LEN(categories!G669) &gt; 0, "cp ."&amp;categories!G669&amp;" ../catalog/category"&amp;LEFT(categories!G669,6)&amp;";", "")</f>
        <v>cp ./img2/img3200.jpg ../catalog/category/img2/;</v>
      </c>
      <c r="B669" t="str">
        <f>IF(LEN(categories!G669) &gt; 0, SUBSTITUTE("copy ."&amp;categories!G669&amp;" ./category"&amp;LEFT(categories!G669,6),"/","\"), "")</f>
        <v>copy .\img2\img3200.jpg .\category\img2\</v>
      </c>
    </row>
    <row r="670" spans="1:2" x14ac:dyDescent="0.25">
      <c r="A670" t="str">
        <f>IF(LEN(categories!G670) &gt; 0, "cp ."&amp;categories!G670&amp;" ../catalog/category"&amp;LEFT(categories!G670,6)&amp;";", "")</f>
        <v>cp ./img1/imgfd54.jpg ../catalog/category/img1/;</v>
      </c>
      <c r="B670" t="str">
        <f>IF(LEN(categories!G670) &gt; 0, SUBSTITUTE("copy ."&amp;categories!G670&amp;" ./category"&amp;LEFT(categories!G670,6),"/","\"), "")</f>
        <v>copy .\img1\imgfd54.jpg .\category\img1\</v>
      </c>
    </row>
    <row r="671" spans="1:2" x14ac:dyDescent="0.25">
      <c r="A671" t="str">
        <f>IF(LEN(categories!G671) &gt; 0, "cp ."&amp;categories!G671&amp;" ../catalog/category"&amp;LEFT(categories!G671,6)&amp;";", "")</f>
        <v>cp ./img3/imgdf9b.jpg ../catalog/category/img3/;</v>
      </c>
      <c r="B671" t="str">
        <f>IF(LEN(categories!G671) &gt; 0, SUBSTITUTE("copy ."&amp;categories!G671&amp;" ./category"&amp;LEFT(categories!G671,6),"/","\"), "")</f>
        <v>copy .\img3\imgdf9b.jpg .\category\img3\</v>
      </c>
    </row>
    <row r="672" spans="1:2" x14ac:dyDescent="0.25">
      <c r="A672" t="str">
        <f>IF(LEN(categories!G672) &gt; 0, "cp ."&amp;categories!G672&amp;" ../catalog/category"&amp;LEFT(categories!G672,6)&amp;";", "")</f>
        <v>cp ./img3/img7d7f.jpg ../catalog/category/img3/;</v>
      </c>
      <c r="B672" t="str">
        <f>IF(LEN(categories!G672) &gt; 0, SUBSTITUTE("copy ."&amp;categories!G672&amp;" ./category"&amp;LEFT(categories!G672,6),"/","\"), "")</f>
        <v>copy .\img3\img7d7f.jpg .\category\img3\</v>
      </c>
    </row>
    <row r="673" spans="1:2" x14ac:dyDescent="0.25">
      <c r="A673" t="str">
        <f>IF(LEN(categories!G673) &gt; 0, "cp ."&amp;categories!G673&amp;" ../catalog/category"&amp;LEFT(categories!G673,6)&amp;";", "")</f>
        <v>cp ./img1/img1616.jpg ../catalog/category/img1/;</v>
      </c>
      <c r="B673" t="str">
        <f>IF(LEN(categories!G673) &gt; 0, SUBSTITUTE("copy ."&amp;categories!G673&amp;" ./category"&amp;LEFT(categories!G673,6),"/","\"), "")</f>
        <v>copy .\img1\img1616.jpg .\category\img1\</v>
      </c>
    </row>
    <row r="674" spans="1:2" x14ac:dyDescent="0.25">
      <c r="A674" t="str">
        <f>IF(LEN(categories!G674) &gt; 0, "cp ."&amp;categories!G674&amp;" ../catalog/category"&amp;LEFT(categories!G674,6)&amp;";", "")</f>
        <v>cp ./img3/img015a.jpg ../catalog/category/img3/;</v>
      </c>
      <c r="B674" t="str">
        <f>IF(LEN(categories!G674) &gt; 0, SUBSTITUTE("copy ."&amp;categories!G674&amp;" ./category"&amp;LEFT(categories!G674,6),"/","\"), "")</f>
        <v>copy .\img3\img015a.jpg .\category\img3\</v>
      </c>
    </row>
    <row r="675" spans="1:2" x14ac:dyDescent="0.25">
      <c r="A675" t="str">
        <f>IF(LEN(categories!G675) &gt; 0, "cp ."&amp;categories!G675&amp;" ../catalog/category"&amp;LEFT(categories!G675,6)&amp;";", "")</f>
        <v>cp ./img3/img31bf.jpg ../catalog/category/img3/;</v>
      </c>
      <c r="B675" t="str">
        <f>IF(LEN(categories!G675) &gt; 0, SUBSTITUTE("copy ."&amp;categories!G675&amp;" ./category"&amp;LEFT(categories!G675,6),"/","\"), "")</f>
        <v>copy .\img3\img31bf.jpg .\category\img3\</v>
      </c>
    </row>
    <row r="676" spans="1:2" x14ac:dyDescent="0.25">
      <c r="A676" t="str">
        <f>IF(LEN(categories!G676) &gt; 0, "cp ."&amp;categories!G676&amp;" ../catalog/category"&amp;LEFT(categories!G676,6)&amp;";", "")</f>
        <v>cp ./img3/imgc8a1.jpg ../catalog/category/img3/;</v>
      </c>
      <c r="B676" t="str">
        <f>IF(LEN(categories!G676) &gt; 0, SUBSTITUTE("copy ."&amp;categories!G676&amp;" ./category"&amp;LEFT(categories!G676,6),"/","\"), "")</f>
        <v>copy .\img3\imgc8a1.jpg .\category\img3\</v>
      </c>
    </row>
    <row r="677" spans="1:2" x14ac:dyDescent="0.25">
      <c r="A677" t="str">
        <f>IF(LEN(categories!G677) &gt; 0, "cp ."&amp;categories!G677&amp;" ../catalog/category"&amp;LEFT(categories!G677,6)&amp;";", "")</f>
        <v>cp ./img2/img40ef.jpg ../catalog/category/img2/;</v>
      </c>
      <c r="B677" t="str">
        <f>IF(LEN(categories!G677) &gt; 0, SUBSTITUTE("copy ."&amp;categories!G677&amp;" ./category"&amp;LEFT(categories!G677,6),"/","\"), "")</f>
        <v>copy .\img2\img40ef.jpg .\category\img2\</v>
      </c>
    </row>
    <row r="678" spans="1:2" x14ac:dyDescent="0.25">
      <c r="A678" t="str">
        <f>IF(LEN(categories!G678) &gt; 0, "cp ."&amp;categories!G678&amp;" ../catalog/category"&amp;LEFT(categories!G678,6)&amp;";", "")</f>
        <v>cp ./img3/imgedd5.jpg ../catalog/category/img3/;</v>
      </c>
      <c r="B678" t="str">
        <f>IF(LEN(categories!G678) &gt; 0, SUBSTITUTE("copy ."&amp;categories!G678&amp;" ./category"&amp;LEFT(categories!G678,6),"/","\"), "")</f>
        <v>copy .\img3\imgedd5.jpg .\category\img3\</v>
      </c>
    </row>
    <row r="679" spans="1:2" x14ac:dyDescent="0.25">
      <c r="A679" t="str">
        <f>IF(LEN(categories!G679) &gt; 0, "cp ."&amp;categories!G679&amp;" ../catalog/category"&amp;LEFT(categories!G679,6)&amp;";", "")</f>
        <v>cp ./img2/img2e7b.jpg ../catalog/category/img2/;</v>
      </c>
      <c r="B679" t="str">
        <f>IF(LEN(categories!G679) &gt; 0, SUBSTITUTE("copy ."&amp;categories!G679&amp;" ./category"&amp;LEFT(categories!G679,6),"/","\"), "")</f>
        <v>copy .\img2\img2e7b.jpg .\category\img2\</v>
      </c>
    </row>
    <row r="680" spans="1:2" x14ac:dyDescent="0.25">
      <c r="A680" t="str">
        <f>IF(LEN(categories!G680) &gt; 0, "cp ."&amp;categories!G680&amp;" ../catalog/category"&amp;LEFT(categories!G680,6)&amp;";", "")</f>
        <v>cp ./img1/img1f4b.jpg ../catalog/category/img1/;</v>
      </c>
      <c r="B680" t="str">
        <f>IF(LEN(categories!G680) &gt; 0, SUBSTITUTE("copy ."&amp;categories!G680&amp;" ./category"&amp;LEFT(categories!G680,6),"/","\"), "")</f>
        <v>copy .\img1\img1f4b.jpg .\category\img1\</v>
      </c>
    </row>
    <row r="681" spans="1:2" x14ac:dyDescent="0.25">
      <c r="A681" t="str">
        <f>IF(LEN(categories!G681) &gt; 0, "cp ."&amp;categories!G681&amp;" ../catalog/category"&amp;LEFT(categories!G681,6)&amp;";", "")</f>
        <v>cp ./img1/imga951.jpg ../catalog/category/img1/;</v>
      </c>
      <c r="B681" t="str">
        <f>IF(LEN(categories!G681) &gt; 0, SUBSTITUTE("copy ."&amp;categories!G681&amp;" ./category"&amp;LEFT(categories!G681,6),"/","\"), "")</f>
        <v>copy .\img1\imga951.jpg .\category\img1\</v>
      </c>
    </row>
    <row r="682" spans="1:2" x14ac:dyDescent="0.25">
      <c r="A682" t="str">
        <f>IF(LEN(categories!G682) &gt; 0, "cp ."&amp;categories!G682&amp;" ../catalog/category"&amp;LEFT(categories!G682,6)&amp;";", "")</f>
        <v>cp ./img3/imgf012.jpg ../catalog/category/img3/;</v>
      </c>
      <c r="B682" t="str">
        <f>IF(LEN(categories!G682) &gt; 0, SUBSTITUTE("copy ."&amp;categories!G682&amp;" ./category"&amp;LEFT(categories!G682,6),"/","\"), "")</f>
        <v>copy .\img3\imgf012.jpg .\category\img3\</v>
      </c>
    </row>
    <row r="683" spans="1:2" x14ac:dyDescent="0.25">
      <c r="A683" t="str">
        <f>IF(LEN(categories!G683) &gt; 0, "cp ."&amp;categories!G683&amp;" ../catalog/category"&amp;LEFT(categories!G683,6)&amp;";", "")</f>
        <v>cp ./img3/img7317.jpg ../catalog/category/img3/;</v>
      </c>
      <c r="B683" t="str">
        <f>IF(LEN(categories!G683) &gt; 0, SUBSTITUTE("copy ."&amp;categories!G683&amp;" ./category"&amp;LEFT(categories!G683,6),"/","\"), "")</f>
        <v>copy .\img3\img7317.jpg .\category\img3\</v>
      </c>
    </row>
    <row r="684" spans="1:2" x14ac:dyDescent="0.25">
      <c r="A684" t="str">
        <f>IF(LEN(categories!G684) &gt; 0, "cp ."&amp;categories!G684&amp;" ../catalog/category"&amp;LEFT(categories!G684,6)&amp;";", "")</f>
        <v>cp ./img2/imgda76.jpg ../catalog/category/img2/;</v>
      </c>
      <c r="B684" t="str">
        <f>IF(LEN(categories!G684) &gt; 0, SUBSTITUTE("copy ."&amp;categories!G684&amp;" ./category"&amp;LEFT(categories!G684,6),"/","\"), "")</f>
        <v>copy .\img2\imgda76.jpg .\category\img2\</v>
      </c>
    </row>
    <row r="685" spans="1:2" x14ac:dyDescent="0.25">
      <c r="A685" t="str">
        <f>IF(LEN(categories!G685) &gt; 0, "cp ."&amp;categories!G685&amp;" ../catalog/category"&amp;LEFT(categories!G685,6)&amp;";", "")</f>
        <v>cp ./img3/img9282.jpg ../catalog/category/img3/;</v>
      </c>
      <c r="B685" t="str">
        <f>IF(LEN(categories!G685) &gt; 0, SUBSTITUTE("copy ."&amp;categories!G685&amp;" ./category"&amp;LEFT(categories!G685,6),"/","\"), "")</f>
        <v>copy .\img3\img9282.jpg .\category\img3\</v>
      </c>
    </row>
    <row r="686" spans="1:2" x14ac:dyDescent="0.25">
      <c r="A686" t="str">
        <f>IF(LEN(categories!G686) &gt; 0, "cp ."&amp;categories!G686&amp;" ../catalog/category"&amp;LEFT(categories!G686,6)&amp;";", "")</f>
        <v>cp ./img2/img7ad7.jpg ../catalog/category/img2/;</v>
      </c>
      <c r="B686" t="str">
        <f>IF(LEN(categories!G686) &gt; 0, SUBSTITUTE("copy ."&amp;categories!G686&amp;" ./category"&amp;LEFT(categories!G686,6),"/","\"), "")</f>
        <v>copy .\img2\img7ad7.jpg .\category\img2\</v>
      </c>
    </row>
    <row r="687" spans="1:2" x14ac:dyDescent="0.25">
      <c r="A687" t="str">
        <f>IF(LEN(categories!G687) &gt; 0, "cp ."&amp;categories!G687&amp;" ../catalog/category"&amp;LEFT(categories!G687,6)&amp;";", "")</f>
        <v>cp ./img3/img2542.jpg ../catalog/category/img3/;</v>
      </c>
      <c r="B687" t="str">
        <f>IF(LEN(categories!G687) &gt; 0, SUBSTITUTE("copy ."&amp;categories!G687&amp;" ./category"&amp;LEFT(categories!G687,6),"/","\"), "")</f>
        <v>copy .\img3\img2542.jpg .\category\img3\</v>
      </c>
    </row>
    <row r="688" spans="1:2" x14ac:dyDescent="0.25">
      <c r="A688" t="str">
        <f>IF(LEN(categories!G688) &gt; 0, "cp ."&amp;categories!G688&amp;" ../catalog/category"&amp;LEFT(categories!G688,6)&amp;";", "")</f>
        <v>cp ./img3/img0910.jpg ../catalog/category/img3/;</v>
      </c>
      <c r="B688" t="str">
        <f>IF(LEN(categories!G688) &gt; 0, SUBSTITUTE("copy ."&amp;categories!G688&amp;" ./category"&amp;LEFT(categories!G688,6),"/","\"), "")</f>
        <v>copy .\img3\img0910.jpg .\category\img3\</v>
      </c>
    </row>
    <row r="689" spans="1:2" x14ac:dyDescent="0.25">
      <c r="A689" t="str">
        <f>IF(LEN(categories!G689) &gt; 0, "cp ."&amp;categories!G689&amp;" ../catalog/category"&amp;LEFT(categories!G689,6)&amp;";", "")</f>
        <v>cp ./img3/img4683.jpg ../catalog/category/img3/;</v>
      </c>
      <c r="B689" t="str">
        <f>IF(LEN(categories!G689) &gt; 0, SUBSTITUTE("copy ."&amp;categories!G689&amp;" ./category"&amp;LEFT(categories!G689,6),"/","\"), "")</f>
        <v>copy .\img3\img4683.jpg .\category\img3\</v>
      </c>
    </row>
    <row r="690" spans="1:2" x14ac:dyDescent="0.25">
      <c r="A690" t="str">
        <f>IF(LEN(categories!G690) &gt; 0, "cp ."&amp;categories!G690&amp;" ../catalog/category"&amp;LEFT(categories!G690,6)&amp;";", "")</f>
        <v>cp ./img1/img1626.jpg ../catalog/category/img1/;</v>
      </c>
      <c r="B690" t="str">
        <f>IF(LEN(categories!G690) &gt; 0, SUBSTITUTE("copy ."&amp;categories!G690&amp;" ./category"&amp;LEFT(categories!G690,6),"/","\"), "")</f>
        <v>copy .\img1\img1626.jpg .\category\img1\</v>
      </c>
    </row>
    <row r="691" spans="1:2" x14ac:dyDescent="0.25">
      <c r="A691" t="str">
        <f>IF(LEN(categories!G691) &gt; 0, "cp ."&amp;categories!G691&amp;" ../catalog/category"&amp;LEFT(categories!G691,6)&amp;";", "")</f>
        <v>cp ./img3/img4d42.jpg ../catalog/category/img3/;</v>
      </c>
      <c r="B691" t="str">
        <f>IF(LEN(categories!G691) &gt; 0, SUBSTITUTE("copy ."&amp;categories!G691&amp;" ./category"&amp;LEFT(categories!G691,6),"/","\"), "")</f>
        <v>copy .\img3\img4d42.jpg .\category\img3\</v>
      </c>
    </row>
    <row r="692" spans="1:2" x14ac:dyDescent="0.25">
      <c r="A692" t="str">
        <f>IF(LEN(categories!G692) &gt; 0, "cp ."&amp;categories!G692&amp;" ../catalog/category"&amp;LEFT(categories!G692,6)&amp;";", "")</f>
        <v>cp ./img1/imge9b7.jpg ../catalog/category/img1/;</v>
      </c>
      <c r="B692" t="str">
        <f>IF(LEN(categories!G692) &gt; 0, SUBSTITUTE("copy ."&amp;categories!G692&amp;" ./category"&amp;LEFT(categories!G692,6),"/","\"), "")</f>
        <v>copy .\img1\imge9b7.jpg .\category\img1\</v>
      </c>
    </row>
    <row r="693" spans="1:2" x14ac:dyDescent="0.25">
      <c r="A693" t="str">
        <f>IF(LEN(categories!G693) &gt; 0, "cp ."&amp;categories!G693&amp;" ../catalog/category"&amp;LEFT(categories!G693,6)&amp;";", "")</f>
        <v>cp ./img2/img8bd2.jpg ../catalog/category/img2/;</v>
      </c>
      <c r="B693" t="str">
        <f>IF(LEN(categories!G693) &gt; 0, SUBSTITUTE("copy ."&amp;categories!G693&amp;" ./category"&amp;LEFT(categories!G693,6),"/","\"), "")</f>
        <v>copy .\img2\img8bd2.jpg .\category\img2\</v>
      </c>
    </row>
    <row r="694" spans="1:2" x14ac:dyDescent="0.25">
      <c r="A694" t="str">
        <f>IF(LEN(categories!G694) &gt; 0, "cp ."&amp;categories!G694&amp;" ../catalog/category"&amp;LEFT(categories!G694,6)&amp;";", "")</f>
        <v>cp ./img3/imgebb0.jpg ../catalog/category/img3/;</v>
      </c>
      <c r="B694" t="str">
        <f>IF(LEN(categories!G694) &gt; 0, SUBSTITUTE("copy ."&amp;categories!G694&amp;" ./category"&amp;LEFT(categories!G694,6),"/","\"), "")</f>
        <v>copy .\img3\imgebb0.jpg .\category\img3\</v>
      </c>
    </row>
    <row r="695" spans="1:2" x14ac:dyDescent="0.25">
      <c r="A695" t="str">
        <f>IF(LEN(categories!G695) &gt; 0, "cp ."&amp;categories!G695&amp;" ../catalog/category"&amp;LEFT(categories!G695,6)&amp;";", "")</f>
        <v>cp ./img2/img1996.jpg ../catalog/category/img2/;</v>
      </c>
      <c r="B695" t="str">
        <f>IF(LEN(categories!G695) &gt; 0, SUBSTITUTE("copy ."&amp;categories!G695&amp;" ./category"&amp;LEFT(categories!G695,6),"/","\"), "")</f>
        <v>copy .\img2\img1996.jpg .\category\img2\</v>
      </c>
    </row>
    <row r="696" spans="1:2" x14ac:dyDescent="0.25">
      <c r="A696" t="str">
        <f>IF(LEN(categories!G696) &gt; 0, "cp ."&amp;categories!G696&amp;" ../catalog/category"&amp;LEFT(categories!G696,6)&amp;";", "")</f>
        <v>cp ./img1/img4f00.jpg ../catalog/category/img1/;</v>
      </c>
      <c r="B696" t="str">
        <f>IF(LEN(categories!G696) &gt; 0, SUBSTITUTE("copy ."&amp;categories!G696&amp;" ./category"&amp;LEFT(categories!G696,6),"/","\"), "")</f>
        <v>copy .\img1\img4f00.jpg .\category\img1\</v>
      </c>
    </row>
    <row r="697" spans="1:2" x14ac:dyDescent="0.25">
      <c r="A697" t="str">
        <f>IF(LEN(categories!G697) &gt; 0, "cp ."&amp;categories!G697&amp;" ../catalog/category"&amp;LEFT(categories!G697,6)&amp;";", "")</f>
        <v>cp ./img2/img0386.jpg ../catalog/category/img2/;</v>
      </c>
      <c r="B697" t="str">
        <f>IF(LEN(categories!G697) &gt; 0, SUBSTITUTE("copy ."&amp;categories!G697&amp;" ./category"&amp;LEFT(categories!G697,6),"/","\"), "")</f>
        <v>copy .\img2\img0386.jpg .\category\img2\</v>
      </c>
    </row>
    <row r="698" spans="1:2" x14ac:dyDescent="0.25">
      <c r="A698" t="str">
        <f>IF(LEN(categories!G698) &gt; 0, "cp ."&amp;categories!G698&amp;" ../catalog/category"&amp;LEFT(categories!G698,6)&amp;";", "")</f>
        <v>cp ./img2/imgf974.jpg ../catalog/category/img2/;</v>
      </c>
      <c r="B698" t="str">
        <f>IF(LEN(categories!G698) &gt; 0, SUBSTITUTE("copy ."&amp;categories!G698&amp;" ./category"&amp;LEFT(categories!G698,6),"/","\"), "")</f>
        <v>copy .\img2\imgf974.jpg .\category\img2\</v>
      </c>
    </row>
    <row r="699" spans="1:2" x14ac:dyDescent="0.25">
      <c r="A699" t="str">
        <f>IF(LEN(categories!G699) &gt; 0, "cp ."&amp;categories!G699&amp;" ../catalog/category"&amp;LEFT(categories!G699,6)&amp;";", "")</f>
        <v>cp ./img3/imgaca7.jpg ../catalog/category/img3/;</v>
      </c>
      <c r="B699" t="str">
        <f>IF(LEN(categories!G699) &gt; 0, SUBSTITUTE("copy ."&amp;categories!G699&amp;" ./category"&amp;LEFT(categories!G699,6),"/","\"), "")</f>
        <v>copy .\img3\imgaca7.jpg .\category\img3\</v>
      </c>
    </row>
    <row r="700" spans="1:2" x14ac:dyDescent="0.25">
      <c r="A700" t="str">
        <f>IF(LEN(categories!G700) &gt; 0, "cp ."&amp;categories!G700&amp;" ../catalog/category"&amp;LEFT(categories!G700,6)&amp;";", "")</f>
        <v>cp ./img2/img6c6c.jpg ../catalog/category/img2/;</v>
      </c>
      <c r="B700" t="str">
        <f>IF(LEN(categories!G700) &gt; 0, SUBSTITUTE("copy ."&amp;categories!G700&amp;" ./category"&amp;LEFT(categories!G700,6),"/","\"), "")</f>
        <v>copy .\img2\img6c6c.jpg .\category\img2\</v>
      </c>
    </row>
    <row r="701" spans="1:2" x14ac:dyDescent="0.25">
      <c r="A701" t="str">
        <f>IF(LEN(categories!G701) &gt; 0, "cp ."&amp;categories!G701&amp;" ../catalog/category"&amp;LEFT(categories!G701,6)&amp;";", "")</f>
        <v>cp ./img1/img640e.jpg ../catalog/category/img1/;</v>
      </c>
      <c r="B701" t="str">
        <f>IF(LEN(categories!G701) &gt; 0, SUBSTITUTE("copy ."&amp;categories!G701&amp;" ./category"&amp;LEFT(categories!G701,6),"/","\"), "")</f>
        <v>copy .\img1\img640e.jpg .\category\img1\</v>
      </c>
    </row>
    <row r="702" spans="1:2" x14ac:dyDescent="0.25">
      <c r="A702" t="str">
        <f>IF(LEN(categories!G702) &gt; 0, "cp ."&amp;categories!G702&amp;" ../catalog/category"&amp;LEFT(categories!G702,6)&amp;";", "")</f>
        <v>cp ./img1/img640e.jpg ../catalog/category/img1/;</v>
      </c>
      <c r="B702" t="str">
        <f>IF(LEN(categories!G702) &gt; 0, SUBSTITUTE("copy ."&amp;categories!G702&amp;" ./category"&amp;LEFT(categories!G702,6),"/","\"), "")</f>
        <v>copy .\img1\img640e.jpg .\category\img1\</v>
      </c>
    </row>
    <row r="703" spans="1:2" x14ac:dyDescent="0.25">
      <c r="A703" t="str">
        <f>IF(LEN(categories!G703) &gt; 0, "cp ."&amp;categories!G703&amp;" ../catalog/category"&amp;LEFT(categories!G703,6)&amp;";", "")</f>
        <v>cp ./img1/img640e.jpg ../catalog/category/img1/;</v>
      </c>
      <c r="B703" t="str">
        <f>IF(LEN(categories!G703) &gt; 0, SUBSTITUTE("copy ."&amp;categories!G703&amp;" ./category"&amp;LEFT(categories!G703,6),"/","\"), "")</f>
        <v>copy .\img1\img640e.jpg .\category\img1\</v>
      </c>
    </row>
    <row r="704" spans="1:2" x14ac:dyDescent="0.25">
      <c r="A704" t="str">
        <f>IF(LEN(categories!G704) &gt; 0, "cp ."&amp;categories!G704&amp;" ../catalog/category"&amp;LEFT(categories!G704,6)&amp;";", "")</f>
        <v>cp ./img3/img7ea3.jpg ../catalog/category/img3/;</v>
      </c>
      <c r="B704" t="str">
        <f>IF(LEN(categories!G704) &gt; 0, SUBSTITUTE("copy ."&amp;categories!G704&amp;" ./category"&amp;LEFT(categories!G704,6),"/","\"), "")</f>
        <v>copy .\img3\img7ea3.jpg .\category\img3\</v>
      </c>
    </row>
    <row r="705" spans="1:2" x14ac:dyDescent="0.25">
      <c r="A705" t="str">
        <f>IF(LEN(categories!G705) &gt; 0, "cp ."&amp;categories!G705&amp;" ../catalog/category"&amp;LEFT(categories!G705,6)&amp;";", "")</f>
        <v>cp ./img2/img4518.jpg ../catalog/category/img2/;</v>
      </c>
      <c r="B705" t="str">
        <f>IF(LEN(categories!G705) &gt; 0, SUBSTITUTE("copy ."&amp;categories!G705&amp;" ./category"&amp;LEFT(categories!G705,6),"/","\"), "")</f>
        <v>copy .\img2\img4518.jpg .\category\img2\</v>
      </c>
    </row>
    <row r="706" spans="1:2" x14ac:dyDescent="0.25">
      <c r="A706" t="str">
        <f>IF(LEN(categories!G706) &gt; 0, "cp ."&amp;categories!G706&amp;" ../catalog/category"&amp;LEFT(categories!G706,6)&amp;";", "")</f>
        <v>cp ./img2/imgc186.jpg ../catalog/category/img2/;</v>
      </c>
      <c r="B706" t="str">
        <f>IF(LEN(categories!G706) &gt; 0, SUBSTITUTE("copy ."&amp;categories!G706&amp;" ./category"&amp;LEFT(categories!G706,6),"/","\"), "")</f>
        <v>copy .\img2\imgc186.jpg .\category\img2\</v>
      </c>
    </row>
    <row r="707" spans="1:2" x14ac:dyDescent="0.25">
      <c r="A707" t="str">
        <f>IF(LEN(categories!G707) &gt; 0, "cp ."&amp;categories!G707&amp;" ../catalog/category"&amp;LEFT(categories!G707,6)&amp;";", "")</f>
        <v>cp ./img1/img9b33.jpg ../catalog/category/img1/;</v>
      </c>
      <c r="B707" t="str">
        <f>IF(LEN(categories!G707) &gt; 0, SUBSTITUTE("copy ."&amp;categories!G707&amp;" ./category"&amp;LEFT(categories!G707,6),"/","\"), "")</f>
        <v>copy .\img1\img9b33.jpg .\category\img1\</v>
      </c>
    </row>
    <row r="708" spans="1:2" x14ac:dyDescent="0.25">
      <c r="A708" t="str">
        <f>IF(LEN(categories!G708) &gt; 0, "cp ."&amp;categories!G708&amp;" ../catalog/category"&amp;LEFT(categories!G708,6)&amp;";", "")</f>
        <v>cp ./img1/img7227.jpg ../catalog/category/img1/;</v>
      </c>
      <c r="B708" t="str">
        <f>IF(LEN(categories!G708) &gt; 0, SUBSTITUTE("copy ."&amp;categories!G708&amp;" ./category"&amp;LEFT(categories!G708,6),"/","\"), "")</f>
        <v>copy .\img1\img7227.jpg .\category\img1\</v>
      </c>
    </row>
    <row r="709" spans="1:2" x14ac:dyDescent="0.25">
      <c r="A709" t="str">
        <f>IF(LEN(categories!G709) &gt; 0, "cp ."&amp;categories!G709&amp;" ../catalog/category"&amp;LEFT(categories!G709,6)&amp;";", "")</f>
        <v>cp ./img1/img6f4a.jpg ../catalog/category/img1/;</v>
      </c>
      <c r="B709" t="str">
        <f>IF(LEN(categories!G709) &gt; 0, SUBSTITUTE("copy ."&amp;categories!G709&amp;" ./category"&amp;LEFT(categories!G709,6),"/","\"), "")</f>
        <v>copy .\img1\img6f4a.jpg .\category\img1\</v>
      </c>
    </row>
    <row r="710" spans="1:2" x14ac:dyDescent="0.25">
      <c r="A710" t="str">
        <f>IF(LEN(categories!G710) &gt; 0, "cp ."&amp;categories!G710&amp;" ../catalog/category"&amp;LEFT(categories!G710,6)&amp;";", "")</f>
        <v>cp ./img2/img1a1f.jpg ../catalog/category/img2/;</v>
      </c>
      <c r="B710" t="str">
        <f>IF(LEN(categories!G710) &gt; 0, SUBSTITUTE("copy ."&amp;categories!G710&amp;" ./category"&amp;LEFT(categories!G710,6),"/","\"), "")</f>
        <v>copy .\img2\img1a1f.jpg .\category\img2\</v>
      </c>
    </row>
    <row r="711" spans="1:2" x14ac:dyDescent="0.25">
      <c r="A711" t="str">
        <f>IF(LEN(categories!G711) &gt; 0, "cp ."&amp;categories!G711&amp;" ../catalog/category"&amp;LEFT(categories!G711,6)&amp;";", "")</f>
        <v>cp ./img1/imgbd67.jpg ../catalog/category/img1/;</v>
      </c>
      <c r="B711" t="str">
        <f>IF(LEN(categories!G711) &gt; 0, SUBSTITUTE("copy ."&amp;categories!G711&amp;" ./category"&amp;LEFT(categories!G711,6),"/","\"), "")</f>
        <v>copy .\img1\imgbd67.jpg .\category\img1\</v>
      </c>
    </row>
    <row r="712" spans="1:2" x14ac:dyDescent="0.25">
      <c r="A712" t="str">
        <f>IF(LEN(categories!G712) &gt; 0, "cp ."&amp;categories!G712&amp;" ../catalog/category"&amp;LEFT(categories!G712,6)&amp;";", "")</f>
        <v>cp ./img1/imgfb86.jpg ../catalog/category/img1/;</v>
      </c>
      <c r="B712" t="str">
        <f>IF(LEN(categories!G712) &gt; 0, SUBSTITUTE("copy ."&amp;categories!G712&amp;" ./category"&amp;LEFT(categories!G712,6),"/","\"), "")</f>
        <v>copy .\img1\imgfb86.jpg .\category\img1\</v>
      </c>
    </row>
    <row r="713" spans="1:2" x14ac:dyDescent="0.25">
      <c r="A713" t="str">
        <f>IF(LEN(categories!G713) &gt; 0, "cp ."&amp;categories!G713&amp;" ../catalog/category"&amp;LEFT(categories!G713,6)&amp;";", "")</f>
        <v>cp ./img1/img5e31.jpg ../catalog/category/img1/;</v>
      </c>
      <c r="B713" t="str">
        <f>IF(LEN(categories!G713) &gt; 0, SUBSTITUTE("copy ."&amp;categories!G713&amp;" ./category"&amp;LEFT(categories!G713,6),"/","\"), "")</f>
        <v>copy .\img1\img5e31.jpg .\category\img1\</v>
      </c>
    </row>
    <row r="714" spans="1:2" x14ac:dyDescent="0.25">
      <c r="A714" t="str">
        <f>IF(LEN(categories!G714) &gt; 0, "cp ."&amp;categories!G714&amp;" ../catalog/category"&amp;LEFT(categories!G714,6)&amp;";", "")</f>
        <v>cp ./img2/img0071.jpg ../catalog/category/img2/;</v>
      </c>
      <c r="B714" t="str">
        <f>IF(LEN(categories!G714) &gt; 0, SUBSTITUTE("copy ."&amp;categories!G714&amp;" ./category"&amp;LEFT(categories!G714,6),"/","\"), "")</f>
        <v>copy .\img2\img0071.jpg .\category\img2\</v>
      </c>
    </row>
    <row r="715" spans="1:2" x14ac:dyDescent="0.25">
      <c r="A715" t="str">
        <f>IF(LEN(categories!G715) &gt; 0, "cp ."&amp;categories!G715&amp;" ../catalog/category"&amp;LEFT(categories!G715,6)&amp;";", "")</f>
        <v>cp ./img3/img359c.jpg ../catalog/category/img3/;</v>
      </c>
      <c r="B715" t="str">
        <f>IF(LEN(categories!G715) &gt; 0, SUBSTITUTE("copy ."&amp;categories!G715&amp;" ./category"&amp;LEFT(categories!G715,6),"/","\"), "")</f>
        <v>copy .\img3\img359c.jpg .\category\img3\</v>
      </c>
    </row>
    <row r="716" spans="1:2" x14ac:dyDescent="0.25">
      <c r="A716" t="str">
        <f>IF(LEN(categories!G716) &gt; 0, "cp ."&amp;categories!G716&amp;" ../catalog/category"&amp;LEFT(categories!G716,6)&amp;";", "")</f>
        <v>cp ./img2/img3feb.jpg ../catalog/category/img2/;</v>
      </c>
      <c r="B716" t="str">
        <f>IF(LEN(categories!G716) &gt; 0, SUBSTITUTE("copy ."&amp;categories!G716&amp;" ./category"&amp;LEFT(categories!G716,6),"/","\"), "")</f>
        <v>copy .\img2\img3feb.jpg .\category\img2\</v>
      </c>
    </row>
    <row r="717" spans="1:2" x14ac:dyDescent="0.25">
      <c r="A717" t="str">
        <f>IF(LEN(categories!G717) &gt; 0, "cp ."&amp;categories!G717&amp;" ../catalog/category"&amp;LEFT(categories!G717,6)&amp;";", "")</f>
        <v>cp ./img3/img0b74.jpg ../catalog/category/img3/;</v>
      </c>
      <c r="B717" t="str">
        <f>IF(LEN(categories!G717) &gt; 0, SUBSTITUTE("copy ."&amp;categories!G717&amp;" ./category"&amp;LEFT(categories!G717,6),"/","\"), "")</f>
        <v>copy .\img3\img0b74.jpg .\category\img3\</v>
      </c>
    </row>
    <row r="718" spans="1:2" x14ac:dyDescent="0.25">
      <c r="A718" t="str">
        <f>IF(LEN(categories!G718) &gt; 0, "cp ."&amp;categories!G718&amp;" ../catalog/category"&amp;LEFT(categories!G718,6)&amp;";", "")</f>
        <v>cp ./img2/img9c4a.jpg ../catalog/category/img2/;</v>
      </c>
      <c r="B718" t="str">
        <f>IF(LEN(categories!G718) &gt; 0, SUBSTITUTE("copy ."&amp;categories!G718&amp;" ./category"&amp;LEFT(categories!G718,6),"/","\"), "")</f>
        <v>copy .\img2\img9c4a.jpg .\category\img2\</v>
      </c>
    </row>
    <row r="719" spans="1:2" x14ac:dyDescent="0.25">
      <c r="A719" t="str">
        <f>IF(LEN(categories!G719) &gt; 0, "cp ."&amp;categories!G719&amp;" ../catalog/category"&amp;LEFT(categories!G719,6)&amp;";", "")</f>
        <v>cp ./img3/img2ae2.jpg ../catalog/category/img3/;</v>
      </c>
      <c r="B719" t="str">
        <f>IF(LEN(categories!G719) &gt; 0, SUBSTITUTE("copy ."&amp;categories!G719&amp;" ./category"&amp;LEFT(categories!G719,6),"/","\"), "")</f>
        <v>copy .\img3\img2ae2.jpg .\category\img3\</v>
      </c>
    </row>
    <row r="720" spans="1:2" x14ac:dyDescent="0.25">
      <c r="A720" t="str">
        <f>IF(LEN(categories!G720) &gt; 0, "cp ."&amp;categories!G720&amp;" ../catalog/category"&amp;LEFT(categories!G720,6)&amp;";", "")</f>
        <v>cp ./img3/img8d60.jpg ../catalog/category/img3/;</v>
      </c>
      <c r="B720" t="str">
        <f>IF(LEN(categories!G720) &gt; 0, SUBSTITUTE("copy ."&amp;categories!G720&amp;" ./category"&amp;LEFT(categories!G720,6),"/","\"), "")</f>
        <v>copy .\img3\img8d60.jpg .\category\img3\</v>
      </c>
    </row>
    <row r="721" spans="1:2" x14ac:dyDescent="0.25">
      <c r="A721" t="str">
        <f>IF(LEN(categories!G721) &gt; 0, "cp ."&amp;categories!G721&amp;" ../catalog/category"&amp;LEFT(categories!G721,6)&amp;";", "")</f>
        <v>cp ./img2/imgb741.jpg ../catalog/category/img2/;</v>
      </c>
      <c r="B721" t="str">
        <f>IF(LEN(categories!G721) &gt; 0, SUBSTITUTE("copy ."&amp;categories!G721&amp;" ./category"&amp;LEFT(categories!G721,6),"/","\"), "")</f>
        <v>copy .\img2\imgb741.jpg .\category\img2\</v>
      </c>
    </row>
    <row r="722" spans="1:2" x14ac:dyDescent="0.25">
      <c r="A722" t="str">
        <f>IF(LEN(categories!G722) &gt; 0, "cp ."&amp;categories!G722&amp;" ../catalog/category"&amp;LEFT(categories!G722,6)&amp;";", "")</f>
        <v>cp ./img3/img78a0.jpg ../catalog/category/img3/;</v>
      </c>
      <c r="B722" t="str">
        <f>IF(LEN(categories!G722) &gt; 0, SUBSTITUTE("copy ."&amp;categories!G722&amp;" ./category"&amp;LEFT(categories!G722,6),"/","\"), "")</f>
        <v>copy .\img3\img78a0.jpg .\category\img3\</v>
      </c>
    </row>
    <row r="723" spans="1:2" x14ac:dyDescent="0.25">
      <c r="A723" t="str">
        <f>IF(LEN(categories!G723) &gt; 0, "cp ."&amp;categories!G723&amp;" ../catalog/category"&amp;LEFT(categories!G723,6)&amp;";", "")</f>
        <v>cp ./img3/img4d03.jpg ../catalog/category/img3/;</v>
      </c>
      <c r="B723" t="str">
        <f>IF(LEN(categories!G723) &gt; 0, SUBSTITUTE("copy ."&amp;categories!G723&amp;" ./category"&amp;LEFT(categories!G723,6),"/","\"), "")</f>
        <v>copy .\img3\img4d03.jpg .\category\img3\</v>
      </c>
    </row>
    <row r="724" spans="1:2" x14ac:dyDescent="0.25">
      <c r="A724" t="str">
        <f>IF(LEN(categories!G724) &gt; 0, "cp ."&amp;categories!G724&amp;" ../catalog/category"&amp;LEFT(categories!G724,6)&amp;";", "")</f>
        <v>cp ./img2/img68c6.jpg ../catalog/category/img2/;</v>
      </c>
      <c r="B724" t="str">
        <f>IF(LEN(categories!G724) &gt; 0, SUBSTITUTE("copy ."&amp;categories!G724&amp;" ./category"&amp;LEFT(categories!G724,6),"/","\"), "")</f>
        <v>copy .\img2\img68c6.jpg .\category\img2\</v>
      </c>
    </row>
    <row r="725" spans="1:2" x14ac:dyDescent="0.25">
      <c r="A725" t="str">
        <f>IF(LEN(categories!G725) &gt; 0, "cp ."&amp;categories!G725&amp;" ../catalog/category"&amp;LEFT(categories!G725,6)&amp;";", "")</f>
        <v>cp ./img2/imgc1c4.jpg ../catalog/category/img2/;</v>
      </c>
      <c r="B725" t="str">
        <f>IF(LEN(categories!G725) &gt; 0, SUBSTITUTE("copy ."&amp;categories!G725&amp;" ./category"&amp;LEFT(categories!G725,6),"/","\"), "")</f>
        <v>copy .\img2\imgc1c4.jpg .\category\img2\</v>
      </c>
    </row>
    <row r="726" spans="1:2" x14ac:dyDescent="0.25">
      <c r="A726" t="str">
        <f>IF(LEN(categories!G726) &gt; 0, "cp ."&amp;categories!G726&amp;" ../catalog/category"&amp;LEFT(categories!G726,6)&amp;";", "")</f>
        <v>cp ./img1/img1961.jpg ../catalog/category/img1/;</v>
      </c>
      <c r="B726" t="str">
        <f>IF(LEN(categories!G726) &gt; 0, SUBSTITUTE("copy ."&amp;categories!G726&amp;" ./category"&amp;LEFT(categories!G726,6),"/","\"), "")</f>
        <v>copy .\img1\img1961.jpg .\category\img1\</v>
      </c>
    </row>
    <row r="727" spans="1:2" x14ac:dyDescent="0.25">
      <c r="A727" t="str">
        <f>IF(LEN(categories!G727) &gt; 0, "cp ."&amp;categories!G727&amp;" ../catalog/category"&amp;LEFT(categories!G727,6)&amp;";", "")</f>
        <v>cp ./img3/img94a7.jpg ../catalog/category/img3/;</v>
      </c>
      <c r="B727" t="str">
        <f>IF(LEN(categories!G727) &gt; 0, SUBSTITUTE("copy ."&amp;categories!G727&amp;" ./category"&amp;LEFT(categories!G727,6),"/","\"), "")</f>
        <v>copy .\img3\img94a7.jpg .\category\img3\</v>
      </c>
    </row>
    <row r="728" spans="1:2" x14ac:dyDescent="0.25">
      <c r="A728" t="str">
        <f>IF(LEN(categories!G728) &gt; 0, "cp ."&amp;categories!G728&amp;" ../catalog/category"&amp;LEFT(categories!G728,6)&amp;";", "")</f>
        <v>cp ./img1/img1c08.jpg ../catalog/category/img1/;</v>
      </c>
      <c r="B728" t="str">
        <f>IF(LEN(categories!G728) &gt; 0, SUBSTITUTE("copy ."&amp;categories!G728&amp;" ./category"&amp;LEFT(categories!G728,6),"/","\"), "")</f>
        <v>copy .\img1\img1c08.jpg .\category\img1\</v>
      </c>
    </row>
    <row r="729" spans="1:2" x14ac:dyDescent="0.25">
      <c r="A729" t="str">
        <f>IF(LEN(categories!G729) &gt; 0, "cp ."&amp;categories!G729&amp;" ../catalog/category"&amp;LEFT(categories!G729,6)&amp;";", "")</f>
        <v>cp ./img1/img9716.jpg ../catalog/category/img1/;</v>
      </c>
      <c r="B729" t="str">
        <f>IF(LEN(categories!G729) &gt; 0, SUBSTITUTE("copy ."&amp;categories!G729&amp;" ./category"&amp;LEFT(categories!G729,6),"/","\"), "")</f>
        <v>copy .\img1\img9716.jpg .\category\img1\</v>
      </c>
    </row>
    <row r="730" spans="1:2" x14ac:dyDescent="0.25">
      <c r="A730" t="str">
        <f>IF(LEN(categories!G730) &gt; 0, "cp ."&amp;categories!G730&amp;" ../catalog/category"&amp;LEFT(categories!G730,6)&amp;";", "")</f>
        <v>cp ./img3/img5090.jpg ../catalog/category/img3/;</v>
      </c>
      <c r="B730" t="str">
        <f>IF(LEN(categories!G730) &gt; 0, SUBSTITUTE("copy ."&amp;categories!G730&amp;" ./category"&amp;LEFT(categories!G730,6),"/","\"), "")</f>
        <v>copy .\img3\img5090.jpg .\category\img3\</v>
      </c>
    </row>
    <row r="731" spans="1:2" x14ac:dyDescent="0.25">
      <c r="A731" t="str">
        <f>IF(LEN(categories!G731) &gt; 0, "cp ."&amp;categories!G731&amp;" ../catalog/category"&amp;LEFT(categories!G731,6)&amp;";", "")</f>
        <v>cp ./img1/img38cc.jpg ../catalog/category/img1/;</v>
      </c>
      <c r="B731" t="str">
        <f>IF(LEN(categories!G731) &gt; 0, SUBSTITUTE("copy ."&amp;categories!G731&amp;" ./category"&amp;LEFT(categories!G731,6),"/","\"), "")</f>
        <v>copy .\img1\img38cc.jpg .\category\img1\</v>
      </c>
    </row>
    <row r="732" spans="1:2" x14ac:dyDescent="0.25">
      <c r="A732" t="str">
        <f>IF(LEN(categories!G732) &gt; 0, "cp ."&amp;categories!G732&amp;" ../catalog/category"&amp;LEFT(categories!G732,6)&amp;";", "")</f>
        <v>cp ./img1/img370d.jpg ../catalog/category/img1/;</v>
      </c>
      <c r="B732" t="str">
        <f>IF(LEN(categories!G732) &gt; 0, SUBSTITUTE("copy ."&amp;categories!G732&amp;" ./category"&amp;LEFT(categories!G732,6),"/","\"), "")</f>
        <v>copy .\img1\img370d.jpg .\category\img1\</v>
      </c>
    </row>
    <row r="733" spans="1:2" x14ac:dyDescent="0.25">
      <c r="A733" t="str">
        <f>IF(LEN(categories!G733) &gt; 0, "cp ."&amp;categories!G733&amp;" ../catalog/category"&amp;LEFT(categories!G733,6)&amp;";", "")</f>
        <v>cp ./img2/img006f.jpg ../catalog/category/img2/;</v>
      </c>
      <c r="B733" t="str">
        <f>IF(LEN(categories!G733) &gt; 0, SUBSTITUTE("copy ."&amp;categories!G733&amp;" ./category"&amp;LEFT(categories!G733,6),"/","\"), "")</f>
        <v>copy .\img2\img006f.jpg .\category\img2\</v>
      </c>
    </row>
    <row r="734" spans="1:2" x14ac:dyDescent="0.25">
      <c r="A734" t="str">
        <f>IF(LEN(categories!G734) &gt; 0, "cp ."&amp;categories!G734&amp;" ../catalog/category"&amp;LEFT(categories!G734,6)&amp;";", "")</f>
        <v>cp ./img1/img1ee1.jpg ../catalog/category/img1/;</v>
      </c>
      <c r="B734" t="str">
        <f>IF(LEN(categories!G734) &gt; 0, SUBSTITUTE("copy ."&amp;categories!G734&amp;" ./category"&amp;LEFT(categories!G734,6),"/","\"), "")</f>
        <v>copy .\img1\img1ee1.jpg .\category\img1\</v>
      </c>
    </row>
    <row r="735" spans="1:2" x14ac:dyDescent="0.25">
      <c r="A735" t="str">
        <f>IF(LEN(categories!G735) &gt; 0, "cp ."&amp;categories!G735&amp;" ../catalog/category"&amp;LEFT(categories!G735,6)&amp;";", "")</f>
        <v>cp ./img2/img9626.jpg ../catalog/category/img2/;</v>
      </c>
      <c r="B735" t="str">
        <f>IF(LEN(categories!G735) &gt; 0, SUBSTITUTE("copy ."&amp;categories!G735&amp;" ./category"&amp;LEFT(categories!G735,6),"/","\"), "")</f>
        <v>copy .\img2\img9626.jpg .\category\img2\</v>
      </c>
    </row>
    <row r="736" spans="1:2" x14ac:dyDescent="0.25">
      <c r="A736" t="str">
        <f>IF(LEN(categories!G736) &gt; 0, "cp ."&amp;categories!G736&amp;" ../catalog/category"&amp;LEFT(categories!G736,6)&amp;";", "")</f>
        <v>cp ./img3/img559b.jpg ../catalog/category/img3/;</v>
      </c>
      <c r="B736" t="str">
        <f>IF(LEN(categories!G736) &gt; 0, SUBSTITUTE("copy ."&amp;categories!G736&amp;" ./category"&amp;LEFT(categories!G736,6),"/","\"), "")</f>
        <v>copy .\img3\img559b.jpg .\category\img3\</v>
      </c>
    </row>
    <row r="737" spans="1:2" x14ac:dyDescent="0.25">
      <c r="A737" t="str">
        <f>IF(LEN(categories!G737) &gt; 0, "cp ."&amp;categories!G737&amp;" ../catalog/category"&amp;LEFT(categories!G737,6)&amp;";", "")</f>
        <v>cp ./img3/imgd8df.jpg ../catalog/category/img3/;</v>
      </c>
      <c r="B737" t="str">
        <f>IF(LEN(categories!G737) &gt; 0, SUBSTITUTE("copy ."&amp;categories!G737&amp;" ./category"&amp;LEFT(categories!G737,6),"/","\"), "")</f>
        <v>copy .\img3\imgd8df.jpg .\category\img3\</v>
      </c>
    </row>
    <row r="738" spans="1:2" x14ac:dyDescent="0.25">
      <c r="A738" t="str">
        <f>IF(LEN(categories!G738) &gt; 0, "cp ."&amp;categories!G738&amp;" ../catalog/category"&amp;LEFT(categories!G738,6)&amp;";", "")</f>
        <v>cp ./img3/imga94c.jpg ../catalog/category/img3/;</v>
      </c>
      <c r="B738" t="str">
        <f>IF(LEN(categories!G738) &gt; 0, SUBSTITUTE("copy ."&amp;categories!G738&amp;" ./category"&amp;LEFT(categories!G738,6),"/","\"), "")</f>
        <v>copy .\img3\imga94c.jpg .\category\img3\</v>
      </c>
    </row>
    <row r="739" spans="1:2" x14ac:dyDescent="0.25">
      <c r="A739" t="str">
        <f>IF(LEN(categories!G739) &gt; 0, "cp ."&amp;categories!G739&amp;" ../catalog/category"&amp;LEFT(categories!G739,6)&amp;";", "")</f>
        <v>cp ./img1/img1fd9.jpg ../catalog/category/img1/;</v>
      </c>
      <c r="B739" t="str">
        <f>IF(LEN(categories!G739) &gt; 0, SUBSTITUTE("copy ."&amp;categories!G739&amp;" ./category"&amp;LEFT(categories!G739,6),"/","\"), "")</f>
        <v>copy .\img1\img1fd9.jpg .\category\img1\</v>
      </c>
    </row>
    <row r="740" spans="1:2" x14ac:dyDescent="0.25">
      <c r="A740" t="str">
        <f>IF(LEN(categories!G740) &gt; 0, "cp ."&amp;categories!G740&amp;" ../catalog/category"&amp;LEFT(categories!G740,6)&amp;";", "")</f>
        <v>cp ./img1/img75a1.jpg ../catalog/category/img1/;</v>
      </c>
      <c r="B740" t="str">
        <f>IF(LEN(categories!G740) &gt; 0, SUBSTITUTE("copy ."&amp;categories!G740&amp;" ./category"&amp;LEFT(categories!G740,6),"/","\"), "")</f>
        <v>copy .\img1\img75a1.jpg .\category\img1\</v>
      </c>
    </row>
    <row r="741" spans="1:2" x14ac:dyDescent="0.25">
      <c r="A741" t="str">
        <f>IF(LEN(categories!G741) &gt; 0, "cp ."&amp;categories!G741&amp;" ../catalog/category"&amp;LEFT(categories!G741,6)&amp;";", "")</f>
        <v>cp ./img2/imga22f.jpg ../catalog/category/img2/;</v>
      </c>
      <c r="B741" t="str">
        <f>IF(LEN(categories!G741) &gt; 0, SUBSTITUTE("copy ."&amp;categories!G741&amp;" ./category"&amp;LEFT(categories!G741,6),"/","\"), "")</f>
        <v>copy .\img2\imga22f.jpg .\category\img2\</v>
      </c>
    </row>
    <row r="742" spans="1:2" x14ac:dyDescent="0.25">
      <c r="A742" t="str">
        <f>IF(LEN(categories!G742) &gt; 0, "cp ."&amp;categories!G742&amp;" ../catalog/category"&amp;LEFT(categories!G742,6)&amp;";", "")</f>
        <v>cp ./img1/img8868.jpg ../catalog/category/img1/;</v>
      </c>
      <c r="B742" t="str">
        <f>IF(LEN(categories!G742) &gt; 0, SUBSTITUTE("copy ."&amp;categories!G742&amp;" ./category"&amp;LEFT(categories!G742,6),"/","\"), "")</f>
        <v>copy .\img1\img8868.jpg .\category\img1\</v>
      </c>
    </row>
    <row r="743" spans="1:2" x14ac:dyDescent="0.25">
      <c r="A743" t="str">
        <f>IF(LEN(categories!G743) &gt; 0, "cp ."&amp;categories!G743&amp;" ../catalog/category"&amp;LEFT(categories!G743,6)&amp;";", "")</f>
        <v>cp ./img2/img8b32.jpg ../catalog/category/img2/;</v>
      </c>
      <c r="B743" t="str">
        <f>IF(LEN(categories!G743) &gt; 0, SUBSTITUTE("copy ."&amp;categories!G743&amp;" ./category"&amp;LEFT(categories!G743,6),"/","\"), "")</f>
        <v>copy .\img2\img8b32.jpg .\category\img2\</v>
      </c>
    </row>
    <row r="744" spans="1:2" x14ac:dyDescent="0.25">
      <c r="A744" t="str">
        <f>IF(LEN(categories!G744) &gt; 0, "cp ."&amp;categories!G744&amp;" ../catalog/category"&amp;LEFT(categories!G744,6)&amp;";", "")</f>
        <v>cp ./img1/imge227.jpg ../catalog/category/img1/;</v>
      </c>
      <c r="B744" t="str">
        <f>IF(LEN(categories!G744) &gt; 0, SUBSTITUTE("copy ."&amp;categories!G744&amp;" ./category"&amp;LEFT(categories!G744,6),"/","\"), "")</f>
        <v>copy .\img1\imge227.jpg .\category\img1\</v>
      </c>
    </row>
    <row r="745" spans="1:2" x14ac:dyDescent="0.25">
      <c r="A745" t="str">
        <f>IF(LEN(categories!G745) &gt; 0, "cp ."&amp;categories!G745&amp;" ../catalog/category"&amp;LEFT(categories!G745,6)&amp;";", "")</f>
        <v>cp ./img3/imgea04.jpg ../catalog/category/img3/;</v>
      </c>
      <c r="B745" t="str">
        <f>IF(LEN(categories!G745) &gt; 0, SUBSTITUTE("copy ."&amp;categories!G745&amp;" ./category"&amp;LEFT(categories!G745,6),"/","\"), "")</f>
        <v>copy .\img3\imgea04.jpg .\category\img3\</v>
      </c>
    </row>
    <row r="746" spans="1:2" x14ac:dyDescent="0.25">
      <c r="A746" t="str">
        <f>IF(LEN(categories!G746) &gt; 0, "cp ."&amp;categories!G746&amp;" ../catalog/category"&amp;LEFT(categories!G746,6)&amp;";", "")</f>
        <v>cp ./img3/img2866.jpg ../catalog/category/img3/;</v>
      </c>
      <c r="B746" t="str">
        <f>IF(LEN(categories!G746) &gt; 0, SUBSTITUTE("copy ."&amp;categories!G746&amp;" ./category"&amp;LEFT(categories!G746,6),"/","\"), "")</f>
        <v>copy .\img3\img2866.jpg .\category\img3\</v>
      </c>
    </row>
    <row r="747" spans="1:2" x14ac:dyDescent="0.25">
      <c r="A747" t="str">
        <f>IF(LEN(categories!G747) &gt; 0, "cp ."&amp;categories!G747&amp;" ../catalog/category"&amp;LEFT(categories!G747,6)&amp;";", "")</f>
        <v>cp ./img1/imgb7db.jpg ../catalog/category/img1/;</v>
      </c>
      <c r="B747" t="str">
        <f>IF(LEN(categories!G747) &gt; 0, SUBSTITUTE("copy ."&amp;categories!G747&amp;" ./category"&amp;LEFT(categories!G747,6),"/","\"), "")</f>
        <v>copy .\img1\imgb7db.jpg .\category\img1\</v>
      </c>
    </row>
    <row r="748" spans="1:2" x14ac:dyDescent="0.25">
      <c r="A748" t="str">
        <f>IF(LEN(categories!G748) &gt; 0, "cp ."&amp;categories!G748&amp;" ../catalog/category"&amp;LEFT(categories!G748,6)&amp;";", "")</f>
        <v>cp ./img2/img4e23.jpg ../catalog/category/img2/;</v>
      </c>
      <c r="B748" t="str">
        <f>IF(LEN(categories!G748) &gt; 0, SUBSTITUTE("copy ."&amp;categories!G748&amp;" ./category"&amp;LEFT(categories!G748,6),"/","\"), "")</f>
        <v>copy .\img2\img4e23.jpg .\category\img2\</v>
      </c>
    </row>
    <row r="749" spans="1:2" x14ac:dyDescent="0.25">
      <c r="A749" t="str">
        <f>IF(LEN(categories!G749) &gt; 0, "cp ."&amp;categories!G749&amp;" ../catalog/category"&amp;LEFT(categories!G749,6)&amp;";", "")</f>
        <v>cp ./img3/img09a9.jpg ../catalog/category/img3/;</v>
      </c>
      <c r="B749" t="str">
        <f>IF(LEN(categories!G749) &gt; 0, SUBSTITUTE("copy ."&amp;categories!G749&amp;" ./category"&amp;LEFT(categories!G749,6),"/","\"), "")</f>
        <v>copy .\img3\img09a9.jpg .\category\img3\</v>
      </c>
    </row>
    <row r="750" spans="1:2" x14ac:dyDescent="0.25">
      <c r="A750" t="str">
        <f>IF(LEN(categories!G750) &gt; 0, "cp ."&amp;categories!G750&amp;" ../catalog/category"&amp;LEFT(categories!G750,6)&amp;";", "")</f>
        <v>cp ./img1/img6b79.jpg ../catalog/category/img1/;</v>
      </c>
      <c r="B750" t="str">
        <f>IF(LEN(categories!G750) &gt; 0, SUBSTITUTE("copy ."&amp;categories!G750&amp;" ./category"&amp;LEFT(categories!G750,6),"/","\"), "")</f>
        <v>copy .\img1\img6b79.jpg .\category\img1\</v>
      </c>
    </row>
    <row r="751" spans="1:2" x14ac:dyDescent="0.25">
      <c r="A751" t="str">
        <f>IF(LEN(categories!G751) &gt; 0, "cp ."&amp;categories!G751&amp;" ../catalog/category"&amp;LEFT(categories!G751,6)&amp;";", "")</f>
        <v>cp ./img2/img337d.jpg ../catalog/category/img2/;</v>
      </c>
      <c r="B751" t="str">
        <f>IF(LEN(categories!G751) &gt; 0, SUBSTITUTE("copy ."&amp;categories!G751&amp;" ./category"&amp;LEFT(categories!G751,6),"/","\"), "")</f>
        <v>copy .\img2\img337d.jpg .\category\img2\</v>
      </c>
    </row>
    <row r="752" spans="1:2" x14ac:dyDescent="0.25">
      <c r="A752" t="str">
        <f>IF(LEN(categories!G752) &gt; 0, "cp ."&amp;categories!G752&amp;" ../catalog/category"&amp;LEFT(categories!G752,6)&amp;";", "")</f>
        <v>cp ./img1/img0eca.jpg ../catalog/category/img1/;</v>
      </c>
      <c r="B752" t="str">
        <f>IF(LEN(categories!G752) &gt; 0, SUBSTITUTE("copy ."&amp;categories!G752&amp;" ./category"&amp;LEFT(categories!G752,6),"/","\"), "")</f>
        <v>copy .\img1\img0eca.jpg .\category\img1\</v>
      </c>
    </row>
    <row r="753" spans="1:2" x14ac:dyDescent="0.25">
      <c r="A753" t="str">
        <f>IF(LEN(categories!G753) &gt; 0, "cp ."&amp;categories!G753&amp;" ../catalog/category"&amp;LEFT(categories!G753,6)&amp;";", "")</f>
        <v>cp ./img2/img7f3a.jpg ../catalog/category/img2/;</v>
      </c>
      <c r="B753" t="str">
        <f>IF(LEN(categories!G753) &gt; 0, SUBSTITUTE("copy ."&amp;categories!G753&amp;" ./category"&amp;LEFT(categories!G753,6),"/","\"), "")</f>
        <v>copy .\img2\img7f3a.jpg .\category\img2\</v>
      </c>
    </row>
    <row r="754" spans="1:2" x14ac:dyDescent="0.25">
      <c r="A754" t="str">
        <f>IF(LEN(categories!G754) &gt; 0, "cp ."&amp;categories!G754&amp;" ../catalog/category"&amp;LEFT(categories!G754,6)&amp;";", "")</f>
        <v>cp ./img1/img1e3a.jpg ../catalog/category/img1/;</v>
      </c>
      <c r="B754" t="str">
        <f>IF(LEN(categories!G754) &gt; 0, SUBSTITUTE("copy ."&amp;categories!G754&amp;" ./category"&amp;LEFT(categories!G754,6),"/","\"), "")</f>
        <v>copy .\img1\img1e3a.jpg .\category\img1\</v>
      </c>
    </row>
    <row r="755" spans="1:2" x14ac:dyDescent="0.25">
      <c r="A755" t="str">
        <f>IF(LEN(categories!G755) &gt; 0, "cp ."&amp;categories!G755&amp;" ../catalog/category"&amp;LEFT(categories!G755,6)&amp;";", "")</f>
        <v>cp ./img1/imga34a.jpg ../catalog/category/img1/;</v>
      </c>
      <c r="B755" t="str">
        <f>IF(LEN(categories!G755) &gt; 0, SUBSTITUTE("copy ."&amp;categories!G755&amp;" ./category"&amp;LEFT(categories!G755,6),"/","\"), "")</f>
        <v>copy .\img1\imga34a.jpg .\category\img1\</v>
      </c>
    </row>
    <row r="756" spans="1:2" x14ac:dyDescent="0.25">
      <c r="A756" t="str">
        <f>IF(LEN(categories!G756) &gt; 0, "cp ."&amp;categories!G756&amp;" ../catalog/category"&amp;LEFT(categories!G756,6)&amp;";", "")</f>
        <v>cp ./img1/imgaaa4.jpg ../catalog/category/img1/;</v>
      </c>
      <c r="B756" t="str">
        <f>IF(LEN(categories!G756) &gt; 0, SUBSTITUTE("copy ."&amp;categories!G756&amp;" ./category"&amp;LEFT(categories!G756,6),"/","\"), "")</f>
        <v>copy .\img1\imgaaa4.jpg .\category\img1\</v>
      </c>
    </row>
    <row r="757" spans="1:2" x14ac:dyDescent="0.25">
      <c r="A757" t="str">
        <f>IF(LEN(categories!G757) &gt; 0, "cp ."&amp;categories!G757&amp;" ../catalog/category"&amp;LEFT(categories!G757,6)&amp;";", "")</f>
        <v>cp ./img2/img0bf2.jpg ../catalog/category/img2/;</v>
      </c>
      <c r="B757" t="str">
        <f>IF(LEN(categories!G757) &gt; 0, SUBSTITUTE("copy ."&amp;categories!G757&amp;" ./category"&amp;LEFT(categories!G757,6),"/","\"), "")</f>
        <v>copy .\img2\img0bf2.jpg .\category\img2\</v>
      </c>
    </row>
    <row r="758" spans="1:2" x14ac:dyDescent="0.25">
      <c r="A758" t="str">
        <f>IF(LEN(categories!G758) &gt; 0, "cp ."&amp;categories!G758&amp;" ../catalog/category"&amp;LEFT(categories!G758,6)&amp;";", "")</f>
        <v>cp ./img1/img8c5b.jpg ../catalog/category/img1/;</v>
      </c>
      <c r="B758" t="str">
        <f>IF(LEN(categories!G758) &gt; 0, SUBSTITUTE("copy ."&amp;categories!G758&amp;" ./category"&amp;LEFT(categories!G758,6),"/","\"), "")</f>
        <v>copy .\img1\img8c5b.jpg .\category\img1\</v>
      </c>
    </row>
    <row r="759" spans="1:2" x14ac:dyDescent="0.25">
      <c r="A759" t="str">
        <f>IF(LEN(categories!G759) &gt; 0, "cp ."&amp;categories!G759&amp;" ../catalog/category"&amp;LEFT(categories!G759,6)&amp;";", "")</f>
        <v>cp ./img2/img7e44.jpg ../catalog/category/img2/;</v>
      </c>
      <c r="B759" t="str">
        <f>IF(LEN(categories!G759) &gt; 0, SUBSTITUTE("copy ."&amp;categories!G759&amp;" ./category"&amp;LEFT(categories!G759,6),"/","\"), "")</f>
        <v>copy .\img2\img7e44.jpg .\category\img2\</v>
      </c>
    </row>
    <row r="760" spans="1:2" x14ac:dyDescent="0.25">
      <c r="A760" t="str">
        <f>IF(LEN(categories!G760) &gt; 0, "cp ."&amp;categories!G760&amp;" ../catalog/category"&amp;LEFT(categories!G760,6)&amp;";", "")</f>
        <v>cp ./img1/img8d58.jpg ../catalog/category/img1/;</v>
      </c>
      <c r="B760" t="str">
        <f>IF(LEN(categories!G760) &gt; 0, SUBSTITUTE("copy ."&amp;categories!G760&amp;" ./category"&amp;LEFT(categories!G760,6),"/","\"), "")</f>
        <v>copy .\img1\img8d58.jpg .\category\img1\</v>
      </c>
    </row>
    <row r="761" spans="1:2" x14ac:dyDescent="0.25">
      <c r="A761" t="str">
        <f>IF(LEN(categories!G761) &gt; 0, "cp ."&amp;categories!G761&amp;" ../catalog/category"&amp;LEFT(categories!G761,6)&amp;";", "")</f>
        <v>cp ./img3/imgbacd.jpg ../catalog/category/img3/;</v>
      </c>
      <c r="B761" t="str">
        <f>IF(LEN(categories!G761) &gt; 0, SUBSTITUTE("copy ."&amp;categories!G761&amp;" ./category"&amp;LEFT(categories!G761,6),"/","\"), "")</f>
        <v>copy .\img3\imgbacd.jpg .\category\img3\</v>
      </c>
    </row>
    <row r="762" spans="1:2" x14ac:dyDescent="0.25">
      <c r="A762" t="str">
        <f>IF(LEN(categories!G762) &gt; 0, "cp ."&amp;categories!G762&amp;" ../catalog/category"&amp;LEFT(categories!G762,6)&amp;";", "")</f>
        <v>cp ./img1/img9600.jpg ../catalog/category/img1/;</v>
      </c>
      <c r="B762" t="str">
        <f>IF(LEN(categories!G762) &gt; 0, SUBSTITUTE("copy ."&amp;categories!G762&amp;" ./category"&amp;LEFT(categories!G762,6),"/","\"), "")</f>
        <v>copy .\img1\img9600.jpg .\category\img1\</v>
      </c>
    </row>
    <row r="763" spans="1:2" x14ac:dyDescent="0.25">
      <c r="A763" t="str">
        <f>IF(LEN(categories!G763) &gt; 0, "cp ."&amp;categories!G763&amp;" ../catalog/category"&amp;LEFT(categories!G763,6)&amp;";", "")</f>
        <v>cp ./img3/img5ba3.jpg ../catalog/category/img3/;</v>
      </c>
      <c r="B763" t="str">
        <f>IF(LEN(categories!G763) &gt; 0, SUBSTITUTE("copy ."&amp;categories!G763&amp;" ./category"&amp;LEFT(categories!G763,6),"/","\"), "")</f>
        <v>copy .\img3\img5ba3.jpg .\category\img3\</v>
      </c>
    </row>
    <row r="764" spans="1:2" x14ac:dyDescent="0.25">
      <c r="A764" t="str">
        <f>IF(LEN(categories!G764) &gt; 0, "cp ."&amp;categories!G764&amp;" ../catalog/category"&amp;LEFT(categories!G764,6)&amp;";", "")</f>
        <v>cp ./img3/img000e.jpg ../catalog/category/img3/;</v>
      </c>
      <c r="B764" t="str">
        <f>IF(LEN(categories!G764) &gt; 0, SUBSTITUTE("copy ."&amp;categories!G764&amp;" ./category"&amp;LEFT(categories!G764,6),"/","\"), "")</f>
        <v>copy .\img3\img000e.jpg .\category\img3\</v>
      </c>
    </row>
    <row r="765" spans="1:2" x14ac:dyDescent="0.25">
      <c r="A765" t="str">
        <f>IF(LEN(categories!G765) &gt; 0, "cp ."&amp;categories!G765&amp;" ../catalog/category"&amp;LEFT(categories!G765,6)&amp;";", "")</f>
        <v>cp ./img2/img193c.jpg ../catalog/category/img2/;</v>
      </c>
      <c r="B765" t="str">
        <f>IF(LEN(categories!G765) &gt; 0, SUBSTITUTE("copy ."&amp;categories!G765&amp;" ./category"&amp;LEFT(categories!G765,6),"/","\"), "")</f>
        <v>copy .\img2\img193c.jpg .\category\img2\</v>
      </c>
    </row>
    <row r="766" spans="1:2" x14ac:dyDescent="0.25">
      <c r="A766" t="str">
        <f>IF(LEN(categories!G766) &gt; 0, "cp ."&amp;categories!G766&amp;" ../catalog/category"&amp;LEFT(categories!G766,6)&amp;";", "")</f>
        <v>cp ./img1/img682f.jpg ../catalog/category/img1/;</v>
      </c>
      <c r="B766" t="str">
        <f>IF(LEN(categories!G766) &gt; 0, SUBSTITUTE("copy ."&amp;categories!G766&amp;" ./category"&amp;LEFT(categories!G766,6),"/","\"), "")</f>
        <v>copy .\img1\img682f.jpg .\category\img1\</v>
      </c>
    </row>
    <row r="767" spans="1:2" x14ac:dyDescent="0.25">
      <c r="A767" t="str">
        <f>IF(LEN(categories!G767) &gt; 0, "cp ."&amp;categories!G767&amp;" ../catalog/category"&amp;LEFT(categories!G767,6)&amp;";", "")</f>
        <v>cp ./img2/imgc3d0.jpg ../catalog/category/img2/;</v>
      </c>
      <c r="B767" t="str">
        <f>IF(LEN(categories!G767) &gt; 0, SUBSTITUTE("copy ."&amp;categories!G767&amp;" ./category"&amp;LEFT(categories!G767,6),"/","\"), "")</f>
        <v>copy .\img2\imgc3d0.jpg .\category\img2\</v>
      </c>
    </row>
    <row r="768" spans="1:2" x14ac:dyDescent="0.25">
      <c r="A768" t="str">
        <f>IF(LEN(categories!G768) &gt; 0, "cp ."&amp;categories!G768&amp;" ../catalog/category"&amp;LEFT(categories!G768,6)&amp;";", "")</f>
        <v>cp ./img1/img3ea9.jpg ../catalog/category/img1/;</v>
      </c>
      <c r="B768" t="str">
        <f>IF(LEN(categories!G768) &gt; 0, SUBSTITUTE("copy ."&amp;categories!G768&amp;" ./category"&amp;LEFT(categories!G768,6),"/","\"), "")</f>
        <v>copy .\img1\img3ea9.jpg .\category\img1\</v>
      </c>
    </row>
    <row r="769" spans="1:2" x14ac:dyDescent="0.25">
      <c r="A769" t="str">
        <f>IF(LEN(categories!G769) &gt; 0, "cp ."&amp;categories!G769&amp;" ../catalog/category"&amp;LEFT(categories!G769,6)&amp;";", "")</f>
        <v>cp ./img2/imgbcf2.jpg ../catalog/category/img2/;</v>
      </c>
      <c r="B769" t="str">
        <f>IF(LEN(categories!G769) &gt; 0, SUBSTITUTE("copy ."&amp;categories!G769&amp;" ./category"&amp;LEFT(categories!G769,6),"/","\"), "")</f>
        <v>copy .\img2\imgbcf2.jpg .\category\img2\</v>
      </c>
    </row>
    <row r="770" spans="1:2" x14ac:dyDescent="0.25">
      <c r="A770" t="str">
        <f>IF(LEN(categories!G770) &gt; 0, "cp ."&amp;categories!G770&amp;" ../catalog/category"&amp;LEFT(categories!G770,6)&amp;";", "")</f>
        <v>cp ./img3/img8ca8.jpg ../catalog/category/img3/;</v>
      </c>
      <c r="B770" t="str">
        <f>IF(LEN(categories!G770) &gt; 0, SUBSTITUTE("copy ."&amp;categories!G770&amp;" ./category"&amp;LEFT(categories!G770,6),"/","\"), "")</f>
        <v>copy .\img3\img8ca8.jpg .\category\img3\</v>
      </c>
    </row>
    <row r="771" spans="1:2" x14ac:dyDescent="0.25">
      <c r="A771" t="str">
        <f>IF(LEN(categories!G771) &gt; 0, "cp ."&amp;categories!G771&amp;" ../catalog/category"&amp;LEFT(categories!G771,6)&amp;";", "")</f>
        <v>cp ./img2/img8838.jpg ../catalog/category/img2/;</v>
      </c>
      <c r="B771" t="str">
        <f>IF(LEN(categories!G771) &gt; 0, SUBSTITUTE("copy ."&amp;categories!G771&amp;" ./category"&amp;LEFT(categories!G771,6),"/","\"), "")</f>
        <v>copy .\img2\img8838.jpg .\category\img2\</v>
      </c>
    </row>
    <row r="772" spans="1:2" x14ac:dyDescent="0.25">
      <c r="A772" t="str">
        <f>IF(LEN(categories!G772) &gt; 0, "cp ."&amp;categories!G772&amp;" ../catalog/category"&amp;LEFT(categories!G772,6)&amp;";", "")</f>
        <v>cp ./img2/img6e9f.jpg ../catalog/category/img2/;</v>
      </c>
      <c r="B772" t="str">
        <f>IF(LEN(categories!G772) &gt; 0, SUBSTITUTE("copy ."&amp;categories!G772&amp;" ./category"&amp;LEFT(categories!G772,6),"/","\"), "")</f>
        <v>copy .\img2\img6e9f.jpg .\category\img2\</v>
      </c>
    </row>
    <row r="773" spans="1:2" x14ac:dyDescent="0.25">
      <c r="A773" t="str">
        <f>IF(LEN(categories!G773) &gt; 0, "cp ."&amp;categories!G773&amp;" ../catalog/category"&amp;LEFT(categories!G773,6)&amp;";", "")</f>
        <v>cp ./img1/img27af.jpg ../catalog/category/img1/;</v>
      </c>
      <c r="B773" t="str">
        <f>IF(LEN(categories!G773) &gt; 0, SUBSTITUTE("copy ."&amp;categories!G773&amp;" ./category"&amp;LEFT(categories!G773,6),"/","\"), "")</f>
        <v>copy .\img1\img27af.jpg .\category\img1\</v>
      </c>
    </row>
    <row r="774" spans="1:2" x14ac:dyDescent="0.25">
      <c r="A774" t="str">
        <f>IF(LEN(categories!G774) &gt; 0, "cp ."&amp;categories!G774&amp;" ../catalog/category"&amp;LEFT(categories!G774,6)&amp;";", "")</f>
        <v>cp ./img1/img82d9.jpg ../catalog/category/img1/;</v>
      </c>
      <c r="B774" t="str">
        <f>IF(LEN(categories!G774) &gt; 0, SUBSTITUTE("copy ."&amp;categories!G774&amp;" ./category"&amp;LEFT(categories!G774,6),"/","\"), "")</f>
        <v>copy .\img1\img82d9.jpg .\category\img1\</v>
      </c>
    </row>
    <row r="775" spans="1:2" x14ac:dyDescent="0.25">
      <c r="A775" t="str">
        <f>IF(LEN(categories!G775) &gt; 0, "cp ."&amp;categories!G775&amp;" ../catalog/category"&amp;LEFT(categories!G775,6)&amp;";", "")</f>
        <v>cp ./img3/img81da.jpg ../catalog/category/img3/;</v>
      </c>
      <c r="B775" t="str">
        <f>IF(LEN(categories!G775) &gt; 0, SUBSTITUTE("copy ."&amp;categories!G775&amp;" ./category"&amp;LEFT(categories!G775,6),"/","\"), "")</f>
        <v>copy .\img3\img81da.jpg .\category\img3\</v>
      </c>
    </row>
    <row r="776" spans="1:2" x14ac:dyDescent="0.25">
      <c r="A776" t="str">
        <f>IF(LEN(categories!G776) &gt; 0, "cp ."&amp;categories!G776&amp;" ../catalog/category"&amp;LEFT(categories!G776,6)&amp;";", "")</f>
        <v>cp ./img3/imgb971.jpg ../catalog/category/img3/;</v>
      </c>
      <c r="B776" t="str">
        <f>IF(LEN(categories!G776) &gt; 0, SUBSTITUTE("copy ."&amp;categories!G776&amp;" ./category"&amp;LEFT(categories!G776,6),"/","\"), "")</f>
        <v>copy .\img3\imgb971.jpg .\category\img3\</v>
      </c>
    </row>
    <row r="777" spans="1:2" x14ac:dyDescent="0.25">
      <c r="A777" t="str">
        <f>IF(LEN(categories!G777) &gt; 0, "cp ."&amp;categories!G777&amp;" ../catalog/category"&amp;LEFT(categories!G777,6)&amp;";", "")</f>
        <v>cp ./img2/img6aba.jpg ../catalog/category/img2/;</v>
      </c>
      <c r="B777" t="str">
        <f>IF(LEN(categories!G777) &gt; 0, SUBSTITUTE("copy ."&amp;categories!G777&amp;" ./category"&amp;LEFT(categories!G777,6),"/","\"), "")</f>
        <v>copy .\img2\img6aba.jpg .\category\img2\</v>
      </c>
    </row>
    <row r="778" spans="1:2" x14ac:dyDescent="0.25">
      <c r="A778" t="str">
        <f>IF(LEN(categories!G778) &gt; 0, "cp ."&amp;categories!G778&amp;" ../catalog/category"&amp;LEFT(categories!G778,6)&amp;";", "")</f>
        <v>cp ./img2/imgc08f.jpg ../catalog/category/img2/;</v>
      </c>
      <c r="B778" t="str">
        <f>IF(LEN(categories!G778) &gt; 0, SUBSTITUTE("copy ."&amp;categories!G778&amp;" ./category"&amp;LEFT(categories!G778,6),"/","\"), "")</f>
        <v>copy .\img2\imgc08f.jpg .\category\img2\</v>
      </c>
    </row>
    <row r="779" spans="1:2" x14ac:dyDescent="0.25">
      <c r="A779" t="str">
        <f>IF(LEN(categories!G779) &gt; 0, "cp ."&amp;categories!G779&amp;" ../catalog/category"&amp;LEFT(categories!G779,6)&amp;";", "")</f>
        <v>cp ./img3/img8ac6.jpg ../catalog/category/img3/;</v>
      </c>
      <c r="B779" t="str">
        <f>IF(LEN(categories!G779) &gt; 0, SUBSTITUTE("copy ."&amp;categories!G779&amp;" ./category"&amp;LEFT(categories!G779,6),"/","\"), "")</f>
        <v>copy .\img3\img8ac6.jpg .\category\img3\</v>
      </c>
    </row>
    <row r="780" spans="1:2" x14ac:dyDescent="0.25">
      <c r="A780" t="str">
        <f>IF(LEN(categories!G780) &gt; 0, "cp ."&amp;categories!G780&amp;" ../catalog/category"&amp;LEFT(categories!G780,6)&amp;";", "")</f>
        <v>cp ./img1/img5025.jpg ../catalog/category/img1/;</v>
      </c>
      <c r="B780" t="str">
        <f>IF(LEN(categories!G780) &gt; 0, SUBSTITUTE("copy ."&amp;categories!G780&amp;" ./category"&amp;LEFT(categories!G780,6),"/","\"), "")</f>
        <v>copy .\img1\img5025.jpg .\category\img1\</v>
      </c>
    </row>
    <row r="781" spans="1:2" x14ac:dyDescent="0.25">
      <c r="A781" t="str">
        <f>IF(LEN(categories!G781) &gt; 0, "cp ."&amp;categories!G781&amp;" ../catalog/category"&amp;LEFT(categories!G781,6)&amp;";", "")</f>
        <v>cp ./img3/img6c91.jpg ../catalog/category/img3/;</v>
      </c>
      <c r="B781" t="str">
        <f>IF(LEN(categories!G781) &gt; 0, SUBSTITUTE("copy ."&amp;categories!G781&amp;" ./category"&amp;LEFT(categories!G781,6),"/","\"), "")</f>
        <v>copy .\img3\img6c91.jpg .\category\img3\</v>
      </c>
    </row>
    <row r="782" spans="1:2" x14ac:dyDescent="0.25">
      <c r="A782" t="str">
        <f>IF(LEN(categories!G782) &gt; 0, "cp ."&amp;categories!G782&amp;" ../catalog/category"&amp;LEFT(categories!G782,6)&amp;";", "")</f>
        <v>cp ./img3/img9e20.jpg ../catalog/category/img3/;</v>
      </c>
      <c r="B782" t="str">
        <f>IF(LEN(categories!G782) &gt; 0, SUBSTITUTE("copy ."&amp;categories!G782&amp;" ./category"&amp;LEFT(categories!G782,6),"/","\"), "")</f>
        <v>copy .\img3\img9e20.jpg .\category\img3\</v>
      </c>
    </row>
    <row r="783" spans="1:2" x14ac:dyDescent="0.25">
      <c r="A783" t="str">
        <f>IF(LEN(categories!G783) &gt; 0, "cp ."&amp;categories!G783&amp;" ../catalog/category"&amp;LEFT(categories!G783,6)&amp;";", "")</f>
        <v>cp ./img1/img9a18.jpg ../catalog/category/img1/;</v>
      </c>
      <c r="B783" t="str">
        <f>IF(LEN(categories!G783) &gt; 0, SUBSTITUTE("copy ."&amp;categories!G783&amp;" ./category"&amp;LEFT(categories!G783,6),"/","\"), "")</f>
        <v>copy .\img1\img9a18.jpg .\category\img1\</v>
      </c>
    </row>
    <row r="784" spans="1:2" x14ac:dyDescent="0.25">
      <c r="A784" t="str">
        <f>IF(LEN(categories!G784) &gt; 0, "cp ."&amp;categories!G784&amp;" ../catalog/category"&amp;LEFT(categories!G784,6)&amp;";", "")</f>
        <v>cp ./img2/img251a.jpg ../catalog/category/img2/;</v>
      </c>
      <c r="B784" t="str">
        <f>IF(LEN(categories!G784) &gt; 0, SUBSTITUTE("copy ."&amp;categories!G784&amp;" ./category"&amp;LEFT(categories!G784,6),"/","\"), "")</f>
        <v>copy .\img2\img251a.jpg .\category\img2\</v>
      </c>
    </row>
    <row r="785" spans="1:2" x14ac:dyDescent="0.25">
      <c r="A785" t="str">
        <f>IF(LEN(categories!G785) &gt; 0, "cp ."&amp;categories!G785&amp;" ../catalog/category"&amp;LEFT(categories!G785,6)&amp;";", "")</f>
        <v>cp ./img1/imgbfda.jpg ../catalog/category/img1/;</v>
      </c>
      <c r="B785" t="str">
        <f>IF(LEN(categories!G785) &gt; 0, SUBSTITUTE("copy ."&amp;categories!G785&amp;" ./category"&amp;LEFT(categories!G785,6),"/","\"), "")</f>
        <v>copy .\img1\imgbfda.jpg .\category\img1\</v>
      </c>
    </row>
    <row r="786" spans="1:2" x14ac:dyDescent="0.25">
      <c r="A786" t="str">
        <f>IF(LEN(categories!G786) &gt; 0, "cp ."&amp;categories!G786&amp;" ../catalog/category"&amp;LEFT(categories!G786,6)&amp;";", "")</f>
        <v>cp ./img3/img6732.jpg ../catalog/category/img3/;</v>
      </c>
      <c r="B786" t="str">
        <f>IF(LEN(categories!G786) &gt; 0, SUBSTITUTE("copy ."&amp;categories!G786&amp;" ./category"&amp;LEFT(categories!G786,6),"/","\"), "")</f>
        <v>copy .\img3\img6732.jpg .\category\img3\</v>
      </c>
    </row>
    <row r="787" spans="1:2" x14ac:dyDescent="0.25">
      <c r="A787" t="str">
        <f>IF(LEN(categories!G787) &gt; 0, "cp ."&amp;categories!G787&amp;" ../catalog/category"&amp;LEFT(categories!G787,6)&amp;";", "")</f>
        <v>cp ./img1/img556f.jpg ../catalog/category/img1/;</v>
      </c>
      <c r="B787" t="str">
        <f>IF(LEN(categories!G787) &gt; 0, SUBSTITUTE("copy ."&amp;categories!G787&amp;" ./category"&amp;LEFT(categories!G787,6),"/","\"), "")</f>
        <v>copy .\img1\img556f.jpg .\category\img1\</v>
      </c>
    </row>
    <row r="788" spans="1:2" x14ac:dyDescent="0.25">
      <c r="A788" t="str">
        <f>IF(LEN(categories!G788) &gt; 0, "cp ."&amp;categories!G788&amp;" ../catalog/category"&amp;LEFT(categories!G788,6)&amp;";", "")</f>
        <v>cp ./img1/img117e.jpg ../catalog/category/img1/;</v>
      </c>
      <c r="B788" t="str">
        <f>IF(LEN(categories!G788) &gt; 0, SUBSTITUTE("copy ."&amp;categories!G788&amp;" ./category"&amp;LEFT(categories!G788,6),"/","\"), "")</f>
        <v>copy .\img1\img117e.jpg .\category\img1\</v>
      </c>
    </row>
    <row r="789" spans="1:2" x14ac:dyDescent="0.25">
      <c r="A789" t="str">
        <f>IF(LEN(categories!G789) &gt; 0, "cp ."&amp;categories!G789&amp;" ../catalog/category"&amp;LEFT(categories!G789,6)&amp;";", "")</f>
        <v>cp ./img3/img0528.jpg ../catalog/category/img3/;</v>
      </c>
      <c r="B789" t="str">
        <f>IF(LEN(categories!G789) &gt; 0, SUBSTITUTE("copy ."&amp;categories!G789&amp;" ./category"&amp;LEFT(categories!G789,6),"/","\"), "")</f>
        <v>copy .\img3\img0528.jpg .\category\img3\</v>
      </c>
    </row>
    <row r="790" spans="1:2" x14ac:dyDescent="0.25">
      <c r="A790" t="str">
        <f>IF(LEN(categories!G790) &gt; 0, "cp ."&amp;categories!G790&amp;" ../catalog/category"&amp;LEFT(categories!G790,6)&amp;";", "")</f>
        <v>cp ./img2/imgf449.jpg ../catalog/category/img2/;</v>
      </c>
      <c r="B790" t="str">
        <f>IF(LEN(categories!G790) &gt; 0, SUBSTITUTE("copy ."&amp;categories!G790&amp;" ./category"&amp;LEFT(categories!G790,6),"/","\"), "")</f>
        <v>copy .\img2\imgf449.jpg .\category\img2\</v>
      </c>
    </row>
    <row r="791" spans="1:2" x14ac:dyDescent="0.25">
      <c r="A791" t="str">
        <f>IF(LEN(categories!G791) &gt; 0, "cp ."&amp;categories!G791&amp;" ../catalog/category"&amp;LEFT(categories!G791,6)&amp;";", "")</f>
        <v>cp ./img2/img4be0.jpg ../catalog/category/img2/;</v>
      </c>
      <c r="B791" t="str">
        <f>IF(LEN(categories!G791) &gt; 0, SUBSTITUTE("copy ."&amp;categories!G791&amp;" ./category"&amp;LEFT(categories!G791,6),"/","\"), "")</f>
        <v>copy .\img2\img4be0.jpg .\category\img2\</v>
      </c>
    </row>
    <row r="792" spans="1:2" x14ac:dyDescent="0.25">
      <c r="A792" t="str">
        <f>IF(LEN(categories!G792) &gt; 0, "cp ."&amp;categories!G792&amp;" ../catalog/category"&amp;LEFT(categories!G792,6)&amp;";", "")</f>
        <v>cp ./img1/img16ca.jpg ../catalog/category/img1/;</v>
      </c>
      <c r="B792" t="str">
        <f>IF(LEN(categories!G792) &gt; 0, SUBSTITUTE("copy ."&amp;categories!G792&amp;" ./category"&amp;LEFT(categories!G792,6),"/","\"), "")</f>
        <v>copy .\img1\img16ca.jpg .\category\img1\</v>
      </c>
    </row>
    <row r="793" spans="1:2" x14ac:dyDescent="0.25">
      <c r="A793" t="str">
        <f>IF(LEN(categories!G793) &gt; 0, "cp ."&amp;categories!G793&amp;" ../catalog/category"&amp;LEFT(categories!G793,6)&amp;";", "")</f>
        <v>cp ./img1/img4715.jpg ../catalog/category/img1/;</v>
      </c>
      <c r="B793" t="str">
        <f>IF(LEN(categories!G793) &gt; 0, SUBSTITUTE("copy ."&amp;categories!G793&amp;" ./category"&amp;LEFT(categories!G793,6),"/","\"), "")</f>
        <v>copy .\img1\img4715.jpg .\category\img1\</v>
      </c>
    </row>
    <row r="794" spans="1:2" x14ac:dyDescent="0.25">
      <c r="A794" t="str">
        <f>IF(LEN(categories!G794) &gt; 0, "cp ."&amp;categories!G794&amp;" ../catalog/category"&amp;LEFT(categories!G794,6)&amp;";", "")</f>
        <v>cp ./img1/img0344.jpg ../catalog/category/img1/;</v>
      </c>
      <c r="B794" t="str">
        <f>IF(LEN(categories!G794) &gt; 0, SUBSTITUTE("copy ."&amp;categories!G794&amp;" ./category"&amp;LEFT(categories!G794,6),"/","\"), "")</f>
        <v>copy .\img1\img0344.jpg .\category\img1\</v>
      </c>
    </row>
    <row r="795" spans="1:2" x14ac:dyDescent="0.25">
      <c r="A795" t="str">
        <f>IF(LEN(categories!G795) &gt; 0, "cp ."&amp;categories!G795&amp;" ../catalog/category"&amp;LEFT(categories!G795,6)&amp;";", "")</f>
        <v>cp ./img1/img56b7.jpg ../catalog/category/img1/;</v>
      </c>
      <c r="B795" t="str">
        <f>IF(LEN(categories!G795) &gt; 0, SUBSTITUTE("copy ."&amp;categories!G795&amp;" ./category"&amp;LEFT(categories!G795,6),"/","\"), "")</f>
        <v>copy .\img1\img56b7.jpg .\category\img1\</v>
      </c>
    </row>
    <row r="796" spans="1:2" x14ac:dyDescent="0.25">
      <c r="A796" t="str">
        <f>IF(LEN(categories!G796) &gt; 0, "cp ."&amp;categories!G796&amp;" ../catalog/category"&amp;LEFT(categories!G796,6)&amp;";", "")</f>
        <v>cp ./img1/img4847.jpg ../catalog/category/img1/;</v>
      </c>
      <c r="B796" t="str">
        <f>IF(LEN(categories!G796) &gt; 0, SUBSTITUTE("copy ."&amp;categories!G796&amp;" ./category"&amp;LEFT(categories!G796,6),"/","\"), "")</f>
        <v>copy .\img1\img4847.jpg .\category\img1\</v>
      </c>
    </row>
    <row r="797" spans="1:2" x14ac:dyDescent="0.25">
      <c r="A797" t="str">
        <f>IF(LEN(categories!G797) &gt; 0, "cp ."&amp;categories!G797&amp;" ../catalog/category"&amp;LEFT(categories!G797,6)&amp;";", "")</f>
        <v>cp ./img1/imgb952.jpg ../catalog/category/img1/;</v>
      </c>
      <c r="B797" t="str">
        <f>IF(LEN(categories!G797) &gt; 0, SUBSTITUTE("copy ."&amp;categories!G797&amp;" ./category"&amp;LEFT(categories!G797,6),"/","\"), "")</f>
        <v>copy .\img1\imgb952.jpg .\category\img1\</v>
      </c>
    </row>
    <row r="798" spans="1:2" x14ac:dyDescent="0.25">
      <c r="A798" t="str">
        <f>IF(LEN(categories!G798) &gt; 0, "cp ."&amp;categories!G798&amp;" ../catalog/category"&amp;LEFT(categories!G798,6)&amp;";", "")</f>
        <v>cp ./img3/img6300.jpg ../catalog/category/img3/;</v>
      </c>
      <c r="B798" t="str">
        <f>IF(LEN(categories!G798) &gt; 0, SUBSTITUTE("copy ."&amp;categories!G798&amp;" ./category"&amp;LEFT(categories!G798,6),"/","\"), "")</f>
        <v>copy .\img3\img6300.jpg .\category\img3\</v>
      </c>
    </row>
    <row r="799" spans="1:2" x14ac:dyDescent="0.25">
      <c r="A799" t="str">
        <f>IF(LEN(categories!G799) &gt; 0, "cp ."&amp;categories!G799&amp;" ../catalog/category"&amp;LEFT(categories!G799,6)&amp;";", "")</f>
        <v>cp ./img1/imgd431.jpg ../catalog/category/img1/;</v>
      </c>
      <c r="B799" t="str">
        <f>IF(LEN(categories!G799) &gt; 0, SUBSTITUTE("copy ."&amp;categories!G799&amp;" ./category"&amp;LEFT(categories!G799,6),"/","\"), "")</f>
        <v>copy .\img1\imgd431.jpg .\category\img1\</v>
      </c>
    </row>
    <row r="800" spans="1:2" x14ac:dyDescent="0.25">
      <c r="A800" t="str">
        <f>IF(LEN(categories!G800) &gt; 0, "cp ."&amp;categories!G800&amp;" ../catalog/category"&amp;LEFT(categories!G800,6)&amp;";", "")</f>
        <v>cp ./img2/img2663.jpg ../catalog/category/img2/;</v>
      </c>
      <c r="B800" t="str">
        <f>IF(LEN(categories!G800) &gt; 0, SUBSTITUTE("copy ."&amp;categories!G800&amp;" ./category"&amp;LEFT(categories!G800,6),"/","\"), "")</f>
        <v>copy .\img2\img2663.jpg .\category\img2\</v>
      </c>
    </row>
    <row r="801" spans="1:2" x14ac:dyDescent="0.25">
      <c r="A801" t="str">
        <f>IF(LEN(categories!G801) &gt; 0, "cp ."&amp;categories!G801&amp;" ../catalog/category"&amp;LEFT(categories!G801,6)&amp;";", "")</f>
        <v>cp ./img1/imge46a.jpg ../catalog/category/img1/;</v>
      </c>
      <c r="B801" t="str">
        <f>IF(LEN(categories!G801) &gt; 0, SUBSTITUTE("copy ."&amp;categories!G801&amp;" ./category"&amp;LEFT(categories!G801,6),"/","\"), "")</f>
        <v>copy .\img1\imge46a.jpg .\category\img1\</v>
      </c>
    </row>
    <row r="802" spans="1:2" x14ac:dyDescent="0.25">
      <c r="A802" t="str">
        <f>IF(LEN(categories!G802) &gt; 0, "cp ."&amp;categories!G802&amp;" ../catalog/category"&amp;LEFT(categories!G802,6)&amp;";", "")</f>
        <v>cp ./img2/img99f0.jpg ../catalog/category/img2/;</v>
      </c>
      <c r="B802" t="str">
        <f>IF(LEN(categories!G802) &gt; 0, SUBSTITUTE("copy ."&amp;categories!G802&amp;" ./category"&amp;LEFT(categories!G802,6),"/","\"), "")</f>
        <v>copy .\img2\img99f0.jpg .\category\img2\</v>
      </c>
    </row>
    <row r="803" spans="1:2" x14ac:dyDescent="0.25">
      <c r="A803" t="str">
        <f>IF(LEN(categories!G803) &gt; 0, "cp ."&amp;categories!G803&amp;" ../catalog/category"&amp;LEFT(categories!G803,6)&amp;";", "")</f>
        <v>cp ./img3/img2c00.jpg ../catalog/category/img3/;</v>
      </c>
      <c r="B803" t="str">
        <f>IF(LEN(categories!G803) &gt; 0, SUBSTITUTE("copy ."&amp;categories!G803&amp;" ./category"&amp;LEFT(categories!G803,6),"/","\"), "")</f>
        <v>copy .\img3\img2c00.jpg .\category\img3\</v>
      </c>
    </row>
    <row r="804" spans="1:2" x14ac:dyDescent="0.25">
      <c r="A804" t="str">
        <f>IF(LEN(categories!G804) &gt; 0, "cp ."&amp;categories!G804&amp;" ../catalog/category"&amp;LEFT(categories!G804,6)&amp;";", "")</f>
        <v>cp ./img3/img425d.jpg ../catalog/category/img3/;</v>
      </c>
      <c r="B804" t="str">
        <f>IF(LEN(categories!G804) &gt; 0, SUBSTITUTE("copy ."&amp;categories!G804&amp;" ./category"&amp;LEFT(categories!G804,6),"/","\"), "")</f>
        <v>copy .\img3\img425d.jpg .\category\img3\</v>
      </c>
    </row>
    <row r="805" spans="1:2" x14ac:dyDescent="0.25">
      <c r="A805" t="str">
        <f>IF(LEN(categories!G805) &gt; 0, "cp ."&amp;categories!G805&amp;" ../catalog/category"&amp;LEFT(categories!G805,6)&amp;";", "")</f>
        <v>cp ./img1/img69c1.jpg ../catalog/category/img1/;</v>
      </c>
      <c r="B805" t="str">
        <f>IF(LEN(categories!G805) &gt; 0, SUBSTITUTE("copy ."&amp;categories!G805&amp;" ./category"&amp;LEFT(categories!G805,6),"/","\"), "")</f>
        <v>copy .\img1\img69c1.jpg .\category\img1\</v>
      </c>
    </row>
    <row r="806" spans="1:2" x14ac:dyDescent="0.25">
      <c r="A806" t="str">
        <f>IF(LEN(categories!G806) &gt; 0, "cp ."&amp;categories!G806&amp;" ../catalog/category"&amp;LEFT(categories!G806,6)&amp;";", "")</f>
        <v>cp ./img2/img668b.jpg ../catalog/category/img2/;</v>
      </c>
      <c r="B806" t="str">
        <f>IF(LEN(categories!G806) &gt; 0, SUBSTITUTE("copy ."&amp;categories!G806&amp;" ./category"&amp;LEFT(categories!G806,6),"/","\"), "")</f>
        <v>copy .\img2\img668b.jpg .\category\img2\</v>
      </c>
    </row>
    <row r="807" spans="1:2" x14ac:dyDescent="0.25">
      <c r="A807" t="str">
        <f>IF(LEN(categories!G807) &gt; 0, "cp ."&amp;categories!G807&amp;" ../catalog/category"&amp;LEFT(categories!G807,6)&amp;";", "")</f>
        <v>cp ./img1/img2d9c.jpg ../catalog/category/img1/;</v>
      </c>
      <c r="B807" t="str">
        <f>IF(LEN(categories!G807) &gt; 0, SUBSTITUTE("copy ."&amp;categories!G807&amp;" ./category"&amp;LEFT(categories!G807,6),"/","\"), "")</f>
        <v>copy .\img1\img2d9c.jpg .\category\img1\</v>
      </c>
    </row>
    <row r="808" spans="1:2" x14ac:dyDescent="0.25">
      <c r="A808" t="str">
        <f>IF(LEN(categories!G808) &gt; 0, "cp ."&amp;categories!G808&amp;" ../catalog/category"&amp;LEFT(categories!G808,6)&amp;";", "")</f>
        <v>cp ./img1/imgadda.jpg ../catalog/category/img1/;</v>
      </c>
      <c r="B808" t="str">
        <f>IF(LEN(categories!G808) &gt; 0, SUBSTITUTE("copy ."&amp;categories!G808&amp;" ./category"&amp;LEFT(categories!G808,6),"/","\"), "")</f>
        <v>copy .\img1\imgadda.jpg .\category\img1\</v>
      </c>
    </row>
    <row r="809" spans="1:2" x14ac:dyDescent="0.25">
      <c r="A809" t="str">
        <f>IF(LEN(categories!G809) &gt; 0, "cp ."&amp;categories!G809&amp;" ../catalog/category"&amp;LEFT(categories!G809,6)&amp;";", "")</f>
        <v>cp ./img2/img6459.jpg ../catalog/category/img2/;</v>
      </c>
      <c r="B809" t="str">
        <f>IF(LEN(categories!G809) &gt; 0, SUBSTITUTE("copy ."&amp;categories!G809&amp;" ./category"&amp;LEFT(categories!G809,6),"/","\"), "")</f>
        <v>copy .\img2\img6459.jpg .\category\img2\</v>
      </c>
    </row>
    <row r="810" spans="1:2" x14ac:dyDescent="0.25">
      <c r="A810" t="str">
        <f>IF(LEN(categories!G810) &gt; 0, "cp ."&amp;categories!G810&amp;" ../catalog/category"&amp;LEFT(categories!G810,6)&amp;";", "")</f>
        <v>cp ./img3/img03f1.jpg ../catalog/category/img3/;</v>
      </c>
      <c r="B810" t="str">
        <f>IF(LEN(categories!G810) &gt; 0, SUBSTITUTE("copy ."&amp;categories!G810&amp;" ./category"&amp;LEFT(categories!G810,6),"/","\"), "")</f>
        <v>copy .\img3\img03f1.jpg .\category\img3\</v>
      </c>
    </row>
    <row r="811" spans="1:2" x14ac:dyDescent="0.25">
      <c r="A811" t="str">
        <f>IF(LEN(categories!G811) &gt; 0, "cp ."&amp;categories!G811&amp;" ../catalog/category"&amp;LEFT(categories!G811,6)&amp;";", "")</f>
        <v>cp ./img3/imgd8f2.jpg ../catalog/category/img3/;</v>
      </c>
      <c r="B811" t="str">
        <f>IF(LEN(categories!G811) &gt; 0, SUBSTITUTE("copy ."&amp;categories!G811&amp;" ./category"&amp;LEFT(categories!G811,6),"/","\"), "")</f>
        <v>copy .\img3\imgd8f2.jpg .\category\img3\</v>
      </c>
    </row>
    <row r="812" spans="1:2" x14ac:dyDescent="0.25">
      <c r="A812" t="str">
        <f>IF(LEN(categories!G812) &gt; 0, "cp ."&amp;categories!G812&amp;" ../catalog/category"&amp;LEFT(categories!G812,6)&amp;";", "")</f>
        <v>cp ./img1/img329f.jpg ../catalog/category/img1/;</v>
      </c>
      <c r="B812" t="str">
        <f>IF(LEN(categories!G812) &gt; 0, SUBSTITUTE("copy ."&amp;categories!G812&amp;" ./category"&amp;LEFT(categories!G812,6),"/","\"), "")</f>
        <v>copy .\img1\img329f.jpg .\category\img1\</v>
      </c>
    </row>
    <row r="813" spans="1:2" x14ac:dyDescent="0.25">
      <c r="A813" t="str">
        <f>IF(LEN(categories!G813) &gt; 0, "cp ."&amp;categories!G813&amp;" ../catalog/category"&amp;LEFT(categories!G813,6)&amp;";", "")</f>
        <v>cp ./img1/img73d0.jpg ../catalog/category/img1/;</v>
      </c>
      <c r="B813" t="str">
        <f>IF(LEN(categories!G813) &gt; 0, SUBSTITUTE("copy ."&amp;categories!G813&amp;" ./category"&amp;LEFT(categories!G813,6),"/","\"), "")</f>
        <v>copy .\img1\img73d0.jpg .\category\img1\</v>
      </c>
    </row>
    <row r="814" spans="1:2" x14ac:dyDescent="0.25">
      <c r="A814" t="str">
        <f>IF(LEN(categories!G814) &gt; 0, "cp ."&amp;categories!G814&amp;" ../catalog/category"&amp;LEFT(categories!G814,6)&amp;";", "")</f>
        <v>cp ./img2/img8816.jpg ../catalog/category/img2/;</v>
      </c>
      <c r="B814" t="str">
        <f>IF(LEN(categories!G814) &gt; 0, SUBSTITUTE("copy ."&amp;categories!G814&amp;" ./category"&amp;LEFT(categories!G814,6),"/","\"), "")</f>
        <v>copy .\img2\img8816.jpg .\category\img2\</v>
      </c>
    </row>
    <row r="815" spans="1:2" x14ac:dyDescent="0.25">
      <c r="A815" t="str">
        <f>IF(LEN(categories!G815) &gt; 0, "cp ."&amp;categories!G815&amp;" ../catalog/category"&amp;LEFT(categories!G815,6)&amp;";", "")</f>
        <v>cp ./img3/imgcb13.jpg ../catalog/category/img3/;</v>
      </c>
      <c r="B815" t="str">
        <f>IF(LEN(categories!G815) &gt; 0, SUBSTITUTE("copy ."&amp;categories!G815&amp;" ./category"&amp;LEFT(categories!G815,6),"/","\"), "")</f>
        <v>copy .\img3\imgcb13.jpg .\category\img3\</v>
      </c>
    </row>
    <row r="816" spans="1:2" x14ac:dyDescent="0.25">
      <c r="A816" t="str">
        <f>IF(LEN(categories!G816) &gt; 0, "cp ."&amp;categories!G816&amp;" ../catalog/category"&amp;LEFT(categories!G816,6)&amp;";", "")</f>
        <v>cp ./img2/img4f89.jpg ../catalog/category/img2/;</v>
      </c>
      <c r="B816" t="str">
        <f>IF(LEN(categories!G816) &gt; 0, SUBSTITUTE("copy ."&amp;categories!G816&amp;" ./category"&amp;LEFT(categories!G816,6),"/","\"), "")</f>
        <v>copy .\img2\img4f89.jpg .\category\img2\</v>
      </c>
    </row>
    <row r="817" spans="1:2" x14ac:dyDescent="0.25">
      <c r="A817" t="str">
        <f>IF(LEN(categories!G817) &gt; 0, "cp ."&amp;categories!G817&amp;" ../catalog/category"&amp;LEFT(categories!G817,6)&amp;";", "")</f>
        <v>cp ./img2/img5aab.jpg ../catalog/category/img2/;</v>
      </c>
      <c r="B817" t="str">
        <f>IF(LEN(categories!G817) &gt; 0, SUBSTITUTE("copy ."&amp;categories!G817&amp;" ./category"&amp;LEFT(categories!G817,6),"/","\"), "")</f>
        <v>copy .\img2\img5aab.jpg .\category\img2\</v>
      </c>
    </row>
    <row r="818" spans="1:2" x14ac:dyDescent="0.25">
      <c r="A818" t="str">
        <f>IF(LEN(categories!G818) &gt; 0, "cp ."&amp;categories!G818&amp;" ../catalog/category"&amp;LEFT(categories!G818,6)&amp;";", "")</f>
        <v>cp ./img2/imgb328.jpg ../catalog/category/img2/;</v>
      </c>
      <c r="B818" t="str">
        <f>IF(LEN(categories!G818) &gt; 0, SUBSTITUTE("copy ."&amp;categories!G818&amp;" ./category"&amp;LEFT(categories!G818,6),"/","\"), "")</f>
        <v>copy .\img2\imgb328.jpg .\category\img2\</v>
      </c>
    </row>
    <row r="819" spans="1:2" x14ac:dyDescent="0.25">
      <c r="A819" t="str">
        <f>IF(LEN(categories!G819) &gt; 0, "cp ."&amp;categories!G819&amp;" ../catalog/category"&amp;LEFT(categories!G819,6)&amp;";", "")</f>
        <v>cp ./img3/img9a56.jpg ../catalog/category/img3/;</v>
      </c>
      <c r="B819" t="str">
        <f>IF(LEN(categories!G819) &gt; 0, SUBSTITUTE("copy ."&amp;categories!G819&amp;" ./category"&amp;LEFT(categories!G819,6),"/","\"), "")</f>
        <v>copy .\img3\img9a56.jpg .\category\img3\</v>
      </c>
    </row>
    <row r="820" spans="1:2" x14ac:dyDescent="0.25">
      <c r="A820" t="str">
        <f>IF(LEN(categories!G820) &gt; 0, "cp ."&amp;categories!G820&amp;" ../catalog/category"&amp;LEFT(categories!G820,6)&amp;";", "")</f>
        <v>cp ./img3/img5d28.jpg ../catalog/category/img3/;</v>
      </c>
      <c r="B820" t="str">
        <f>IF(LEN(categories!G820) &gt; 0, SUBSTITUTE("copy ."&amp;categories!G820&amp;" ./category"&amp;LEFT(categories!G820,6),"/","\"), "")</f>
        <v>copy .\img3\img5d28.jpg .\category\img3\</v>
      </c>
    </row>
    <row r="821" spans="1:2" x14ac:dyDescent="0.25">
      <c r="A821" t="str">
        <f>IF(LEN(categories!G821) &gt; 0, "cp ."&amp;categories!G821&amp;" ../catalog/category"&amp;LEFT(categories!G821,6)&amp;";", "")</f>
        <v>cp ./img3/img452a.jpg ../catalog/category/img3/;</v>
      </c>
      <c r="B821" t="str">
        <f>IF(LEN(categories!G821) &gt; 0, SUBSTITUTE("copy ."&amp;categories!G821&amp;" ./category"&amp;LEFT(categories!G821,6),"/","\"), "")</f>
        <v>copy .\img3\img452a.jpg .\category\img3\</v>
      </c>
    </row>
    <row r="822" spans="1:2" x14ac:dyDescent="0.25">
      <c r="A822" t="str">
        <f>IF(LEN(categories!G822) &gt; 0, "cp ."&amp;categories!G822&amp;" ../catalog/category"&amp;LEFT(categories!G822,6)&amp;";", "")</f>
        <v>cp ./img2/imga13c.jpg ../catalog/category/img2/;</v>
      </c>
      <c r="B822" t="str">
        <f>IF(LEN(categories!G822) &gt; 0, SUBSTITUTE("copy ."&amp;categories!G822&amp;" ./category"&amp;LEFT(categories!G822,6),"/","\"), "")</f>
        <v>copy .\img2\imga13c.jpg .\category\img2\</v>
      </c>
    </row>
    <row r="823" spans="1:2" x14ac:dyDescent="0.25">
      <c r="A823" t="str">
        <f>IF(LEN(categories!G823) &gt; 0, "cp ."&amp;categories!G823&amp;" ../catalog/category"&amp;LEFT(categories!G823,6)&amp;";", "")</f>
        <v>cp ./img1/img51c2.jpg ../catalog/category/img1/;</v>
      </c>
      <c r="B823" t="str">
        <f>IF(LEN(categories!G823) &gt; 0, SUBSTITUTE("copy ."&amp;categories!G823&amp;" ./category"&amp;LEFT(categories!G823,6),"/","\"), "")</f>
        <v>copy .\img1\img51c2.jpg .\category\img1\</v>
      </c>
    </row>
    <row r="824" spans="1:2" x14ac:dyDescent="0.25">
      <c r="A824" t="str">
        <f>IF(LEN(categories!G824) &gt; 0, "cp ."&amp;categories!G824&amp;" ../catalog/category"&amp;LEFT(categories!G824,6)&amp;";", "")</f>
        <v>cp ./img3/imgd255.jpg ../catalog/category/img3/;</v>
      </c>
      <c r="B824" t="str">
        <f>IF(LEN(categories!G824) &gt; 0, SUBSTITUTE("copy ."&amp;categories!G824&amp;" ./category"&amp;LEFT(categories!G824,6),"/","\"), "")</f>
        <v>copy .\img3\imgd255.jpg .\category\img3\</v>
      </c>
    </row>
    <row r="825" spans="1:2" x14ac:dyDescent="0.25">
      <c r="A825" t="str">
        <f>IF(LEN(categories!G825) &gt; 0, "cp ."&amp;categories!G825&amp;" ../catalog/category"&amp;LEFT(categories!G825,6)&amp;";", "")</f>
        <v>cp ./img2/img9197.jpg ../catalog/category/img2/;</v>
      </c>
      <c r="B825" t="str">
        <f>IF(LEN(categories!G825) &gt; 0, SUBSTITUTE("copy ."&amp;categories!G825&amp;" ./category"&amp;LEFT(categories!G825,6),"/","\"), "")</f>
        <v>copy .\img2\img9197.jpg .\category\img2\</v>
      </c>
    </row>
    <row r="826" spans="1:2" x14ac:dyDescent="0.25">
      <c r="A826" t="str">
        <f>IF(LEN(categories!G826) &gt; 0, "cp ."&amp;categories!G826&amp;" ../catalog/category"&amp;LEFT(categories!G826,6)&amp;";", "")</f>
        <v>cp ./img2/img059b.jpg ../catalog/category/img2/;</v>
      </c>
      <c r="B826" t="str">
        <f>IF(LEN(categories!G826) &gt; 0, SUBSTITUTE("copy ."&amp;categories!G826&amp;" ./category"&amp;LEFT(categories!G826,6),"/","\"), "")</f>
        <v>copy .\img2\img059b.jpg .\category\img2\</v>
      </c>
    </row>
    <row r="827" spans="1:2" x14ac:dyDescent="0.25">
      <c r="A827" t="str">
        <f>IF(LEN(categories!G827) &gt; 0, "cp ."&amp;categories!G827&amp;" ../catalog/category"&amp;LEFT(categories!G827,6)&amp;";", "")</f>
        <v>cp ./img3/imgdce7.jpg ../catalog/category/img3/;</v>
      </c>
      <c r="B827" t="str">
        <f>IF(LEN(categories!G827) &gt; 0, SUBSTITUTE("copy ."&amp;categories!G827&amp;" ./category"&amp;LEFT(categories!G827,6),"/","\"), "")</f>
        <v>copy .\img3\imgdce7.jpg .\category\img3\</v>
      </c>
    </row>
    <row r="828" spans="1:2" x14ac:dyDescent="0.25">
      <c r="A828" t="str">
        <f>IF(LEN(categories!G828) &gt; 0, "cp ."&amp;categories!G828&amp;" ../catalog/category"&amp;LEFT(categories!G828,6)&amp;";", "")</f>
        <v>cp ./img3/img0f36.jpg ../catalog/category/img3/;</v>
      </c>
      <c r="B828" t="str">
        <f>IF(LEN(categories!G828) &gt; 0, SUBSTITUTE("copy ."&amp;categories!G828&amp;" ./category"&amp;LEFT(categories!G828,6),"/","\"), "")</f>
        <v>copy .\img3\img0f36.jpg .\category\img3\</v>
      </c>
    </row>
    <row r="829" spans="1:2" x14ac:dyDescent="0.25">
      <c r="A829" t="str">
        <f>IF(LEN(categories!G829) &gt; 0, "cp ."&amp;categories!G829&amp;" ../catalog/category"&amp;LEFT(categories!G829,6)&amp;";", "")</f>
        <v>cp ./img3/imgc4d0.jpg ../catalog/category/img3/;</v>
      </c>
      <c r="B829" t="str">
        <f>IF(LEN(categories!G829) &gt; 0, SUBSTITUTE("copy ."&amp;categories!G829&amp;" ./category"&amp;LEFT(categories!G829,6),"/","\"), "")</f>
        <v>copy .\img3\imgc4d0.jpg .\category\img3\</v>
      </c>
    </row>
    <row r="830" spans="1:2" x14ac:dyDescent="0.25">
      <c r="A830" t="str">
        <f>IF(LEN(categories!G830) &gt; 0, "cp ."&amp;categories!G830&amp;" ../catalog/category"&amp;LEFT(categories!G830,6)&amp;";", "")</f>
        <v>cp ./img3/img300c.jpg ../catalog/category/img3/;</v>
      </c>
      <c r="B830" t="str">
        <f>IF(LEN(categories!G830) &gt; 0, SUBSTITUTE("copy ."&amp;categories!G830&amp;" ./category"&amp;LEFT(categories!G830,6),"/","\"), "")</f>
        <v>copy .\img3\img300c.jpg .\category\img3\</v>
      </c>
    </row>
    <row r="831" spans="1:2" x14ac:dyDescent="0.25">
      <c r="A831" t="str">
        <f>IF(LEN(categories!G831) &gt; 0, "cp ."&amp;categories!G831&amp;" ../catalog/category"&amp;LEFT(categories!G831,6)&amp;";", "")</f>
        <v>cp ./img2/img4e8f.jpg ../catalog/category/img2/;</v>
      </c>
      <c r="B831" t="str">
        <f>IF(LEN(categories!G831) &gt; 0, SUBSTITUTE("copy ."&amp;categories!G831&amp;" ./category"&amp;LEFT(categories!G831,6),"/","\"), "")</f>
        <v>copy .\img2\img4e8f.jpg .\category\img2\</v>
      </c>
    </row>
    <row r="832" spans="1:2" x14ac:dyDescent="0.25">
      <c r="A832" t="str">
        <f>IF(LEN(categories!G832) &gt; 0, "cp ."&amp;categories!G832&amp;" ../catalog/category"&amp;LEFT(categories!G832,6)&amp;";", "")</f>
        <v>cp ./img3/img4f28.jpg ../catalog/category/img3/;</v>
      </c>
      <c r="B832" t="str">
        <f>IF(LEN(categories!G832) &gt; 0, SUBSTITUTE("copy ."&amp;categories!G832&amp;" ./category"&amp;LEFT(categories!G832,6),"/","\"), "")</f>
        <v>copy .\img3\img4f28.jpg .\category\img3\</v>
      </c>
    </row>
    <row r="833" spans="1:2" x14ac:dyDescent="0.25">
      <c r="A833" t="str">
        <f>IF(LEN(categories!G833) &gt; 0, "cp ."&amp;categories!G833&amp;" ../catalog/category"&amp;LEFT(categories!G833,6)&amp;";", "")</f>
        <v>cp ./img2/img8f4a.jpg ../catalog/category/img2/;</v>
      </c>
      <c r="B833" t="str">
        <f>IF(LEN(categories!G833) &gt; 0, SUBSTITUTE("copy ."&amp;categories!G833&amp;" ./category"&amp;LEFT(categories!G833,6),"/","\"), "")</f>
        <v>copy .\img2\img8f4a.jpg .\category\img2\</v>
      </c>
    </row>
    <row r="834" spans="1:2" x14ac:dyDescent="0.25">
      <c r="A834" t="str">
        <f>IF(LEN(categories!G834) &gt; 0, "cp ."&amp;categories!G834&amp;" ../catalog/category"&amp;LEFT(categories!G834,6)&amp;";", "")</f>
        <v>cp ./img2/img17d4.jpg ../catalog/category/img2/;</v>
      </c>
      <c r="B834" t="str">
        <f>IF(LEN(categories!G834) &gt; 0, SUBSTITUTE("copy ."&amp;categories!G834&amp;" ./category"&amp;LEFT(categories!G834,6),"/","\"), "")</f>
        <v>copy .\img2\img17d4.jpg .\category\img2\</v>
      </c>
    </row>
    <row r="835" spans="1:2" x14ac:dyDescent="0.25">
      <c r="A835" t="str">
        <f>IF(LEN(categories!G835) &gt; 0, "cp ."&amp;categories!G835&amp;" ../catalog/category"&amp;LEFT(categories!G835,6)&amp;";", "")</f>
        <v>cp ./img3/img9996.jpg ../catalog/category/img3/;</v>
      </c>
      <c r="B835" t="str">
        <f>IF(LEN(categories!G835) &gt; 0, SUBSTITUTE("copy ."&amp;categories!G835&amp;" ./category"&amp;LEFT(categories!G835,6),"/","\"), "")</f>
        <v>copy .\img3\img9996.jpg .\category\img3\</v>
      </c>
    </row>
    <row r="836" spans="1:2" x14ac:dyDescent="0.25">
      <c r="A836" t="str">
        <f>IF(LEN(categories!G836) &gt; 0, "cp ."&amp;categories!G836&amp;" ../catalog/category"&amp;LEFT(categories!G836,6)&amp;";", "")</f>
        <v>cp ./img1/img97de.jpg ../catalog/category/img1/;</v>
      </c>
      <c r="B836" t="str">
        <f>IF(LEN(categories!G836) &gt; 0, SUBSTITUTE("copy ."&amp;categories!G836&amp;" ./category"&amp;LEFT(categories!G836,6),"/","\"), "")</f>
        <v>copy .\img1\img97de.jpg .\category\img1\</v>
      </c>
    </row>
    <row r="837" spans="1:2" x14ac:dyDescent="0.25">
      <c r="A837" t="str">
        <f>IF(LEN(categories!G837) &gt; 0, "cp ."&amp;categories!G837&amp;" ../catalog/category"&amp;LEFT(categories!G837,6)&amp;";", "")</f>
        <v>cp ./img2/img12b8.jpg ../catalog/category/img2/;</v>
      </c>
      <c r="B837" t="str">
        <f>IF(LEN(categories!G837) &gt; 0, SUBSTITUTE("copy ."&amp;categories!G837&amp;" ./category"&amp;LEFT(categories!G837,6),"/","\"), "")</f>
        <v>copy .\img2\img12b8.jpg .\category\img2\</v>
      </c>
    </row>
    <row r="838" spans="1:2" x14ac:dyDescent="0.25">
      <c r="A838" t="str">
        <f>IF(LEN(categories!G838) &gt; 0, "cp ."&amp;categories!G838&amp;" ../catalog/category"&amp;LEFT(categories!G838,6)&amp;";", "")</f>
        <v>cp ./img1/imgab55.jpg ../catalog/category/img1/;</v>
      </c>
      <c r="B838" t="str">
        <f>IF(LEN(categories!G838) &gt; 0, SUBSTITUTE("copy ."&amp;categories!G838&amp;" ./category"&amp;LEFT(categories!G838,6),"/","\"), "")</f>
        <v>copy .\img1\imgab55.jpg .\category\img1\</v>
      </c>
    </row>
    <row r="839" spans="1:2" x14ac:dyDescent="0.25">
      <c r="A839" t="str">
        <f>IF(LEN(categories!G839) &gt; 0, "cp ."&amp;categories!G839&amp;" ../catalog/category"&amp;LEFT(categories!G839,6)&amp;";", "")</f>
        <v>cp ./img3/img5484.jpg ../catalog/category/img3/;</v>
      </c>
      <c r="B839" t="str">
        <f>IF(LEN(categories!G839) &gt; 0, SUBSTITUTE("copy ."&amp;categories!G839&amp;" ./category"&amp;LEFT(categories!G839,6),"/","\"), "")</f>
        <v>copy .\img3\img5484.jpg .\category\img3\</v>
      </c>
    </row>
    <row r="840" spans="1:2" x14ac:dyDescent="0.25">
      <c r="A840" t="str">
        <f>IF(LEN(categories!G840) &gt; 0, "cp ."&amp;categories!G840&amp;" ../catalog/category"&amp;LEFT(categories!G840,6)&amp;";", "")</f>
        <v>cp ./img1/img9a22.jpg ../catalog/category/img1/;</v>
      </c>
      <c r="B840" t="str">
        <f>IF(LEN(categories!G840) &gt; 0, SUBSTITUTE("copy ."&amp;categories!G840&amp;" ./category"&amp;LEFT(categories!G840,6),"/","\"), "")</f>
        <v>copy .\img1\img9a22.jpg .\category\img1\</v>
      </c>
    </row>
    <row r="841" spans="1:2" x14ac:dyDescent="0.25">
      <c r="A841" t="str">
        <f>IF(LEN(categories!G841) &gt; 0, "cp ."&amp;categories!G841&amp;" ../catalog/category"&amp;LEFT(categories!G841,6)&amp;";", "")</f>
        <v>cp ./img2/imgfe5f.jpg ../catalog/category/img2/;</v>
      </c>
      <c r="B841" t="str">
        <f>IF(LEN(categories!G841) &gt; 0, SUBSTITUTE("copy ."&amp;categories!G841&amp;" ./category"&amp;LEFT(categories!G841,6),"/","\"), "")</f>
        <v>copy .\img2\imgfe5f.jpg .\category\img2\</v>
      </c>
    </row>
    <row r="842" spans="1:2" x14ac:dyDescent="0.25">
      <c r="A842" t="str">
        <f>IF(LEN(categories!G842) &gt; 0, "cp ."&amp;categories!G842&amp;" ../catalog/category"&amp;LEFT(categories!G842,6)&amp;";", "")</f>
        <v>cp ./img3/img0332.jpg ../catalog/category/img3/;</v>
      </c>
      <c r="B842" t="str">
        <f>IF(LEN(categories!G842) &gt; 0, SUBSTITUTE("copy ."&amp;categories!G842&amp;" ./category"&amp;LEFT(categories!G842,6),"/","\"), "")</f>
        <v>copy .\img3\img0332.jpg .\category\img3\</v>
      </c>
    </row>
    <row r="843" spans="1:2" x14ac:dyDescent="0.25">
      <c r="A843" t="str">
        <f>IF(LEN(categories!G843) &gt; 0, "cp ."&amp;categories!G843&amp;" ../catalog/category"&amp;LEFT(categories!G843,6)&amp;";", "")</f>
        <v>cp ./img1/imgc6f3.jpg ../catalog/category/img1/;</v>
      </c>
      <c r="B843" t="str">
        <f>IF(LEN(categories!G843) &gt; 0, SUBSTITUTE("copy ."&amp;categories!G843&amp;" ./category"&amp;LEFT(categories!G843,6),"/","\"), "")</f>
        <v>copy .\img1\imgc6f3.jpg .\category\img1\</v>
      </c>
    </row>
    <row r="844" spans="1:2" x14ac:dyDescent="0.25">
      <c r="A844" t="str">
        <f>IF(LEN(categories!G844) &gt; 0, "cp ."&amp;categories!G844&amp;" ../catalog/category"&amp;LEFT(categories!G844,6)&amp;";", "")</f>
        <v>cp ./img2/img8630.jpg ../catalog/category/img2/;</v>
      </c>
      <c r="B844" t="str">
        <f>IF(LEN(categories!G844) &gt; 0, SUBSTITUTE("copy ."&amp;categories!G844&amp;" ./category"&amp;LEFT(categories!G844,6),"/","\"), "")</f>
        <v>copy .\img2\img8630.jpg .\category\img2\</v>
      </c>
    </row>
    <row r="845" spans="1:2" x14ac:dyDescent="0.25">
      <c r="A845" t="str">
        <f>IF(LEN(categories!G845) &gt; 0, "cp ."&amp;categories!G845&amp;" ../catalog/category"&amp;LEFT(categories!G845,6)&amp;";", "")</f>
        <v>cp ./img3/img5aed.jpg ../catalog/category/img3/;</v>
      </c>
      <c r="B845" t="str">
        <f>IF(LEN(categories!G845) &gt; 0, SUBSTITUTE("copy ."&amp;categories!G845&amp;" ./category"&amp;LEFT(categories!G845,6),"/","\"), "")</f>
        <v>copy .\img3\img5aed.jpg .\category\img3\</v>
      </c>
    </row>
    <row r="846" spans="1:2" x14ac:dyDescent="0.25">
      <c r="A846" t="str">
        <f>IF(LEN(categories!G846) &gt; 0, "cp ."&amp;categories!G846&amp;" ../catalog/category"&amp;LEFT(categories!G846,6)&amp;";", "")</f>
        <v>cp ./img1/img85d9.jpg ../catalog/category/img1/;</v>
      </c>
      <c r="B846" t="str">
        <f>IF(LEN(categories!G846) &gt; 0, SUBSTITUTE("copy ."&amp;categories!G846&amp;" ./category"&amp;LEFT(categories!G846,6),"/","\"), "")</f>
        <v>copy .\img1\img85d9.jpg .\category\img1\</v>
      </c>
    </row>
    <row r="847" spans="1:2" x14ac:dyDescent="0.25">
      <c r="A847" t="str">
        <f>IF(LEN(categories!G847) &gt; 0, "cp ."&amp;categories!G847&amp;" ../catalog/category"&amp;LEFT(categories!G847,6)&amp;";", "")</f>
        <v>cp ./img3/imgdee7.jpg ../catalog/category/img3/;</v>
      </c>
      <c r="B847" t="str">
        <f>IF(LEN(categories!G847) &gt; 0, SUBSTITUTE("copy ."&amp;categories!G847&amp;" ./category"&amp;LEFT(categories!G847,6),"/","\"), "")</f>
        <v>copy .\img3\imgdee7.jpg .\category\img3\</v>
      </c>
    </row>
    <row r="848" spans="1:2" x14ac:dyDescent="0.25">
      <c r="A848" t="str">
        <f>IF(LEN(categories!G848) &gt; 0, "cp ."&amp;categories!G848&amp;" ../catalog/category"&amp;LEFT(categories!G848,6)&amp;";", "")</f>
        <v>cp ./img2/img6ecd.jpg ../catalog/category/img2/;</v>
      </c>
      <c r="B848" t="str">
        <f>IF(LEN(categories!G848) &gt; 0, SUBSTITUTE("copy ."&amp;categories!G848&amp;" ./category"&amp;LEFT(categories!G848,6),"/","\"), "")</f>
        <v>copy .\img2\img6ecd.jpg .\category\img2\</v>
      </c>
    </row>
    <row r="849" spans="1:2" x14ac:dyDescent="0.25">
      <c r="A849" t="str">
        <f>IF(LEN(categories!G849) &gt; 0, "cp ."&amp;categories!G849&amp;" ../catalog/category"&amp;LEFT(categories!G849,6)&amp;";", "")</f>
        <v>cp ./img3/img1c2f.jpg ../catalog/category/img3/;</v>
      </c>
      <c r="B849" t="str">
        <f>IF(LEN(categories!G849) &gt; 0, SUBSTITUTE("copy ."&amp;categories!G849&amp;" ./category"&amp;LEFT(categories!G849,6),"/","\"), "")</f>
        <v>copy .\img3\img1c2f.jpg .\category\img3\</v>
      </c>
    </row>
    <row r="850" spans="1:2" x14ac:dyDescent="0.25">
      <c r="A850" t="str">
        <f>IF(LEN(categories!G850) &gt; 0, "cp ."&amp;categories!G850&amp;" ../catalog/category"&amp;LEFT(categories!G850,6)&amp;";", "")</f>
        <v>cp ./img3/imgb5fc.jpg ../catalog/category/img3/;</v>
      </c>
      <c r="B850" t="str">
        <f>IF(LEN(categories!G850) &gt; 0, SUBSTITUTE("copy ."&amp;categories!G850&amp;" ./category"&amp;LEFT(categories!G850,6),"/","\"), "")</f>
        <v>copy .\img3\imgb5fc.jpg .\category\img3\</v>
      </c>
    </row>
    <row r="851" spans="1:2" x14ac:dyDescent="0.25">
      <c r="A851" t="str">
        <f>IF(LEN(categories!G851) &gt; 0, "cp ."&amp;categories!G851&amp;" ../catalog/category"&amp;LEFT(categories!G851,6)&amp;";", "")</f>
        <v>cp ./img1/img9f6e.jpg ../catalog/category/img1/;</v>
      </c>
      <c r="B851" t="str">
        <f>IF(LEN(categories!G851) &gt; 0, SUBSTITUTE("copy ."&amp;categories!G851&amp;" ./category"&amp;LEFT(categories!G851,6),"/","\"), "")</f>
        <v>copy .\img1\img9f6e.jpg .\category\img1\</v>
      </c>
    </row>
    <row r="852" spans="1:2" x14ac:dyDescent="0.25">
      <c r="A852" t="str">
        <f>IF(LEN(categories!G852) &gt; 0, "cp ."&amp;categories!G852&amp;" ../catalog/category"&amp;LEFT(categories!G852,6)&amp;";", "")</f>
        <v>cp ./img1/img9f6e.jpg ../catalog/category/img1/;</v>
      </c>
      <c r="B852" t="str">
        <f>IF(LEN(categories!G852) &gt; 0, SUBSTITUTE("copy ."&amp;categories!G852&amp;" ./category"&amp;LEFT(categories!G852,6),"/","\"), "")</f>
        <v>copy .\img1\img9f6e.jpg .\category\img1\</v>
      </c>
    </row>
    <row r="853" spans="1:2" x14ac:dyDescent="0.25">
      <c r="A853" t="str">
        <f>IF(LEN(categories!G853) &gt; 0, "cp ."&amp;categories!G853&amp;" ../catalog/category"&amp;LEFT(categories!G853,6)&amp;";", "")</f>
        <v>cp ./img3/img0060.jpg ../catalog/category/img3/;</v>
      </c>
      <c r="B853" t="str">
        <f>IF(LEN(categories!G853) &gt; 0, SUBSTITUTE("copy ."&amp;categories!G853&amp;" ./category"&amp;LEFT(categories!G853,6),"/","\"), "")</f>
        <v>copy .\img3\img0060.jpg .\category\img3\</v>
      </c>
    </row>
    <row r="854" spans="1:2" x14ac:dyDescent="0.25">
      <c r="A854" t="str">
        <f>IF(LEN(categories!G854) &gt; 0, "cp ."&amp;categories!G854&amp;" ../catalog/category"&amp;LEFT(categories!G854,6)&amp;";", "")</f>
        <v>cp ./img2/img0094.jpg ../catalog/category/img2/;</v>
      </c>
      <c r="B854" t="str">
        <f>IF(LEN(categories!G854) &gt; 0, SUBSTITUTE("copy ."&amp;categories!G854&amp;" ./category"&amp;LEFT(categories!G854,6),"/","\"), "")</f>
        <v>copy .\img2\img0094.jpg .\category\img2\</v>
      </c>
    </row>
    <row r="855" spans="1:2" x14ac:dyDescent="0.25">
      <c r="A855" t="str">
        <f>IF(LEN(categories!G855) &gt; 0, "cp ."&amp;categories!G855&amp;" ../catalog/category"&amp;LEFT(categories!G855,6)&amp;";", "")</f>
        <v>cp ./img1/img3870.jpg ../catalog/category/img1/;</v>
      </c>
      <c r="B855" t="str">
        <f>IF(LEN(categories!G855) &gt; 0, SUBSTITUTE("copy ."&amp;categories!G855&amp;" ./category"&amp;LEFT(categories!G855,6),"/","\"), "")</f>
        <v>copy .\img1\img3870.jpg .\category\img1\</v>
      </c>
    </row>
    <row r="856" spans="1:2" x14ac:dyDescent="0.25">
      <c r="A856" t="str">
        <f>IF(LEN(categories!G856) &gt; 0, "cp ."&amp;categories!G856&amp;" ../catalog/category"&amp;LEFT(categories!G856,6)&amp;";", "")</f>
        <v>cp ./img3/img2a68.jpg ../catalog/category/img3/;</v>
      </c>
      <c r="B856" t="str">
        <f>IF(LEN(categories!G856) &gt; 0, SUBSTITUTE("copy ."&amp;categories!G856&amp;" ./category"&amp;LEFT(categories!G856,6),"/","\"), "")</f>
        <v>copy .\img3\img2a68.jpg .\category\img3\</v>
      </c>
    </row>
    <row r="857" spans="1:2" x14ac:dyDescent="0.25">
      <c r="A857" t="str">
        <f>IF(LEN(categories!G857) &gt; 0, "cp ."&amp;categories!G857&amp;" ../catalog/category"&amp;LEFT(categories!G857,6)&amp;";", "")</f>
        <v>cp ./img3/img8e64.jpg ../catalog/category/img3/;</v>
      </c>
      <c r="B857" t="str">
        <f>IF(LEN(categories!G857) &gt; 0, SUBSTITUTE("copy ."&amp;categories!G857&amp;" ./category"&amp;LEFT(categories!G857,6),"/","\"), "")</f>
        <v>copy .\img3\img8e64.jpg .\category\img3\</v>
      </c>
    </row>
    <row r="858" spans="1:2" x14ac:dyDescent="0.25">
      <c r="A858" t="str">
        <f>IF(LEN(categories!G858) &gt; 0, "cp ."&amp;categories!G858&amp;" ../catalog/category"&amp;LEFT(categories!G858,6)&amp;";", "")</f>
        <v>cp ./img2/imgf706.jpg ../catalog/category/img2/;</v>
      </c>
      <c r="B858" t="str">
        <f>IF(LEN(categories!G858) &gt; 0, SUBSTITUTE("copy ."&amp;categories!G858&amp;" ./category"&amp;LEFT(categories!G858,6),"/","\"), "")</f>
        <v>copy .\img2\imgf706.jpg .\category\img2\</v>
      </c>
    </row>
    <row r="859" spans="1:2" x14ac:dyDescent="0.25">
      <c r="A859" t="str">
        <f>IF(LEN(categories!G859) &gt; 0, "cp ."&amp;categories!G859&amp;" ../catalog/category"&amp;LEFT(categories!G859,6)&amp;";", "")</f>
        <v>cp ./img2/img0fae.jpg ../catalog/category/img2/;</v>
      </c>
      <c r="B859" t="str">
        <f>IF(LEN(categories!G859) &gt; 0, SUBSTITUTE("copy ."&amp;categories!G859&amp;" ./category"&amp;LEFT(categories!G859,6),"/","\"), "")</f>
        <v>copy .\img2\img0fae.jpg .\category\img2\</v>
      </c>
    </row>
    <row r="860" spans="1:2" x14ac:dyDescent="0.25">
      <c r="A860" t="str">
        <f>IF(LEN(categories!G860) &gt; 0, "cp ."&amp;categories!G860&amp;" ../catalog/category"&amp;LEFT(categories!G860,6)&amp;";", "")</f>
        <v>cp ./img3/img91bb.jpg ../catalog/category/img3/;</v>
      </c>
      <c r="B860" t="str">
        <f>IF(LEN(categories!G860) &gt; 0, SUBSTITUTE("copy ."&amp;categories!G860&amp;" ./category"&amp;LEFT(categories!G860,6),"/","\"), "")</f>
        <v>copy .\img3\img91bb.jpg .\category\img3\</v>
      </c>
    </row>
    <row r="861" spans="1:2" x14ac:dyDescent="0.25">
      <c r="A861" t="str">
        <f>IF(LEN(categories!G861) &gt; 0, "cp ."&amp;categories!G861&amp;" ../catalog/category"&amp;LEFT(categories!G861,6)&amp;";", "")</f>
        <v>cp ./img3/imgd20d.jpg ../catalog/category/img3/;</v>
      </c>
      <c r="B861" t="str">
        <f>IF(LEN(categories!G861) &gt; 0, SUBSTITUTE("copy ."&amp;categories!G861&amp;" ./category"&amp;LEFT(categories!G861,6),"/","\"), "")</f>
        <v>copy .\img3\imgd20d.jpg .\category\img3\</v>
      </c>
    </row>
    <row r="862" spans="1:2" x14ac:dyDescent="0.25">
      <c r="A862" t="str">
        <f>IF(LEN(categories!G862) &gt; 0, "cp ."&amp;categories!G862&amp;" ../catalog/category"&amp;LEFT(categories!G862,6)&amp;";", "")</f>
        <v>cp ./img3/imgd20d.jpg ../catalog/category/img3/;</v>
      </c>
      <c r="B862" t="str">
        <f>IF(LEN(categories!G862) &gt; 0, SUBSTITUTE("copy ."&amp;categories!G862&amp;" ./category"&amp;LEFT(categories!G862,6),"/","\"), "")</f>
        <v>copy .\img3\imgd20d.jpg .\category\img3\</v>
      </c>
    </row>
    <row r="863" spans="1:2" x14ac:dyDescent="0.25">
      <c r="A863" t="str">
        <f>IF(LEN(categories!G863) &gt; 0, "cp ."&amp;categories!G863&amp;" ../catalog/category"&amp;LEFT(categories!G863,6)&amp;";", "")</f>
        <v>cp ./img2/img33d2.jpg ../catalog/category/img2/;</v>
      </c>
      <c r="B863" t="str">
        <f>IF(LEN(categories!G863) &gt; 0, SUBSTITUTE("copy ."&amp;categories!G863&amp;" ./category"&amp;LEFT(categories!G863,6),"/","\"), "")</f>
        <v>copy .\img2\img33d2.jpg .\category\img2\</v>
      </c>
    </row>
    <row r="864" spans="1:2" x14ac:dyDescent="0.25">
      <c r="A864" t="str">
        <f>IF(LEN(categories!G864) &gt; 0, "cp ."&amp;categories!G864&amp;" ../catalog/category"&amp;LEFT(categories!G864,6)&amp;";", "")</f>
        <v>cp ./img3/imgd20d.jpg ../catalog/category/img3/;</v>
      </c>
      <c r="B864" t="str">
        <f>IF(LEN(categories!G864) &gt; 0, SUBSTITUTE("copy ."&amp;categories!G864&amp;" ./category"&amp;LEFT(categories!G864,6),"/","\"), "")</f>
        <v>copy .\img3\imgd20d.jpg .\category\img3\</v>
      </c>
    </row>
    <row r="865" spans="1:2" x14ac:dyDescent="0.25">
      <c r="A865" t="str">
        <f>IF(LEN(categories!G865) &gt; 0, "cp ."&amp;categories!G865&amp;" ../catalog/category"&amp;LEFT(categories!G865,6)&amp;";", "")</f>
        <v>cp ./img3/img6d80.jpg ../catalog/category/img3/;</v>
      </c>
      <c r="B865" t="str">
        <f>IF(LEN(categories!G865) &gt; 0, SUBSTITUTE("copy ."&amp;categories!G865&amp;" ./category"&amp;LEFT(categories!G865,6),"/","\"), "")</f>
        <v>copy .\img3\img6d80.jpg .\category\img3\</v>
      </c>
    </row>
    <row r="866" spans="1:2" x14ac:dyDescent="0.25">
      <c r="A866" t="str">
        <f>IF(LEN(categories!G866) &gt; 0, "cp ."&amp;categories!G866&amp;" ../catalog/category"&amp;LEFT(categories!G866,6)&amp;";", "")</f>
        <v>cp ./img1/imgcfa2.jpg ../catalog/category/img1/;</v>
      </c>
      <c r="B866" t="str">
        <f>IF(LEN(categories!G866) &gt; 0, SUBSTITUTE("copy ."&amp;categories!G866&amp;" ./category"&amp;LEFT(categories!G866,6),"/","\"), "")</f>
        <v>copy .\img1\imgcfa2.jpg .\category\img1\</v>
      </c>
    </row>
    <row r="867" spans="1:2" x14ac:dyDescent="0.25">
      <c r="A867" t="str">
        <f>IF(LEN(categories!G867) &gt; 0, "cp ."&amp;categories!G867&amp;" ../catalog/category"&amp;LEFT(categories!G867,6)&amp;";", "")</f>
        <v>cp ./img2/imgd52d.jpg ../catalog/category/img2/;</v>
      </c>
      <c r="B867" t="str">
        <f>IF(LEN(categories!G867) &gt; 0, SUBSTITUTE("copy ."&amp;categories!G867&amp;" ./category"&amp;LEFT(categories!G867,6),"/","\"), "")</f>
        <v>copy .\img2\imgd52d.jpg .\category\img2\</v>
      </c>
    </row>
    <row r="868" spans="1:2" x14ac:dyDescent="0.25">
      <c r="A868" t="str">
        <f>IF(LEN(categories!G868) &gt; 0, "cp ."&amp;categories!G868&amp;" ../catalog/category"&amp;LEFT(categories!G868,6)&amp;";", "")</f>
        <v>cp ./img3/imgb0ae.jpg ../catalog/category/img3/;</v>
      </c>
      <c r="B868" t="str">
        <f>IF(LEN(categories!G868) &gt; 0, SUBSTITUTE("copy ."&amp;categories!G868&amp;" ./category"&amp;LEFT(categories!G868,6),"/","\"), "")</f>
        <v>copy .\img3\imgb0ae.jpg .\category\img3\</v>
      </c>
    </row>
    <row r="869" spans="1:2" x14ac:dyDescent="0.25">
      <c r="A869" t="str">
        <f>IF(LEN(categories!G869) &gt; 0, "cp ."&amp;categories!G869&amp;" ../catalog/category"&amp;LEFT(categories!G869,6)&amp;";", "")</f>
        <v>cp ./img3/img7f22.jpg ../catalog/category/img3/;</v>
      </c>
      <c r="B869" t="str">
        <f>IF(LEN(categories!G869) &gt; 0, SUBSTITUTE("copy ."&amp;categories!G869&amp;" ./category"&amp;LEFT(categories!G869,6),"/","\"), "")</f>
        <v>copy .\img3\img7f22.jpg .\category\img3\</v>
      </c>
    </row>
    <row r="870" spans="1:2" x14ac:dyDescent="0.25">
      <c r="A870" t="str">
        <f>IF(LEN(categories!G870) &gt; 0, "cp ."&amp;categories!G870&amp;" ../catalog/category"&amp;LEFT(categories!G870,6)&amp;";", "")</f>
        <v>cp ./img1/img9e72.jpg ../catalog/category/img1/;</v>
      </c>
      <c r="B870" t="str">
        <f>IF(LEN(categories!G870) &gt; 0, SUBSTITUTE("copy ."&amp;categories!G870&amp;" ./category"&amp;LEFT(categories!G870,6),"/","\"), "")</f>
        <v>copy .\img1\img9e72.jpg .\category\img1\</v>
      </c>
    </row>
    <row r="871" spans="1:2" x14ac:dyDescent="0.25">
      <c r="A871" t="str">
        <f>IF(LEN(categories!G871) &gt; 0, "cp ."&amp;categories!G871&amp;" ../catalog/category"&amp;LEFT(categories!G871,6)&amp;";", "")</f>
        <v>cp ./img1/img2145.jpg ../catalog/category/img1/;</v>
      </c>
      <c r="B871" t="str">
        <f>IF(LEN(categories!G871) &gt; 0, SUBSTITUTE("copy ."&amp;categories!G871&amp;" ./category"&amp;LEFT(categories!G871,6),"/","\"), "")</f>
        <v>copy .\img1\img2145.jpg .\category\img1\</v>
      </c>
    </row>
    <row r="872" spans="1:2" x14ac:dyDescent="0.25">
      <c r="A872" t="str">
        <f>IF(LEN(categories!G872) &gt; 0, "cp ."&amp;categories!G872&amp;" ../catalog/category"&amp;LEFT(categories!G872,6)&amp;";", "")</f>
        <v>cp ./img2/imga575.jpg ../catalog/category/img2/;</v>
      </c>
      <c r="B872" t="str">
        <f>IF(LEN(categories!G872) &gt; 0, SUBSTITUTE("copy ."&amp;categories!G872&amp;" ./category"&amp;LEFT(categories!G872,6),"/","\"), "")</f>
        <v>copy .\img2\imga575.jpg .\category\img2\</v>
      </c>
    </row>
    <row r="873" spans="1:2" x14ac:dyDescent="0.25">
      <c r="A873" t="str">
        <f>IF(LEN(categories!G873) &gt; 0, "cp ."&amp;categories!G873&amp;" ../catalog/category"&amp;LEFT(categories!G873,6)&amp;";", "")</f>
        <v>cp ./img1/img5541.jpg ../catalog/category/img1/;</v>
      </c>
      <c r="B873" t="str">
        <f>IF(LEN(categories!G873) &gt; 0, SUBSTITUTE("copy ."&amp;categories!G873&amp;" ./category"&amp;LEFT(categories!G873,6),"/","\"), "")</f>
        <v>copy .\img1\img5541.jpg .\category\img1\</v>
      </c>
    </row>
    <row r="874" spans="1:2" x14ac:dyDescent="0.25">
      <c r="A874" t="str">
        <f>IF(LEN(categories!G874) &gt; 0, "cp ."&amp;categories!G874&amp;" ../catalog/category"&amp;LEFT(categories!G874,6)&amp;";", "")</f>
        <v>cp ./img3/imga292.jpg ../catalog/category/img3/;</v>
      </c>
      <c r="B874" t="str">
        <f>IF(LEN(categories!G874) &gt; 0, SUBSTITUTE("copy ."&amp;categories!G874&amp;" ./category"&amp;LEFT(categories!G874,6),"/","\"), "")</f>
        <v>copy .\img3\imga292.jpg .\category\img3\</v>
      </c>
    </row>
    <row r="875" spans="1:2" x14ac:dyDescent="0.25">
      <c r="A875" t="str">
        <f>IF(LEN(categories!G875) &gt; 0, "cp ."&amp;categories!G875&amp;" ../catalog/category"&amp;LEFT(categories!G875,6)&amp;";", "")</f>
        <v>cp ./img3/img0d56.jpg ../catalog/category/img3/;</v>
      </c>
      <c r="B875" t="str">
        <f>IF(LEN(categories!G875) &gt; 0, SUBSTITUTE("copy ."&amp;categories!G875&amp;" ./category"&amp;LEFT(categories!G875,6),"/","\"), "")</f>
        <v>copy .\img3\img0d56.jpg .\category\img3\</v>
      </c>
    </row>
    <row r="876" spans="1:2" x14ac:dyDescent="0.25">
      <c r="A876" t="str">
        <f>IF(LEN(categories!G876) &gt; 0, "cp ."&amp;categories!G876&amp;" ../catalog/category"&amp;LEFT(categories!G876,6)&amp;";", "")</f>
        <v>cp ./img2/img7834.jpg ../catalog/category/img2/;</v>
      </c>
      <c r="B876" t="str">
        <f>IF(LEN(categories!G876) &gt; 0, SUBSTITUTE("copy ."&amp;categories!G876&amp;" ./category"&amp;LEFT(categories!G876,6),"/","\"), "")</f>
        <v>copy .\img2\img7834.jpg .\category\img2\</v>
      </c>
    </row>
    <row r="877" spans="1:2" x14ac:dyDescent="0.25">
      <c r="A877" t="str">
        <f>IF(LEN(categories!G877) &gt; 0, "cp ."&amp;categories!G877&amp;" ../catalog/category"&amp;LEFT(categories!G877,6)&amp;";", "")</f>
        <v>cp ./img2/imgb2dc.jpg ../catalog/category/img2/;</v>
      </c>
      <c r="B877" t="str">
        <f>IF(LEN(categories!G877) &gt; 0, SUBSTITUTE("copy ."&amp;categories!G877&amp;" ./category"&amp;LEFT(categories!G877,6),"/","\"), "")</f>
        <v>copy .\img2\imgb2dc.jpg .\category\img2\</v>
      </c>
    </row>
    <row r="878" spans="1:2" x14ac:dyDescent="0.25">
      <c r="A878" t="str">
        <f>IF(LEN(categories!G878) &gt; 0, "cp ."&amp;categories!G878&amp;" ../catalog/category"&amp;LEFT(categories!G878,6)&amp;";", "")</f>
        <v>cp ./img1/img8387.jpg ../catalog/category/img1/;</v>
      </c>
      <c r="B878" t="str">
        <f>IF(LEN(categories!G878) &gt; 0, SUBSTITUTE("copy ."&amp;categories!G878&amp;" ./category"&amp;LEFT(categories!G878,6),"/","\"), "")</f>
        <v>copy .\img1\img8387.jpg .\category\img1\</v>
      </c>
    </row>
    <row r="879" spans="1:2" x14ac:dyDescent="0.25">
      <c r="A879" t="str">
        <f>IF(LEN(categories!G879) &gt; 0, "cp ."&amp;categories!G879&amp;" ../catalog/category"&amp;LEFT(categories!G879,6)&amp;";", "")</f>
        <v>cp ./img2/imgbb28.jpg ../catalog/category/img2/;</v>
      </c>
      <c r="B879" t="str">
        <f>IF(LEN(categories!G879) &gt; 0, SUBSTITUTE("copy ."&amp;categories!G879&amp;" ./category"&amp;LEFT(categories!G879,6),"/","\"), "")</f>
        <v>copy .\img2\imgbb28.jpg .\category\img2\</v>
      </c>
    </row>
    <row r="880" spans="1:2" x14ac:dyDescent="0.25">
      <c r="A880" t="str">
        <f>IF(LEN(categories!G880) &gt; 0, "cp ."&amp;categories!G880&amp;" ../catalog/category"&amp;LEFT(categories!G880,6)&amp;";", "")</f>
        <v>cp ./img1/imgcf48.jpg ../catalog/category/img1/;</v>
      </c>
      <c r="B880" t="str">
        <f>IF(LEN(categories!G880) &gt; 0, SUBSTITUTE("copy ."&amp;categories!G880&amp;" ./category"&amp;LEFT(categories!G880,6),"/","\"), "")</f>
        <v>copy .\img1\imgcf48.jpg .\category\img1\</v>
      </c>
    </row>
    <row r="881" spans="1:2" x14ac:dyDescent="0.25">
      <c r="A881" t="str">
        <f>IF(LEN(categories!G881) &gt; 0, "cp ."&amp;categories!G881&amp;" ../catalog/category"&amp;LEFT(categories!G881,6)&amp;";", "")</f>
        <v>cp ./img1/imgeacf.jpg ../catalog/category/img1/;</v>
      </c>
      <c r="B881" t="str">
        <f>IF(LEN(categories!G881) &gt; 0, SUBSTITUTE("copy ."&amp;categories!G881&amp;" ./category"&amp;LEFT(categories!G881,6),"/","\"), "")</f>
        <v>copy .\img1\imgeacf.jpg .\category\img1\</v>
      </c>
    </row>
    <row r="882" spans="1:2" x14ac:dyDescent="0.25">
      <c r="A882" t="str">
        <f>IF(LEN(categories!G882) &gt; 0, "cp ."&amp;categories!G882&amp;" ../catalog/category"&amp;LEFT(categories!G882,6)&amp;";", "")</f>
        <v>cp ./img1/img1389.jpg ../catalog/category/img1/;</v>
      </c>
      <c r="B882" t="str">
        <f>IF(LEN(categories!G882) &gt; 0, SUBSTITUTE("copy ."&amp;categories!G882&amp;" ./category"&amp;LEFT(categories!G882,6),"/","\"), "")</f>
        <v>copy .\img1\img1389.jpg .\category\img1\</v>
      </c>
    </row>
    <row r="883" spans="1:2" x14ac:dyDescent="0.25">
      <c r="A883" t="str">
        <f>IF(LEN(categories!G883) &gt; 0, "cp ."&amp;categories!G883&amp;" ../catalog/category"&amp;LEFT(categories!G883,6)&amp;";", "")</f>
        <v>cp ./img1/img9222.jpg ../catalog/category/img1/;</v>
      </c>
      <c r="B883" t="str">
        <f>IF(LEN(categories!G883) &gt; 0, SUBSTITUTE("copy ."&amp;categories!G883&amp;" ./category"&amp;LEFT(categories!G883,6),"/","\"), "")</f>
        <v>copy .\img1\img9222.jpg .\category\img1\</v>
      </c>
    </row>
    <row r="884" spans="1:2" x14ac:dyDescent="0.25">
      <c r="A884" t="str">
        <f>IF(LEN(categories!G884) &gt; 0, "cp ."&amp;categories!G884&amp;" ../catalog/category"&amp;LEFT(categories!G884,6)&amp;";", "")</f>
        <v>cp ./img2/imgf8d3.jpg ../catalog/category/img2/;</v>
      </c>
      <c r="B884" t="str">
        <f>IF(LEN(categories!G884) &gt; 0, SUBSTITUTE("copy ."&amp;categories!G884&amp;" ./category"&amp;LEFT(categories!G884,6),"/","\"), "")</f>
        <v>copy .\img2\imgf8d3.jpg .\category\img2\</v>
      </c>
    </row>
    <row r="885" spans="1:2" x14ac:dyDescent="0.25">
      <c r="A885" t="str">
        <f>IF(LEN(categories!G885) &gt; 0, "cp ."&amp;categories!G885&amp;" ../catalog/category"&amp;LEFT(categories!G885,6)&amp;";", "")</f>
        <v>cp ./img2/imge5b7.jpg ../catalog/category/img2/;</v>
      </c>
      <c r="B885" t="str">
        <f>IF(LEN(categories!G885) &gt; 0, SUBSTITUTE("copy ."&amp;categories!G885&amp;" ./category"&amp;LEFT(categories!G885,6),"/","\"), "")</f>
        <v>copy .\img2\imge5b7.jpg .\category\img2\</v>
      </c>
    </row>
    <row r="886" spans="1:2" x14ac:dyDescent="0.25">
      <c r="A886" t="str">
        <f>IF(LEN(categories!G886) &gt; 0, "cp ."&amp;categories!G886&amp;" ../catalog/category"&amp;LEFT(categories!G886,6)&amp;";", "")</f>
        <v>cp ./img1/img9bf2.jpg ../catalog/category/img1/;</v>
      </c>
      <c r="B886" t="str">
        <f>IF(LEN(categories!G886) &gt; 0, SUBSTITUTE("copy ."&amp;categories!G886&amp;" ./category"&amp;LEFT(categories!G886,6),"/","\"), "")</f>
        <v>copy .\img1\img9bf2.jpg .\category\img1\</v>
      </c>
    </row>
    <row r="887" spans="1:2" x14ac:dyDescent="0.25">
      <c r="A887" t="str">
        <f>IF(LEN(categories!G887) &gt; 0, "cp ."&amp;categories!G887&amp;" ../catalog/category"&amp;LEFT(categories!G887,6)&amp;";", "")</f>
        <v>cp ./img1/imgeb7d.jpg ../catalog/category/img1/;</v>
      </c>
      <c r="B887" t="str">
        <f>IF(LEN(categories!G887) &gt; 0, SUBSTITUTE("copy ."&amp;categories!G887&amp;" ./category"&amp;LEFT(categories!G887,6),"/","\"), "")</f>
        <v>copy .\img1\imgeb7d.jpg .\category\img1\</v>
      </c>
    </row>
    <row r="888" spans="1:2" x14ac:dyDescent="0.25">
      <c r="A888" t="str">
        <f>IF(LEN(categories!G888) &gt; 0, "cp ."&amp;categories!G888&amp;" ../catalog/category"&amp;LEFT(categories!G888,6)&amp;";", "")</f>
        <v>cp ./img3/img8767.jpg ../catalog/category/img3/;</v>
      </c>
      <c r="B888" t="str">
        <f>IF(LEN(categories!G888) &gt; 0, SUBSTITUTE("copy ."&amp;categories!G888&amp;" ./category"&amp;LEFT(categories!G888,6),"/","\"), "")</f>
        <v>copy .\img3\img8767.jpg .\category\img3\</v>
      </c>
    </row>
    <row r="889" spans="1:2" x14ac:dyDescent="0.25">
      <c r="A889" t="str">
        <f>IF(LEN(categories!G889) &gt; 0, "cp ."&amp;categories!G889&amp;" ../catalog/category"&amp;LEFT(categories!G889,6)&amp;";", "")</f>
        <v>cp ./img3/imgfb93.jpg ../catalog/category/img3/;</v>
      </c>
      <c r="B889" t="str">
        <f>IF(LEN(categories!G889) &gt; 0, SUBSTITUTE("copy ."&amp;categories!G889&amp;" ./category"&amp;LEFT(categories!G889,6),"/","\"), "")</f>
        <v>copy .\img3\imgfb93.jpg .\category\img3\</v>
      </c>
    </row>
    <row r="890" spans="1:2" x14ac:dyDescent="0.25">
      <c r="A890" t="str">
        <f>IF(LEN(categories!G890) &gt; 0, "cp ."&amp;categories!G890&amp;" ../catalog/category"&amp;LEFT(categories!G890,6)&amp;";", "")</f>
        <v>cp ./img1/img8eb8.jpg ../catalog/category/img1/;</v>
      </c>
      <c r="B890" t="str">
        <f>IF(LEN(categories!G890) &gt; 0, SUBSTITUTE("copy ."&amp;categories!G890&amp;" ./category"&amp;LEFT(categories!G890,6),"/","\"), "")</f>
        <v>copy .\img1\img8eb8.jpg .\category\img1\</v>
      </c>
    </row>
    <row r="891" spans="1:2" x14ac:dyDescent="0.25">
      <c r="A891" t="str">
        <f>IF(LEN(categories!G891) &gt; 0, "cp ."&amp;categories!G891&amp;" ../catalog/category"&amp;LEFT(categories!G891,6)&amp;";", "")</f>
        <v>cp ./img2/imgc307.jpg ../catalog/category/img2/;</v>
      </c>
      <c r="B891" t="str">
        <f>IF(LEN(categories!G891) &gt; 0, SUBSTITUTE("copy ."&amp;categories!G891&amp;" ./category"&amp;LEFT(categories!G891,6),"/","\"), "")</f>
        <v>copy .\img2\imgc307.jpg .\category\img2\</v>
      </c>
    </row>
    <row r="892" spans="1:2" x14ac:dyDescent="0.25">
      <c r="A892" t="str">
        <f>IF(LEN(categories!G892) &gt; 0, "cp ."&amp;categories!G892&amp;" ../catalog/category"&amp;LEFT(categories!G892,6)&amp;";", "")</f>
        <v>cp ./img3/imgfb93.jpg ../catalog/category/img3/;</v>
      </c>
      <c r="B892" t="str">
        <f>IF(LEN(categories!G892) &gt; 0, SUBSTITUTE("copy ."&amp;categories!G892&amp;" ./category"&amp;LEFT(categories!G892,6),"/","\"), "")</f>
        <v>copy .\img3\imgfb93.jpg .\category\img3\</v>
      </c>
    </row>
    <row r="893" spans="1:2" x14ac:dyDescent="0.25">
      <c r="A893" t="str">
        <f>IF(LEN(categories!G893) &gt; 0, "cp ."&amp;categories!G893&amp;" ../catalog/category"&amp;LEFT(categories!G893,6)&amp;";", "")</f>
        <v>cp ./img1/img1c36.jpg ../catalog/category/img1/;</v>
      </c>
      <c r="B893" t="str">
        <f>IF(LEN(categories!G893) &gt; 0, SUBSTITUTE("copy ."&amp;categories!G893&amp;" ./category"&amp;LEFT(categories!G893,6),"/","\"), "")</f>
        <v>copy .\img1\img1c36.jpg .\category\img1\</v>
      </c>
    </row>
    <row r="894" spans="1:2" x14ac:dyDescent="0.25">
      <c r="A894" t="str">
        <f>IF(LEN(categories!G894) &gt; 0, "cp ."&amp;categories!G894&amp;" ../catalog/category"&amp;LEFT(categories!G894,6)&amp;";", "")</f>
        <v>cp ./img2/imge5f5.jpg ../catalog/category/img2/;</v>
      </c>
      <c r="B894" t="str">
        <f>IF(LEN(categories!G894) &gt; 0, SUBSTITUTE("copy ."&amp;categories!G894&amp;" ./category"&amp;LEFT(categories!G894,6),"/","\"), "")</f>
        <v>copy .\img2\imge5f5.jpg .\category\img2\</v>
      </c>
    </row>
    <row r="895" spans="1:2" x14ac:dyDescent="0.25">
      <c r="A895" t="str">
        <f>IF(LEN(categories!G895) &gt; 0, "cp ."&amp;categories!G895&amp;" ../catalog/category"&amp;LEFT(categories!G895,6)&amp;";", "")</f>
        <v>cp ./img1/img9bf2.jpg ../catalog/category/img1/;</v>
      </c>
      <c r="B895" t="str">
        <f>IF(LEN(categories!G895) &gt; 0, SUBSTITUTE("copy ."&amp;categories!G895&amp;" ./category"&amp;LEFT(categories!G895,6),"/","\"), "")</f>
        <v>copy .\img1\img9bf2.jpg .\category\img1\</v>
      </c>
    </row>
    <row r="896" spans="1:2" x14ac:dyDescent="0.25">
      <c r="A896" t="str">
        <f>IF(LEN(categories!G896) &gt; 0, "cp ."&amp;categories!G896&amp;" ../catalog/category"&amp;LEFT(categories!G896,6)&amp;";", "")</f>
        <v>cp ./img3/img7844.jpg ../catalog/category/img3/;</v>
      </c>
      <c r="B896" t="str">
        <f>IF(LEN(categories!G896) &gt; 0, SUBSTITUTE("copy ."&amp;categories!G896&amp;" ./category"&amp;LEFT(categories!G896,6),"/","\"), "")</f>
        <v>copy .\img3\img7844.jpg .\category\img3\</v>
      </c>
    </row>
    <row r="897" spans="1:2" x14ac:dyDescent="0.25">
      <c r="A897" t="str">
        <f>IF(LEN(categories!G897) &gt; 0, "cp ."&amp;categories!G897&amp;" ../catalog/category"&amp;LEFT(categories!G897,6)&amp;";", "")</f>
        <v>cp ./img1/imgda08.jpg ../catalog/category/img1/;</v>
      </c>
      <c r="B897" t="str">
        <f>IF(LEN(categories!G897) &gt; 0, SUBSTITUTE("copy ."&amp;categories!G897&amp;" ./category"&amp;LEFT(categories!G897,6),"/","\"), "")</f>
        <v>copy .\img1\imgda08.jpg .\category\img1\</v>
      </c>
    </row>
    <row r="898" spans="1:2" x14ac:dyDescent="0.25">
      <c r="A898" t="str">
        <f>IF(LEN(categories!G898) &gt; 0, "cp ."&amp;categories!G898&amp;" ../catalog/category"&amp;LEFT(categories!G898,6)&amp;";", "")</f>
        <v>cp ./img3/img9e11.jpg ../catalog/category/img3/;</v>
      </c>
      <c r="B898" t="str">
        <f>IF(LEN(categories!G898) &gt; 0, SUBSTITUTE("copy ."&amp;categories!G898&amp;" ./category"&amp;LEFT(categories!G898,6),"/","\"), "")</f>
        <v>copy .\img3\img9e11.jpg .\category\img3\</v>
      </c>
    </row>
    <row r="899" spans="1:2" x14ac:dyDescent="0.25">
      <c r="A899" t="str">
        <f>IF(LEN(categories!G899) &gt; 0, "cp ."&amp;categories!G899&amp;" ../catalog/category"&amp;LEFT(categories!G899,6)&amp;";", "")</f>
        <v>cp ./img2/img905a.jpg ../catalog/category/img2/;</v>
      </c>
      <c r="B899" t="str">
        <f>IF(LEN(categories!G899) &gt; 0, SUBSTITUTE("copy ."&amp;categories!G899&amp;" ./category"&amp;LEFT(categories!G899,6),"/","\"), "")</f>
        <v>copy .\img2\img905a.jpg .\category\img2\</v>
      </c>
    </row>
    <row r="900" spans="1:2" x14ac:dyDescent="0.25">
      <c r="A900" t="str">
        <f>IF(LEN(categories!G900) &gt; 0, "cp ."&amp;categories!G900&amp;" ../catalog/category"&amp;LEFT(categories!G900,6)&amp;";", "")</f>
        <v>cp ./img1/imgda76.jpg ../catalog/category/img1/;</v>
      </c>
      <c r="B900" t="str">
        <f>IF(LEN(categories!G900) &gt; 0, SUBSTITUTE("copy ."&amp;categories!G900&amp;" ./category"&amp;LEFT(categories!G900,6),"/","\"), "")</f>
        <v>copy .\img1\imgda76.jpg .\category\img1\</v>
      </c>
    </row>
    <row r="901" spans="1:2" x14ac:dyDescent="0.25">
      <c r="A901" t="str">
        <f>IF(LEN(categories!G901) &gt; 0, "cp ."&amp;categories!G901&amp;" ../catalog/category"&amp;LEFT(categories!G901,6)&amp;";", "")</f>
        <v>cp ./img3/img362c.jpg ../catalog/category/img3/;</v>
      </c>
      <c r="B901" t="str">
        <f>IF(LEN(categories!G901) &gt; 0, SUBSTITUTE("copy ."&amp;categories!G901&amp;" ./category"&amp;LEFT(categories!G901,6),"/","\"), "")</f>
        <v>copy .\img3\img362c.jpg .\category\img3\</v>
      </c>
    </row>
    <row r="902" spans="1:2" x14ac:dyDescent="0.25">
      <c r="A902" t="str">
        <f>IF(LEN(categories!G902) &gt; 0, "cp ."&amp;categories!G902&amp;" ../catalog/category"&amp;LEFT(categories!G902,6)&amp;";", "")</f>
        <v>cp ./img2/img371d.jpg ../catalog/category/img2/;</v>
      </c>
      <c r="B902" t="str">
        <f>IF(LEN(categories!G902) &gt; 0, SUBSTITUTE("copy ."&amp;categories!G902&amp;" ./category"&amp;LEFT(categories!G902,6),"/","\"), "")</f>
        <v>copy .\img2\img371d.jpg .\category\img2\</v>
      </c>
    </row>
    <row r="903" spans="1:2" x14ac:dyDescent="0.25">
      <c r="A903" t="str">
        <f>IF(LEN(categories!G903) &gt; 0, "cp ."&amp;categories!G903&amp;" ../catalog/category"&amp;LEFT(categories!G903,6)&amp;";", "")</f>
        <v>cp ./img2/img60ed.jpg ../catalog/category/img2/;</v>
      </c>
      <c r="B903" t="str">
        <f>IF(LEN(categories!G903) &gt; 0, SUBSTITUTE("copy ."&amp;categories!G903&amp;" ./category"&amp;LEFT(categories!G903,6),"/","\"), "")</f>
        <v>copy .\img2\img60ed.jpg .\category\img2\</v>
      </c>
    </row>
    <row r="904" spans="1:2" x14ac:dyDescent="0.25">
      <c r="A904" t="str">
        <f>IF(LEN(categories!G904) &gt; 0, "cp ."&amp;categories!G904&amp;" ../catalog/category"&amp;LEFT(categories!G904,6)&amp;";", "")</f>
        <v>cp ./img1/imga11b.jpg ../catalog/category/img1/;</v>
      </c>
      <c r="B904" t="str">
        <f>IF(LEN(categories!G904) &gt; 0, SUBSTITUTE("copy ."&amp;categories!G904&amp;" ./category"&amp;LEFT(categories!G904,6),"/","\"), "")</f>
        <v>copy .\img1\imga11b.jpg .\category\img1\</v>
      </c>
    </row>
    <row r="905" spans="1:2" x14ac:dyDescent="0.25">
      <c r="A905" t="str">
        <f>IF(LEN(categories!G905) &gt; 0, "cp ."&amp;categories!G905&amp;" ../catalog/category"&amp;LEFT(categories!G905,6)&amp;";", "")</f>
        <v>cp ./img1/img21cd.jpg ../catalog/category/img1/;</v>
      </c>
      <c r="B905" t="str">
        <f>IF(LEN(categories!G905) &gt; 0, SUBSTITUTE("copy ."&amp;categories!G905&amp;" ./category"&amp;LEFT(categories!G905,6),"/","\"), "")</f>
        <v>copy .\img1\img21cd.jpg .\category\img1\</v>
      </c>
    </row>
    <row r="906" spans="1:2" x14ac:dyDescent="0.25">
      <c r="A906" t="str">
        <f>IF(LEN(categories!G906) &gt; 0, "cp ."&amp;categories!G906&amp;" ../catalog/category"&amp;LEFT(categories!G906,6)&amp;";", "")</f>
        <v>cp ./img2/img0a77.jpg ../catalog/category/img2/;</v>
      </c>
      <c r="B906" t="str">
        <f>IF(LEN(categories!G906) &gt; 0, SUBSTITUTE("copy ."&amp;categories!G906&amp;" ./category"&amp;LEFT(categories!G906,6),"/","\"), "")</f>
        <v>copy .\img2\img0a77.jpg .\category\img2\</v>
      </c>
    </row>
    <row r="907" spans="1:2" x14ac:dyDescent="0.25">
      <c r="A907" t="str">
        <f>IF(LEN(categories!G907) &gt; 0, "cp ."&amp;categories!G907&amp;" ../catalog/category"&amp;LEFT(categories!G907,6)&amp;";", "")</f>
        <v>cp ./img2/imgf72e.jpg ../catalog/category/img2/;</v>
      </c>
      <c r="B907" t="str">
        <f>IF(LEN(categories!G907) &gt; 0, SUBSTITUTE("copy ."&amp;categories!G907&amp;" ./category"&amp;LEFT(categories!G907,6),"/","\"), "")</f>
        <v>copy .\img2\imgf72e.jpg .\category\img2\</v>
      </c>
    </row>
    <row r="908" spans="1:2" x14ac:dyDescent="0.25">
      <c r="A908" t="str">
        <f>IF(LEN(categories!G908) &gt; 0, "cp ."&amp;categories!G908&amp;" ../catalog/category"&amp;LEFT(categories!G908,6)&amp;";", "")</f>
        <v>cp ./img3/imge77f.jpg ../catalog/category/img3/;</v>
      </c>
      <c r="B908" t="str">
        <f>IF(LEN(categories!G908) &gt; 0, SUBSTITUTE("copy ."&amp;categories!G908&amp;" ./category"&amp;LEFT(categories!G908,6),"/","\"), "")</f>
        <v>copy .\img3\imge77f.jpg .\category\img3\</v>
      </c>
    </row>
    <row r="909" spans="1:2" x14ac:dyDescent="0.25">
      <c r="A909" t="str">
        <f>IF(LEN(categories!G909) &gt; 0, "cp ."&amp;categories!G909&amp;" ../catalog/category"&amp;LEFT(categories!G909,6)&amp;";", "")</f>
        <v>cp ./img1/img5862.jpg ../catalog/category/img1/;</v>
      </c>
      <c r="B909" t="str">
        <f>IF(LEN(categories!G909) &gt; 0, SUBSTITUTE("copy ."&amp;categories!G909&amp;" ./category"&amp;LEFT(categories!G909,6),"/","\"), "")</f>
        <v>copy .\img1\img5862.jpg .\category\img1\</v>
      </c>
    </row>
    <row r="910" spans="1:2" x14ac:dyDescent="0.25">
      <c r="A910" t="str">
        <f>IF(LEN(categories!G910) &gt; 0, "cp ."&amp;categories!G910&amp;" ../catalog/category"&amp;LEFT(categories!G910,6)&amp;";", "")</f>
        <v>cp ./img3/img0e55.jpg ../catalog/category/img3/;</v>
      </c>
      <c r="B910" t="str">
        <f>IF(LEN(categories!G910) &gt; 0, SUBSTITUTE("copy ."&amp;categories!G910&amp;" ./category"&amp;LEFT(categories!G910,6),"/","\"), "")</f>
        <v>copy .\img3\img0e55.jpg .\category\img3\</v>
      </c>
    </row>
    <row r="911" spans="1:2" x14ac:dyDescent="0.25">
      <c r="A911" t="str">
        <f>IF(LEN(categories!G911) &gt; 0, "cp ."&amp;categories!G911&amp;" ../catalog/category"&amp;LEFT(categories!G911,6)&amp;";", "")</f>
        <v>cp ./img1/imgbe2b.jpg ../catalog/category/img1/;</v>
      </c>
      <c r="B911" t="str">
        <f>IF(LEN(categories!G911) &gt; 0, SUBSTITUTE("copy ."&amp;categories!G911&amp;" ./category"&amp;LEFT(categories!G911,6),"/","\"), "")</f>
        <v>copy .\img1\imgbe2b.jpg .\category\img1\</v>
      </c>
    </row>
    <row r="912" spans="1:2" x14ac:dyDescent="0.25">
      <c r="A912" t="str">
        <f>IF(LEN(categories!G912) &gt; 0, "cp ."&amp;categories!G912&amp;" ../catalog/category"&amp;LEFT(categories!G912,6)&amp;";", "")</f>
        <v>cp ./img2/img9d68.jpg ../catalog/category/img2/;</v>
      </c>
      <c r="B912" t="str">
        <f>IF(LEN(categories!G912) &gt; 0, SUBSTITUTE("copy ."&amp;categories!G912&amp;" ./category"&amp;LEFT(categories!G912,6),"/","\"), "")</f>
        <v>copy .\img2\img9d68.jpg .\category\img2\</v>
      </c>
    </row>
    <row r="913" spans="1:2" x14ac:dyDescent="0.25">
      <c r="A913" t="str">
        <f>IF(LEN(categories!G913) &gt; 0, "cp ."&amp;categories!G913&amp;" ../catalog/category"&amp;LEFT(categories!G913,6)&amp;";", "")</f>
        <v>cp ./img3/imgb8bf.jpg ../catalog/category/img3/;</v>
      </c>
      <c r="B913" t="str">
        <f>IF(LEN(categories!G913) &gt; 0, SUBSTITUTE("copy ."&amp;categories!G913&amp;" ./category"&amp;LEFT(categories!G913,6),"/","\"), "")</f>
        <v>copy .\img3\imgb8bf.jpg .\category\img3\</v>
      </c>
    </row>
    <row r="914" spans="1:2" x14ac:dyDescent="0.25">
      <c r="A914" t="str">
        <f>IF(LEN(categories!G914) &gt; 0, "cp ."&amp;categories!G914&amp;" ../catalog/category"&amp;LEFT(categories!G914,6)&amp;";", "")</f>
        <v>cp ./img2/imga9b4.jpg ../catalog/category/img2/;</v>
      </c>
      <c r="B914" t="str">
        <f>IF(LEN(categories!G914) &gt; 0, SUBSTITUTE("copy ."&amp;categories!G914&amp;" ./category"&amp;LEFT(categories!G914,6),"/","\"), "")</f>
        <v>copy .\img2\imga9b4.jpg .\category\img2\</v>
      </c>
    </row>
    <row r="915" spans="1:2" x14ac:dyDescent="0.25">
      <c r="A915" t="str">
        <f>IF(LEN(categories!G915) &gt; 0, "cp ."&amp;categories!G915&amp;" ../catalog/category"&amp;LEFT(categories!G915,6)&amp;";", "")</f>
        <v>cp ./img2/img163f.jpg ../catalog/category/img2/;</v>
      </c>
      <c r="B915" t="str">
        <f>IF(LEN(categories!G915) &gt; 0, SUBSTITUTE("copy ."&amp;categories!G915&amp;" ./category"&amp;LEFT(categories!G915,6),"/","\"), "")</f>
        <v>copy .\img2\img163f.jpg .\category\img2\</v>
      </c>
    </row>
    <row r="916" spans="1:2" x14ac:dyDescent="0.25">
      <c r="A916" t="str">
        <f>IF(LEN(categories!G916) &gt; 0, "cp ."&amp;categories!G916&amp;" ../catalog/category"&amp;LEFT(categories!G916,6)&amp;";", "")</f>
        <v>cp ./img1/img3c04.jpg ../catalog/category/img1/;</v>
      </c>
      <c r="B916" t="str">
        <f>IF(LEN(categories!G916) &gt; 0, SUBSTITUTE("copy ."&amp;categories!G916&amp;" ./category"&amp;LEFT(categories!G916,6),"/","\"), "")</f>
        <v>copy .\img1\img3c04.jpg .\category\img1\</v>
      </c>
    </row>
    <row r="917" spans="1:2" x14ac:dyDescent="0.25">
      <c r="A917" t="str">
        <f>IF(LEN(categories!G917) &gt; 0, "cp ."&amp;categories!G917&amp;" ../catalog/category"&amp;LEFT(categories!G917,6)&amp;";", "")</f>
        <v>cp ./img3/imge46d.jpg ../catalog/category/img3/;</v>
      </c>
      <c r="B917" t="str">
        <f>IF(LEN(categories!G917) &gt; 0, SUBSTITUTE("copy ."&amp;categories!G917&amp;" ./category"&amp;LEFT(categories!G917,6),"/","\"), "")</f>
        <v>copy .\img3\imge46d.jpg .\category\img3\</v>
      </c>
    </row>
    <row r="918" spans="1:2" x14ac:dyDescent="0.25">
      <c r="A918" t="str">
        <f>IF(LEN(categories!G918) &gt; 0, "cp ."&amp;categories!G918&amp;" ../catalog/category"&amp;LEFT(categories!G918,6)&amp;";", "")</f>
        <v>cp ./img1/imgc9c4.jpg ../catalog/category/img1/;</v>
      </c>
      <c r="B918" t="str">
        <f>IF(LEN(categories!G918) &gt; 0, SUBSTITUTE("copy ."&amp;categories!G918&amp;" ./category"&amp;LEFT(categories!G918,6),"/","\"), "")</f>
        <v>copy .\img1\imgc9c4.jpg .\category\img1\</v>
      </c>
    </row>
    <row r="919" spans="1:2" x14ac:dyDescent="0.25">
      <c r="A919" t="str">
        <f>IF(LEN(categories!G919) &gt; 0, "cp ."&amp;categories!G919&amp;" ../catalog/category"&amp;LEFT(categories!G919,6)&amp;";", "")</f>
        <v>cp ./img1/imgfe08.jpg ../catalog/category/img1/;</v>
      </c>
      <c r="B919" t="str">
        <f>IF(LEN(categories!G919) &gt; 0, SUBSTITUTE("copy ."&amp;categories!G919&amp;" ./category"&amp;LEFT(categories!G919,6),"/","\"), "")</f>
        <v>copy .\img1\imgfe08.jpg .\category\img1\</v>
      </c>
    </row>
    <row r="920" spans="1:2" x14ac:dyDescent="0.25">
      <c r="A920" t="str">
        <f>IF(LEN(categories!G920) &gt; 0, "cp ."&amp;categories!G920&amp;" ../catalog/category"&amp;LEFT(categories!G920,6)&amp;";", "")</f>
        <v>cp ./img1/img2a18.jpg ../catalog/category/img1/;</v>
      </c>
      <c r="B920" t="str">
        <f>IF(LEN(categories!G920) &gt; 0, SUBSTITUTE("copy ."&amp;categories!G920&amp;" ./category"&amp;LEFT(categories!G920,6),"/","\"), "")</f>
        <v>copy .\img1\img2a18.jpg .\category\img1\</v>
      </c>
    </row>
    <row r="921" spans="1:2" x14ac:dyDescent="0.25">
      <c r="A921" t="str">
        <f>IF(LEN(categories!G921) &gt; 0, "cp ."&amp;categories!G921&amp;" ../catalog/category"&amp;LEFT(categories!G921,6)&amp;";", "")</f>
        <v>cp ./img2/img0cc8.jpg ../catalog/category/img2/;</v>
      </c>
      <c r="B921" t="str">
        <f>IF(LEN(categories!G921) &gt; 0, SUBSTITUTE("copy ."&amp;categories!G921&amp;" ./category"&amp;LEFT(categories!G921,6),"/","\"), "")</f>
        <v>copy .\img2\img0cc8.jpg .\category\img2\</v>
      </c>
    </row>
    <row r="922" spans="1:2" x14ac:dyDescent="0.25">
      <c r="A922" t="str">
        <f>IF(LEN(categories!G922) &gt; 0, "cp ."&amp;categories!G922&amp;" ../catalog/category"&amp;LEFT(categories!G922,6)&amp;";", "")</f>
        <v>cp ./img1/img1fcc.jpg ../catalog/category/img1/;</v>
      </c>
      <c r="B922" t="str">
        <f>IF(LEN(categories!G922) &gt; 0, SUBSTITUTE("copy ."&amp;categories!G922&amp;" ./category"&amp;LEFT(categories!G922,6),"/","\"), "")</f>
        <v>copy .\img1\img1fcc.jpg .\category\img1\</v>
      </c>
    </row>
    <row r="923" spans="1:2" x14ac:dyDescent="0.25">
      <c r="A923" t="str">
        <f>IF(LEN(categories!G923) &gt; 0, "cp ."&amp;categories!G923&amp;" ../catalog/category"&amp;LEFT(categories!G923,6)&amp;";", "")</f>
        <v>cp ./img3/imgf031.jpg ../catalog/category/img3/;</v>
      </c>
      <c r="B923" t="str">
        <f>IF(LEN(categories!G923) &gt; 0, SUBSTITUTE("copy ."&amp;categories!G923&amp;" ./category"&amp;LEFT(categories!G923,6),"/","\"), "")</f>
        <v>copy .\img3\imgf031.jpg .\category\img3\</v>
      </c>
    </row>
    <row r="924" spans="1:2" x14ac:dyDescent="0.25">
      <c r="A924" t="str">
        <f>IF(LEN(categories!G924) &gt; 0, "cp ."&amp;categories!G924&amp;" ../catalog/category"&amp;LEFT(categories!G924,6)&amp;";", "")</f>
        <v>cp ./img1/img1f8d.jpg ../catalog/category/img1/;</v>
      </c>
      <c r="B924" t="str">
        <f>IF(LEN(categories!G924) &gt; 0, SUBSTITUTE("copy ."&amp;categories!G924&amp;" ./category"&amp;LEFT(categories!G924,6),"/","\"), "")</f>
        <v>copy .\img1\img1f8d.jpg .\category\img1\</v>
      </c>
    </row>
    <row r="925" spans="1:2" x14ac:dyDescent="0.25">
      <c r="A925" t="str">
        <f>IF(LEN(categories!G925) &gt; 0, "cp ."&amp;categories!G925&amp;" ../catalog/category"&amp;LEFT(categories!G925,6)&amp;";", "")</f>
        <v>cp ./img2/img6979.jpg ../catalog/category/img2/;</v>
      </c>
      <c r="B925" t="str">
        <f>IF(LEN(categories!G925) &gt; 0, SUBSTITUTE("copy ."&amp;categories!G925&amp;" ./category"&amp;LEFT(categories!G925,6),"/","\"), "")</f>
        <v>copy .\img2\img6979.jpg .\category\img2\</v>
      </c>
    </row>
    <row r="926" spans="1:2" x14ac:dyDescent="0.25">
      <c r="A926" t="str">
        <f>IF(LEN(categories!G926) &gt; 0, "cp ."&amp;categories!G926&amp;" ../catalog/category"&amp;LEFT(categories!G926,6)&amp;";", "")</f>
        <v>cp ./img3/img7796.jpg ../catalog/category/img3/;</v>
      </c>
      <c r="B926" t="str">
        <f>IF(LEN(categories!G926) &gt; 0, SUBSTITUTE("copy ."&amp;categories!G926&amp;" ./category"&amp;LEFT(categories!G926,6),"/","\"), "")</f>
        <v>copy .\img3\img7796.jpg .\category\img3\</v>
      </c>
    </row>
    <row r="927" spans="1:2" x14ac:dyDescent="0.25">
      <c r="A927" t="str">
        <f>IF(LEN(categories!G927) &gt; 0, "cp ."&amp;categories!G927&amp;" ../catalog/category"&amp;LEFT(categories!G927,6)&amp;";", "")</f>
        <v>cp ./img3/imge699.jpg ../catalog/category/img3/;</v>
      </c>
      <c r="B927" t="str">
        <f>IF(LEN(categories!G927) &gt; 0, SUBSTITUTE("copy ."&amp;categories!G927&amp;" ./category"&amp;LEFT(categories!G927,6),"/","\"), "")</f>
        <v>copy .\img3\imge699.jpg .\category\img3\</v>
      </c>
    </row>
    <row r="928" spans="1:2" x14ac:dyDescent="0.25">
      <c r="A928" t="str">
        <f>IF(LEN(categories!G928) &gt; 0, "cp ."&amp;categories!G928&amp;" ../catalog/category"&amp;LEFT(categories!G928,6)&amp;";", "")</f>
        <v>cp ./img1/imgd422.jpg ../catalog/category/img1/;</v>
      </c>
      <c r="B928" t="str">
        <f>IF(LEN(categories!G928) &gt; 0, SUBSTITUTE("copy ."&amp;categories!G928&amp;" ./category"&amp;LEFT(categories!G928,6),"/","\"), "")</f>
        <v>copy .\img1\imgd422.jpg .\category\img1\</v>
      </c>
    </row>
    <row r="929" spans="1:2" x14ac:dyDescent="0.25">
      <c r="A929" t="str">
        <f>IF(LEN(categories!G929) &gt; 0, "cp ."&amp;categories!G929&amp;" ../catalog/category"&amp;LEFT(categories!G929,6)&amp;";", "")</f>
        <v>cp ./img3/img3972.jpg ../catalog/category/img3/;</v>
      </c>
      <c r="B929" t="str">
        <f>IF(LEN(categories!G929) &gt; 0, SUBSTITUTE("copy ."&amp;categories!G929&amp;" ./category"&amp;LEFT(categories!G929,6),"/","\"), "")</f>
        <v>copy .\img3\img3972.jpg .\category\img3\</v>
      </c>
    </row>
    <row r="930" spans="1:2" x14ac:dyDescent="0.25">
      <c r="A930" t="str">
        <f>IF(LEN(categories!G930) &gt; 0, "cp ."&amp;categories!G930&amp;" ../catalog/category"&amp;LEFT(categories!G930,6)&amp;";", "")</f>
        <v>cp ./img2/img9e05.jpg ../catalog/category/img2/;</v>
      </c>
      <c r="B930" t="str">
        <f>IF(LEN(categories!G930) &gt; 0, SUBSTITUTE("copy ."&amp;categories!G930&amp;" ./category"&amp;LEFT(categories!G930,6),"/","\"), "")</f>
        <v>copy .\img2\img9e05.jpg .\category\img2\</v>
      </c>
    </row>
    <row r="931" spans="1:2" x14ac:dyDescent="0.25">
      <c r="A931" t="str">
        <f>IF(LEN(categories!G931) &gt; 0, "cp ."&amp;categories!G931&amp;" ../catalog/category"&amp;LEFT(categories!G931,6)&amp;";", "")</f>
        <v>cp ./img2/img8283.jpg ../catalog/category/img2/;</v>
      </c>
      <c r="B931" t="str">
        <f>IF(LEN(categories!G931) &gt; 0, SUBSTITUTE("copy ."&amp;categories!G931&amp;" ./category"&amp;LEFT(categories!G931,6),"/","\"), "")</f>
        <v>copy .\img2\img8283.jpg .\category\img2\</v>
      </c>
    </row>
    <row r="932" spans="1:2" x14ac:dyDescent="0.25">
      <c r="A932" t="str">
        <f>IF(LEN(categories!G932) &gt; 0, "cp ."&amp;categories!G932&amp;" ../catalog/category"&amp;LEFT(categories!G932,6)&amp;";", "")</f>
        <v>cp ./img3/img876a.jpg ../catalog/category/img3/;</v>
      </c>
      <c r="B932" t="str">
        <f>IF(LEN(categories!G932) &gt; 0, SUBSTITUTE("copy ."&amp;categories!G932&amp;" ./category"&amp;LEFT(categories!G932,6),"/","\"), "")</f>
        <v>copy .\img3\img876a.jpg .\category\img3\</v>
      </c>
    </row>
    <row r="933" spans="1:2" x14ac:dyDescent="0.25">
      <c r="A933" t="str">
        <f>IF(LEN(categories!G933) &gt; 0, "cp ."&amp;categories!G933&amp;" ../catalog/category"&amp;LEFT(categories!G933,6)&amp;";", "")</f>
        <v>cp ./img1/imge5dd.jpg ../catalog/category/img1/;</v>
      </c>
      <c r="B933" t="str">
        <f>IF(LEN(categories!G933) &gt; 0, SUBSTITUTE("copy ."&amp;categories!G933&amp;" ./category"&amp;LEFT(categories!G933,6),"/","\"), "")</f>
        <v>copy .\img1\imge5dd.jpg .\category\img1\</v>
      </c>
    </row>
    <row r="934" spans="1:2" x14ac:dyDescent="0.25">
      <c r="A934" t="str">
        <f>IF(LEN(categories!G934) &gt; 0, "cp ."&amp;categories!G934&amp;" ../catalog/category"&amp;LEFT(categories!G934,6)&amp;";", "")</f>
        <v>cp ./img3/imgd490.jpg ../catalog/category/img3/;</v>
      </c>
      <c r="B934" t="str">
        <f>IF(LEN(categories!G934) &gt; 0, SUBSTITUTE("copy ."&amp;categories!G934&amp;" ./category"&amp;LEFT(categories!G934,6),"/","\"), "")</f>
        <v>copy .\img3\imgd490.jpg .\category\img3\</v>
      </c>
    </row>
    <row r="935" spans="1:2" x14ac:dyDescent="0.25">
      <c r="A935" t="str">
        <f>IF(LEN(categories!G935) &gt; 0, "cp ."&amp;categories!G935&amp;" ../catalog/category"&amp;LEFT(categories!G935,6)&amp;";", "")</f>
        <v>cp ./img2/imga770.jpg ../catalog/category/img2/;</v>
      </c>
      <c r="B935" t="str">
        <f>IF(LEN(categories!G935) &gt; 0, SUBSTITUTE("copy ."&amp;categories!G935&amp;" ./category"&amp;LEFT(categories!G935,6),"/","\"), "")</f>
        <v>copy .\img2\imga770.jpg .\category\img2\</v>
      </c>
    </row>
    <row r="936" spans="1:2" x14ac:dyDescent="0.25">
      <c r="A936" t="str">
        <f>IF(LEN(categories!G936) &gt; 0, "cp ."&amp;categories!G936&amp;" ../catalog/category"&amp;LEFT(categories!G936,6)&amp;";", "")</f>
        <v>cp ./img1/imgd8a2.jpg ../catalog/category/img1/;</v>
      </c>
      <c r="B936" t="str">
        <f>IF(LEN(categories!G936) &gt; 0, SUBSTITUTE("copy ."&amp;categories!G936&amp;" ./category"&amp;LEFT(categories!G936,6),"/","\"), "")</f>
        <v>copy .\img1\imgd8a2.jpg .\category\img1\</v>
      </c>
    </row>
    <row r="937" spans="1:2" x14ac:dyDescent="0.25">
      <c r="A937" t="str">
        <f>IF(LEN(categories!G937) &gt; 0, "cp ."&amp;categories!G937&amp;" ../catalog/category"&amp;LEFT(categories!G937,6)&amp;";", "")</f>
        <v>cp ./img3/img6574.jpg ../catalog/category/img3/;</v>
      </c>
      <c r="B937" t="str">
        <f>IF(LEN(categories!G937) &gt; 0, SUBSTITUTE("copy ."&amp;categories!G937&amp;" ./category"&amp;LEFT(categories!G937,6),"/","\"), "")</f>
        <v>copy .\img3\img6574.jpg .\category\img3\</v>
      </c>
    </row>
    <row r="938" spans="1:2" x14ac:dyDescent="0.25">
      <c r="A938" t="str">
        <f>IF(LEN(categories!G938) &gt; 0, "cp ."&amp;categories!G938&amp;" ../catalog/category"&amp;LEFT(categories!G938,6)&amp;";", "")</f>
        <v>cp ./img3/img85d7.jpg ../catalog/category/img3/;</v>
      </c>
      <c r="B938" t="str">
        <f>IF(LEN(categories!G938) &gt; 0, SUBSTITUTE("copy ."&amp;categories!G938&amp;" ./category"&amp;LEFT(categories!G938,6),"/","\"), "")</f>
        <v>copy .\img3\img85d7.jpg .\category\img3\</v>
      </c>
    </row>
    <row r="939" spans="1:2" x14ac:dyDescent="0.25">
      <c r="A939" t="str">
        <f>IF(LEN(categories!G939) &gt; 0, "cp ."&amp;categories!G939&amp;" ../catalog/category"&amp;LEFT(categories!G939,6)&amp;";", "")</f>
        <v>cp ./img1/imgcedf.jpg ../catalog/category/img1/;</v>
      </c>
      <c r="B939" t="str">
        <f>IF(LEN(categories!G939) &gt; 0, SUBSTITUTE("copy ."&amp;categories!G939&amp;" ./category"&amp;LEFT(categories!G939,6),"/","\"), "")</f>
        <v>copy .\img1\imgcedf.jpg .\category\img1\</v>
      </c>
    </row>
    <row r="940" spans="1:2" x14ac:dyDescent="0.25">
      <c r="A940" t="str">
        <f>IF(LEN(categories!G940) &gt; 0, "cp ."&amp;categories!G940&amp;" ../catalog/category"&amp;LEFT(categories!G940,6)&amp;";", "")</f>
        <v>cp ./img3/imgea1a.jpg ../catalog/category/img3/;</v>
      </c>
      <c r="B940" t="str">
        <f>IF(LEN(categories!G940) &gt; 0, SUBSTITUTE("copy ."&amp;categories!G940&amp;" ./category"&amp;LEFT(categories!G940,6),"/","\"), "")</f>
        <v>copy .\img3\imgea1a.jpg .\category\img3\</v>
      </c>
    </row>
    <row r="941" spans="1:2" x14ac:dyDescent="0.25">
      <c r="A941" t="str">
        <f>IF(LEN(categories!G941) &gt; 0, "cp ."&amp;categories!G941&amp;" ../catalog/category"&amp;LEFT(categories!G941,6)&amp;";", "")</f>
        <v>cp ./img3/imgbc8f.jpg ../catalog/category/img3/;</v>
      </c>
      <c r="B941" t="str">
        <f>IF(LEN(categories!G941) &gt; 0, SUBSTITUTE("copy ."&amp;categories!G941&amp;" ./category"&amp;LEFT(categories!G941,6),"/","\"), "")</f>
        <v>copy .\img3\imgbc8f.jpg .\category\img3\</v>
      </c>
    </row>
    <row r="942" spans="1:2" x14ac:dyDescent="0.25">
      <c r="A942" t="str">
        <f>IF(LEN(categories!G942) &gt; 0, "cp ."&amp;categories!G942&amp;" ../catalog/category"&amp;LEFT(categories!G942,6)&amp;";", "")</f>
        <v>cp ./img1/imge990.jpg ../catalog/category/img1/;</v>
      </c>
      <c r="B942" t="str">
        <f>IF(LEN(categories!G942) &gt; 0, SUBSTITUTE("copy ."&amp;categories!G942&amp;" ./category"&amp;LEFT(categories!G942,6),"/","\"), "")</f>
        <v>copy .\img1\imge990.jpg .\category\img1\</v>
      </c>
    </row>
    <row r="943" spans="1:2" x14ac:dyDescent="0.25">
      <c r="A943" t="str">
        <f>IF(LEN(categories!G943) &gt; 0, "cp ."&amp;categories!G943&amp;" ../catalog/category"&amp;LEFT(categories!G943,6)&amp;";", "")</f>
        <v>cp ./img3/img0905.jpg ../catalog/category/img3/;</v>
      </c>
      <c r="B943" t="str">
        <f>IF(LEN(categories!G943) &gt; 0, SUBSTITUTE("copy ."&amp;categories!G943&amp;" ./category"&amp;LEFT(categories!G943,6),"/","\"), "")</f>
        <v>copy .\img3\img0905.jpg .\category\img3\</v>
      </c>
    </row>
    <row r="944" spans="1:2" x14ac:dyDescent="0.25">
      <c r="A944" t="str">
        <f>IF(LEN(categories!G944) &gt; 0, "cp ."&amp;categories!G944&amp;" ../catalog/category"&amp;LEFT(categories!G944,6)&amp;";", "")</f>
        <v>cp ./img1/img1fd4.jpg ../catalog/category/img1/;</v>
      </c>
      <c r="B944" t="str">
        <f>IF(LEN(categories!G944) &gt; 0, SUBSTITUTE("copy ."&amp;categories!G944&amp;" ./category"&amp;LEFT(categories!G944,6),"/","\"), "")</f>
        <v>copy .\img1\img1fd4.jpg .\category\img1\</v>
      </c>
    </row>
    <row r="945" spans="1:2" x14ac:dyDescent="0.25">
      <c r="A945" t="str">
        <f>IF(LEN(categories!G945) &gt; 0, "cp ."&amp;categories!G945&amp;" ../catalog/category"&amp;LEFT(categories!G945,6)&amp;";", "")</f>
        <v>cp ./img2/img7ebf.jpg ../catalog/category/img2/;</v>
      </c>
      <c r="B945" t="str">
        <f>IF(LEN(categories!G945) &gt; 0, SUBSTITUTE("copy ."&amp;categories!G945&amp;" ./category"&amp;LEFT(categories!G945,6),"/","\"), "")</f>
        <v>copy .\img2\img7ebf.jpg .\category\img2\</v>
      </c>
    </row>
    <row r="946" spans="1:2" x14ac:dyDescent="0.25">
      <c r="A946" t="str">
        <f>IF(LEN(categories!G946) &gt; 0, "cp ."&amp;categories!G946&amp;" ../catalog/category"&amp;LEFT(categories!G946,6)&amp;";", "")</f>
        <v>cp ./img2/imgb78d.jpg ../catalog/category/img2/;</v>
      </c>
      <c r="B946" t="str">
        <f>IF(LEN(categories!G946) &gt; 0, SUBSTITUTE("copy ."&amp;categories!G946&amp;" ./category"&amp;LEFT(categories!G946,6),"/","\"), "")</f>
        <v>copy .\img2\imgb78d.jpg .\category\img2\</v>
      </c>
    </row>
    <row r="947" spans="1:2" x14ac:dyDescent="0.25">
      <c r="A947" t="str">
        <f>IF(LEN(categories!G947) &gt; 0, "cp ."&amp;categories!G947&amp;" ../catalog/category"&amp;LEFT(categories!G947,6)&amp;";", "")</f>
        <v>cp ./img3/img062e.jpg ../catalog/category/img3/;</v>
      </c>
      <c r="B947" t="str">
        <f>IF(LEN(categories!G947) &gt; 0, SUBSTITUTE("copy ."&amp;categories!G947&amp;" ./category"&amp;LEFT(categories!G947,6),"/","\"), "")</f>
        <v>copy .\img3\img062e.jpg .\category\img3\</v>
      </c>
    </row>
    <row r="948" spans="1:2" x14ac:dyDescent="0.25">
      <c r="A948" t="str">
        <f>IF(LEN(categories!G948) &gt; 0, "cp ."&amp;categories!G948&amp;" ../catalog/category"&amp;LEFT(categories!G948,6)&amp;";", "")</f>
        <v>cp ./img1/img571d.jpg ../catalog/category/img1/;</v>
      </c>
      <c r="B948" t="str">
        <f>IF(LEN(categories!G948) &gt; 0, SUBSTITUTE("copy ."&amp;categories!G948&amp;" ./category"&amp;LEFT(categories!G948,6),"/","\"), "")</f>
        <v>copy .\img1\img571d.jpg .\category\img1\</v>
      </c>
    </row>
    <row r="949" spans="1:2" x14ac:dyDescent="0.25">
      <c r="A949" t="str">
        <f>IF(LEN(categories!G949) &gt; 0, "cp ."&amp;categories!G949&amp;" ../catalog/category"&amp;LEFT(categories!G949,6)&amp;";", "")</f>
        <v>cp ./img3/img6517.jpg ../catalog/category/img3/;</v>
      </c>
      <c r="B949" t="str">
        <f>IF(LEN(categories!G949) &gt; 0, SUBSTITUTE("copy ."&amp;categories!G949&amp;" ./category"&amp;LEFT(categories!G949,6),"/","\"), "")</f>
        <v>copy .\img3\img6517.jpg .\category\img3\</v>
      </c>
    </row>
    <row r="950" spans="1:2" x14ac:dyDescent="0.25">
      <c r="A950" t="str">
        <f>IF(LEN(categories!G950) &gt; 0, "cp ."&amp;categories!G950&amp;" ../catalog/category"&amp;LEFT(categories!G950,6)&amp;";", "")</f>
        <v>cp ./img3/img9049.jpg ../catalog/category/img3/;</v>
      </c>
      <c r="B950" t="str">
        <f>IF(LEN(categories!G950) &gt; 0, SUBSTITUTE("copy ."&amp;categories!G950&amp;" ./category"&amp;LEFT(categories!G950,6),"/","\"), "")</f>
        <v>copy .\img3\img9049.jpg .\category\img3\</v>
      </c>
    </row>
    <row r="951" spans="1:2" x14ac:dyDescent="0.25">
      <c r="A951" t="str">
        <f>IF(LEN(categories!G951) &gt; 0, "cp ."&amp;categories!G951&amp;" ../catalog/category"&amp;LEFT(categories!G951,6)&amp;";", "")</f>
        <v>cp ./img1/img6e93.jpg ../catalog/category/img1/;</v>
      </c>
      <c r="B951" t="str">
        <f>IF(LEN(categories!G951) &gt; 0, SUBSTITUTE("copy ."&amp;categories!G951&amp;" ./category"&amp;LEFT(categories!G951,6),"/","\"), "")</f>
        <v>copy .\img1\img6e93.jpg .\category\img1\</v>
      </c>
    </row>
    <row r="952" spans="1:2" x14ac:dyDescent="0.25">
      <c r="A952" t="str">
        <f>IF(LEN(categories!G952) &gt; 0, "cp ."&amp;categories!G952&amp;" ../catalog/category"&amp;LEFT(categories!G952,6)&amp;";", "")</f>
        <v>cp ./img3/imge1e8.jpg ../catalog/category/img3/;</v>
      </c>
      <c r="B952" t="str">
        <f>IF(LEN(categories!G952) &gt; 0, SUBSTITUTE("copy ."&amp;categories!G952&amp;" ./category"&amp;LEFT(categories!G952,6),"/","\"), "")</f>
        <v>copy .\img3\imge1e8.jpg .\category\img3\</v>
      </c>
    </row>
    <row r="953" spans="1:2" x14ac:dyDescent="0.25">
      <c r="A953" t="str">
        <f>IF(LEN(categories!G953) &gt; 0, "cp ."&amp;categories!G953&amp;" ../catalog/category"&amp;LEFT(categories!G953,6)&amp;";", "")</f>
        <v>cp ./img1/img4a03.jpg ../catalog/category/img1/;</v>
      </c>
      <c r="B953" t="str">
        <f>IF(LEN(categories!G953) &gt; 0, SUBSTITUTE("copy ."&amp;categories!G953&amp;" ./category"&amp;LEFT(categories!G953,6),"/","\"), "")</f>
        <v>copy .\img1\img4a03.jpg .\category\img1\</v>
      </c>
    </row>
    <row r="954" spans="1:2" x14ac:dyDescent="0.25">
      <c r="A954" t="str">
        <f>IF(LEN(categories!G954) &gt; 0, "cp ."&amp;categories!G954&amp;" ../catalog/category"&amp;LEFT(categories!G954,6)&amp;";", "")</f>
        <v>cp ./img2/img3689.jpg ../catalog/category/img2/;</v>
      </c>
      <c r="B954" t="str">
        <f>IF(LEN(categories!G954) &gt; 0, SUBSTITUTE("copy ."&amp;categories!G954&amp;" ./category"&amp;LEFT(categories!G954,6),"/","\"), "")</f>
        <v>copy .\img2\img3689.jpg .\category\img2\</v>
      </c>
    </row>
    <row r="955" spans="1:2" x14ac:dyDescent="0.25">
      <c r="A955" t="str">
        <f>IF(LEN(categories!G955) &gt; 0, "cp ."&amp;categories!G955&amp;" ../catalog/category"&amp;LEFT(categories!G955,6)&amp;";", "")</f>
        <v>cp ./img3/imga102.jpg ../catalog/category/img3/;</v>
      </c>
      <c r="B955" t="str">
        <f>IF(LEN(categories!G955) &gt; 0, SUBSTITUTE("copy ."&amp;categories!G955&amp;" ./category"&amp;LEFT(categories!G955,6),"/","\"), "")</f>
        <v>copy .\img3\imga102.jpg .\category\img3\</v>
      </c>
    </row>
    <row r="956" spans="1:2" x14ac:dyDescent="0.25">
      <c r="A956" t="str">
        <f>IF(LEN(categories!G956) &gt; 0, "cp ."&amp;categories!G956&amp;" ../catalog/category"&amp;LEFT(categories!G956,6)&amp;";", "")</f>
        <v>cp ./img3/img1c3a.jpg ../catalog/category/img3/;</v>
      </c>
      <c r="B956" t="str">
        <f>IF(LEN(categories!G956) &gt; 0, SUBSTITUTE("copy ."&amp;categories!G956&amp;" ./category"&amp;LEFT(categories!G956,6),"/","\"), "")</f>
        <v>copy .\img3\img1c3a.jpg .\category\img3\</v>
      </c>
    </row>
    <row r="957" spans="1:2" x14ac:dyDescent="0.25">
      <c r="A957" t="str">
        <f>IF(LEN(categories!G957) &gt; 0, "cp ."&amp;categories!G957&amp;" ../catalog/category"&amp;LEFT(categories!G957,6)&amp;";", "")</f>
        <v>cp ./img2/img86c3.jpg ../catalog/category/img2/;</v>
      </c>
      <c r="B957" t="str">
        <f>IF(LEN(categories!G957) &gt; 0, SUBSTITUTE("copy ."&amp;categories!G957&amp;" ./category"&amp;LEFT(categories!G957,6),"/","\"), "")</f>
        <v>copy .\img2\img86c3.jpg .\category\img2\</v>
      </c>
    </row>
    <row r="958" spans="1:2" x14ac:dyDescent="0.25">
      <c r="A958" t="str">
        <f>IF(LEN(categories!G958) &gt; 0, "cp ."&amp;categories!G958&amp;" ../catalog/category"&amp;LEFT(categories!G958,6)&amp;";", "")</f>
        <v>cp ./img1/imgd129.jpg ../catalog/category/img1/;</v>
      </c>
      <c r="B958" t="str">
        <f>IF(LEN(categories!G958) &gt; 0, SUBSTITUTE("copy ."&amp;categories!G958&amp;" ./category"&amp;LEFT(categories!G958,6),"/","\"), "")</f>
        <v>copy .\img1\imgd129.jpg .\category\img1\</v>
      </c>
    </row>
    <row r="959" spans="1:2" x14ac:dyDescent="0.25">
      <c r="A959" t="str">
        <f>IF(LEN(categories!G959) &gt; 0, "cp ."&amp;categories!G959&amp;" ../catalog/category"&amp;LEFT(categories!G959,6)&amp;";", "")</f>
        <v>cp ./img2/img9db5.jpg ../catalog/category/img2/;</v>
      </c>
      <c r="B959" t="str">
        <f>IF(LEN(categories!G959) &gt; 0, SUBSTITUTE("copy ."&amp;categories!G959&amp;" ./category"&amp;LEFT(categories!G959,6),"/","\"), "")</f>
        <v>copy .\img2\img9db5.jpg .\category\img2\</v>
      </c>
    </row>
    <row r="960" spans="1:2" x14ac:dyDescent="0.25">
      <c r="A960" t="str">
        <f>IF(LEN(categories!G960) &gt; 0, "cp ."&amp;categories!G960&amp;" ../catalog/category"&amp;LEFT(categories!G960,6)&amp;";", "")</f>
        <v>cp ./img3/img9f58.jpg ../catalog/category/img3/;</v>
      </c>
      <c r="B960" t="str">
        <f>IF(LEN(categories!G960) &gt; 0, SUBSTITUTE("copy ."&amp;categories!G960&amp;" ./category"&amp;LEFT(categories!G960,6),"/","\"), "")</f>
        <v>copy .\img3\img9f58.jpg .\category\img3\</v>
      </c>
    </row>
    <row r="961" spans="1:2" x14ac:dyDescent="0.25">
      <c r="A961" t="str">
        <f>IF(LEN(categories!G961) &gt; 0, "cp ."&amp;categories!G961&amp;" ../catalog/category"&amp;LEFT(categories!G961,6)&amp;";", "")</f>
        <v>cp ./img3/img9204.jpg ../catalog/category/img3/;</v>
      </c>
      <c r="B961" t="str">
        <f>IF(LEN(categories!G961) &gt; 0, SUBSTITUTE("copy ."&amp;categories!G961&amp;" ./category"&amp;LEFT(categories!G961,6),"/","\"), "")</f>
        <v>copy .\img3\img9204.jpg .\category\img3\</v>
      </c>
    </row>
    <row r="962" spans="1:2" x14ac:dyDescent="0.25">
      <c r="A962" t="str">
        <f>IF(LEN(categories!G962) &gt; 0, "cp ."&amp;categories!G962&amp;" ../catalog/category"&amp;LEFT(categories!G962,6)&amp;";", "")</f>
        <v>cp ./img2/img2370.jpg ../catalog/category/img2/;</v>
      </c>
      <c r="B962" t="str">
        <f>IF(LEN(categories!G962) &gt; 0, SUBSTITUTE("copy ."&amp;categories!G962&amp;" ./category"&amp;LEFT(categories!G962,6),"/","\"), "")</f>
        <v>copy .\img2\img2370.jpg .\category\img2\</v>
      </c>
    </row>
    <row r="963" spans="1:2" x14ac:dyDescent="0.25">
      <c r="A963" t="str">
        <f>IF(LEN(categories!G963) &gt; 0, "cp ."&amp;categories!G963&amp;" ../catalog/category"&amp;LEFT(categories!G963,6)&amp;";", "")</f>
        <v>cp ./img1/img3d78.jpg ../catalog/category/img1/;</v>
      </c>
      <c r="B963" t="str">
        <f>IF(LEN(categories!G963) &gt; 0, SUBSTITUTE("copy ."&amp;categories!G963&amp;" ./category"&amp;LEFT(categories!G963,6),"/","\"), "")</f>
        <v>copy .\img1\img3d78.jpg .\category\img1\</v>
      </c>
    </row>
    <row r="964" spans="1:2" x14ac:dyDescent="0.25">
      <c r="A964" t="str">
        <f>IF(LEN(categories!G964) &gt; 0, "cp ."&amp;categories!G964&amp;" ../catalog/category"&amp;LEFT(categories!G964,6)&amp;";", "")</f>
        <v>cp ./img1/imgb305.jpg ../catalog/category/img1/;</v>
      </c>
      <c r="B964" t="str">
        <f>IF(LEN(categories!G964) &gt; 0, SUBSTITUTE("copy ."&amp;categories!G964&amp;" ./category"&amp;LEFT(categories!G964,6),"/","\"), "")</f>
        <v>copy .\img1\imgb305.jpg .\category\img1\</v>
      </c>
    </row>
    <row r="965" spans="1:2" x14ac:dyDescent="0.25">
      <c r="A965" t="str">
        <f>IF(LEN(categories!G965) &gt; 0, "cp ."&amp;categories!G965&amp;" ../catalog/category"&amp;LEFT(categories!G965,6)&amp;";", "")</f>
        <v>cp ./img2/imgda28.jpg ../catalog/category/img2/;</v>
      </c>
      <c r="B965" t="str">
        <f>IF(LEN(categories!G965) &gt; 0, SUBSTITUTE("copy ."&amp;categories!G965&amp;" ./category"&amp;LEFT(categories!G965,6),"/","\"), "")</f>
        <v>copy .\img2\imgda28.jpg .\category\img2\</v>
      </c>
    </row>
    <row r="966" spans="1:2" x14ac:dyDescent="0.25">
      <c r="A966" t="str">
        <f>IF(LEN(categories!G966) &gt; 0, "cp ."&amp;categories!G966&amp;" ../catalog/category"&amp;LEFT(categories!G966,6)&amp;";", "")</f>
        <v>cp ./img1/img9425.jpg ../catalog/category/img1/;</v>
      </c>
      <c r="B966" t="str">
        <f>IF(LEN(categories!G966) &gt; 0, SUBSTITUTE("copy ."&amp;categories!G966&amp;" ./category"&amp;LEFT(categories!G966,6),"/","\"), "")</f>
        <v>copy .\img1\img9425.jpg .\category\img1\</v>
      </c>
    </row>
    <row r="967" spans="1:2" x14ac:dyDescent="0.25">
      <c r="A967" t="str">
        <f>IF(LEN(categories!G967) &gt; 0, "cp ."&amp;categories!G967&amp;" ../catalog/category"&amp;LEFT(categories!G967,6)&amp;";", "")</f>
        <v>cp ./img1/imgb9ae.jpg ../catalog/category/img1/;</v>
      </c>
      <c r="B967" t="str">
        <f>IF(LEN(categories!G967) &gt; 0, SUBSTITUTE("copy ."&amp;categories!G967&amp;" ./category"&amp;LEFT(categories!G967,6),"/","\"), "")</f>
        <v>copy .\img1\imgb9ae.jpg .\category\img1\</v>
      </c>
    </row>
    <row r="968" spans="1:2" x14ac:dyDescent="0.25">
      <c r="A968" t="str">
        <f>IF(LEN(categories!G968) &gt; 0, "cp ."&amp;categories!G968&amp;" ../catalog/category"&amp;LEFT(categories!G968,6)&amp;";", "")</f>
        <v>cp ./img3/img1ff3.jpg ../catalog/category/img3/;</v>
      </c>
      <c r="B968" t="str">
        <f>IF(LEN(categories!G968) &gt; 0, SUBSTITUTE("copy ."&amp;categories!G968&amp;" ./category"&amp;LEFT(categories!G968,6),"/","\"), "")</f>
        <v>copy .\img3\img1ff3.jpg .\category\img3\</v>
      </c>
    </row>
    <row r="969" spans="1:2" x14ac:dyDescent="0.25">
      <c r="A969" t="str">
        <f>IF(LEN(categories!G969) &gt; 0, "cp ."&amp;categories!G969&amp;" ../catalog/category"&amp;LEFT(categories!G969,6)&amp;";", "")</f>
        <v>cp ./img1/imga7c9.jpg ../catalog/category/img1/;</v>
      </c>
      <c r="B969" t="str">
        <f>IF(LEN(categories!G969) &gt; 0, SUBSTITUTE("copy ."&amp;categories!G969&amp;" ./category"&amp;LEFT(categories!G969,6),"/","\"), "")</f>
        <v>copy .\img1\imga7c9.jpg .\category\img1\</v>
      </c>
    </row>
    <row r="970" spans="1:2" x14ac:dyDescent="0.25">
      <c r="A970" t="str">
        <f>IF(LEN(categories!G970) &gt; 0, "cp ."&amp;categories!G970&amp;" ../catalog/category"&amp;LEFT(categories!G970,6)&amp;";", "")</f>
        <v>cp ./img2/img08b3.jpg ../catalog/category/img2/;</v>
      </c>
      <c r="B970" t="str">
        <f>IF(LEN(categories!G970) &gt; 0, SUBSTITUTE("copy ."&amp;categories!G970&amp;" ./category"&amp;LEFT(categories!G970,6),"/","\"), "")</f>
        <v>copy .\img2\img08b3.jpg .\category\img2\</v>
      </c>
    </row>
    <row r="971" spans="1:2" x14ac:dyDescent="0.25">
      <c r="A971" t="str">
        <f>IF(LEN(categories!G971) &gt; 0, "cp ."&amp;categories!G971&amp;" ../catalog/category"&amp;LEFT(categories!G971,6)&amp;";", "")</f>
        <v>cp ./img1/img72d2.jpg ../catalog/category/img1/;</v>
      </c>
      <c r="B971" t="str">
        <f>IF(LEN(categories!G971) &gt; 0, SUBSTITUTE("copy ."&amp;categories!G971&amp;" ./category"&amp;LEFT(categories!G971,6),"/","\"), "")</f>
        <v>copy .\img1\img72d2.jpg .\category\img1\</v>
      </c>
    </row>
    <row r="972" spans="1:2" x14ac:dyDescent="0.25">
      <c r="A972" t="str">
        <f>IF(LEN(categories!G972) &gt; 0, "cp ."&amp;categories!G972&amp;" ../catalog/category"&amp;LEFT(categories!G972,6)&amp;";", "")</f>
        <v>cp ./img2/img0541.jpg ../catalog/category/img2/;</v>
      </c>
      <c r="B972" t="str">
        <f>IF(LEN(categories!G972) &gt; 0, SUBSTITUTE("copy ."&amp;categories!G972&amp;" ./category"&amp;LEFT(categories!G972,6),"/","\"), "")</f>
        <v>copy .\img2\img0541.jpg .\category\img2\</v>
      </c>
    </row>
    <row r="973" spans="1:2" x14ac:dyDescent="0.25">
      <c r="A973" t="str">
        <f>IF(LEN(categories!G973) &gt; 0, "cp ."&amp;categories!G973&amp;" ../catalog/category"&amp;LEFT(categories!G973,6)&amp;";", "")</f>
        <v>cp ./img3/img462b.jpg ../catalog/category/img3/;</v>
      </c>
      <c r="B973" t="str">
        <f>IF(LEN(categories!G973) &gt; 0, SUBSTITUTE("copy ."&amp;categories!G973&amp;" ./category"&amp;LEFT(categories!G973,6),"/","\"), "")</f>
        <v>copy .\img3\img462b.jpg .\category\img3\</v>
      </c>
    </row>
    <row r="974" spans="1:2" x14ac:dyDescent="0.25">
      <c r="A974" t="str">
        <f>IF(LEN(categories!G974) &gt; 0, "cp ."&amp;categories!G974&amp;" ../catalog/category"&amp;LEFT(categories!G974,6)&amp;";", "")</f>
        <v>cp ./img1/imgd19b.jpg ../catalog/category/img1/;</v>
      </c>
      <c r="B974" t="str">
        <f>IF(LEN(categories!G974) &gt; 0, SUBSTITUTE("copy ."&amp;categories!G974&amp;" ./category"&amp;LEFT(categories!G974,6),"/","\"), "")</f>
        <v>copy .\img1\imgd19b.jpg .\category\img1\</v>
      </c>
    </row>
    <row r="975" spans="1:2" x14ac:dyDescent="0.25">
      <c r="A975" t="str">
        <f>IF(LEN(categories!G975) &gt; 0, "cp ."&amp;categories!G975&amp;" ../catalog/category"&amp;LEFT(categories!G975,6)&amp;";", "")</f>
        <v>cp ./img1/img3ae1.jpg ../catalog/category/img1/;</v>
      </c>
      <c r="B975" t="str">
        <f>IF(LEN(categories!G975) &gt; 0, SUBSTITUTE("copy ."&amp;categories!G975&amp;" ./category"&amp;LEFT(categories!G975,6),"/","\"), "")</f>
        <v>copy .\img1\img3ae1.jpg .\category\img1\</v>
      </c>
    </row>
    <row r="976" spans="1:2" x14ac:dyDescent="0.25">
      <c r="A976" t="str">
        <f>IF(LEN(categories!G976) &gt; 0, "cp ."&amp;categories!G976&amp;" ../catalog/category"&amp;LEFT(categories!G976,6)&amp;";", "")</f>
        <v>cp ./img1/img072c.jpg ../catalog/category/img1/;</v>
      </c>
      <c r="B976" t="str">
        <f>IF(LEN(categories!G976) &gt; 0, SUBSTITUTE("copy ."&amp;categories!G976&amp;" ./category"&amp;LEFT(categories!G976,6),"/","\"), "")</f>
        <v>copy .\img1\img072c.jpg .\category\img1\</v>
      </c>
    </row>
    <row r="977" spans="1:2" x14ac:dyDescent="0.25">
      <c r="A977" t="str">
        <f>IF(LEN(categories!G977) &gt; 0, "cp ."&amp;categories!G977&amp;" ../catalog/category"&amp;LEFT(categories!G977,6)&amp;";", "")</f>
        <v>cp ./img2/img7c4a.jpg ../catalog/category/img2/;</v>
      </c>
      <c r="B977" t="str">
        <f>IF(LEN(categories!G977) &gt; 0, SUBSTITUTE("copy ."&amp;categories!G977&amp;" ./category"&amp;LEFT(categories!G977,6),"/","\"), "")</f>
        <v>copy .\img2\img7c4a.jpg .\category\img2\</v>
      </c>
    </row>
    <row r="978" spans="1:2" x14ac:dyDescent="0.25">
      <c r="A978" t="str">
        <f>IF(LEN(categories!G978) &gt; 0, "cp ."&amp;categories!G978&amp;" ../catalog/category"&amp;LEFT(categories!G978,6)&amp;";", "")</f>
        <v>cp ./img3/img60c1.jpg ../catalog/category/img3/;</v>
      </c>
      <c r="B978" t="str">
        <f>IF(LEN(categories!G978) &gt; 0, SUBSTITUTE("copy ."&amp;categories!G978&amp;" ./category"&amp;LEFT(categories!G978,6),"/","\"), "")</f>
        <v>copy .\img3\img60c1.jpg .\category\img3\</v>
      </c>
    </row>
    <row r="979" spans="1:2" x14ac:dyDescent="0.25">
      <c r="A979" t="str">
        <f>IF(LEN(categories!G979) &gt; 0, "cp ."&amp;categories!G979&amp;" ../catalog/category"&amp;LEFT(categories!G979,6)&amp;";", "")</f>
        <v>cp ./img3/imgd78f.jpg ../catalog/category/img3/;</v>
      </c>
      <c r="B979" t="str">
        <f>IF(LEN(categories!G979) &gt; 0, SUBSTITUTE("copy ."&amp;categories!G979&amp;" ./category"&amp;LEFT(categories!G979,6),"/","\"), "")</f>
        <v>copy .\img3\imgd78f.jpg .\category\img3\</v>
      </c>
    </row>
    <row r="980" spans="1:2" x14ac:dyDescent="0.25">
      <c r="A980" t="str">
        <f>IF(LEN(categories!G980) &gt; 0, "cp ."&amp;categories!G980&amp;" ../catalog/category"&amp;LEFT(categories!G980,6)&amp;";", "")</f>
        <v>cp ./img2/imgda09.jpg ../catalog/category/img2/;</v>
      </c>
      <c r="B980" t="str">
        <f>IF(LEN(categories!G980) &gt; 0, SUBSTITUTE("copy ."&amp;categories!G980&amp;" ./category"&amp;LEFT(categories!G980,6),"/","\"), "")</f>
        <v>copy .\img2\imgda09.jpg .\category\img2\</v>
      </c>
    </row>
    <row r="981" spans="1:2" x14ac:dyDescent="0.25">
      <c r="A981" t="str">
        <f>IF(LEN(categories!G981) &gt; 0, "cp ."&amp;categories!G981&amp;" ../catalog/category"&amp;LEFT(categories!G981,6)&amp;";", "")</f>
        <v>cp ./img1/img6c20.jpg ../catalog/category/img1/;</v>
      </c>
      <c r="B981" t="str">
        <f>IF(LEN(categories!G981) &gt; 0, SUBSTITUTE("copy ."&amp;categories!G981&amp;" ./category"&amp;LEFT(categories!G981,6),"/","\"), "")</f>
        <v>copy .\img1\img6c20.jpg .\category\img1\</v>
      </c>
    </row>
    <row r="982" spans="1:2" x14ac:dyDescent="0.25">
      <c r="A982" t="str">
        <f>IF(LEN(categories!G982) &gt; 0, "cp ."&amp;categories!G982&amp;" ../catalog/category"&amp;LEFT(categories!G982,6)&amp;";", "")</f>
        <v>cp ./img2/img3b62.jpg ../catalog/category/img2/;</v>
      </c>
      <c r="B982" t="str">
        <f>IF(LEN(categories!G982) &gt; 0, SUBSTITUTE("copy ."&amp;categories!G982&amp;" ./category"&amp;LEFT(categories!G982,6),"/","\"), "")</f>
        <v>copy .\img2\img3b62.jpg .\category\img2\</v>
      </c>
    </row>
    <row r="983" spans="1:2" x14ac:dyDescent="0.25">
      <c r="A983" t="str">
        <f>IF(LEN(categories!G983) &gt; 0, "cp ."&amp;categories!G983&amp;" ../catalog/category"&amp;LEFT(categories!G983,6)&amp;";", "")</f>
        <v>cp ./img2/imge54a.jpg ../catalog/category/img2/;</v>
      </c>
      <c r="B983" t="str">
        <f>IF(LEN(categories!G983) &gt; 0, SUBSTITUTE("copy ."&amp;categories!G983&amp;" ./category"&amp;LEFT(categories!G983,6),"/","\"), "")</f>
        <v>copy .\img2\imge54a.jpg .\category\img2\</v>
      </c>
    </row>
    <row r="984" spans="1:2" x14ac:dyDescent="0.25">
      <c r="A984" t="str">
        <f>IF(LEN(categories!G984) &gt; 0, "cp ."&amp;categories!G984&amp;" ../catalog/category"&amp;LEFT(categories!G984,6)&amp;";", "")</f>
        <v>cp ./img2/img34df.jpg ../catalog/category/img2/;</v>
      </c>
      <c r="B984" t="str">
        <f>IF(LEN(categories!G984) &gt; 0, SUBSTITUTE("copy ."&amp;categories!G984&amp;" ./category"&amp;LEFT(categories!G984,6),"/","\"), "")</f>
        <v>copy .\img2\img34df.jpg .\category\img2\</v>
      </c>
    </row>
    <row r="985" spans="1:2" x14ac:dyDescent="0.25">
      <c r="A985" t="str">
        <f>IF(LEN(categories!G985) &gt; 0, "cp ."&amp;categories!G985&amp;" ../catalog/category"&amp;LEFT(categories!G985,6)&amp;";", "")</f>
        <v>cp ./img3/img5ca8.jpg ../catalog/category/img3/;</v>
      </c>
      <c r="B985" t="str">
        <f>IF(LEN(categories!G985) &gt; 0, SUBSTITUTE("copy ."&amp;categories!G985&amp;" ./category"&amp;LEFT(categories!G985,6),"/","\"), "")</f>
        <v>copy .\img3\img5ca8.jpg .\category\img3\</v>
      </c>
    </row>
    <row r="986" spans="1:2" x14ac:dyDescent="0.25">
      <c r="A986" t="str">
        <f>IF(LEN(categories!G986) &gt; 0, "cp ."&amp;categories!G986&amp;" ../catalog/category"&amp;LEFT(categories!G986,6)&amp;";", "")</f>
        <v>cp ./img1/imgb8a7.jpg ../catalog/category/img1/;</v>
      </c>
      <c r="B986" t="str">
        <f>IF(LEN(categories!G986) &gt; 0, SUBSTITUTE("copy ."&amp;categories!G986&amp;" ./category"&amp;LEFT(categories!G986,6),"/","\"), "")</f>
        <v>copy .\img1\imgb8a7.jpg .\category\img1\</v>
      </c>
    </row>
    <row r="987" spans="1:2" x14ac:dyDescent="0.25">
      <c r="A987" t="str">
        <f>IF(LEN(categories!G987) &gt; 0, "cp ."&amp;categories!G987&amp;" ../catalog/category"&amp;LEFT(categories!G987,6)&amp;";", "")</f>
        <v>cp ./img1/img529c.jpg ../catalog/category/img1/;</v>
      </c>
      <c r="B987" t="str">
        <f>IF(LEN(categories!G987) &gt; 0, SUBSTITUTE("copy ."&amp;categories!G987&amp;" ./category"&amp;LEFT(categories!G987,6),"/","\"), "")</f>
        <v>copy .\img1\img529c.jpg .\category\img1\</v>
      </c>
    </row>
    <row r="988" spans="1:2" x14ac:dyDescent="0.25">
      <c r="A988" t="str">
        <f>IF(LEN(categories!G988) &gt; 0, "cp ."&amp;categories!G988&amp;" ../catalog/category"&amp;LEFT(categories!G988,6)&amp;";", "")</f>
        <v>cp ./img2/imga073.jpg ../catalog/category/img2/;</v>
      </c>
      <c r="B988" t="str">
        <f>IF(LEN(categories!G988) &gt; 0, SUBSTITUTE("copy ."&amp;categories!G988&amp;" ./category"&amp;LEFT(categories!G988,6),"/","\"), "")</f>
        <v>copy .\img2\imga073.jpg .\category\img2\</v>
      </c>
    </row>
    <row r="989" spans="1:2" x14ac:dyDescent="0.25">
      <c r="A989" t="str">
        <f>IF(LEN(categories!G989) &gt; 0, "cp ."&amp;categories!G989&amp;" ../catalog/category"&amp;LEFT(categories!G989,6)&amp;";", "")</f>
        <v>cp ./img1/img8a11.jpg ../catalog/category/img1/;</v>
      </c>
      <c r="B989" t="str">
        <f>IF(LEN(categories!G989) &gt; 0, SUBSTITUTE("copy ."&amp;categories!G989&amp;" ./category"&amp;LEFT(categories!G989,6),"/","\"), "")</f>
        <v>copy .\img1\img8a11.jpg .\category\img1\</v>
      </c>
    </row>
    <row r="990" spans="1:2" x14ac:dyDescent="0.25">
      <c r="A990" t="str">
        <f>IF(LEN(categories!G990) &gt; 0, "cp ."&amp;categories!G990&amp;" ../catalog/category"&amp;LEFT(categories!G990,6)&amp;";", "")</f>
        <v>cp ./img3/img942b.jpg ../catalog/category/img3/;</v>
      </c>
      <c r="B990" t="str">
        <f>IF(LEN(categories!G990) &gt; 0, SUBSTITUTE("copy ."&amp;categories!G990&amp;" ./category"&amp;LEFT(categories!G990,6),"/","\"), "")</f>
        <v>copy .\img3\img942b.jpg .\category\img3\</v>
      </c>
    </row>
    <row r="991" spans="1:2" x14ac:dyDescent="0.25">
      <c r="A991" t="str">
        <f>IF(LEN(categories!G991) &gt; 0, "cp ."&amp;categories!G991&amp;" ../catalog/category"&amp;LEFT(categories!G991,6)&amp;";", "")</f>
        <v>cp ./img2/imgb6e5-2.jpg ../catalog/category/img2/;</v>
      </c>
      <c r="B991" t="str">
        <f>IF(LEN(categories!G991) &gt; 0, SUBSTITUTE("copy ."&amp;categories!G991&amp;" ./category"&amp;LEFT(categories!G991,6),"/","\"), "")</f>
        <v>copy .\img2\imgb6e5-2.jpg .\category\img2\</v>
      </c>
    </row>
    <row r="992" spans="1:2" x14ac:dyDescent="0.25">
      <c r="A992" t="str">
        <f>IF(LEN(categories!G992) &gt; 0, "cp ."&amp;categories!G992&amp;" ../catalog/category"&amp;LEFT(categories!G992,6)&amp;";", "")</f>
        <v>cp ./img3/imgdf2d.jpg ../catalog/category/img3/;</v>
      </c>
      <c r="B992" t="str">
        <f>IF(LEN(categories!G992) &gt; 0, SUBSTITUTE("copy ."&amp;categories!G992&amp;" ./category"&amp;LEFT(categories!G992,6),"/","\"), "")</f>
        <v>copy .\img3\imgdf2d.jpg .\category\img3\</v>
      </c>
    </row>
    <row r="993" spans="1:2" x14ac:dyDescent="0.25">
      <c r="A993" t="str">
        <f>IF(LEN(categories!G993) &gt; 0, "cp ."&amp;categories!G993&amp;" ../catalog/category"&amp;LEFT(categories!G993,6)&amp;";", "")</f>
        <v>cp ./img1/imgfc90.jpg ../catalog/category/img1/;</v>
      </c>
      <c r="B993" t="str">
        <f>IF(LEN(categories!G993) &gt; 0, SUBSTITUTE("copy ."&amp;categories!G993&amp;" ./category"&amp;LEFT(categories!G993,6),"/","\"), "")</f>
        <v>copy .\img1\imgfc90.jpg .\category\img1\</v>
      </c>
    </row>
    <row r="994" spans="1:2" x14ac:dyDescent="0.25">
      <c r="A994" t="str">
        <f>IF(LEN(categories!G994) &gt; 0, "cp ."&amp;categories!G994&amp;" ../catalog/category"&amp;LEFT(categories!G994,6)&amp;";", "")</f>
        <v>cp ./img1/img529c.jpg ../catalog/category/img1/;</v>
      </c>
      <c r="B994" t="str">
        <f>IF(LEN(categories!G994) &gt; 0, SUBSTITUTE("copy ."&amp;categories!G994&amp;" ./category"&amp;LEFT(categories!G994,6),"/","\"), "")</f>
        <v>copy .\img1\img529c.jpg .\category\img1\</v>
      </c>
    </row>
    <row r="995" spans="1:2" x14ac:dyDescent="0.25">
      <c r="A995" t="str">
        <f>IF(LEN(categories!G995) &gt; 0, "cp ."&amp;categories!G995&amp;" ../catalog/category"&amp;LEFT(categories!G995,6)&amp;";", "")</f>
        <v>cp ./img2/imgb7ec.jpg ../catalog/category/img2/;</v>
      </c>
      <c r="B995" t="str">
        <f>IF(LEN(categories!G995) &gt; 0, SUBSTITUTE("copy ."&amp;categories!G995&amp;" ./category"&amp;LEFT(categories!G995,6),"/","\"), "")</f>
        <v>copy .\img2\imgb7ec.jpg .\category\img2\</v>
      </c>
    </row>
    <row r="996" spans="1:2" x14ac:dyDescent="0.25">
      <c r="A996" t="str">
        <f>IF(LEN(categories!G996) &gt; 0, "cp ."&amp;categories!G996&amp;" ../catalog/category"&amp;LEFT(categories!G996,6)&amp;";", "")</f>
        <v>cp ./img2/imgb7ec.jpg ../catalog/category/img2/;</v>
      </c>
      <c r="B996" t="str">
        <f>IF(LEN(categories!G996) &gt; 0, SUBSTITUTE("copy ."&amp;categories!G996&amp;" ./category"&amp;LEFT(categories!G996,6),"/","\"), "")</f>
        <v>copy .\img2\imgb7ec.jpg .\category\img2\</v>
      </c>
    </row>
    <row r="997" spans="1:2" x14ac:dyDescent="0.25">
      <c r="A997" t="str">
        <f>IF(LEN(categories!G997) &gt; 0, "cp ."&amp;categories!G997&amp;" ../catalog/category"&amp;LEFT(categories!G997,6)&amp;";", "")</f>
        <v>cp ./img1/img3146.jpg ../catalog/category/img1/;</v>
      </c>
      <c r="B997" t="str">
        <f>IF(LEN(categories!G997) &gt; 0, SUBSTITUTE("copy ."&amp;categories!G997&amp;" ./category"&amp;LEFT(categories!G997,6),"/","\"), "")</f>
        <v>copy .\img1\img3146.jpg .\category\img1\</v>
      </c>
    </row>
    <row r="998" spans="1:2" x14ac:dyDescent="0.25">
      <c r="A998" t="str">
        <f>IF(LEN(categories!G998) &gt; 0, "cp ."&amp;categories!G998&amp;" ../catalog/category"&amp;LEFT(categories!G998,6)&amp;";", "")</f>
        <v>cp ./img1/img3146.jpg ../catalog/category/img1/;</v>
      </c>
      <c r="B998" t="str">
        <f>IF(LEN(categories!G998) &gt; 0, SUBSTITUTE("copy ."&amp;categories!G998&amp;" ./category"&amp;LEFT(categories!G998,6),"/","\"), "")</f>
        <v>copy .\img1\img3146.jpg .\category\img1\</v>
      </c>
    </row>
    <row r="999" spans="1:2" x14ac:dyDescent="0.25">
      <c r="A999" t="str">
        <f>IF(LEN(categories!G999) &gt; 0, "cp ."&amp;categories!G999&amp;" ../catalog/category"&amp;LEFT(categories!G999,6)&amp;";", "")</f>
        <v>cp ./img2/imgf5c7.jpg ../catalog/category/img2/;</v>
      </c>
      <c r="B999" t="str">
        <f>IF(LEN(categories!G999) &gt; 0, SUBSTITUTE("copy ."&amp;categories!G999&amp;" ./category"&amp;LEFT(categories!G999,6),"/","\"), "")</f>
        <v>copy .\img2\imgf5c7.jpg .\category\img2\</v>
      </c>
    </row>
    <row r="1000" spans="1:2" x14ac:dyDescent="0.25">
      <c r="A1000" t="str">
        <f>IF(LEN(categories!G1000) &gt; 0, "cp ."&amp;categories!G1000&amp;" ../catalog/category"&amp;LEFT(categories!G1000,6)&amp;";", "")</f>
        <v>cp ./img3/imgfcd3.jpg ../catalog/category/img3/;</v>
      </c>
      <c r="B1000" t="str">
        <f>IF(LEN(categories!G1000) &gt; 0, SUBSTITUTE("copy ."&amp;categories!G1000&amp;" ./category"&amp;LEFT(categories!G1000,6),"/","\"), "")</f>
        <v>copy .\img3\imgfcd3.jpg .\category\img3\</v>
      </c>
    </row>
    <row r="1001" spans="1:2" x14ac:dyDescent="0.25">
      <c r="A1001" t="str">
        <f>IF(LEN(categories!G1001) &gt; 0, "cp ."&amp;categories!G1001&amp;" ../catalog/category"&amp;LEFT(categories!G1001,6)&amp;";", "")</f>
        <v>cp ./img2/img5d9d.jpg ../catalog/category/img2/;</v>
      </c>
      <c r="B1001" t="str">
        <f>IF(LEN(categories!G1001) &gt; 0, SUBSTITUTE("copy ."&amp;categories!G1001&amp;" ./category"&amp;LEFT(categories!G1001,6),"/","\"), "")</f>
        <v>copy .\img2\img5d9d.jpg .\category\img2\</v>
      </c>
    </row>
    <row r="1002" spans="1:2" x14ac:dyDescent="0.25">
      <c r="A1002" t="str">
        <f>IF(LEN(categories!G1002) &gt; 0, "cp ."&amp;categories!G1002&amp;" ../catalog/category"&amp;LEFT(categories!G1002,6)&amp;";", "")</f>
        <v>cp ./img1/img012d.jpg ../catalog/category/img1/;</v>
      </c>
      <c r="B1002" t="str">
        <f>IF(LEN(categories!G1002) &gt; 0, SUBSTITUTE("copy ."&amp;categories!G1002&amp;" ./category"&amp;LEFT(categories!G1002,6),"/","\"), "")</f>
        <v>copy .\img1\img012d.jpg .\category\img1\</v>
      </c>
    </row>
    <row r="1003" spans="1:2" x14ac:dyDescent="0.25">
      <c r="A1003" t="str">
        <f>IF(LEN(categories!G1003) &gt; 0, "cp ."&amp;categories!G1003&amp;" ../catalog/category"&amp;LEFT(categories!G1003,6)&amp;";", "")</f>
        <v>cp ./img2/img896c.jpg ../catalog/category/img2/;</v>
      </c>
      <c r="B1003" t="str">
        <f>IF(LEN(categories!G1003) &gt; 0, SUBSTITUTE("copy ."&amp;categories!G1003&amp;" ./category"&amp;LEFT(categories!G1003,6),"/","\"), "")</f>
        <v>copy .\img2\img896c.jpg .\category\img2\</v>
      </c>
    </row>
    <row r="1004" spans="1:2" x14ac:dyDescent="0.25">
      <c r="A1004" t="str">
        <f>IF(LEN(categories!G1004) &gt; 0, "cp ."&amp;categories!G1004&amp;" ../catalog/category"&amp;LEFT(categories!G1004,6)&amp;";", "")</f>
        <v>cp ./img1/img27ca.jpg ../catalog/category/img1/;</v>
      </c>
      <c r="B1004" t="str">
        <f>IF(LEN(categories!G1004) &gt; 0, SUBSTITUTE("copy ."&amp;categories!G1004&amp;" ./category"&amp;LEFT(categories!G1004,6),"/","\"), "")</f>
        <v>copy .\img1\img27ca.jpg .\category\img1\</v>
      </c>
    </row>
    <row r="1005" spans="1:2" x14ac:dyDescent="0.25">
      <c r="A1005" t="str">
        <f>IF(LEN(categories!G1005) &gt; 0, "cp ."&amp;categories!G1005&amp;" ../catalog/category"&amp;LEFT(categories!G1005,6)&amp;";", "")</f>
        <v>cp ./img3/img7f6b.jpg ../catalog/category/img3/;</v>
      </c>
      <c r="B1005" t="str">
        <f>IF(LEN(categories!G1005) &gt; 0, SUBSTITUTE("copy ."&amp;categories!G1005&amp;" ./category"&amp;LEFT(categories!G1005,6),"/","\"), "")</f>
        <v>copy .\img3\img7f6b.jpg .\category\img3\</v>
      </c>
    </row>
    <row r="1006" spans="1:2" hidden="1" x14ac:dyDescent="0.25">
      <c r="A1006" t="str">
        <f>IF(LEN(categories!G1006) &gt; 0, "cp ."&amp;categories!G1006&amp;" ../catalog/category"&amp;LEFT(categories!G1006,6)&amp;";", "")</f>
        <v/>
      </c>
      <c r="B1006" t="str">
        <f>IF(LEN(categories!G1006) &gt; 0, SUBSTITUTE("copy ."&amp;categories!G1006&amp;" ./category"&amp;LEFT(categories!G1006,6),"/","\"), "")</f>
        <v/>
      </c>
    </row>
    <row r="1007" spans="1:2" hidden="1" x14ac:dyDescent="0.25">
      <c r="A1007" t="str">
        <f>IF(LEN(categories!G1007) &gt; 0, "cp ."&amp;categories!G1007&amp;" ../catalog/category"&amp;LEFT(categories!G1007,6)&amp;";", "")</f>
        <v/>
      </c>
      <c r="B1007" t="str">
        <f>IF(LEN(categories!G1007) &gt; 0, SUBSTITUTE("copy ."&amp;categories!G1007&amp;" ./category"&amp;LEFT(categories!G1007,6),"/","\"), "")</f>
        <v/>
      </c>
    </row>
    <row r="1008" spans="1:2" x14ac:dyDescent="0.25">
      <c r="A1008" t="str">
        <f>IF(LEN(categories!G1008) &gt; 0, "cp ."&amp;categories!G1008&amp;" ../catalog/category"&amp;LEFT(categories!G1008,6)&amp;";", "")</f>
        <v>cp ./img2/imgbd60.jpg ../catalog/category/img2/;</v>
      </c>
      <c r="B1008" t="str">
        <f>IF(LEN(categories!G1008) &gt; 0, SUBSTITUTE("copy ."&amp;categories!G1008&amp;" ./category"&amp;LEFT(categories!G1008,6),"/","\"), "")</f>
        <v>copy .\img2\imgbd60.jpg .\category\img2\</v>
      </c>
    </row>
    <row r="1009" spans="1:2" x14ac:dyDescent="0.25">
      <c r="A1009" t="str">
        <f>IF(LEN(categories!G1009) &gt; 0, "cp ."&amp;categories!G1009&amp;" ../catalog/category"&amp;LEFT(categories!G1009,6)&amp;";", "")</f>
        <v>cp ./img2/img7bdf-2.jpg ../catalog/category/img2/;</v>
      </c>
      <c r="B1009" t="str">
        <f>IF(LEN(categories!G1009) &gt; 0, SUBSTITUTE("copy ."&amp;categories!G1009&amp;" ./category"&amp;LEFT(categories!G1009,6),"/","\"), "")</f>
        <v>copy .\img2\img7bdf-2.jpg .\category\img2\</v>
      </c>
    </row>
    <row r="1010" spans="1:2" x14ac:dyDescent="0.25">
      <c r="A1010" t="str">
        <f>IF(LEN(categories!G1010) &gt; 0, "cp ."&amp;categories!G1010&amp;" ../catalog/category"&amp;LEFT(categories!G1010,6)&amp;";", "")</f>
        <v>cp ./img3/img5f02.jpg ../catalog/category/img3/;</v>
      </c>
      <c r="B1010" t="str">
        <f>IF(LEN(categories!G1010) &gt; 0, SUBSTITUTE("copy ."&amp;categories!G1010&amp;" ./category"&amp;LEFT(categories!G1010,6),"/","\"), "")</f>
        <v>copy .\img3\img5f02.jpg .\category\img3\</v>
      </c>
    </row>
    <row r="1011" spans="1:2" x14ac:dyDescent="0.25">
      <c r="A1011" t="str">
        <f>IF(LEN(categories!G1011) &gt; 0, "cp ."&amp;categories!G1011&amp;" ../catalog/category"&amp;LEFT(categories!G1011,6)&amp;";", "")</f>
        <v>cp ./img1/imge454.jpg ../catalog/category/img1/;</v>
      </c>
      <c r="B1011" t="str">
        <f>IF(LEN(categories!G1011) &gt; 0, SUBSTITUTE("copy ."&amp;categories!G1011&amp;" ./category"&amp;LEFT(categories!G1011,6),"/","\"), "")</f>
        <v>copy .\img1\imge454.jpg .\category\img1\</v>
      </c>
    </row>
    <row r="1012" spans="1:2" x14ac:dyDescent="0.25">
      <c r="A1012" t="str">
        <f>IF(LEN(categories!G1012) &gt; 0, "cp ."&amp;categories!G1012&amp;" ../catalog/category"&amp;LEFT(categories!G1012,6)&amp;";", "")</f>
        <v>cp ./img2/img6e63.jpg ../catalog/category/img2/;</v>
      </c>
      <c r="B1012" t="str">
        <f>IF(LEN(categories!G1012) &gt; 0, SUBSTITUTE("copy ."&amp;categories!G1012&amp;" ./category"&amp;LEFT(categories!G1012,6),"/","\"), "")</f>
        <v>copy .\img2\img6e63.jpg .\category\img2\</v>
      </c>
    </row>
    <row r="1013" spans="1:2" x14ac:dyDescent="0.25">
      <c r="A1013" t="str">
        <f>IF(LEN(categories!G1013) &gt; 0, "cp ."&amp;categories!G1013&amp;" ../catalog/category"&amp;LEFT(categories!G1013,6)&amp;";", "")</f>
        <v>cp ./img3/imgac74.jpg ../catalog/category/img3/;</v>
      </c>
      <c r="B1013" t="str">
        <f>IF(LEN(categories!G1013) &gt; 0, SUBSTITUTE("copy ."&amp;categories!G1013&amp;" ./category"&amp;LEFT(categories!G1013,6),"/","\"), "")</f>
        <v>copy .\img3\imgac74.jpg .\category\img3\</v>
      </c>
    </row>
    <row r="1014" spans="1:2" hidden="1" x14ac:dyDescent="0.25">
      <c r="A1014" t="str">
        <f>IF(LEN(categories!G1014) &gt; 0, "cp ."&amp;categories!G1014&amp;" ../catalog/category"&amp;LEFT(categories!G1014,6)&amp;";", "")</f>
        <v/>
      </c>
      <c r="B1014" t="str">
        <f>IF(LEN(categories!G1014) &gt; 0, SUBSTITUTE("copy ."&amp;categories!G1014&amp;" ./category"&amp;LEFT(categories!G1014,6),"/","\"), "")</f>
        <v/>
      </c>
    </row>
    <row r="1015" spans="1:2" x14ac:dyDescent="0.25">
      <c r="A1015" t="str">
        <f>IF(LEN(categories!G1015) &gt; 0, "cp ."&amp;categories!G1015&amp;" ../catalog/category"&amp;LEFT(categories!G1015,6)&amp;";", "")</f>
        <v>cp ./img2/imgc364.jpg ../catalog/category/img2/;</v>
      </c>
      <c r="B1015" t="str">
        <f>IF(LEN(categories!G1015) &gt; 0, SUBSTITUTE("copy ."&amp;categories!G1015&amp;" ./category"&amp;LEFT(categories!G1015,6),"/","\"), "")</f>
        <v>copy .\img2\imgc364.jpg .\category\img2\</v>
      </c>
    </row>
    <row r="1016" spans="1:2" x14ac:dyDescent="0.25">
      <c r="A1016" t="str">
        <f>IF(LEN(categories!G1016) &gt; 0, "cp ."&amp;categories!G1016&amp;" ../catalog/category"&amp;LEFT(categories!G1016,6)&amp;";", "")</f>
        <v>cp ./img3/imgbb9f.jpg ../catalog/category/img3/;</v>
      </c>
      <c r="B1016" t="str">
        <f>IF(LEN(categories!G1016) &gt; 0, SUBSTITUTE("copy ."&amp;categories!G1016&amp;" ./category"&amp;LEFT(categories!G1016,6),"/","\"), "")</f>
        <v>copy .\img3\imgbb9f.jpg .\category\img3\</v>
      </c>
    </row>
    <row r="1017" spans="1:2" x14ac:dyDescent="0.25">
      <c r="A1017" t="str">
        <f>IF(LEN(categories!G1017) &gt; 0, "cp ."&amp;categories!G1017&amp;" ../catalog/category"&amp;LEFT(categories!G1017,6)&amp;";", "")</f>
        <v>cp ./img2/img22e4.jpg ../catalog/category/img2/;</v>
      </c>
      <c r="B1017" t="str">
        <f>IF(LEN(categories!G1017) &gt; 0, SUBSTITUTE("copy ."&amp;categories!G1017&amp;" ./category"&amp;LEFT(categories!G1017,6),"/","\"), "")</f>
        <v>copy .\img2\img22e4.jpg .\category\img2\</v>
      </c>
    </row>
    <row r="1018" spans="1:2" x14ac:dyDescent="0.25">
      <c r="A1018" t="str">
        <f>IF(LEN(categories!G1018) &gt; 0, "cp ."&amp;categories!G1018&amp;" ../catalog/category"&amp;LEFT(categories!G1018,6)&amp;";", "")</f>
        <v>cp ./img3/img597c.jpg ../catalog/category/img3/;</v>
      </c>
      <c r="B1018" t="str">
        <f>IF(LEN(categories!G1018) &gt; 0, SUBSTITUTE("copy ."&amp;categories!G1018&amp;" ./category"&amp;LEFT(categories!G1018,6),"/","\"), "")</f>
        <v>copy .\img3\img597c.jpg .\category\img3\</v>
      </c>
    </row>
    <row r="1019" spans="1:2" x14ac:dyDescent="0.25">
      <c r="A1019" t="str">
        <f>IF(LEN(categories!G1019) &gt; 0, "cp ."&amp;categories!G1019&amp;" ../catalog/category"&amp;LEFT(categories!G1019,6)&amp;";", "")</f>
        <v>cp ./img3/imgc052.jpg ../catalog/category/img3/;</v>
      </c>
      <c r="B1019" t="str">
        <f>IF(LEN(categories!G1019) &gt; 0, SUBSTITUTE("copy ."&amp;categories!G1019&amp;" ./category"&amp;LEFT(categories!G1019,6),"/","\"), "")</f>
        <v>copy .\img3\imgc052.jpg .\category\img3\</v>
      </c>
    </row>
    <row r="1020" spans="1:2" x14ac:dyDescent="0.25">
      <c r="A1020" t="str">
        <f>IF(LEN(categories!G1020) &gt; 0, "cp ."&amp;categories!G1020&amp;" ../catalog/category"&amp;LEFT(categories!G1020,6)&amp;";", "")</f>
        <v>cp ./img2/img68f9.jpg ../catalog/category/img2/;</v>
      </c>
      <c r="B1020" t="str">
        <f>IF(LEN(categories!G1020) &gt; 0, SUBSTITUTE("copy ."&amp;categories!G1020&amp;" ./category"&amp;LEFT(categories!G1020,6),"/","\"), "")</f>
        <v>copy .\img2\img68f9.jpg .\category\img2\</v>
      </c>
    </row>
    <row r="1021" spans="1:2" hidden="1" x14ac:dyDescent="0.25">
      <c r="A1021" t="str">
        <f>IF(LEN(categories!G1021) &gt; 0, "cp ."&amp;categories!G1021&amp;" ../catalog/category"&amp;LEFT(categories!G1021,6)&amp;";", "")</f>
        <v/>
      </c>
      <c r="B1021" t="str">
        <f>IF(LEN(categories!G1021) &gt; 0, SUBSTITUTE("copy ."&amp;categories!G1021&amp;" ./category"&amp;LEFT(categories!G1021,6),"/","\"), "")</f>
        <v/>
      </c>
    </row>
    <row r="1022" spans="1:2" x14ac:dyDescent="0.25">
      <c r="A1022" t="str">
        <f>IF(LEN(categories!G1022) &gt; 0, "cp ."&amp;categories!G1022&amp;" ../catalog/category"&amp;LEFT(categories!G1022,6)&amp;";", "")</f>
        <v>cp ./img2/img1499.jpg ../catalog/category/img2/;</v>
      </c>
      <c r="B1022" t="str">
        <f>IF(LEN(categories!G1022) &gt; 0, SUBSTITUTE("copy ."&amp;categories!G1022&amp;" ./category"&amp;LEFT(categories!G1022,6),"/","\"), "")</f>
        <v>copy .\img2\img1499.jpg .\category\img2\</v>
      </c>
    </row>
    <row r="1023" spans="1:2" x14ac:dyDescent="0.25">
      <c r="A1023" t="str">
        <f>IF(LEN(categories!G1023) &gt; 0, "cp ."&amp;categories!G1023&amp;" ../catalog/category"&amp;LEFT(categories!G1023,6)&amp;";", "")</f>
        <v>cp ./img3/imgf2be.jpg ../catalog/category/img3/;</v>
      </c>
      <c r="B1023" t="str">
        <f>IF(LEN(categories!G1023) &gt; 0, SUBSTITUTE("copy ."&amp;categories!G1023&amp;" ./category"&amp;LEFT(categories!G1023,6),"/","\"), "")</f>
        <v>copy .\img3\imgf2be.jpg .\category\img3\</v>
      </c>
    </row>
    <row r="1024" spans="1:2" x14ac:dyDescent="0.25">
      <c r="A1024" t="str">
        <f>IF(LEN(categories!G1024) &gt; 0, "cp ."&amp;categories!G1024&amp;" ../catalog/category"&amp;LEFT(categories!G1024,6)&amp;";", "")</f>
        <v>cp ./img1/imgd306.jpg ../catalog/category/img1/;</v>
      </c>
      <c r="B1024" t="str">
        <f>IF(LEN(categories!G1024) &gt; 0, SUBSTITUTE("copy ."&amp;categories!G1024&amp;" ./category"&amp;LEFT(categories!G1024,6),"/","\"), "")</f>
        <v>copy .\img1\imgd306.jpg .\category\img1\</v>
      </c>
    </row>
    <row r="1025" spans="1:2" x14ac:dyDescent="0.25">
      <c r="A1025" t="str">
        <f>IF(LEN(categories!G1025) &gt; 0, "cp ."&amp;categories!G1025&amp;" ../catalog/category"&amp;LEFT(categories!G1025,6)&amp;";", "")</f>
        <v>cp ./img2/imgd737.jpg ../catalog/category/img2/;</v>
      </c>
      <c r="B1025" t="str">
        <f>IF(LEN(categories!G1025) &gt; 0, SUBSTITUTE("copy ."&amp;categories!G1025&amp;" ./category"&amp;LEFT(categories!G1025,6),"/","\"), "")</f>
        <v>copy .\img2\imgd737.jpg .\category\img2\</v>
      </c>
    </row>
    <row r="1026" spans="1:2" x14ac:dyDescent="0.25">
      <c r="A1026" t="str">
        <f>IF(LEN(categories!G1026) &gt; 0, "cp ."&amp;categories!G1026&amp;" ../catalog/category"&amp;LEFT(categories!G1026,6)&amp;";", "")</f>
        <v>cp ./img2/img505c.jpg ../catalog/category/img2/;</v>
      </c>
      <c r="B1026" t="str">
        <f>IF(LEN(categories!G1026) &gt; 0, SUBSTITUTE("copy ."&amp;categories!G1026&amp;" ./category"&amp;LEFT(categories!G1026,6),"/","\"), "")</f>
        <v>copy .\img2\img505c.jpg .\category\img2\</v>
      </c>
    </row>
    <row r="1027" spans="1:2" x14ac:dyDescent="0.25">
      <c r="A1027" t="str">
        <f>IF(LEN(categories!G1027) &gt; 0, "cp ."&amp;categories!G1027&amp;" ../catalog/category"&amp;LEFT(categories!G1027,6)&amp;";", "")</f>
        <v>cp ./img2/img5130.jpg ../catalog/category/img2/;</v>
      </c>
      <c r="B1027" t="str">
        <f>IF(LEN(categories!G1027) &gt; 0, SUBSTITUTE("copy ."&amp;categories!G1027&amp;" ./category"&amp;LEFT(categories!G1027,6),"/","\"), "")</f>
        <v>copy .\img2\img5130.jpg .\category\img2\</v>
      </c>
    </row>
    <row r="1028" spans="1:2" x14ac:dyDescent="0.25">
      <c r="A1028" t="str">
        <f>IF(LEN(categories!G1028) &gt; 0, "cp ."&amp;categories!G1028&amp;" ../catalog/category"&amp;LEFT(categories!G1028,6)&amp;";", "")</f>
        <v>cp ./img3/img6b00.jpg ../catalog/category/img3/;</v>
      </c>
      <c r="B1028" t="str">
        <f>IF(LEN(categories!G1028) &gt; 0, SUBSTITUTE("copy ."&amp;categories!G1028&amp;" ./category"&amp;LEFT(categories!G1028,6),"/","\"), "")</f>
        <v>copy .\img3\img6b00.jpg .\category\img3\</v>
      </c>
    </row>
    <row r="1029" spans="1:2" x14ac:dyDescent="0.25">
      <c r="A1029" t="str">
        <f>IF(LEN(categories!G1029) &gt; 0, "cp ."&amp;categories!G1029&amp;" ../catalog/category"&amp;LEFT(categories!G1029,6)&amp;";", "")</f>
        <v>cp ./img3/img0149.jpg ../catalog/category/img3/;</v>
      </c>
      <c r="B1029" t="str">
        <f>IF(LEN(categories!G1029) &gt; 0, SUBSTITUTE("copy ."&amp;categories!G1029&amp;" ./category"&amp;LEFT(categories!G1029,6),"/","\"), "")</f>
        <v>copy .\img3\img0149.jpg .\category\img3\</v>
      </c>
    </row>
    <row r="1030" spans="1:2" x14ac:dyDescent="0.25">
      <c r="A1030" t="str">
        <f>IF(LEN(categories!G1030) &gt; 0, "cp ."&amp;categories!G1030&amp;" ../catalog/category"&amp;LEFT(categories!G1030,6)&amp;";", "")</f>
        <v>cp ./img3/imgcbb5.jpg ../catalog/category/img3/;</v>
      </c>
      <c r="B1030" t="str">
        <f>IF(LEN(categories!G1030) &gt; 0, SUBSTITUTE("copy ."&amp;categories!G1030&amp;" ./category"&amp;LEFT(categories!G1030,6),"/","\"), "")</f>
        <v>copy .\img3\imgcbb5.jpg .\category\img3\</v>
      </c>
    </row>
    <row r="1031" spans="1:2" x14ac:dyDescent="0.25">
      <c r="A1031" t="str">
        <f>IF(LEN(categories!G1031) &gt; 0, "cp ."&amp;categories!G1031&amp;" ../catalog/category"&amp;LEFT(categories!G1031,6)&amp;";", "")</f>
        <v>cp ./img1/img015e.jpg ../catalog/category/img1/;</v>
      </c>
      <c r="B1031" t="str">
        <f>IF(LEN(categories!G1031) &gt; 0, SUBSTITUTE("copy ."&amp;categories!G1031&amp;" ./category"&amp;LEFT(categories!G1031,6),"/","\"), "")</f>
        <v>copy .\img1\img015e.jpg .\category\img1\</v>
      </c>
    </row>
    <row r="1032" spans="1:2" x14ac:dyDescent="0.25">
      <c r="A1032" t="str">
        <f>IF(LEN(categories!G1032) &gt; 0, "cp ."&amp;categories!G1032&amp;" ../catalog/category"&amp;LEFT(categories!G1032,6)&amp;";", "")</f>
        <v>cp ./img2/img87eb.jpg ../catalog/category/img2/;</v>
      </c>
      <c r="B1032" t="str">
        <f>IF(LEN(categories!G1032) &gt; 0, SUBSTITUTE("copy ."&amp;categories!G1032&amp;" ./category"&amp;LEFT(categories!G1032,6),"/","\"), "")</f>
        <v>copy .\img2\img87eb.jpg .\category\img2\</v>
      </c>
    </row>
    <row r="1033" spans="1:2" x14ac:dyDescent="0.25">
      <c r="A1033" t="str">
        <f>IF(LEN(categories!G1033) &gt; 0, "cp ."&amp;categories!G1033&amp;" ../catalog/category"&amp;LEFT(categories!G1033,6)&amp;";", "")</f>
        <v>cp ./img1/img5e2f.jpg ../catalog/category/img1/;</v>
      </c>
      <c r="B1033" t="str">
        <f>IF(LEN(categories!G1033) &gt; 0, SUBSTITUTE("copy ."&amp;categories!G1033&amp;" ./category"&amp;LEFT(categories!G1033,6),"/","\"), "")</f>
        <v>copy .\img1\img5e2f.jpg .\category\img1\</v>
      </c>
    </row>
    <row r="1034" spans="1:2" x14ac:dyDescent="0.25">
      <c r="A1034" t="str">
        <f>IF(LEN(categories!G1034) &gt; 0, "cp ."&amp;categories!G1034&amp;" ../catalog/category"&amp;LEFT(categories!G1034,6)&amp;";", "")</f>
        <v>cp ./img3/imgb80f.jpg ../catalog/category/img3/;</v>
      </c>
      <c r="B1034" t="str">
        <f>IF(LEN(categories!G1034) &gt; 0, SUBSTITUTE("copy ."&amp;categories!G1034&amp;" ./category"&amp;LEFT(categories!G1034,6),"/","\"), "")</f>
        <v>copy .\img3\imgb80f.jpg .\category\img3\</v>
      </c>
    </row>
    <row r="1035" spans="1:2" x14ac:dyDescent="0.25">
      <c r="A1035" t="str">
        <f>IF(LEN(categories!G1035) &gt; 0, "cp ."&amp;categories!G1035&amp;" ../catalog/category"&amp;LEFT(categories!G1035,6)&amp;";", "")</f>
        <v>cp ./img3/img8de8.jpg ../catalog/category/img3/;</v>
      </c>
      <c r="B1035" t="str">
        <f>IF(LEN(categories!G1035) &gt; 0, SUBSTITUTE("copy ."&amp;categories!G1035&amp;" ./category"&amp;LEFT(categories!G1035,6),"/","\"), "")</f>
        <v>copy .\img3\img8de8.jpg .\category\img3\</v>
      </c>
    </row>
    <row r="1036" spans="1:2" x14ac:dyDescent="0.25">
      <c r="A1036" t="str">
        <f>IF(LEN(categories!G1036) &gt; 0, "cp ."&amp;categories!G1036&amp;" ../catalog/category"&amp;LEFT(categories!G1036,6)&amp;";", "")</f>
        <v>cp ./img2/img7d07.jpg ../catalog/category/img2/;</v>
      </c>
      <c r="B1036" t="str">
        <f>IF(LEN(categories!G1036) &gt; 0, SUBSTITUTE("copy ."&amp;categories!G1036&amp;" ./category"&amp;LEFT(categories!G1036,6),"/","\"), "")</f>
        <v>copy .\img2\img7d07.jpg .\category\img2\</v>
      </c>
    </row>
    <row r="1037" spans="1:2" x14ac:dyDescent="0.25">
      <c r="A1037" t="str">
        <f>IF(LEN(categories!G1037) &gt; 0, "cp ."&amp;categories!G1037&amp;" ../catalog/category"&amp;LEFT(categories!G1037,6)&amp;";", "")</f>
        <v>cp ./img3/img2293-2.jpg ../catalog/category/img3/;</v>
      </c>
      <c r="B1037" t="str">
        <f>IF(LEN(categories!G1037) &gt; 0, SUBSTITUTE("copy ."&amp;categories!G1037&amp;" ./category"&amp;LEFT(categories!G1037,6),"/","\"), "")</f>
        <v>copy .\img3\img2293-2.jpg .\category\img3\</v>
      </c>
    </row>
    <row r="1038" spans="1:2" x14ac:dyDescent="0.25">
      <c r="A1038" t="str">
        <f>IF(LEN(categories!G1038) &gt; 0, "cp ."&amp;categories!G1038&amp;" ../catalog/category"&amp;LEFT(categories!G1038,6)&amp;";", "")</f>
        <v>cp ./img2/img5964.jpg ../catalog/category/img2/;</v>
      </c>
      <c r="B1038" t="str">
        <f>IF(LEN(categories!G1038) &gt; 0, SUBSTITUTE("copy ."&amp;categories!G1038&amp;" ./category"&amp;LEFT(categories!G1038,6),"/","\"), "")</f>
        <v>copy .\img2\img5964.jpg .\category\img2\</v>
      </c>
    </row>
    <row r="1039" spans="1:2" x14ac:dyDescent="0.25">
      <c r="A1039" t="str">
        <f>IF(LEN(categories!G1039) &gt; 0, "cp ."&amp;categories!G1039&amp;" ../catalog/category"&amp;LEFT(categories!G1039,6)&amp;";", "")</f>
        <v>cp ./img1/img6b4f.jpg ../catalog/category/img1/;</v>
      </c>
      <c r="B1039" t="str">
        <f>IF(LEN(categories!G1039) &gt; 0, SUBSTITUTE("copy ."&amp;categories!G1039&amp;" ./category"&amp;LEFT(categories!G1039,6),"/","\"), "")</f>
        <v>copy .\img1\img6b4f.jpg .\category\img1\</v>
      </c>
    </row>
    <row r="1040" spans="1:2" x14ac:dyDescent="0.25">
      <c r="A1040" t="str">
        <f>IF(LEN(categories!G1040) &gt; 0, "cp ."&amp;categories!G1040&amp;" ../catalog/category"&amp;LEFT(categories!G1040,6)&amp;";", "")</f>
        <v>cp ./img1/imgcf36.jpg ../catalog/category/img1/;</v>
      </c>
      <c r="B1040" t="str">
        <f>IF(LEN(categories!G1040) &gt; 0, SUBSTITUTE("copy ."&amp;categories!G1040&amp;" ./category"&amp;LEFT(categories!G1040,6),"/","\"), "")</f>
        <v>copy .\img1\imgcf36.jpg .\category\img1\</v>
      </c>
    </row>
    <row r="1041" spans="1:2" x14ac:dyDescent="0.25">
      <c r="A1041" t="str">
        <f>IF(LEN(categories!G1041) &gt; 0, "cp ."&amp;categories!G1041&amp;" ../catalog/category"&amp;LEFT(categories!G1041,6)&amp;";", "")</f>
        <v>cp ./img3/img6ed1.jpg ../catalog/category/img3/;</v>
      </c>
      <c r="B1041" t="str">
        <f>IF(LEN(categories!G1041) &gt; 0, SUBSTITUTE("copy ."&amp;categories!G1041&amp;" ./category"&amp;LEFT(categories!G1041,6),"/","\"), "")</f>
        <v>copy .\img3\img6ed1.jpg .\category\img3\</v>
      </c>
    </row>
    <row r="1042" spans="1:2" x14ac:dyDescent="0.25">
      <c r="A1042" t="str">
        <f>IF(LEN(categories!G1042) &gt; 0, "cp ."&amp;categories!G1042&amp;" ../catalog/category"&amp;LEFT(categories!G1042,6)&amp;";", "")</f>
        <v>cp ./img2/imgd66b.jpg ../catalog/category/img2/;</v>
      </c>
      <c r="B1042" t="str">
        <f>IF(LEN(categories!G1042) &gt; 0, SUBSTITUTE("copy ."&amp;categories!G1042&amp;" ./category"&amp;LEFT(categories!G1042,6),"/","\"), "")</f>
        <v>copy .\img2\imgd66b.jpg .\category\img2\</v>
      </c>
    </row>
    <row r="1043" spans="1:2" x14ac:dyDescent="0.25">
      <c r="A1043" t="str">
        <f>IF(LEN(categories!G1043) &gt; 0, "cp ."&amp;categories!G1043&amp;" ../catalog/category"&amp;LEFT(categories!G1043,6)&amp;";", "")</f>
        <v>cp ./img2/imgb501.jpg ../catalog/category/img2/;</v>
      </c>
      <c r="B1043" t="str">
        <f>IF(LEN(categories!G1043) &gt; 0, SUBSTITUTE("copy ."&amp;categories!G1043&amp;" ./category"&amp;LEFT(categories!G1043,6),"/","\"), "")</f>
        <v>copy .\img2\imgb501.jpg .\category\img2\</v>
      </c>
    </row>
    <row r="1044" spans="1:2" x14ac:dyDescent="0.25">
      <c r="A1044" t="str">
        <f>IF(LEN(categories!G1044) &gt; 0, "cp ."&amp;categories!G1044&amp;" ../catalog/category"&amp;LEFT(categories!G1044,6)&amp;";", "")</f>
        <v>cp ./img1/imgd996.jpg ../catalog/category/img1/;</v>
      </c>
      <c r="B1044" t="str">
        <f>IF(LEN(categories!G1044) &gt; 0, SUBSTITUTE("copy ."&amp;categories!G1044&amp;" ./category"&amp;LEFT(categories!G1044,6),"/","\"), "")</f>
        <v>copy .\img1\imgd996.jpg .\category\img1\</v>
      </c>
    </row>
    <row r="1045" spans="1:2" x14ac:dyDescent="0.25">
      <c r="A1045" t="str">
        <f>IF(LEN(categories!G1045) &gt; 0, "cp ."&amp;categories!G1045&amp;" ../catalog/category"&amp;LEFT(categories!G1045,6)&amp;";", "")</f>
        <v>cp ./img3/img4018.jpg ../catalog/category/img3/;</v>
      </c>
      <c r="B1045" t="str">
        <f>IF(LEN(categories!G1045) &gt; 0, SUBSTITUTE("copy ."&amp;categories!G1045&amp;" ./category"&amp;LEFT(categories!G1045,6),"/","\"), "")</f>
        <v>copy .\img3\img4018.jpg .\category\img3\</v>
      </c>
    </row>
    <row r="1046" spans="1:2" x14ac:dyDescent="0.25">
      <c r="A1046" t="str">
        <f>IF(LEN(categories!G1046) &gt; 0, "cp ."&amp;categories!G1046&amp;" ../catalog/category"&amp;LEFT(categories!G1046,6)&amp;";", "")</f>
        <v>cp ./img1/imgb0db.jpg ../catalog/category/img1/;</v>
      </c>
      <c r="B1046" t="str">
        <f>IF(LEN(categories!G1046) &gt; 0, SUBSTITUTE("copy ."&amp;categories!G1046&amp;" ./category"&amp;LEFT(categories!G1046,6),"/","\"), "")</f>
        <v>copy .\img1\imgb0db.jpg .\category\img1\</v>
      </c>
    </row>
    <row r="1047" spans="1:2" x14ac:dyDescent="0.25">
      <c r="A1047" t="str">
        <f>IF(LEN(categories!G1047) &gt; 0, "cp ."&amp;categories!G1047&amp;" ../catalog/category"&amp;LEFT(categories!G1047,6)&amp;";", "")</f>
        <v>cp ./img1/img450a.jpg ../catalog/category/img1/;</v>
      </c>
      <c r="B1047" t="str">
        <f>IF(LEN(categories!G1047) &gt; 0, SUBSTITUTE("copy ."&amp;categories!G1047&amp;" ./category"&amp;LEFT(categories!G1047,6),"/","\"), "")</f>
        <v>copy .\img1\img450a.jpg .\category\img1\</v>
      </c>
    </row>
    <row r="1048" spans="1:2" x14ac:dyDescent="0.25">
      <c r="A1048" t="str">
        <f>IF(LEN(categories!G1048) &gt; 0, "cp ."&amp;categories!G1048&amp;" ../catalog/category"&amp;LEFT(categories!G1048,6)&amp;";", "")</f>
        <v>cp ./img1/img5128.jpg ../catalog/category/img1/;</v>
      </c>
      <c r="B1048" t="str">
        <f>IF(LEN(categories!G1048) &gt; 0, SUBSTITUTE("copy ."&amp;categories!G1048&amp;" ./category"&amp;LEFT(categories!G1048,6),"/","\"), "")</f>
        <v>copy .\img1\img5128.jpg .\category\img1\</v>
      </c>
    </row>
    <row r="1049" spans="1:2" x14ac:dyDescent="0.25">
      <c r="A1049" t="str">
        <f>IF(LEN(categories!G1049) &gt; 0, "cp ."&amp;categories!G1049&amp;" ../catalog/category"&amp;LEFT(categories!G1049,6)&amp;";", "")</f>
        <v>cp ./img1/img3a64.jpg ../catalog/category/img1/;</v>
      </c>
      <c r="B1049" t="str">
        <f>IF(LEN(categories!G1049) &gt; 0, SUBSTITUTE("copy ."&amp;categories!G1049&amp;" ./category"&amp;LEFT(categories!G1049,6),"/","\"), "")</f>
        <v>copy .\img1\img3a64.jpg .\category\img1\</v>
      </c>
    </row>
    <row r="1050" spans="1:2" x14ac:dyDescent="0.25">
      <c r="A1050" t="str">
        <f>IF(LEN(categories!G1050) &gt; 0, "cp ."&amp;categories!G1050&amp;" ../catalog/category"&amp;LEFT(categories!G1050,6)&amp;";", "")</f>
        <v>cp ./img1/img9863.jpg ../catalog/category/img1/;</v>
      </c>
      <c r="B1050" t="str">
        <f>IF(LEN(categories!G1050) &gt; 0, SUBSTITUTE("copy ."&amp;categories!G1050&amp;" ./category"&amp;LEFT(categories!G1050,6),"/","\"), "")</f>
        <v>copy .\img1\img9863.jpg .\category\img1\</v>
      </c>
    </row>
    <row r="1051" spans="1:2" x14ac:dyDescent="0.25">
      <c r="A1051" t="str">
        <f>IF(LEN(categories!G1051) &gt; 0, "cp ."&amp;categories!G1051&amp;" ../catalog/category"&amp;LEFT(categories!G1051,6)&amp;";", "")</f>
        <v>cp ./img2/img83a5.jpg ../catalog/category/img2/;</v>
      </c>
      <c r="B1051" t="str">
        <f>IF(LEN(categories!G1051) &gt; 0, SUBSTITUTE("copy ."&amp;categories!G1051&amp;" ./category"&amp;LEFT(categories!G1051,6),"/","\"), "")</f>
        <v>copy .\img2\img83a5.jpg .\category\img2\</v>
      </c>
    </row>
    <row r="1052" spans="1:2" x14ac:dyDescent="0.25">
      <c r="A1052" t="str">
        <f>IF(LEN(categories!G1052) &gt; 0, "cp ."&amp;categories!G1052&amp;" ../catalog/category"&amp;LEFT(categories!G1052,6)&amp;";", "")</f>
        <v>cp ./img3/imgc48c.jpg ../catalog/category/img3/;</v>
      </c>
      <c r="B1052" t="str">
        <f>IF(LEN(categories!G1052) &gt; 0, SUBSTITUTE("copy ."&amp;categories!G1052&amp;" ./category"&amp;LEFT(categories!G1052,6),"/","\"), "")</f>
        <v>copy .\img3\imgc48c.jpg .\category\img3\</v>
      </c>
    </row>
    <row r="1053" spans="1:2" x14ac:dyDescent="0.25">
      <c r="A1053" t="str">
        <f>IF(LEN(categories!G1053) &gt; 0, "cp ."&amp;categories!G1053&amp;" ../catalog/category"&amp;LEFT(categories!G1053,6)&amp;";", "")</f>
        <v>cp ./img3/img4943.jpg ../catalog/category/img3/;</v>
      </c>
      <c r="B1053" t="str">
        <f>IF(LEN(categories!G1053) &gt; 0, SUBSTITUTE("copy ."&amp;categories!G1053&amp;" ./category"&amp;LEFT(categories!G1053,6),"/","\"), "")</f>
        <v>copy .\img3\img4943.jpg .\category\img3\</v>
      </c>
    </row>
    <row r="1054" spans="1:2" x14ac:dyDescent="0.25">
      <c r="A1054" t="str">
        <f>IF(LEN(categories!G1054) &gt; 0, "cp ."&amp;categories!G1054&amp;" ../catalog/category"&amp;LEFT(categories!G1054,6)&amp;";", "")</f>
        <v>cp ./img1/img25da.jpg ../catalog/category/img1/;</v>
      </c>
      <c r="B1054" t="str">
        <f>IF(LEN(categories!G1054) &gt; 0, SUBSTITUTE("copy ."&amp;categories!G1054&amp;" ./category"&amp;LEFT(categories!G1054,6),"/","\"), "")</f>
        <v>copy .\img1\img25da.jpg .\category\img1\</v>
      </c>
    </row>
    <row r="1055" spans="1:2" x14ac:dyDescent="0.25">
      <c r="A1055" t="str">
        <f>IF(LEN(categories!G1055) &gt; 0, "cp ."&amp;categories!G1055&amp;" ../catalog/category"&amp;LEFT(categories!G1055,6)&amp;";", "")</f>
        <v>cp ./img2/img5e0e.jpg ../catalog/category/img2/;</v>
      </c>
      <c r="B1055" t="str">
        <f>IF(LEN(categories!G1055) &gt; 0, SUBSTITUTE("copy ."&amp;categories!G1055&amp;" ./category"&amp;LEFT(categories!G1055,6),"/","\"), "")</f>
        <v>copy .\img2\img5e0e.jpg .\category\img2\</v>
      </c>
    </row>
    <row r="1056" spans="1:2" x14ac:dyDescent="0.25">
      <c r="A1056" t="str">
        <f>IF(LEN(categories!G1056) &gt; 0, "cp ."&amp;categories!G1056&amp;" ../catalog/category"&amp;LEFT(categories!G1056,6)&amp;";", "")</f>
        <v>cp ./img3/img29bc.jpg ../catalog/category/img3/;</v>
      </c>
      <c r="B1056" t="str">
        <f>IF(LEN(categories!G1056) &gt; 0, SUBSTITUTE("copy ."&amp;categories!G1056&amp;" ./category"&amp;LEFT(categories!G1056,6),"/","\"), "")</f>
        <v>copy .\img3\img29bc.jpg .\category\img3\</v>
      </c>
    </row>
    <row r="1057" spans="1:2" x14ac:dyDescent="0.25">
      <c r="A1057" t="str">
        <f>IF(LEN(categories!G1057) &gt; 0, "cp ."&amp;categories!G1057&amp;" ../catalog/category"&amp;LEFT(categories!G1057,6)&amp;";", "")</f>
        <v>cp ./img3/img91c6.jpg ../catalog/category/img3/;</v>
      </c>
      <c r="B1057" t="str">
        <f>IF(LEN(categories!G1057) &gt; 0, SUBSTITUTE("copy ."&amp;categories!G1057&amp;" ./category"&amp;LEFT(categories!G1057,6),"/","\"), "")</f>
        <v>copy .\img3\img91c6.jpg .\category\img3\</v>
      </c>
    </row>
    <row r="1058" spans="1:2" x14ac:dyDescent="0.25">
      <c r="A1058" t="str">
        <f>IF(LEN(categories!G1058) &gt; 0, "cp ."&amp;categories!G1058&amp;" ../catalog/category"&amp;LEFT(categories!G1058,6)&amp;";", "")</f>
        <v>cp ./img3/img6082.jpg ../catalog/category/img3/;</v>
      </c>
      <c r="B1058" t="str">
        <f>IF(LEN(categories!G1058) &gt; 0, SUBSTITUTE("copy ."&amp;categories!G1058&amp;" ./category"&amp;LEFT(categories!G1058,6),"/","\"), "")</f>
        <v>copy .\img3\img6082.jpg .\category\img3\</v>
      </c>
    </row>
    <row r="1059" spans="1:2" x14ac:dyDescent="0.25">
      <c r="A1059" t="str">
        <f>IF(LEN(categories!G1059) &gt; 0, "cp ."&amp;categories!G1059&amp;" ../catalog/category"&amp;LEFT(categories!G1059,6)&amp;";", "")</f>
        <v>cp ./img2/imgf538.jpg ../catalog/category/img2/;</v>
      </c>
      <c r="B1059" t="str">
        <f>IF(LEN(categories!G1059) &gt; 0, SUBSTITUTE("copy ."&amp;categories!G1059&amp;" ./category"&amp;LEFT(categories!G1059,6),"/","\"), "")</f>
        <v>copy .\img2\imgf538.jpg .\category\img2\</v>
      </c>
    </row>
    <row r="1060" spans="1:2" x14ac:dyDescent="0.25">
      <c r="A1060" t="str">
        <f>IF(LEN(categories!G1060) &gt; 0, "cp ."&amp;categories!G1060&amp;" ../catalog/category"&amp;LEFT(categories!G1060,6)&amp;";", "")</f>
        <v>cp ./img1/img621c.jpg ../catalog/category/img1/;</v>
      </c>
      <c r="B1060" t="str">
        <f>IF(LEN(categories!G1060) &gt; 0, SUBSTITUTE("copy ."&amp;categories!G1060&amp;" ./category"&amp;LEFT(categories!G1060,6),"/","\"), "")</f>
        <v>copy .\img1\img621c.jpg .\category\img1\</v>
      </c>
    </row>
    <row r="1061" spans="1:2" x14ac:dyDescent="0.25">
      <c r="A1061" t="str">
        <f>IF(LEN(categories!G1061) &gt; 0, "cp ."&amp;categories!G1061&amp;" ../catalog/category"&amp;LEFT(categories!G1061,6)&amp;";", "")</f>
        <v>cp ./img2/img10aa.jpg ../catalog/category/img2/;</v>
      </c>
      <c r="B1061" t="str">
        <f>IF(LEN(categories!G1061) &gt; 0, SUBSTITUTE("copy ."&amp;categories!G1061&amp;" ./category"&amp;LEFT(categories!G1061,6),"/","\"), "")</f>
        <v>copy .\img2\img10aa.jpg .\category\img2\</v>
      </c>
    </row>
    <row r="1062" spans="1:2" x14ac:dyDescent="0.25">
      <c r="A1062" t="str">
        <f>IF(LEN(categories!G1062) &gt; 0, "cp ."&amp;categories!G1062&amp;" ../catalog/category"&amp;LEFT(categories!G1062,6)&amp;";", "")</f>
        <v>cp ./img3/imga42f.jpg ../catalog/category/img3/;</v>
      </c>
      <c r="B1062" t="str">
        <f>IF(LEN(categories!G1062) &gt; 0, SUBSTITUTE("copy ."&amp;categories!G1062&amp;" ./category"&amp;LEFT(categories!G1062,6),"/","\"), "")</f>
        <v>copy .\img3\imga42f.jpg .\category\img3\</v>
      </c>
    </row>
    <row r="1063" spans="1:2" x14ac:dyDescent="0.25">
      <c r="A1063" t="str">
        <f>IF(LEN(categories!G1063) &gt; 0, "cp ."&amp;categories!G1063&amp;" ../catalog/category"&amp;LEFT(categories!G1063,6)&amp;";", "")</f>
        <v>cp ./img1/img2b1d.jpg ../catalog/category/img1/;</v>
      </c>
      <c r="B1063" t="str">
        <f>IF(LEN(categories!G1063) &gt; 0, SUBSTITUTE("copy ."&amp;categories!G1063&amp;" ./category"&amp;LEFT(categories!G1063,6),"/","\"), "")</f>
        <v>copy .\img1\img2b1d.jpg .\category\img1\</v>
      </c>
    </row>
    <row r="1064" spans="1:2" x14ac:dyDescent="0.25">
      <c r="A1064" t="str">
        <f>IF(LEN(categories!G1064) &gt; 0, "cp ."&amp;categories!G1064&amp;" ../catalog/category"&amp;LEFT(categories!G1064,6)&amp;";", "")</f>
        <v>cp ./img1/img8d8d.jpg ../catalog/category/img1/;</v>
      </c>
      <c r="B1064" t="str">
        <f>IF(LEN(categories!G1064) &gt; 0, SUBSTITUTE("copy ."&amp;categories!G1064&amp;" ./category"&amp;LEFT(categories!G1064,6),"/","\"), "")</f>
        <v>copy .\img1\img8d8d.jpg .\category\img1\</v>
      </c>
    </row>
    <row r="1065" spans="1:2" x14ac:dyDescent="0.25">
      <c r="A1065" t="str">
        <f>IF(LEN(categories!G1065) &gt; 0, "cp ."&amp;categories!G1065&amp;" ../catalog/category"&amp;LEFT(categories!G1065,6)&amp;";", "")</f>
        <v>cp ./img2/img57b5.jpg ../catalog/category/img2/;</v>
      </c>
      <c r="B1065" t="str">
        <f>IF(LEN(categories!G1065) &gt; 0, SUBSTITUTE("copy ."&amp;categories!G1065&amp;" ./category"&amp;LEFT(categories!G1065,6),"/","\"), "")</f>
        <v>copy .\img2\img57b5.jpg .\category\img2\</v>
      </c>
    </row>
    <row r="1066" spans="1:2" x14ac:dyDescent="0.25">
      <c r="A1066" t="str">
        <f>IF(LEN(categories!G1066) &gt; 0, "cp ."&amp;categories!G1066&amp;" ../catalog/category"&amp;LEFT(categories!G1066,6)&amp;";", "")</f>
        <v>cp ./img3/imgadbe.jpg ../catalog/category/img3/;</v>
      </c>
      <c r="B1066" t="str">
        <f>IF(LEN(categories!G1066) &gt; 0, SUBSTITUTE("copy ."&amp;categories!G1066&amp;" ./category"&amp;LEFT(categories!G1066,6),"/","\"), "")</f>
        <v>copy .\img3\imgadbe.jpg .\category\img3\</v>
      </c>
    </row>
    <row r="1067" spans="1:2" x14ac:dyDescent="0.25">
      <c r="A1067" t="str">
        <f>IF(LEN(categories!G1067) &gt; 0, "cp ."&amp;categories!G1067&amp;" ../catalog/category"&amp;LEFT(categories!G1067,6)&amp;";", "")</f>
        <v>cp ./img1/img9e67.jpg ../catalog/category/img1/;</v>
      </c>
      <c r="B1067" t="str">
        <f>IF(LEN(categories!G1067) &gt; 0, SUBSTITUTE("copy ."&amp;categories!G1067&amp;" ./category"&amp;LEFT(categories!G1067,6),"/","\"), "")</f>
        <v>copy .\img1\img9e67.jpg .\category\img1\</v>
      </c>
    </row>
    <row r="1068" spans="1:2" x14ac:dyDescent="0.25">
      <c r="A1068" t="str">
        <f>IF(LEN(categories!G1068) &gt; 0, "cp ."&amp;categories!G1068&amp;" ../catalog/category"&amp;LEFT(categories!G1068,6)&amp;";", "")</f>
        <v>cp ./img2/img6345.jpg ../catalog/category/img2/;</v>
      </c>
      <c r="B1068" t="str">
        <f>IF(LEN(categories!G1068) &gt; 0, SUBSTITUTE("copy ."&amp;categories!G1068&amp;" ./category"&amp;LEFT(categories!G1068,6),"/","\"), "")</f>
        <v>copy .\img2\img6345.jpg .\category\img2\</v>
      </c>
    </row>
    <row r="1069" spans="1:2" x14ac:dyDescent="0.25">
      <c r="A1069" t="str">
        <f>IF(LEN(categories!G1069) &gt; 0, "cp ."&amp;categories!G1069&amp;" ../catalog/category"&amp;LEFT(categories!G1069,6)&amp;";", "")</f>
        <v>cp ./img2/imgf6e3.jpg ../catalog/category/img2/;</v>
      </c>
      <c r="B1069" t="str">
        <f>IF(LEN(categories!G1069) &gt; 0, SUBSTITUTE("copy ."&amp;categories!G1069&amp;" ./category"&amp;LEFT(categories!G1069,6),"/","\"), "")</f>
        <v>copy .\img2\imgf6e3.jpg .\category\img2\</v>
      </c>
    </row>
    <row r="1070" spans="1:2" x14ac:dyDescent="0.25">
      <c r="A1070" t="str">
        <f>IF(LEN(categories!G1070) &gt; 0, "cp ."&amp;categories!G1070&amp;" ../catalog/category"&amp;LEFT(categories!G1070,6)&amp;";", "")</f>
        <v>cp ./img1/img060b.jpg ../catalog/category/img1/;</v>
      </c>
      <c r="B1070" t="str">
        <f>IF(LEN(categories!G1070) &gt; 0, SUBSTITUTE("copy ."&amp;categories!G1070&amp;" ./category"&amp;LEFT(categories!G1070,6),"/","\"), "")</f>
        <v>copy .\img1\img060b.jpg .\category\img1\</v>
      </c>
    </row>
    <row r="1071" spans="1:2" x14ac:dyDescent="0.25">
      <c r="A1071" t="str">
        <f>IF(LEN(categories!G1071) &gt; 0, "cp ."&amp;categories!G1071&amp;" ../catalog/category"&amp;LEFT(categories!G1071,6)&amp;";", "")</f>
        <v>cp ./img1/imge1af.jpg ../catalog/category/img1/;</v>
      </c>
      <c r="B1071" t="str">
        <f>IF(LEN(categories!G1071) &gt; 0, SUBSTITUTE("copy ."&amp;categories!G1071&amp;" ./category"&amp;LEFT(categories!G1071,6),"/","\"), "")</f>
        <v>copy .\img1\imge1af.jpg .\category\img1\</v>
      </c>
    </row>
    <row r="1072" spans="1:2" x14ac:dyDescent="0.25">
      <c r="A1072" t="str">
        <f>IF(LEN(categories!G1072) &gt; 0, "cp ."&amp;categories!G1072&amp;" ../catalog/category"&amp;LEFT(categories!G1072,6)&amp;";", "")</f>
        <v>cp ./img3/img97fc.jpg ../catalog/category/img3/;</v>
      </c>
      <c r="B1072" t="str">
        <f>IF(LEN(categories!G1072) &gt; 0, SUBSTITUTE("copy ."&amp;categories!G1072&amp;" ./category"&amp;LEFT(categories!G1072,6),"/","\"), "")</f>
        <v>copy .\img3\img97fc.jpg .\category\img3\</v>
      </c>
    </row>
    <row r="1073" spans="1:2" x14ac:dyDescent="0.25">
      <c r="A1073" t="str">
        <f>IF(LEN(categories!G1073) &gt; 0, "cp ."&amp;categories!G1073&amp;" ../catalog/category"&amp;LEFT(categories!G1073,6)&amp;";", "")</f>
        <v>cp ./img1/imgc92e.jpg ../catalog/category/img1/;</v>
      </c>
      <c r="B1073" t="str">
        <f>IF(LEN(categories!G1073) &gt; 0, SUBSTITUTE("copy ."&amp;categories!G1073&amp;" ./category"&amp;LEFT(categories!G1073,6),"/","\"), "")</f>
        <v>copy .\img1\imgc92e.jpg .\category\img1\</v>
      </c>
    </row>
    <row r="1074" spans="1:2" x14ac:dyDescent="0.25">
      <c r="A1074" t="str">
        <f>IF(LEN(categories!G1074) &gt; 0, "cp ."&amp;categories!G1074&amp;" ../catalog/category"&amp;LEFT(categories!G1074,6)&amp;";", "")</f>
        <v>cp ./img2/img9a2f.jpg ../catalog/category/img2/;</v>
      </c>
      <c r="B1074" t="str">
        <f>IF(LEN(categories!G1074) &gt; 0, SUBSTITUTE("copy ."&amp;categories!G1074&amp;" ./category"&amp;LEFT(categories!G1074,6),"/","\"), "")</f>
        <v>copy .\img2\img9a2f.jpg .\category\img2\</v>
      </c>
    </row>
    <row r="1075" spans="1:2" x14ac:dyDescent="0.25">
      <c r="A1075" t="str">
        <f>IF(LEN(categories!G1075) &gt; 0, "cp ."&amp;categories!G1075&amp;" ../catalog/category"&amp;LEFT(categories!G1075,6)&amp;";", "")</f>
        <v>cp ./img1/img41fd.jpg ../catalog/category/img1/;</v>
      </c>
      <c r="B1075" t="str">
        <f>IF(LEN(categories!G1075) &gt; 0, SUBSTITUTE("copy ."&amp;categories!G1075&amp;" ./category"&amp;LEFT(categories!G1075,6),"/","\"), "")</f>
        <v>copy .\img1\img41fd.jpg .\category\img1\</v>
      </c>
    </row>
    <row r="1076" spans="1:2" x14ac:dyDescent="0.25">
      <c r="A1076" t="str">
        <f>IF(LEN(categories!G1076) &gt; 0, "cp ."&amp;categories!G1076&amp;" ../catalog/category"&amp;LEFT(categories!G1076,6)&amp;";", "")</f>
        <v>cp ./img3/imgc53f.jpg ../catalog/category/img3/;</v>
      </c>
      <c r="B1076" t="str">
        <f>IF(LEN(categories!G1076) &gt; 0, SUBSTITUTE("copy ."&amp;categories!G1076&amp;" ./category"&amp;LEFT(categories!G1076,6),"/","\"), "")</f>
        <v>copy .\img3\imgc53f.jpg .\category\img3\</v>
      </c>
    </row>
    <row r="1077" spans="1:2" x14ac:dyDescent="0.25">
      <c r="A1077" t="str">
        <f>IF(LEN(categories!G1077) &gt; 0, "cp ."&amp;categories!G1077&amp;" ../catalog/category"&amp;LEFT(categories!G1077,6)&amp;";", "")</f>
        <v>cp ./img2/img49e0.jpg ../catalog/category/img2/;</v>
      </c>
      <c r="B1077" t="str">
        <f>IF(LEN(categories!G1077) &gt; 0, SUBSTITUTE("copy ."&amp;categories!G1077&amp;" ./category"&amp;LEFT(categories!G1077,6),"/","\"), "")</f>
        <v>copy .\img2\img49e0.jpg .\category\img2\</v>
      </c>
    </row>
    <row r="1078" spans="1:2" x14ac:dyDescent="0.25">
      <c r="A1078" t="str">
        <f>IF(LEN(categories!G1078) &gt; 0, "cp ."&amp;categories!G1078&amp;" ../catalog/category"&amp;LEFT(categories!G1078,6)&amp;";", "")</f>
        <v>cp ./img1/img2ad1.jpg ../catalog/category/img1/;</v>
      </c>
      <c r="B1078" t="str">
        <f>IF(LEN(categories!G1078) &gt; 0, SUBSTITUTE("copy ."&amp;categories!G1078&amp;" ./category"&amp;LEFT(categories!G1078,6),"/","\"), "")</f>
        <v>copy .\img1\img2ad1.jpg .\category\img1\</v>
      </c>
    </row>
    <row r="1079" spans="1:2" x14ac:dyDescent="0.25">
      <c r="A1079" t="str">
        <f>IF(LEN(categories!G1079) &gt; 0, "cp ."&amp;categories!G1079&amp;" ../catalog/category"&amp;LEFT(categories!G1079,6)&amp;";", "")</f>
        <v>cp ./img2/img3c7c.jpg ../catalog/category/img2/;</v>
      </c>
      <c r="B1079" t="str">
        <f>IF(LEN(categories!G1079) &gt; 0, SUBSTITUTE("copy ."&amp;categories!G1079&amp;" ./category"&amp;LEFT(categories!G1079,6),"/","\"), "")</f>
        <v>copy .\img2\img3c7c.jpg .\category\img2\</v>
      </c>
    </row>
    <row r="1080" spans="1:2" x14ac:dyDescent="0.25">
      <c r="A1080" t="str">
        <f>IF(LEN(categories!G1080) &gt; 0, "cp ."&amp;categories!G1080&amp;" ../catalog/category"&amp;LEFT(categories!G1080,6)&amp;";", "")</f>
        <v>cp ./img3/img6a70.jpg ../catalog/category/img3/;</v>
      </c>
      <c r="B1080" t="str">
        <f>IF(LEN(categories!G1080) &gt; 0, SUBSTITUTE("copy ."&amp;categories!G1080&amp;" ./category"&amp;LEFT(categories!G1080,6),"/","\"), "")</f>
        <v>copy .\img3\img6a70.jpg .\category\img3\</v>
      </c>
    </row>
    <row r="1081" spans="1:2" x14ac:dyDescent="0.25">
      <c r="A1081" t="str">
        <f>IF(LEN(categories!G1081) &gt; 0, "cp ."&amp;categories!G1081&amp;" ../catalog/category"&amp;LEFT(categories!G1081,6)&amp;";", "")</f>
        <v>cp ./img2/img2c2e.jpg ../catalog/category/img2/;</v>
      </c>
      <c r="B1081" t="str">
        <f>IF(LEN(categories!G1081) &gt; 0, SUBSTITUTE("copy ."&amp;categories!G1081&amp;" ./category"&amp;LEFT(categories!G1081,6),"/","\"), "")</f>
        <v>copy .\img2\img2c2e.jpg .\category\img2\</v>
      </c>
    </row>
    <row r="1082" spans="1:2" x14ac:dyDescent="0.25">
      <c r="A1082" t="str">
        <f>IF(LEN(categories!G1082) &gt; 0, "cp ."&amp;categories!G1082&amp;" ../catalog/category"&amp;LEFT(categories!G1082,6)&amp;";", "")</f>
        <v>cp ./img3/imgb9c1.jpg ../catalog/category/img3/;</v>
      </c>
      <c r="B1082" t="str">
        <f>IF(LEN(categories!G1082) &gt; 0, SUBSTITUTE("copy ."&amp;categories!G1082&amp;" ./category"&amp;LEFT(categories!G1082,6),"/","\"), "")</f>
        <v>copy .\img3\imgb9c1.jpg .\category\img3\</v>
      </c>
    </row>
    <row r="1083" spans="1:2" x14ac:dyDescent="0.25">
      <c r="A1083" t="str">
        <f>IF(LEN(categories!G1083) &gt; 0, "cp ."&amp;categories!G1083&amp;" ../catalog/category"&amp;LEFT(categories!G1083,6)&amp;";", "")</f>
        <v>cp ./img3/img1171.jpg ../catalog/category/img3/;</v>
      </c>
      <c r="B1083" t="str">
        <f>IF(LEN(categories!G1083) &gt; 0, SUBSTITUTE("copy ."&amp;categories!G1083&amp;" ./category"&amp;LEFT(categories!G1083,6),"/","\"), "")</f>
        <v>copy .\img3\img1171.jpg .\category\img3\</v>
      </c>
    </row>
    <row r="1084" spans="1:2" x14ac:dyDescent="0.25">
      <c r="A1084" t="str">
        <f>IF(LEN(categories!G1084) &gt; 0, "cp ."&amp;categories!G1084&amp;" ../catalog/category"&amp;LEFT(categories!G1084,6)&amp;";", "")</f>
        <v>cp ./img1/img9656.jpg ../catalog/category/img1/;</v>
      </c>
      <c r="B1084" t="str">
        <f>IF(LEN(categories!G1084) &gt; 0, SUBSTITUTE("copy ."&amp;categories!G1084&amp;" ./category"&amp;LEFT(categories!G1084,6),"/","\"), "")</f>
        <v>copy .\img1\img9656.jpg .\category\img1\</v>
      </c>
    </row>
    <row r="1085" spans="1:2" x14ac:dyDescent="0.25">
      <c r="A1085" t="str">
        <f>IF(LEN(categories!G1085) &gt; 0, "cp ."&amp;categories!G1085&amp;" ../catalog/category"&amp;LEFT(categories!G1085,6)&amp;";", "")</f>
        <v>cp ./img3/imgf663.jpg ../catalog/category/img3/;</v>
      </c>
      <c r="B1085" t="str">
        <f>IF(LEN(categories!G1085) &gt; 0, SUBSTITUTE("copy ."&amp;categories!G1085&amp;" ./category"&amp;LEFT(categories!G1085,6),"/","\"), "")</f>
        <v>copy .\img3\imgf663.jpg .\category\img3\</v>
      </c>
    </row>
    <row r="1086" spans="1:2" x14ac:dyDescent="0.25">
      <c r="A1086" t="str">
        <f>IF(LEN(categories!G1086) &gt; 0, "cp ."&amp;categories!G1086&amp;" ../catalog/category"&amp;LEFT(categories!G1086,6)&amp;";", "")</f>
        <v>cp ./img2/imgbdf9.jpg ../catalog/category/img2/;</v>
      </c>
      <c r="B1086" t="str">
        <f>IF(LEN(categories!G1086) &gt; 0, SUBSTITUTE("copy ."&amp;categories!G1086&amp;" ./category"&amp;LEFT(categories!G1086,6),"/","\"), "")</f>
        <v>copy .\img2\imgbdf9.jpg .\category\img2\</v>
      </c>
    </row>
    <row r="1087" spans="1:2" x14ac:dyDescent="0.25">
      <c r="A1087" t="str">
        <f>IF(LEN(categories!G1087) &gt; 0, "cp ."&amp;categories!G1087&amp;" ../catalog/category"&amp;LEFT(categories!G1087,6)&amp;";", "")</f>
        <v>cp ./img3/img46c7.jpg ../catalog/category/img3/;</v>
      </c>
      <c r="B1087" t="str">
        <f>IF(LEN(categories!G1087) &gt; 0, SUBSTITUTE("copy ."&amp;categories!G1087&amp;" ./category"&amp;LEFT(categories!G1087,6),"/","\"), "")</f>
        <v>copy .\img3\img46c7.jpg .\category\img3\</v>
      </c>
    </row>
    <row r="1088" spans="1:2" x14ac:dyDescent="0.25">
      <c r="A1088" t="str">
        <f>IF(LEN(categories!G1088) &gt; 0, "cp ."&amp;categories!G1088&amp;" ../catalog/category"&amp;LEFT(categories!G1088,6)&amp;";", "")</f>
        <v>cp ./img2/img6a6b.jpg ../catalog/category/img2/;</v>
      </c>
      <c r="B1088" t="str">
        <f>IF(LEN(categories!G1088) &gt; 0, SUBSTITUTE("copy ."&amp;categories!G1088&amp;" ./category"&amp;LEFT(categories!G1088,6),"/","\"), "")</f>
        <v>copy .\img2\img6a6b.jpg .\category\img2\</v>
      </c>
    </row>
    <row r="1089" spans="1:2" x14ac:dyDescent="0.25">
      <c r="A1089" t="str">
        <f>IF(LEN(categories!G1089) &gt; 0, "cp ."&amp;categories!G1089&amp;" ../catalog/category"&amp;LEFT(categories!G1089,6)&amp;";", "")</f>
        <v>cp ./img3/imgceb4.jpg ../catalog/category/img3/;</v>
      </c>
      <c r="B1089" t="str">
        <f>IF(LEN(categories!G1089) &gt; 0, SUBSTITUTE("copy ."&amp;categories!G1089&amp;" ./category"&amp;LEFT(categories!G1089,6),"/","\"), "")</f>
        <v>copy .\img3\imgceb4.jpg .\category\img3\</v>
      </c>
    </row>
    <row r="1090" spans="1:2" x14ac:dyDescent="0.25">
      <c r="A1090" t="str">
        <f>IF(LEN(categories!G1090) &gt; 0, "cp ."&amp;categories!G1090&amp;" ../catalog/category"&amp;LEFT(categories!G1090,6)&amp;";", "")</f>
        <v>cp ./img3/imgb3f1.jpg ../catalog/category/img3/;</v>
      </c>
      <c r="B1090" t="str">
        <f>IF(LEN(categories!G1090) &gt; 0, SUBSTITUTE("copy ."&amp;categories!G1090&amp;" ./category"&amp;LEFT(categories!G1090,6),"/","\"), "")</f>
        <v>copy .\img3\imgb3f1.jpg .\category\img3\</v>
      </c>
    </row>
    <row r="1091" spans="1:2" x14ac:dyDescent="0.25">
      <c r="A1091" t="str">
        <f>IF(LEN(categories!G1091) &gt; 0, "cp ."&amp;categories!G1091&amp;" ../catalog/category"&amp;LEFT(categories!G1091,6)&amp;";", "")</f>
        <v>cp ./img3/img3f8d.jpg ../catalog/category/img3/;</v>
      </c>
      <c r="B1091" t="str">
        <f>IF(LEN(categories!G1091) &gt; 0, SUBSTITUTE("copy ."&amp;categories!G1091&amp;" ./category"&amp;LEFT(categories!G1091,6),"/","\"), "")</f>
        <v>copy .\img3\img3f8d.jpg .\category\img3\</v>
      </c>
    </row>
    <row r="1092" spans="1:2" x14ac:dyDescent="0.25">
      <c r="A1092" t="str">
        <f>IF(LEN(categories!G1092) &gt; 0, "cp ."&amp;categories!G1092&amp;" ../catalog/category"&amp;LEFT(categories!G1092,6)&amp;";", "")</f>
        <v>cp ./img2/img38f6.jpg ../catalog/category/img2/;</v>
      </c>
      <c r="B1092" t="str">
        <f>IF(LEN(categories!G1092) &gt; 0, SUBSTITUTE("copy ."&amp;categories!G1092&amp;" ./category"&amp;LEFT(categories!G1092,6),"/","\"), "")</f>
        <v>copy .\img2\img38f6.jpg .\category\img2\</v>
      </c>
    </row>
    <row r="1093" spans="1:2" x14ac:dyDescent="0.25">
      <c r="A1093" t="str">
        <f>IF(LEN(categories!G1093) &gt; 0, "cp ."&amp;categories!G1093&amp;" ../catalog/category"&amp;LEFT(categories!G1093,6)&amp;";", "")</f>
        <v>cp ./img1/img9a00.jpg ../catalog/category/img1/;</v>
      </c>
      <c r="B1093" t="str">
        <f>IF(LEN(categories!G1093) &gt; 0, SUBSTITUTE("copy ."&amp;categories!G1093&amp;" ./category"&amp;LEFT(categories!G1093,6),"/","\"), "")</f>
        <v>copy .\img1\img9a00.jpg .\category\img1\</v>
      </c>
    </row>
    <row r="1094" spans="1:2" x14ac:dyDescent="0.25">
      <c r="A1094" t="str">
        <f>IF(LEN(categories!G1094) &gt; 0, "cp ."&amp;categories!G1094&amp;" ../catalog/category"&amp;LEFT(categories!G1094,6)&amp;";", "")</f>
        <v>cp ./img3/img601d.jpg ../catalog/category/img3/;</v>
      </c>
      <c r="B1094" t="str">
        <f>IF(LEN(categories!G1094) &gt; 0, SUBSTITUTE("copy ."&amp;categories!G1094&amp;" ./category"&amp;LEFT(categories!G1094,6),"/","\"), "")</f>
        <v>copy .\img3\img601d.jpg .\category\img3\</v>
      </c>
    </row>
    <row r="1095" spans="1:2" x14ac:dyDescent="0.25">
      <c r="A1095" t="str">
        <f>IF(LEN(categories!G1095) &gt; 0, "cp ."&amp;categories!G1095&amp;" ../catalog/category"&amp;LEFT(categories!G1095,6)&amp;";", "")</f>
        <v>cp ./img1/img0e73.jpg ../catalog/category/img1/;</v>
      </c>
      <c r="B1095" t="str">
        <f>IF(LEN(categories!G1095) &gt; 0, SUBSTITUTE("copy ."&amp;categories!G1095&amp;" ./category"&amp;LEFT(categories!G1095,6),"/","\"), "")</f>
        <v>copy .\img1\img0e73.jpg .\category\img1\</v>
      </c>
    </row>
    <row r="1096" spans="1:2" x14ac:dyDescent="0.25">
      <c r="A1096" t="str">
        <f>IF(LEN(categories!G1096) &gt; 0, "cp ."&amp;categories!G1096&amp;" ../catalog/category"&amp;LEFT(categories!G1096,6)&amp;";", "")</f>
        <v>cp ./img2/imgb85d.jpg ../catalog/category/img2/;</v>
      </c>
      <c r="B1096" t="str">
        <f>IF(LEN(categories!G1096) &gt; 0, SUBSTITUTE("copy ."&amp;categories!G1096&amp;" ./category"&amp;LEFT(categories!G1096,6),"/","\"), "")</f>
        <v>copy .\img2\imgb85d.jpg .\category\img2\</v>
      </c>
    </row>
    <row r="1097" spans="1:2" x14ac:dyDescent="0.25">
      <c r="A1097" t="str">
        <f>IF(LEN(categories!G1097) &gt; 0, "cp ."&amp;categories!G1097&amp;" ../catalog/category"&amp;LEFT(categories!G1097,6)&amp;";", "")</f>
        <v>cp ./img3/imgae4c.jpg ../catalog/category/img3/;</v>
      </c>
      <c r="B1097" t="str">
        <f>IF(LEN(categories!G1097) &gt; 0, SUBSTITUTE("copy ."&amp;categories!G1097&amp;" ./category"&amp;LEFT(categories!G1097,6),"/","\"), "")</f>
        <v>copy .\img3\imgae4c.jpg .\category\img3\</v>
      </c>
    </row>
    <row r="1098" spans="1:2" x14ac:dyDescent="0.25">
      <c r="A1098" t="str">
        <f>IF(LEN(categories!G1098) &gt; 0, "cp ."&amp;categories!G1098&amp;" ../catalog/category"&amp;LEFT(categories!G1098,6)&amp;";", "")</f>
        <v>cp ./img1/img2602.jpg ../catalog/category/img1/;</v>
      </c>
      <c r="B1098" t="str">
        <f>IF(LEN(categories!G1098) &gt; 0, SUBSTITUTE("copy ."&amp;categories!G1098&amp;" ./category"&amp;LEFT(categories!G1098,6),"/","\"), "")</f>
        <v>copy .\img1\img2602.jpg .\category\img1\</v>
      </c>
    </row>
    <row r="1099" spans="1:2" x14ac:dyDescent="0.25">
      <c r="A1099" t="str">
        <f>IF(LEN(categories!G1099) &gt; 0, "cp ."&amp;categories!G1099&amp;" ../catalog/category"&amp;LEFT(categories!G1099,6)&amp;";", "")</f>
        <v>cp ./img3/img8e27.jpg ../catalog/category/img3/;</v>
      </c>
      <c r="B1099" t="str">
        <f>IF(LEN(categories!G1099) &gt; 0, SUBSTITUTE("copy ."&amp;categories!G1099&amp;" ./category"&amp;LEFT(categories!G1099,6),"/","\"), "")</f>
        <v>copy .\img3\img8e27.jpg .\category\img3\</v>
      </c>
    </row>
    <row r="1100" spans="1:2" x14ac:dyDescent="0.25">
      <c r="A1100" t="str">
        <f>IF(LEN(categories!G1100) &gt; 0, "cp ."&amp;categories!G1100&amp;" ../catalog/category"&amp;LEFT(categories!G1100,6)&amp;";", "")</f>
        <v>cp ./img3/img21c3.jpg ../catalog/category/img3/;</v>
      </c>
      <c r="B1100" t="str">
        <f>IF(LEN(categories!G1100) &gt; 0, SUBSTITUTE("copy ."&amp;categories!G1100&amp;" ./category"&amp;LEFT(categories!G1100,6),"/","\"), "")</f>
        <v>copy .\img3\img21c3.jpg .\category\img3\</v>
      </c>
    </row>
    <row r="1101" spans="1:2" x14ac:dyDescent="0.25">
      <c r="A1101" t="str">
        <f>IF(LEN(categories!G1101) &gt; 0, "cp ."&amp;categories!G1101&amp;" ../catalog/category"&amp;LEFT(categories!G1101,6)&amp;";", "")</f>
        <v>cp ./img2/imge9c4.jpg ../catalog/category/img2/;</v>
      </c>
      <c r="B1101" t="str">
        <f>IF(LEN(categories!G1101) &gt; 0, SUBSTITUTE("copy ."&amp;categories!G1101&amp;" ./category"&amp;LEFT(categories!G1101,6),"/","\"), "")</f>
        <v>copy .\img2\imge9c4.jpg .\category\img2\</v>
      </c>
    </row>
    <row r="1102" spans="1:2" x14ac:dyDescent="0.25">
      <c r="A1102" t="str">
        <f>IF(LEN(categories!G1102) &gt; 0, "cp ."&amp;categories!G1102&amp;" ../catalog/category"&amp;LEFT(categories!G1102,6)&amp;";", "")</f>
        <v>cp ./img2/img5016.jpg ../catalog/category/img2/;</v>
      </c>
      <c r="B1102" t="str">
        <f>IF(LEN(categories!G1102) &gt; 0, SUBSTITUTE("copy ."&amp;categories!G1102&amp;" ./category"&amp;LEFT(categories!G1102,6),"/","\"), "")</f>
        <v>copy .\img2\img5016.jpg .\category\img2\</v>
      </c>
    </row>
    <row r="1103" spans="1:2" x14ac:dyDescent="0.25">
      <c r="A1103" t="str">
        <f>IF(LEN(categories!G1103) &gt; 0, "cp ."&amp;categories!G1103&amp;" ../catalog/category"&amp;LEFT(categories!G1103,6)&amp;";", "")</f>
        <v>cp ./img2/imgd19e.jpg ../catalog/category/img2/;</v>
      </c>
      <c r="B1103" t="str">
        <f>IF(LEN(categories!G1103) &gt; 0, SUBSTITUTE("copy ."&amp;categories!G1103&amp;" ./category"&amp;LEFT(categories!G1103,6),"/","\"), "")</f>
        <v>copy .\img2\imgd19e.jpg .\category\img2\</v>
      </c>
    </row>
    <row r="1104" spans="1:2" x14ac:dyDescent="0.25">
      <c r="A1104" t="str">
        <f>IF(LEN(categories!G1104) &gt; 0, "cp ."&amp;categories!G1104&amp;" ../catalog/category"&amp;LEFT(categories!G1104,6)&amp;";", "")</f>
        <v>cp ./img1/imgea27.jpg ../catalog/category/img1/;</v>
      </c>
      <c r="B1104" t="str">
        <f>IF(LEN(categories!G1104) &gt; 0, SUBSTITUTE("copy ."&amp;categories!G1104&amp;" ./category"&amp;LEFT(categories!G1104,6),"/","\"), "")</f>
        <v>copy .\img1\imgea27.jpg .\category\img1\</v>
      </c>
    </row>
    <row r="1105" spans="1:2" x14ac:dyDescent="0.25">
      <c r="A1105" t="str">
        <f>IF(LEN(categories!G1105) &gt; 0, "cp ."&amp;categories!G1105&amp;" ../catalog/category"&amp;LEFT(categories!G1105,6)&amp;";", "")</f>
        <v>cp ./img3/img21c3.jpg ../catalog/category/img3/;</v>
      </c>
      <c r="B1105" t="str">
        <f>IF(LEN(categories!G1105) &gt; 0, SUBSTITUTE("copy ."&amp;categories!G1105&amp;" ./category"&amp;LEFT(categories!G1105,6),"/","\"), "")</f>
        <v>copy .\img3\img21c3.jpg .\category\img3\</v>
      </c>
    </row>
    <row r="1106" spans="1:2" x14ac:dyDescent="0.25">
      <c r="A1106" t="str">
        <f>IF(LEN(categories!G1106) &gt; 0, "cp ."&amp;categories!G1106&amp;" ../catalog/category"&amp;LEFT(categories!G1106,6)&amp;";", "")</f>
        <v>cp ./img1/img3a92.jpg ../catalog/category/img1/;</v>
      </c>
      <c r="B1106" t="str">
        <f>IF(LEN(categories!G1106) &gt; 0, SUBSTITUTE("copy ."&amp;categories!G1106&amp;" ./category"&amp;LEFT(categories!G1106,6),"/","\"), "")</f>
        <v>copy .\img1\img3a92.jpg .\category\img1\</v>
      </c>
    </row>
    <row r="1107" spans="1:2" x14ac:dyDescent="0.25">
      <c r="A1107" t="str">
        <f>IF(LEN(categories!G1107) &gt; 0, "cp ."&amp;categories!G1107&amp;" ../catalog/category"&amp;LEFT(categories!G1107,6)&amp;";", "")</f>
        <v>cp ./img1/imgab2e.jpg ../catalog/category/img1/;</v>
      </c>
      <c r="B1107" t="str">
        <f>IF(LEN(categories!G1107) &gt; 0, SUBSTITUTE("copy ."&amp;categories!G1107&amp;" ./category"&amp;LEFT(categories!G1107,6),"/","\"), "")</f>
        <v>copy .\img1\imgab2e.jpg .\category\img1\</v>
      </c>
    </row>
    <row r="1108" spans="1:2" x14ac:dyDescent="0.25">
      <c r="A1108" t="str">
        <f>IF(LEN(categories!G1108) &gt; 0, "cp ."&amp;categories!G1108&amp;" ../catalog/category"&amp;LEFT(categories!G1108,6)&amp;";", "")</f>
        <v>cp ./img2/img0cbe.jpg ../catalog/category/img2/;</v>
      </c>
      <c r="B1108" t="str">
        <f>IF(LEN(categories!G1108) &gt; 0, SUBSTITUTE("copy ."&amp;categories!G1108&amp;" ./category"&amp;LEFT(categories!G1108,6),"/","\"), "")</f>
        <v>copy .\img2\img0cbe.jpg .\category\img2\</v>
      </c>
    </row>
    <row r="1109" spans="1:2" x14ac:dyDescent="0.25">
      <c r="A1109" t="str">
        <f>IF(LEN(categories!G1109) &gt; 0, "cp ."&amp;categories!G1109&amp;" ../catalog/category"&amp;LEFT(categories!G1109,6)&amp;";", "")</f>
        <v>cp ./img1/imge671.jpg ../catalog/category/img1/;</v>
      </c>
      <c r="B1109" t="str">
        <f>IF(LEN(categories!G1109) &gt; 0, SUBSTITUTE("copy ."&amp;categories!G1109&amp;" ./category"&amp;LEFT(categories!G1109,6),"/","\"), "")</f>
        <v>copy .\img1\imge671.jpg .\category\img1\</v>
      </c>
    </row>
    <row r="1110" spans="1:2" x14ac:dyDescent="0.25">
      <c r="A1110" t="str">
        <f>IF(LEN(categories!G1110) &gt; 0, "cp ."&amp;categories!G1110&amp;" ../catalog/category"&amp;LEFT(categories!G1110,6)&amp;";", "")</f>
        <v>cp ./img1/img4cd9.jpg ../catalog/category/img1/;</v>
      </c>
      <c r="B1110" t="str">
        <f>IF(LEN(categories!G1110) &gt; 0, SUBSTITUTE("copy ."&amp;categories!G1110&amp;" ./category"&amp;LEFT(categories!G1110,6),"/","\"), "")</f>
        <v>copy .\img1\img4cd9.jpg .\category\img1\</v>
      </c>
    </row>
    <row r="1111" spans="1:2" x14ac:dyDescent="0.25">
      <c r="A1111" t="str">
        <f>IF(LEN(categories!G1111) &gt; 0, "cp ."&amp;categories!G1111&amp;" ../catalog/category"&amp;LEFT(categories!G1111,6)&amp;";", "")</f>
        <v>cp ./img1/imge43e.jpg ../catalog/category/img1/;</v>
      </c>
      <c r="B1111" t="str">
        <f>IF(LEN(categories!G1111) &gt; 0, SUBSTITUTE("copy ."&amp;categories!G1111&amp;" ./category"&amp;LEFT(categories!G1111,6),"/","\"), "")</f>
        <v>copy .\img1\imge43e.jpg .\category\img1\</v>
      </c>
    </row>
    <row r="1112" spans="1:2" x14ac:dyDescent="0.25">
      <c r="A1112" t="str">
        <f>IF(LEN(categories!G1112) &gt; 0, "cp ."&amp;categories!G1112&amp;" ../catalog/category"&amp;LEFT(categories!G1112,6)&amp;";", "")</f>
        <v>cp ./img2/imgda04.jpg ../catalog/category/img2/;</v>
      </c>
      <c r="B1112" t="str">
        <f>IF(LEN(categories!G1112) &gt; 0, SUBSTITUTE("copy ."&amp;categories!G1112&amp;" ./category"&amp;LEFT(categories!G1112,6),"/","\"), "")</f>
        <v>copy .\img2\imgda04.jpg .\category\img2\</v>
      </c>
    </row>
    <row r="1113" spans="1:2" x14ac:dyDescent="0.25">
      <c r="A1113" t="str">
        <f>IF(LEN(categories!G1113) &gt; 0, "cp ."&amp;categories!G1113&amp;" ../catalog/category"&amp;LEFT(categories!G1113,6)&amp;";", "")</f>
        <v>cp ./img3/imgfcbc.jpg ../catalog/category/img3/;</v>
      </c>
      <c r="B1113" t="str">
        <f>IF(LEN(categories!G1113) &gt; 0, SUBSTITUTE("copy ."&amp;categories!G1113&amp;" ./category"&amp;LEFT(categories!G1113,6),"/","\"), "")</f>
        <v>copy .\img3\imgfcbc.jpg .\category\img3\</v>
      </c>
    </row>
    <row r="1114" spans="1:2" x14ac:dyDescent="0.25">
      <c r="A1114" t="str">
        <f>IF(LEN(categories!G1114) &gt; 0, "cp ."&amp;categories!G1114&amp;" ../catalog/category"&amp;LEFT(categories!G1114,6)&amp;";", "")</f>
        <v>cp ./img2/imgcc07.jpg ../catalog/category/img2/;</v>
      </c>
      <c r="B1114" t="str">
        <f>IF(LEN(categories!G1114) &gt; 0, SUBSTITUTE("copy ."&amp;categories!G1114&amp;" ./category"&amp;LEFT(categories!G1114,6),"/","\"), "")</f>
        <v>copy .\img2\imgcc07.jpg .\category\img2\</v>
      </c>
    </row>
    <row r="1115" spans="1:2" x14ac:dyDescent="0.25">
      <c r="A1115" t="str">
        <f>IF(LEN(categories!G1115) &gt; 0, "cp ."&amp;categories!G1115&amp;" ../catalog/category"&amp;LEFT(categories!G1115,6)&amp;";", "")</f>
        <v>cp ./img3/imgd1e5-2.jpg ../catalog/category/img3/;</v>
      </c>
      <c r="B1115" t="str">
        <f>IF(LEN(categories!G1115) &gt; 0, SUBSTITUTE("copy ."&amp;categories!G1115&amp;" ./category"&amp;LEFT(categories!G1115,6),"/","\"), "")</f>
        <v>copy .\img3\imgd1e5-2.jpg .\category\img3\</v>
      </c>
    </row>
    <row r="1116" spans="1:2" x14ac:dyDescent="0.25">
      <c r="A1116" t="str">
        <f>IF(LEN(categories!G1116) &gt; 0, "cp ."&amp;categories!G1116&amp;" ../catalog/category"&amp;LEFT(categories!G1116,6)&amp;";", "")</f>
        <v>cp ./img3/imgd1e5-2.jpg ../catalog/category/img3/;</v>
      </c>
      <c r="B1116" t="str">
        <f>IF(LEN(categories!G1116) &gt; 0, SUBSTITUTE("copy ."&amp;categories!G1116&amp;" ./category"&amp;LEFT(categories!G1116,6),"/","\"), "")</f>
        <v>copy .\img3\imgd1e5-2.jpg .\category\img3\</v>
      </c>
    </row>
    <row r="1117" spans="1:2" x14ac:dyDescent="0.25">
      <c r="A1117" t="str">
        <f>IF(LEN(categories!G1117) &gt; 0, "cp ."&amp;categories!G1117&amp;" ../catalog/category"&amp;LEFT(categories!G1117,6)&amp;";", "")</f>
        <v>cp ./img1/imgc290.jpg ../catalog/category/img1/;</v>
      </c>
      <c r="B1117" t="str">
        <f>IF(LEN(categories!G1117) &gt; 0, SUBSTITUTE("copy ."&amp;categories!G1117&amp;" ./category"&amp;LEFT(categories!G1117,6),"/","\"), "")</f>
        <v>copy .\img1\imgc290.jpg .\category\img1\</v>
      </c>
    </row>
    <row r="1118" spans="1:2" x14ac:dyDescent="0.25">
      <c r="A1118" t="str">
        <f>IF(LEN(categories!G1118) &gt; 0, "cp ."&amp;categories!G1118&amp;" ../catalog/category"&amp;LEFT(categories!G1118,6)&amp;";", "")</f>
        <v>cp ./img3/img25db.jpg ../catalog/category/img3/;</v>
      </c>
      <c r="B1118" t="str">
        <f>IF(LEN(categories!G1118) &gt; 0, SUBSTITUTE("copy ."&amp;categories!G1118&amp;" ./category"&amp;LEFT(categories!G1118,6),"/","\"), "")</f>
        <v>copy .\img3\img25db.jpg .\category\img3\</v>
      </c>
    </row>
    <row r="1119" spans="1:2" x14ac:dyDescent="0.25">
      <c r="A1119" t="str">
        <f>IF(LEN(categories!G1119) &gt; 0, "cp ."&amp;categories!G1119&amp;" ../catalog/category"&amp;LEFT(categories!G1119,6)&amp;";", "")</f>
        <v>cp ./img1/img9e02.jpg ../catalog/category/img1/;</v>
      </c>
      <c r="B1119" t="str">
        <f>IF(LEN(categories!G1119) &gt; 0, SUBSTITUTE("copy ."&amp;categories!G1119&amp;" ./category"&amp;LEFT(categories!G1119,6),"/","\"), "")</f>
        <v>copy .\img1\img9e02.jpg .\category\img1\</v>
      </c>
    </row>
    <row r="1120" spans="1:2" x14ac:dyDescent="0.25">
      <c r="A1120" t="str">
        <f>IF(LEN(categories!G1120) &gt; 0, "cp ."&amp;categories!G1120&amp;" ../catalog/category"&amp;LEFT(categories!G1120,6)&amp;";", "")</f>
        <v>cp ./img2/img1a3a.jpg ../catalog/category/img2/;</v>
      </c>
      <c r="B1120" t="str">
        <f>IF(LEN(categories!G1120) &gt; 0, SUBSTITUTE("copy ."&amp;categories!G1120&amp;" ./category"&amp;LEFT(categories!G1120,6),"/","\"), "")</f>
        <v>copy .\img2\img1a3a.jpg .\category\img2\</v>
      </c>
    </row>
    <row r="1121" spans="1:2" x14ac:dyDescent="0.25">
      <c r="A1121" t="str">
        <f>IF(LEN(categories!G1121) &gt; 0, "cp ."&amp;categories!G1121&amp;" ../catalog/category"&amp;LEFT(categories!G1121,6)&amp;";", "")</f>
        <v>cp ./img1/imgae39.jpg ../catalog/category/img1/;</v>
      </c>
      <c r="B1121" t="str">
        <f>IF(LEN(categories!G1121) &gt; 0, SUBSTITUTE("copy ."&amp;categories!G1121&amp;" ./category"&amp;LEFT(categories!G1121,6),"/","\"), "")</f>
        <v>copy .\img1\imgae39.jpg .\category\img1\</v>
      </c>
    </row>
    <row r="1122" spans="1:2" x14ac:dyDescent="0.25">
      <c r="A1122" t="str">
        <f>IF(LEN(categories!G1122) &gt; 0, "cp ."&amp;categories!G1122&amp;" ../catalog/category"&amp;LEFT(categories!G1122,6)&amp;";", "")</f>
        <v>cp ./img2/img848c.jpg ../catalog/category/img2/;</v>
      </c>
      <c r="B1122" t="str">
        <f>IF(LEN(categories!G1122) &gt; 0, SUBSTITUTE("copy ."&amp;categories!G1122&amp;" ./category"&amp;LEFT(categories!G1122,6),"/","\"), "")</f>
        <v>copy .\img2\img848c.jpg .\category\img2\</v>
      </c>
    </row>
    <row r="1123" spans="1:2" x14ac:dyDescent="0.25">
      <c r="A1123" t="str">
        <f>IF(LEN(categories!G1123) &gt; 0, "cp ."&amp;categories!G1123&amp;" ../catalog/category"&amp;LEFT(categories!G1123,6)&amp;";", "")</f>
        <v>cp ./img3/img1ed5.jpg ../catalog/category/img3/;</v>
      </c>
      <c r="B1123" t="str">
        <f>IF(LEN(categories!G1123) &gt; 0, SUBSTITUTE("copy ."&amp;categories!G1123&amp;" ./category"&amp;LEFT(categories!G1123,6),"/","\"), "")</f>
        <v>copy .\img3\img1ed5.jpg .\category\img3\</v>
      </c>
    </row>
    <row r="1124" spans="1:2" x14ac:dyDescent="0.25">
      <c r="A1124" t="str">
        <f>IF(LEN(categories!G1124) &gt; 0, "cp ."&amp;categories!G1124&amp;" ../catalog/category"&amp;LEFT(categories!G1124,6)&amp;";", "")</f>
        <v>cp ./img1/img95ee.jpg ../catalog/category/img1/;</v>
      </c>
      <c r="B1124" t="str">
        <f>IF(LEN(categories!G1124) &gt; 0, SUBSTITUTE("copy ."&amp;categories!G1124&amp;" ./category"&amp;LEFT(categories!G1124,6),"/","\"), "")</f>
        <v>copy .\img1\img95ee.jpg .\category\img1\</v>
      </c>
    </row>
    <row r="1125" spans="1:2" x14ac:dyDescent="0.25">
      <c r="A1125" t="str">
        <f>IF(LEN(categories!G1125) &gt; 0, "cp ."&amp;categories!G1125&amp;" ../catalog/category"&amp;LEFT(categories!G1125,6)&amp;";", "")</f>
        <v>cp ./img2/img15fa.jpg ../catalog/category/img2/;</v>
      </c>
      <c r="B1125" t="str">
        <f>IF(LEN(categories!G1125) &gt; 0, SUBSTITUTE("copy ."&amp;categories!G1125&amp;" ./category"&amp;LEFT(categories!G1125,6),"/","\"), "")</f>
        <v>copy .\img2\img15fa.jpg .\category\img2\</v>
      </c>
    </row>
    <row r="1126" spans="1:2" x14ac:dyDescent="0.25">
      <c r="A1126" t="str">
        <f>IF(LEN(categories!G1126) &gt; 0, "cp ."&amp;categories!G1126&amp;" ../catalog/category"&amp;LEFT(categories!G1126,6)&amp;";", "")</f>
        <v>cp ./img3/img78bb.jpg ../catalog/category/img3/;</v>
      </c>
      <c r="B1126" t="str">
        <f>IF(LEN(categories!G1126) &gt; 0, SUBSTITUTE("copy ."&amp;categories!G1126&amp;" ./category"&amp;LEFT(categories!G1126,6),"/","\"), "")</f>
        <v>copy .\img3\img78bb.jpg .\category\img3\</v>
      </c>
    </row>
    <row r="1127" spans="1:2" x14ac:dyDescent="0.25">
      <c r="A1127" t="str">
        <f>IF(LEN(categories!G1127) &gt; 0, "cp ."&amp;categories!G1127&amp;" ../catalog/category"&amp;LEFT(categories!G1127,6)&amp;";", "")</f>
        <v>cp ./img2/img1838.jpg ../catalog/category/img2/;</v>
      </c>
      <c r="B1127" t="str">
        <f>IF(LEN(categories!G1127) &gt; 0, SUBSTITUTE("copy ."&amp;categories!G1127&amp;" ./category"&amp;LEFT(categories!G1127,6),"/","\"), "")</f>
        <v>copy .\img2\img1838.jpg .\category\img2\</v>
      </c>
    </row>
    <row r="1128" spans="1:2" x14ac:dyDescent="0.25">
      <c r="A1128" t="str">
        <f>IF(LEN(categories!G1128) &gt; 0, "cp ."&amp;categories!G1128&amp;" ../catalog/category"&amp;LEFT(categories!G1128,6)&amp;";", "")</f>
        <v>cp ./img3/img12c1.jpg ../catalog/category/img3/;</v>
      </c>
      <c r="B1128" t="str">
        <f>IF(LEN(categories!G1128) &gt; 0, SUBSTITUTE("copy ."&amp;categories!G1128&amp;" ./category"&amp;LEFT(categories!G1128,6),"/","\"), "")</f>
        <v>copy .\img3\img12c1.jpg .\category\img3\</v>
      </c>
    </row>
    <row r="1129" spans="1:2" x14ac:dyDescent="0.25">
      <c r="A1129" t="str">
        <f>IF(LEN(categories!G1129) &gt; 0, "cp ."&amp;categories!G1129&amp;" ../catalog/category"&amp;LEFT(categories!G1129,6)&amp;";", "")</f>
        <v>cp ./img2/img848c.jpg ../catalog/category/img2/;</v>
      </c>
      <c r="B1129" t="str">
        <f>IF(LEN(categories!G1129) &gt; 0, SUBSTITUTE("copy ."&amp;categories!G1129&amp;" ./category"&amp;LEFT(categories!G1129,6),"/","\"), "")</f>
        <v>copy .\img2\img848c.jpg .\category\img2\</v>
      </c>
    </row>
    <row r="1130" spans="1:2" x14ac:dyDescent="0.25">
      <c r="A1130" t="str">
        <f>IF(LEN(categories!G1130) &gt; 0, "cp ."&amp;categories!G1130&amp;" ../catalog/category"&amp;LEFT(categories!G1130,6)&amp;";", "")</f>
        <v>cp ./img1/img5330.jpg ../catalog/category/img1/;</v>
      </c>
      <c r="B1130" t="str">
        <f>IF(LEN(categories!G1130) &gt; 0, SUBSTITUTE("copy ."&amp;categories!G1130&amp;" ./category"&amp;LEFT(categories!G1130,6),"/","\"), "")</f>
        <v>copy .\img1\img5330.jpg .\category\img1\</v>
      </c>
    </row>
    <row r="1131" spans="1:2" x14ac:dyDescent="0.25">
      <c r="A1131" t="str">
        <f>IF(LEN(categories!G1131) &gt; 0, "cp ."&amp;categories!G1131&amp;" ../catalog/category"&amp;LEFT(categories!G1131,6)&amp;";", "")</f>
        <v>cp ./img3/img34e4.jpg ../catalog/category/img3/;</v>
      </c>
      <c r="B1131" t="str">
        <f>IF(LEN(categories!G1131) &gt; 0, SUBSTITUTE("copy ."&amp;categories!G1131&amp;" ./category"&amp;LEFT(categories!G1131,6),"/","\"), "")</f>
        <v>copy .\img3\img34e4.jpg .\category\img3\</v>
      </c>
    </row>
    <row r="1132" spans="1:2" x14ac:dyDescent="0.25">
      <c r="A1132" t="str">
        <f>IF(LEN(categories!G1132) &gt; 0, "cp ."&amp;categories!G1132&amp;" ../catalog/category"&amp;LEFT(categories!G1132,6)&amp;";", "")</f>
        <v>cp ./img3/img9617.jpg ../catalog/category/img3/;</v>
      </c>
      <c r="B1132" t="str">
        <f>IF(LEN(categories!G1132) &gt; 0, SUBSTITUTE("copy ."&amp;categories!G1132&amp;" ./category"&amp;LEFT(categories!G1132,6),"/","\"), "")</f>
        <v>copy .\img3\img9617.jpg .\category\img3\</v>
      </c>
    </row>
    <row r="1133" spans="1:2" x14ac:dyDescent="0.25">
      <c r="A1133" t="str">
        <f>IF(LEN(categories!G1133) &gt; 0, "cp ."&amp;categories!G1133&amp;" ../catalog/category"&amp;LEFT(categories!G1133,6)&amp;";", "")</f>
        <v>cp ./img3/img5284.jpg ../catalog/category/img3/;</v>
      </c>
      <c r="B1133" t="str">
        <f>IF(LEN(categories!G1133) &gt; 0, SUBSTITUTE("copy ."&amp;categories!G1133&amp;" ./category"&amp;LEFT(categories!G1133,6),"/","\"), "")</f>
        <v>copy .\img3\img5284.jpg .\category\img3\</v>
      </c>
    </row>
    <row r="1134" spans="1:2" x14ac:dyDescent="0.25">
      <c r="A1134" t="str">
        <f>IF(LEN(categories!G1134) &gt; 0, "cp ."&amp;categories!G1134&amp;" ../catalog/category"&amp;LEFT(categories!G1134,6)&amp;";", "")</f>
        <v>cp ./img2/imgc587.jpg ../catalog/category/img2/;</v>
      </c>
      <c r="B1134" t="str">
        <f>IF(LEN(categories!G1134) &gt; 0, SUBSTITUTE("copy ."&amp;categories!G1134&amp;" ./category"&amp;LEFT(categories!G1134,6),"/","\"), "")</f>
        <v>copy .\img2\imgc587.jpg .\category\img2\</v>
      </c>
    </row>
    <row r="1135" spans="1:2" x14ac:dyDescent="0.25">
      <c r="A1135" t="str">
        <f>IF(LEN(categories!G1135) &gt; 0, "cp ."&amp;categories!G1135&amp;" ../catalog/category"&amp;LEFT(categories!G1135,6)&amp;";", "")</f>
        <v>cp ./img1/imgc971.jpg ../catalog/category/img1/;</v>
      </c>
      <c r="B1135" t="str">
        <f>IF(LEN(categories!G1135) &gt; 0, SUBSTITUTE("copy ."&amp;categories!G1135&amp;" ./category"&amp;LEFT(categories!G1135,6),"/","\"), "")</f>
        <v>copy .\img1\imgc971.jpg .\category\img1\</v>
      </c>
    </row>
    <row r="1136" spans="1:2" x14ac:dyDescent="0.25">
      <c r="A1136" t="str">
        <f>IF(LEN(categories!G1136) &gt; 0, "cp ."&amp;categories!G1136&amp;" ../catalog/category"&amp;LEFT(categories!G1136,6)&amp;";", "")</f>
        <v>cp ./img2/imga10a.jpg ../catalog/category/img2/;</v>
      </c>
      <c r="B1136" t="str">
        <f>IF(LEN(categories!G1136) &gt; 0, SUBSTITUTE("copy ."&amp;categories!G1136&amp;" ./category"&amp;LEFT(categories!G1136,6),"/","\"), "")</f>
        <v>copy .\img2\imga10a.jpg .\category\img2\</v>
      </c>
    </row>
    <row r="1137" spans="1:2" x14ac:dyDescent="0.25">
      <c r="A1137" t="str">
        <f>IF(LEN(categories!G1137) &gt; 0, "cp ."&amp;categories!G1137&amp;" ../catalog/category"&amp;LEFT(categories!G1137,6)&amp;";", "")</f>
        <v>cp ./img1/imgcbca.jpg ../catalog/category/img1/;</v>
      </c>
      <c r="B1137" t="str">
        <f>IF(LEN(categories!G1137) &gt; 0, SUBSTITUTE("copy ."&amp;categories!G1137&amp;" ./category"&amp;LEFT(categories!G1137,6),"/","\"), "")</f>
        <v>copy .\img1\imgcbca.jpg .\category\img1\</v>
      </c>
    </row>
    <row r="1138" spans="1:2" x14ac:dyDescent="0.25">
      <c r="A1138" t="str">
        <f>IF(LEN(categories!G1138) &gt; 0, "cp ."&amp;categories!G1138&amp;" ../catalog/category"&amp;LEFT(categories!G1138,6)&amp;";", "")</f>
        <v>cp ./img1/imgc446.jpg ../catalog/category/img1/;</v>
      </c>
      <c r="B1138" t="str">
        <f>IF(LEN(categories!G1138) &gt; 0, SUBSTITUTE("copy ."&amp;categories!G1138&amp;" ./category"&amp;LEFT(categories!G1138,6),"/","\"), "")</f>
        <v>copy .\img1\imgc446.jpg .\category\img1\</v>
      </c>
    </row>
    <row r="1139" spans="1:2" x14ac:dyDescent="0.25">
      <c r="A1139" t="str">
        <f>IF(LEN(categories!G1139) &gt; 0, "cp ."&amp;categories!G1139&amp;" ../catalog/category"&amp;LEFT(categories!G1139,6)&amp;";", "")</f>
        <v>cp ./img1/img9c5d.jpg ../catalog/category/img1/;</v>
      </c>
      <c r="B1139" t="str">
        <f>IF(LEN(categories!G1139) &gt; 0, SUBSTITUTE("copy ."&amp;categories!G1139&amp;" ./category"&amp;LEFT(categories!G1139,6),"/","\"), "")</f>
        <v>copy .\img1\img9c5d.jpg .\category\img1\</v>
      </c>
    </row>
    <row r="1140" spans="1:2" x14ac:dyDescent="0.25">
      <c r="A1140" t="str">
        <f>IF(LEN(categories!G1140) &gt; 0, "cp ."&amp;categories!G1140&amp;" ../catalog/category"&amp;LEFT(categories!G1140,6)&amp;";", "")</f>
        <v>cp ./img3/img1172.jpg ../catalog/category/img3/;</v>
      </c>
      <c r="B1140" t="str">
        <f>IF(LEN(categories!G1140) &gt; 0, SUBSTITUTE("copy ."&amp;categories!G1140&amp;" ./category"&amp;LEFT(categories!G1140,6),"/","\"), "")</f>
        <v>copy .\img3\img1172.jpg .\category\img3\</v>
      </c>
    </row>
    <row r="1141" spans="1:2" x14ac:dyDescent="0.25">
      <c r="A1141" t="str">
        <f>IF(LEN(categories!G1141) &gt; 0, "cp ."&amp;categories!G1141&amp;" ../catalog/category"&amp;LEFT(categories!G1141,6)&amp;";", "")</f>
        <v>cp ./img3/imgf05d.jpg ../catalog/category/img3/;</v>
      </c>
      <c r="B1141" t="str">
        <f>IF(LEN(categories!G1141) &gt; 0, SUBSTITUTE("copy ."&amp;categories!G1141&amp;" ./category"&amp;LEFT(categories!G1141,6),"/","\"), "")</f>
        <v>copy .\img3\imgf05d.jpg .\category\img3\</v>
      </c>
    </row>
    <row r="1142" spans="1:2" x14ac:dyDescent="0.25">
      <c r="A1142" t="str">
        <f>IF(LEN(categories!G1142) &gt; 0, "cp ."&amp;categories!G1142&amp;" ../catalog/category"&amp;LEFT(categories!G1142,6)&amp;";", "")</f>
        <v>cp ./img3/imga0e2.jpg ../catalog/category/img3/;</v>
      </c>
      <c r="B1142" t="str">
        <f>IF(LEN(categories!G1142) &gt; 0, SUBSTITUTE("copy ."&amp;categories!G1142&amp;" ./category"&amp;LEFT(categories!G1142,6),"/","\"), "")</f>
        <v>copy .\img3\imga0e2.jpg .\category\img3\</v>
      </c>
    </row>
    <row r="1143" spans="1:2" x14ac:dyDescent="0.25">
      <c r="A1143" t="str">
        <f>IF(LEN(categories!G1143) &gt; 0, "cp ."&amp;categories!G1143&amp;" ../catalog/category"&amp;LEFT(categories!G1143,6)&amp;";", "")</f>
        <v>cp ./img2/img066a.jpg ../catalog/category/img2/;</v>
      </c>
      <c r="B1143" t="str">
        <f>IF(LEN(categories!G1143) &gt; 0, SUBSTITUTE("copy ."&amp;categories!G1143&amp;" ./category"&amp;LEFT(categories!G1143,6),"/","\"), "")</f>
        <v>copy .\img2\img066a.jpg .\category\img2\</v>
      </c>
    </row>
    <row r="1144" spans="1:2" x14ac:dyDescent="0.25">
      <c r="A1144" t="str">
        <f>IF(LEN(categories!G1144) &gt; 0, "cp ."&amp;categories!G1144&amp;" ../catalog/category"&amp;LEFT(categories!G1144,6)&amp;";", "")</f>
        <v>cp ./img2/img0664.jpg ../catalog/category/img2/;</v>
      </c>
      <c r="B1144" t="str">
        <f>IF(LEN(categories!G1144) &gt; 0, SUBSTITUTE("copy ."&amp;categories!G1144&amp;" ./category"&amp;LEFT(categories!G1144,6),"/","\"), "")</f>
        <v>copy .\img2\img0664.jpg .\category\img2\</v>
      </c>
    </row>
    <row r="1145" spans="1:2" x14ac:dyDescent="0.25">
      <c r="A1145" t="str">
        <f>IF(LEN(categories!G1145) &gt; 0, "cp ."&amp;categories!G1145&amp;" ../catalog/category"&amp;LEFT(categories!G1145,6)&amp;";", "")</f>
        <v>cp ./img3/imgd53f-2.jpg ../catalog/category/img3/;</v>
      </c>
      <c r="B1145" t="str">
        <f>IF(LEN(categories!G1145) &gt; 0, SUBSTITUTE("copy ."&amp;categories!G1145&amp;" ./category"&amp;LEFT(categories!G1145,6),"/","\"), "")</f>
        <v>copy .\img3\imgd53f-2.jpg .\category\img3\</v>
      </c>
    </row>
    <row r="1146" spans="1:2" x14ac:dyDescent="0.25">
      <c r="A1146" t="str">
        <f>IF(LEN(categories!G1146) &gt; 0, "cp ."&amp;categories!G1146&amp;" ../catalog/category"&amp;LEFT(categories!G1146,6)&amp;";", "")</f>
        <v>cp ./img1/img1da4.jpg ../catalog/category/img1/;</v>
      </c>
      <c r="B1146" t="str">
        <f>IF(LEN(categories!G1146) &gt; 0, SUBSTITUTE("copy ."&amp;categories!G1146&amp;" ./category"&amp;LEFT(categories!G1146,6),"/","\"), "")</f>
        <v>copy .\img1\img1da4.jpg .\category\img1\</v>
      </c>
    </row>
    <row r="1147" spans="1:2" x14ac:dyDescent="0.25">
      <c r="A1147" t="str">
        <f>IF(LEN(categories!G1147) &gt; 0, "cp ."&amp;categories!G1147&amp;" ../catalog/category"&amp;LEFT(categories!G1147,6)&amp;";", "")</f>
        <v>cp ./img1/imgbe8c.jpg ../catalog/category/img1/;</v>
      </c>
      <c r="B1147" t="str">
        <f>IF(LEN(categories!G1147) &gt; 0, SUBSTITUTE("copy ."&amp;categories!G1147&amp;" ./category"&amp;LEFT(categories!G1147,6),"/","\"), "")</f>
        <v>copy .\img1\imgbe8c.jpg .\category\img1\</v>
      </c>
    </row>
    <row r="1148" spans="1:2" x14ac:dyDescent="0.25">
      <c r="A1148" t="str">
        <f>IF(LEN(categories!G1148) &gt; 0, "cp ."&amp;categories!G1148&amp;" ../catalog/category"&amp;LEFT(categories!G1148,6)&amp;";", "")</f>
        <v>cp ./img3/img9a41.jpg ../catalog/category/img3/;</v>
      </c>
      <c r="B1148" t="str">
        <f>IF(LEN(categories!G1148) &gt; 0, SUBSTITUTE("copy ."&amp;categories!G1148&amp;" ./category"&amp;LEFT(categories!G1148,6),"/","\"), "")</f>
        <v>copy .\img3\img9a41.jpg .\category\img3\</v>
      </c>
    </row>
    <row r="1149" spans="1:2" x14ac:dyDescent="0.25">
      <c r="A1149" t="str">
        <f>IF(LEN(categories!G1149) &gt; 0, "cp ."&amp;categories!G1149&amp;" ../catalog/category"&amp;LEFT(categories!G1149,6)&amp;";", "")</f>
        <v>cp ./img1/imge451.jpg ../catalog/category/img1/;</v>
      </c>
      <c r="B1149" t="str">
        <f>IF(LEN(categories!G1149) &gt; 0, SUBSTITUTE("copy ."&amp;categories!G1149&amp;" ./category"&amp;LEFT(categories!G1149,6),"/","\"), "")</f>
        <v>copy .\img1\imge451.jpg .\category\img1\</v>
      </c>
    </row>
    <row r="1150" spans="1:2" x14ac:dyDescent="0.25">
      <c r="A1150" t="str">
        <f>IF(LEN(categories!G1150) &gt; 0, "cp ."&amp;categories!G1150&amp;" ../catalog/category"&amp;LEFT(categories!G1150,6)&amp;";", "")</f>
        <v>cp ./img3/imgb09d.jpg ../catalog/category/img3/;</v>
      </c>
      <c r="B1150" t="str">
        <f>IF(LEN(categories!G1150) &gt; 0, SUBSTITUTE("copy ."&amp;categories!G1150&amp;" ./category"&amp;LEFT(categories!G1150,6),"/","\"), "")</f>
        <v>copy .\img3\imgb09d.jpg .\category\img3\</v>
      </c>
    </row>
    <row r="1151" spans="1:2" x14ac:dyDescent="0.25">
      <c r="A1151" t="str">
        <f>IF(LEN(categories!G1151) &gt; 0, "cp ."&amp;categories!G1151&amp;" ../catalog/category"&amp;LEFT(categories!G1151,6)&amp;";", "")</f>
        <v>cp ./img2/img73e7.jpg ../catalog/category/img2/;</v>
      </c>
      <c r="B1151" t="str">
        <f>IF(LEN(categories!G1151) &gt; 0, SUBSTITUTE("copy ."&amp;categories!G1151&amp;" ./category"&amp;LEFT(categories!G1151,6),"/","\"), "")</f>
        <v>copy .\img2\img73e7.jpg .\category\img2\</v>
      </c>
    </row>
    <row r="1152" spans="1:2" x14ac:dyDescent="0.25">
      <c r="A1152" t="str">
        <f>IF(LEN(categories!G1152) &gt; 0, "cp ."&amp;categories!G1152&amp;" ../catalog/category"&amp;LEFT(categories!G1152,6)&amp;";", "")</f>
        <v>cp ./img2/img3718.jpg ../catalog/category/img2/;</v>
      </c>
      <c r="B1152" t="str">
        <f>IF(LEN(categories!G1152) &gt; 0, SUBSTITUTE("copy ."&amp;categories!G1152&amp;" ./category"&amp;LEFT(categories!G1152,6),"/","\"), "")</f>
        <v>copy .\img2\img3718.jpg .\category\img2\</v>
      </c>
    </row>
    <row r="1153" spans="1:2" x14ac:dyDescent="0.25">
      <c r="A1153" t="str">
        <f>IF(LEN(categories!G1153) &gt; 0, "cp ."&amp;categories!G1153&amp;" ../catalog/category"&amp;LEFT(categories!G1153,6)&amp;";", "")</f>
        <v>cp ./img1/imgacf2.jpg ../catalog/category/img1/;</v>
      </c>
      <c r="B1153" t="str">
        <f>IF(LEN(categories!G1153) &gt; 0, SUBSTITUTE("copy ."&amp;categories!G1153&amp;" ./category"&amp;LEFT(categories!G1153,6),"/","\"), "")</f>
        <v>copy .\img1\imgacf2.jpg .\category\img1\</v>
      </c>
    </row>
    <row r="1154" spans="1:2" x14ac:dyDescent="0.25">
      <c r="A1154" t="str">
        <f>IF(LEN(categories!G1154) &gt; 0, "cp ."&amp;categories!G1154&amp;" ../catalog/category"&amp;LEFT(categories!G1154,6)&amp;";", "")</f>
        <v>cp ./img2/img9b67.jpg ../catalog/category/img2/;</v>
      </c>
      <c r="B1154" t="str">
        <f>IF(LEN(categories!G1154) &gt; 0, SUBSTITUTE("copy ."&amp;categories!G1154&amp;" ./category"&amp;LEFT(categories!G1154,6),"/","\"), "")</f>
        <v>copy .\img2\img9b67.jpg .\category\img2\</v>
      </c>
    </row>
    <row r="1155" spans="1:2" x14ac:dyDescent="0.25">
      <c r="A1155" t="str">
        <f>IF(LEN(categories!G1155) &gt; 0, "cp ."&amp;categories!G1155&amp;" ../catalog/category"&amp;LEFT(categories!G1155,6)&amp;";", "")</f>
        <v>cp ./img2/imgf94e.jpg ../catalog/category/img2/;</v>
      </c>
      <c r="B1155" t="str">
        <f>IF(LEN(categories!G1155) &gt; 0, SUBSTITUTE("copy ."&amp;categories!G1155&amp;" ./category"&amp;LEFT(categories!G1155,6),"/","\"), "")</f>
        <v>copy .\img2\imgf94e.jpg .\category\img2\</v>
      </c>
    </row>
    <row r="1156" spans="1:2" x14ac:dyDescent="0.25">
      <c r="A1156" t="str">
        <f>IF(LEN(categories!G1156) &gt; 0, "cp ."&amp;categories!G1156&amp;" ../catalog/category"&amp;LEFT(categories!G1156,6)&amp;";", "")</f>
        <v>cp ./img1/img3f24.jpg ../catalog/category/img1/;</v>
      </c>
      <c r="B1156" t="str">
        <f>IF(LEN(categories!G1156) &gt; 0, SUBSTITUTE("copy ."&amp;categories!G1156&amp;" ./category"&amp;LEFT(categories!G1156,6),"/","\"), "")</f>
        <v>copy .\img1\img3f24.jpg .\category\img1\</v>
      </c>
    </row>
    <row r="1157" spans="1:2" x14ac:dyDescent="0.25">
      <c r="A1157" t="str">
        <f>IF(LEN(categories!G1157) &gt; 0, "cp ."&amp;categories!G1157&amp;" ../catalog/category"&amp;LEFT(categories!G1157,6)&amp;";", "")</f>
        <v>cp ./img1/img3253.jpg ../catalog/category/img1/;</v>
      </c>
      <c r="B1157" t="str">
        <f>IF(LEN(categories!G1157) &gt; 0, SUBSTITUTE("copy ."&amp;categories!G1157&amp;" ./category"&amp;LEFT(categories!G1157,6),"/","\"), "")</f>
        <v>copy .\img1\img3253.jpg .\category\img1\</v>
      </c>
    </row>
    <row r="1158" spans="1:2" x14ac:dyDescent="0.25">
      <c r="A1158" t="str">
        <f>IF(LEN(categories!G1158) &gt; 0, "cp ."&amp;categories!G1158&amp;" ../catalog/category"&amp;LEFT(categories!G1158,6)&amp;";", "")</f>
        <v>cp ./img2/img1e8c.jpg ../catalog/category/img2/;</v>
      </c>
      <c r="B1158" t="str">
        <f>IF(LEN(categories!G1158) &gt; 0, SUBSTITUTE("copy ."&amp;categories!G1158&amp;" ./category"&amp;LEFT(categories!G1158,6),"/","\"), "")</f>
        <v>copy .\img2\img1e8c.jpg .\category\img2\</v>
      </c>
    </row>
    <row r="1159" spans="1:2" x14ac:dyDescent="0.25">
      <c r="A1159" t="str">
        <f>IF(LEN(categories!G1159) &gt; 0, "cp ."&amp;categories!G1159&amp;" ../catalog/category"&amp;LEFT(categories!G1159,6)&amp;";", "")</f>
        <v>cp ./img1/img96a8-2.jpg ../catalog/category/img1/;</v>
      </c>
      <c r="B1159" t="str">
        <f>IF(LEN(categories!G1159) &gt; 0, SUBSTITUTE("copy ."&amp;categories!G1159&amp;" ./category"&amp;LEFT(categories!G1159,6),"/","\"), "")</f>
        <v>copy .\img1\img96a8-2.jpg .\category\img1\</v>
      </c>
    </row>
    <row r="1160" spans="1:2" x14ac:dyDescent="0.25">
      <c r="A1160" t="str">
        <f>IF(LEN(categories!G1160) &gt; 0, "cp ."&amp;categories!G1160&amp;" ../catalog/category"&amp;LEFT(categories!G1160,6)&amp;";", "")</f>
        <v>cp ./img1/imgf0e9.jpg ../catalog/category/img1/;</v>
      </c>
      <c r="B1160" t="str">
        <f>IF(LEN(categories!G1160) &gt; 0, SUBSTITUTE("copy ."&amp;categories!G1160&amp;" ./category"&amp;LEFT(categories!G1160,6),"/","\"), "")</f>
        <v>copy .\img1\imgf0e9.jpg .\category\img1\</v>
      </c>
    </row>
    <row r="1161" spans="1:2" x14ac:dyDescent="0.25">
      <c r="A1161" t="str">
        <f>IF(LEN(categories!G1161) &gt; 0, "cp ."&amp;categories!G1161&amp;" ../catalog/category"&amp;LEFT(categories!G1161,6)&amp;";", "")</f>
        <v>cp ./img3/img4fcc.jpg ../catalog/category/img3/;</v>
      </c>
      <c r="B1161" t="str">
        <f>IF(LEN(categories!G1161) &gt; 0, SUBSTITUTE("copy ."&amp;categories!G1161&amp;" ./category"&amp;LEFT(categories!G1161,6),"/","\"), "")</f>
        <v>copy .\img3\img4fcc.jpg .\category\img3\</v>
      </c>
    </row>
    <row r="1162" spans="1:2" x14ac:dyDescent="0.25">
      <c r="A1162" t="str">
        <f>IF(LEN(categories!G1162) &gt; 0, "cp ."&amp;categories!G1162&amp;" ../catalog/category"&amp;LEFT(categories!G1162,6)&amp;";", "")</f>
        <v>cp ./img2/img9cc3.jpg ../catalog/category/img2/;</v>
      </c>
      <c r="B1162" t="str">
        <f>IF(LEN(categories!G1162) &gt; 0, SUBSTITUTE("copy ."&amp;categories!G1162&amp;" ./category"&amp;LEFT(categories!G1162,6),"/","\"), "")</f>
        <v>copy .\img2\img9cc3.jpg .\category\img2\</v>
      </c>
    </row>
    <row r="1163" spans="1:2" x14ac:dyDescent="0.25">
      <c r="A1163" t="str">
        <f>IF(LEN(categories!G1163) &gt; 0, "cp ."&amp;categories!G1163&amp;" ../catalog/category"&amp;LEFT(categories!G1163,6)&amp;";", "")</f>
        <v>cp ./img1/img2b40.jpg ../catalog/category/img1/;</v>
      </c>
      <c r="B1163" t="str">
        <f>IF(LEN(categories!G1163) &gt; 0, SUBSTITUTE("copy ."&amp;categories!G1163&amp;" ./category"&amp;LEFT(categories!G1163,6),"/","\"), "")</f>
        <v>copy .\img1\img2b40.jpg .\category\img1\</v>
      </c>
    </row>
    <row r="1164" spans="1:2" x14ac:dyDescent="0.25">
      <c r="A1164" t="str">
        <f>IF(LEN(categories!G1164) &gt; 0, "cp ."&amp;categories!G1164&amp;" ../catalog/category"&amp;LEFT(categories!G1164,6)&amp;";", "")</f>
        <v>cp ./img1/img5cdb.jpg ../catalog/category/img1/;</v>
      </c>
      <c r="B1164" t="str">
        <f>IF(LEN(categories!G1164) &gt; 0, SUBSTITUTE("copy ."&amp;categories!G1164&amp;" ./category"&amp;LEFT(categories!G1164,6),"/","\"), "")</f>
        <v>copy .\img1\img5cdb.jpg .\category\img1\</v>
      </c>
    </row>
    <row r="1165" spans="1:2" x14ac:dyDescent="0.25">
      <c r="A1165" t="str">
        <f>IF(LEN(categories!G1165) &gt; 0, "cp ."&amp;categories!G1165&amp;" ../catalog/category"&amp;LEFT(categories!G1165,6)&amp;";", "")</f>
        <v>cp ./img3/img28a6.jpg ../catalog/category/img3/;</v>
      </c>
      <c r="B1165" t="str">
        <f>IF(LEN(categories!G1165) &gt; 0, SUBSTITUTE("copy ."&amp;categories!G1165&amp;" ./category"&amp;LEFT(categories!G1165,6),"/","\"), "")</f>
        <v>copy .\img3\img28a6.jpg .\category\img3\</v>
      </c>
    </row>
    <row r="1166" spans="1:2" x14ac:dyDescent="0.25">
      <c r="A1166" t="str">
        <f>IF(LEN(categories!G1166) &gt; 0, "cp ."&amp;categories!G1166&amp;" ../catalog/category"&amp;LEFT(categories!G1166,6)&amp;";", "")</f>
        <v>cp ./img2/img8f91.jpg ../catalog/category/img2/;</v>
      </c>
      <c r="B1166" t="str">
        <f>IF(LEN(categories!G1166) &gt; 0, SUBSTITUTE("copy ."&amp;categories!G1166&amp;" ./category"&amp;LEFT(categories!G1166,6),"/","\"), "")</f>
        <v>copy .\img2\img8f91.jpg .\category\img2\</v>
      </c>
    </row>
    <row r="1167" spans="1:2" x14ac:dyDescent="0.25">
      <c r="A1167" t="str">
        <f>IF(LEN(categories!G1167) &gt; 0, "cp ."&amp;categories!G1167&amp;" ../catalog/category"&amp;LEFT(categories!G1167,6)&amp;";", "")</f>
        <v>cp ./img3/img4a46.jpg ../catalog/category/img3/;</v>
      </c>
      <c r="B1167" t="str">
        <f>IF(LEN(categories!G1167) &gt; 0, SUBSTITUTE("copy ."&amp;categories!G1167&amp;" ./category"&amp;LEFT(categories!G1167,6),"/","\"), "")</f>
        <v>copy .\img3\img4a46.jpg .\category\img3\</v>
      </c>
    </row>
    <row r="1168" spans="1:2" x14ac:dyDescent="0.25">
      <c r="A1168" t="str">
        <f>IF(LEN(categories!G1168) &gt; 0, "cp ."&amp;categories!G1168&amp;" ../catalog/category"&amp;LEFT(categories!G1168,6)&amp;";", "")</f>
        <v>cp ./img3/img86db.jpg ../catalog/category/img3/;</v>
      </c>
      <c r="B1168" t="str">
        <f>IF(LEN(categories!G1168) &gt; 0, SUBSTITUTE("copy ."&amp;categories!G1168&amp;" ./category"&amp;LEFT(categories!G1168,6),"/","\"), "")</f>
        <v>copy .\img3\img86db.jpg .\category\img3\</v>
      </c>
    </row>
    <row r="1169" spans="1:2" x14ac:dyDescent="0.25">
      <c r="A1169" t="str">
        <f>IF(LEN(categories!G1169) &gt; 0, "cp ."&amp;categories!G1169&amp;" ../catalog/category"&amp;LEFT(categories!G1169,6)&amp;";", "")</f>
        <v>cp ./img1/imgb31b.jpg ../catalog/category/img1/;</v>
      </c>
      <c r="B1169" t="str">
        <f>IF(LEN(categories!G1169) &gt; 0, SUBSTITUTE("copy ."&amp;categories!G1169&amp;" ./category"&amp;LEFT(categories!G1169,6),"/","\"), "")</f>
        <v>copy .\img1\imgb31b.jpg .\category\img1\</v>
      </c>
    </row>
    <row r="1170" spans="1:2" x14ac:dyDescent="0.25">
      <c r="A1170" t="str">
        <f>IF(LEN(categories!G1170) &gt; 0, "cp ."&amp;categories!G1170&amp;" ../catalog/category"&amp;LEFT(categories!G1170,6)&amp;";", "")</f>
        <v>cp ./img2/img3371.jpg ../catalog/category/img2/;</v>
      </c>
      <c r="B1170" t="str">
        <f>IF(LEN(categories!G1170) &gt; 0, SUBSTITUTE("copy ."&amp;categories!G1170&amp;" ./category"&amp;LEFT(categories!G1170,6),"/","\"), "")</f>
        <v>copy .\img2\img3371.jpg .\category\img2\</v>
      </c>
    </row>
    <row r="1171" spans="1:2" x14ac:dyDescent="0.25">
      <c r="A1171" t="str">
        <f>IF(LEN(categories!G1171) &gt; 0, "cp ."&amp;categories!G1171&amp;" ../catalog/category"&amp;LEFT(categories!G1171,6)&amp;";", "")</f>
        <v>cp ./img2/img5e0d.jpg ../catalog/category/img2/;</v>
      </c>
      <c r="B1171" t="str">
        <f>IF(LEN(categories!G1171) &gt; 0, SUBSTITUTE("copy ."&amp;categories!G1171&amp;" ./category"&amp;LEFT(categories!G1171,6),"/","\"), "")</f>
        <v>copy .\img2\img5e0d.jpg .\category\img2\</v>
      </c>
    </row>
    <row r="1172" spans="1:2" x14ac:dyDescent="0.25">
      <c r="A1172" t="str">
        <f>IF(LEN(categories!G1172) &gt; 0, "cp ."&amp;categories!G1172&amp;" ../catalog/category"&amp;LEFT(categories!G1172,6)&amp;";", "")</f>
        <v>cp ./img1/img670d.jpg ../catalog/category/img1/;</v>
      </c>
      <c r="B1172" t="str">
        <f>IF(LEN(categories!G1172) &gt; 0, SUBSTITUTE("copy ."&amp;categories!G1172&amp;" ./category"&amp;LEFT(categories!G1172,6),"/","\"), "")</f>
        <v>copy .\img1\img670d.jpg .\category\img1\</v>
      </c>
    </row>
    <row r="1173" spans="1:2" x14ac:dyDescent="0.25">
      <c r="A1173" t="str">
        <f>IF(LEN(categories!G1173) &gt; 0, "cp ."&amp;categories!G1173&amp;" ../catalog/category"&amp;LEFT(categories!G1173,6)&amp;";", "")</f>
        <v>cp ./img1/img7a03.jpg ../catalog/category/img1/;</v>
      </c>
      <c r="B1173" t="str">
        <f>IF(LEN(categories!G1173) &gt; 0, SUBSTITUTE("copy ."&amp;categories!G1173&amp;" ./category"&amp;LEFT(categories!G1173,6),"/","\"), "")</f>
        <v>copy .\img1\img7a03.jpg .\category\img1\</v>
      </c>
    </row>
    <row r="1174" spans="1:2" x14ac:dyDescent="0.25">
      <c r="A1174" t="str">
        <f>IF(LEN(categories!G1174) &gt; 0, "cp ."&amp;categories!G1174&amp;" ../catalog/category"&amp;LEFT(categories!G1174,6)&amp;";", "")</f>
        <v>cp ./img1/img9dc8.jpg ../catalog/category/img1/;</v>
      </c>
      <c r="B1174" t="str">
        <f>IF(LEN(categories!G1174) &gt; 0, SUBSTITUTE("copy ."&amp;categories!G1174&amp;" ./category"&amp;LEFT(categories!G1174,6),"/","\"), "")</f>
        <v>copy .\img1\img9dc8.jpg .\category\img1\</v>
      </c>
    </row>
    <row r="1175" spans="1:2" x14ac:dyDescent="0.25">
      <c r="A1175" t="str">
        <f>IF(LEN(categories!G1175) &gt; 0, "cp ."&amp;categories!G1175&amp;" ../catalog/category"&amp;LEFT(categories!G1175,6)&amp;";", "")</f>
        <v>cp ./img3/img2eab.jpg ../catalog/category/img3/;</v>
      </c>
      <c r="B1175" t="str">
        <f>IF(LEN(categories!G1175) &gt; 0, SUBSTITUTE("copy ."&amp;categories!G1175&amp;" ./category"&amp;LEFT(categories!G1175,6),"/","\"), "")</f>
        <v>copy .\img3\img2eab.jpg .\category\img3\</v>
      </c>
    </row>
    <row r="1176" spans="1:2" x14ac:dyDescent="0.25">
      <c r="A1176" t="str">
        <f>IF(LEN(categories!G1176) &gt; 0, "cp ."&amp;categories!G1176&amp;" ../catalog/category"&amp;LEFT(categories!G1176,6)&amp;";", "")</f>
        <v>cp ./img2/imgd0db.jpg ../catalog/category/img2/;</v>
      </c>
      <c r="B1176" t="str">
        <f>IF(LEN(categories!G1176) &gt; 0, SUBSTITUTE("copy ."&amp;categories!G1176&amp;" ./category"&amp;LEFT(categories!G1176,6),"/","\"), "")</f>
        <v>copy .\img2\imgd0db.jpg .\category\img2\</v>
      </c>
    </row>
    <row r="1177" spans="1:2" x14ac:dyDescent="0.25">
      <c r="A1177" t="str">
        <f>IF(LEN(categories!G1177) &gt; 0, "cp ."&amp;categories!G1177&amp;" ../catalog/category"&amp;LEFT(categories!G1177,6)&amp;";", "")</f>
        <v>cp ./img3/img6321.jpg ../catalog/category/img3/;</v>
      </c>
      <c r="B1177" t="str">
        <f>IF(LEN(categories!G1177) &gt; 0, SUBSTITUTE("copy ."&amp;categories!G1177&amp;" ./category"&amp;LEFT(categories!G1177,6),"/","\"), "")</f>
        <v>copy .\img3\img6321.jpg .\category\img3\</v>
      </c>
    </row>
    <row r="1178" spans="1:2" x14ac:dyDescent="0.25">
      <c r="A1178" t="str">
        <f>IF(LEN(categories!G1178) &gt; 0, "cp ."&amp;categories!G1178&amp;" ../catalog/category"&amp;LEFT(categories!G1178,6)&amp;";", "")</f>
        <v>cp ./img2/img6c75.jpg ../catalog/category/img2/;</v>
      </c>
      <c r="B1178" t="str">
        <f>IF(LEN(categories!G1178) &gt; 0, SUBSTITUTE("copy ."&amp;categories!G1178&amp;" ./category"&amp;LEFT(categories!G1178,6),"/","\"), "")</f>
        <v>copy .\img2\img6c75.jpg .\category\img2\</v>
      </c>
    </row>
    <row r="1179" spans="1:2" x14ac:dyDescent="0.25">
      <c r="A1179" t="str">
        <f>IF(LEN(categories!G1179) &gt; 0, "cp ."&amp;categories!G1179&amp;" ../catalog/category"&amp;LEFT(categories!G1179,6)&amp;";", "")</f>
        <v>cp ./img3/img4427.jpg ../catalog/category/img3/;</v>
      </c>
      <c r="B1179" t="str">
        <f>IF(LEN(categories!G1179) &gt; 0, SUBSTITUTE("copy ."&amp;categories!G1179&amp;" ./category"&amp;LEFT(categories!G1179,6),"/","\"), "")</f>
        <v>copy .\img3\img4427.jpg .\category\img3\</v>
      </c>
    </row>
    <row r="1180" spans="1:2" x14ac:dyDescent="0.25">
      <c r="A1180" t="str">
        <f>IF(LEN(categories!G1180) &gt; 0, "cp ."&amp;categories!G1180&amp;" ../catalog/category"&amp;LEFT(categories!G1180,6)&amp;";", "")</f>
        <v>cp ./img2/img4da3.jpg ../catalog/category/img2/;</v>
      </c>
      <c r="B1180" t="str">
        <f>IF(LEN(categories!G1180) &gt; 0, SUBSTITUTE("copy ."&amp;categories!G1180&amp;" ./category"&amp;LEFT(categories!G1180,6),"/","\"), "")</f>
        <v>copy .\img2\img4da3.jpg .\category\img2\</v>
      </c>
    </row>
    <row r="1181" spans="1:2" x14ac:dyDescent="0.25">
      <c r="A1181" t="str">
        <f>IF(LEN(categories!G1181) &gt; 0, "cp ."&amp;categories!G1181&amp;" ../catalog/category"&amp;LEFT(categories!G1181,6)&amp;";", "")</f>
        <v>cp ./img3/imgb1a3.jpg ../catalog/category/img3/;</v>
      </c>
      <c r="B1181" t="str">
        <f>IF(LEN(categories!G1181) &gt; 0, SUBSTITUTE("copy ."&amp;categories!G1181&amp;" ./category"&amp;LEFT(categories!G1181,6),"/","\"), "")</f>
        <v>copy .\img3\imgb1a3.jpg .\category\img3\</v>
      </c>
    </row>
    <row r="1182" spans="1:2" x14ac:dyDescent="0.25">
      <c r="A1182" t="str">
        <f>IF(LEN(categories!G1182) &gt; 0, "cp ."&amp;categories!G1182&amp;" ../catalog/category"&amp;LEFT(categories!G1182,6)&amp;";", "")</f>
        <v>cp ./img2/img5503.jpg ../catalog/category/img2/;</v>
      </c>
      <c r="B1182" t="str">
        <f>IF(LEN(categories!G1182) &gt; 0, SUBSTITUTE("copy ."&amp;categories!G1182&amp;" ./category"&amp;LEFT(categories!G1182,6),"/","\"), "")</f>
        <v>copy .\img2\img5503.jpg .\category\img2\</v>
      </c>
    </row>
    <row r="1183" spans="1:2" x14ac:dyDescent="0.25">
      <c r="A1183" t="str">
        <f>IF(LEN(categories!G1183) &gt; 0, "cp ."&amp;categories!G1183&amp;" ../catalog/category"&amp;LEFT(categories!G1183,6)&amp;";", "")</f>
        <v>cp ./img2/imga566.jpg ../catalog/category/img2/;</v>
      </c>
      <c r="B1183" t="str">
        <f>IF(LEN(categories!G1183) &gt; 0, SUBSTITUTE("copy ."&amp;categories!G1183&amp;" ./category"&amp;LEFT(categories!G1183,6),"/","\"), "")</f>
        <v>copy .\img2\imga566.jpg .\category\img2\</v>
      </c>
    </row>
    <row r="1184" spans="1:2" x14ac:dyDescent="0.25">
      <c r="A1184" t="str">
        <f>IF(LEN(categories!G1184) &gt; 0, "cp ."&amp;categories!G1184&amp;" ../catalog/category"&amp;LEFT(categories!G1184,6)&amp;";", "")</f>
        <v>cp ./img2/img202c.jpg ../catalog/category/img2/;</v>
      </c>
      <c r="B1184" t="str">
        <f>IF(LEN(categories!G1184) &gt; 0, SUBSTITUTE("copy ."&amp;categories!G1184&amp;" ./category"&amp;LEFT(categories!G1184,6),"/","\"), "")</f>
        <v>copy .\img2\img202c.jpg .\category\img2\</v>
      </c>
    </row>
    <row r="1185" spans="1:2" x14ac:dyDescent="0.25">
      <c r="A1185" t="str">
        <f>IF(LEN(categories!G1185) &gt; 0, "cp ."&amp;categories!G1185&amp;" ../catalog/category"&amp;LEFT(categories!G1185,6)&amp;";", "")</f>
        <v>cp ./img1/img52b9.jpg ../catalog/category/img1/;</v>
      </c>
      <c r="B1185" t="str">
        <f>IF(LEN(categories!G1185) &gt; 0, SUBSTITUTE("copy ."&amp;categories!G1185&amp;" ./category"&amp;LEFT(categories!G1185,6),"/","\"), "")</f>
        <v>copy .\img1\img52b9.jpg .\category\img1\</v>
      </c>
    </row>
    <row r="1186" spans="1:2" x14ac:dyDescent="0.25">
      <c r="A1186" t="str">
        <f>IF(LEN(categories!G1186) &gt; 0, "cp ."&amp;categories!G1186&amp;" ../catalog/category"&amp;LEFT(categories!G1186,6)&amp;";", "")</f>
        <v>cp ./img3/img57a8.jpg ../catalog/category/img3/;</v>
      </c>
      <c r="B1186" t="str">
        <f>IF(LEN(categories!G1186) &gt; 0, SUBSTITUTE("copy ."&amp;categories!G1186&amp;" ./category"&amp;LEFT(categories!G1186,6),"/","\"), "")</f>
        <v>copy .\img3\img57a8.jpg .\category\img3\</v>
      </c>
    </row>
    <row r="1187" spans="1:2" x14ac:dyDescent="0.25">
      <c r="A1187" t="str">
        <f>IF(LEN(categories!G1187) &gt; 0, "cp ."&amp;categories!G1187&amp;" ../catalog/category"&amp;LEFT(categories!G1187,6)&amp;";", "")</f>
        <v>cp ./img1/img2688.jpg ../catalog/category/img1/;</v>
      </c>
      <c r="B1187" t="str">
        <f>IF(LEN(categories!G1187) &gt; 0, SUBSTITUTE("copy ."&amp;categories!G1187&amp;" ./category"&amp;LEFT(categories!G1187,6),"/","\"), "")</f>
        <v>copy .\img1\img2688.jpg .\category\img1\</v>
      </c>
    </row>
    <row r="1188" spans="1:2" x14ac:dyDescent="0.25">
      <c r="A1188" t="str">
        <f>IF(LEN(categories!G1188) &gt; 0, "cp ."&amp;categories!G1188&amp;" ../catalog/category"&amp;LEFT(categories!G1188,6)&amp;";", "")</f>
        <v>cp ./img1/img0b5a.jpg ../catalog/category/img1/;</v>
      </c>
      <c r="B1188" t="str">
        <f>IF(LEN(categories!G1188) &gt; 0, SUBSTITUTE("copy ."&amp;categories!G1188&amp;" ./category"&amp;LEFT(categories!G1188,6),"/","\"), "")</f>
        <v>copy .\img1\img0b5a.jpg .\category\img1\</v>
      </c>
    </row>
    <row r="1189" spans="1:2" x14ac:dyDescent="0.25">
      <c r="A1189" t="str">
        <f>IF(LEN(categories!G1189) &gt; 0, "cp ."&amp;categories!G1189&amp;" ../catalog/category"&amp;LEFT(categories!G1189,6)&amp;";", "")</f>
        <v>cp ./img3/imgda10.jpg ../catalog/category/img3/;</v>
      </c>
      <c r="B1189" t="str">
        <f>IF(LEN(categories!G1189) &gt; 0, SUBSTITUTE("copy ."&amp;categories!G1189&amp;" ./category"&amp;LEFT(categories!G1189,6),"/","\"), "")</f>
        <v>copy .\img3\imgda10.jpg .\category\img3\</v>
      </c>
    </row>
    <row r="1190" spans="1:2" x14ac:dyDescent="0.25">
      <c r="A1190" t="str">
        <f>IF(LEN(categories!G1190) &gt; 0, "cp ."&amp;categories!G1190&amp;" ../catalog/category"&amp;LEFT(categories!G1190,6)&amp;";", "")</f>
        <v>cp ./img2/imgafda.jpg ../catalog/category/img2/;</v>
      </c>
      <c r="B1190" t="str">
        <f>IF(LEN(categories!G1190) &gt; 0, SUBSTITUTE("copy ."&amp;categories!G1190&amp;" ./category"&amp;LEFT(categories!G1190,6),"/","\"), "")</f>
        <v>copy .\img2\imgafda.jpg .\category\img2\</v>
      </c>
    </row>
    <row r="1191" spans="1:2" x14ac:dyDescent="0.25">
      <c r="A1191" t="str">
        <f>IF(LEN(categories!G1191) &gt; 0, "cp ."&amp;categories!G1191&amp;" ../catalog/category"&amp;LEFT(categories!G1191,6)&amp;";", "")</f>
        <v>cp ./img1/img5cae.jpg ../catalog/category/img1/;</v>
      </c>
      <c r="B1191" t="str">
        <f>IF(LEN(categories!G1191) &gt; 0, SUBSTITUTE("copy ."&amp;categories!G1191&amp;" ./category"&amp;LEFT(categories!G1191,6),"/","\"), "")</f>
        <v>copy .\img1\img5cae.jpg .\category\img1\</v>
      </c>
    </row>
    <row r="1192" spans="1:2" x14ac:dyDescent="0.25">
      <c r="A1192" t="str">
        <f>IF(LEN(categories!G1192) &gt; 0, "cp ."&amp;categories!G1192&amp;" ../catalog/category"&amp;LEFT(categories!G1192,6)&amp;";", "")</f>
        <v>cp ./img2/img55a2.jpg ../catalog/category/img2/;</v>
      </c>
      <c r="B1192" t="str">
        <f>IF(LEN(categories!G1192) &gt; 0, SUBSTITUTE("copy ."&amp;categories!G1192&amp;" ./category"&amp;LEFT(categories!G1192,6),"/","\"), "")</f>
        <v>copy .\img2\img55a2.jpg .\category\img2\</v>
      </c>
    </row>
    <row r="1193" spans="1:2" x14ac:dyDescent="0.25">
      <c r="A1193" t="str">
        <f>IF(LEN(categories!G1193) &gt; 0, "cp ."&amp;categories!G1193&amp;" ../catalog/category"&amp;LEFT(categories!G1193,6)&amp;";", "")</f>
        <v>cp ./img2/img8db7.jpg ../catalog/category/img2/;</v>
      </c>
      <c r="B1193" t="str">
        <f>IF(LEN(categories!G1193) &gt; 0, SUBSTITUTE("copy ."&amp;categories!G1193&amp;" ./category"&amp;LEFT(categories!G1193,6),"/","\"), "")</f>
        <v>copy .\img2\img8db7.jpg .\category\img2\</v>
      </c>
    </row>
    <row r="1194" spans="1:2" x14ac:dyDescent="0.25">
      <c r="A1194" t="str">
        <f>IF(LEN(categories!G1194) &gt; 0, "cp ."&amp;categories!G1194&amp;" ../catalog/category"&amp;LEFT(categories!G1194,6)&amp;";", "")</f>
        <v>cp ./img1/img439e.jpg ../catalog/category/img1/;</v>
      </c>
      <c r="B1194" t="str">
        <f>IF(LEN(categories!G1194) &gt; 0, SUBSTITUTE("copy ."&amp;categories!G1194&amp;" ./category"&amp;LEFT(categories!G1194,6),"/","\"), "")</f>
        <v>copy .\img1\img439e.jpg .\category\img1\</v>
      </c>
    </row>
    <row r="1195" spans="1:2" x14ac:dyDescent="0.25">
      <c r="A1195" t="str">
        <f>IF(LEN(categories!G1195) &gt; 0, "cp ."&amp;categories!G1195&amp;" ../catalog/category"&amp;LEFT(categories!G1195,6)&amp;";", "")</f>
        <v>cp ./img2/img05eb.jpg ../catalog/category/img2/;</v>
      </c>
      <c r="B1195" t="str">
        <f>IF(LEN(categories!G1195) &gt; 0, SUBSTITUTE("copy ."&amp;categories!G1195&amp;" ./category"&amp;LEFT(categories!G1195,6),"/","\"), "")</f>
        <v>copy .\img2\img05eb.jpg .\category\img2\</v>
      </c>
    </row>
    <row r="1196" spans="1:2" x14ac:dyDescent="0.25">
      <c r="A1196" t="str">
        <f>IF(LEN(categories!G1196) &gt; 0, "cp ."&amp;categories!G1196&amp;" ../catalog/category"&amp;LEFT(categories!G1196,6)&amp;";", "")</f>
        <v>cp ./img2/img223b.jpg ../catalog/category/img2/;</v>
      </c>
      <c r="B1196" t="str">
        <f>IF(LEN(categories!G1196) &gt; 0, SUBSTITUTE("copy ."&amp;categories!G1196&amp;" ./category"&amp;LEFT(categories!G1196,6),"/","\"), "")</f>
        <v>copy .\img2\img223b.jpg .\category\img2\</v>
      </c>
    </row>
    <row r="1197" spans="1:2" x14ac:dyDescent="0.25">
      <c r="A1197" t="str">
        <f>IF(LEN(categories!G1197) &gt; 0, "cp ."&amp;categories!G1197&amp;" ../catalog/category"&amp;LEFT(categories!G1197,6)&amp;";", "")</f>
        <v>cp ./img1/img9a77.jpg ../catalog/category/img1/;</v>
      </c>
      <c r="B1197" t="str">
        <f>IF(LEN(categories!G1197) &gt; 0, SUBSTITUTE("copy ."&amp;categories!G1197&amp;" ./category"&amp;LEFT(categories!G1197,6),"/","\"), "")</f>
        <v>copy .\img1\img9a77.jpg .\category\img1\</v>
      </c>
    </row>
    <row r="1198" spans="1:2" x14ac:dyDescent="0.25">
      <c r="A1198" t="str">
        <f>IF(LEN(categories!G1198) &gt; 0, "cp ."&amp;categories!G1198&amp;" ../catalog/category"&amp;LEFT(categories!G1198,6)&amp;";", "")</f>
        <v>cp ./img2/imga721.jpg ../catalog/category/img2/;</v>
      </c>
      <c r="B1198" t="str">
        <f>IF(LEN(categories!G1198) &gt; 0, SUBSTITUTE("copy ."&amp;categories!G1198&amp;" ./category"&amp;LEFT(categories!G1198,6),"/","\"), "")</f>
        <v>copy .\img2\imga721.jpg .\category\img2\</v>
      </c>
    </row>
    <row r="1199" spans="1:2" x14ac:dyDescent="0.25">
      <c r="A1199" t="str">
        <f>IF(LEN(categories!G1199) &gt; 0, "cp ."&amp;categories!G1199&amp;" ../catalog/category"&amp;LEFT(categories!G1199,6)&amp;";", "")</f>
        <v>cp ./img3/img1777.jpg ../catalog/category/img3/;</v>
      </c>
      <c r="B1199" t="str">
        <f>IF(LEN(categories!G1199) &gt; 0, SUBSTITUTE("copy ."&amp;categories!G1199&amp;" ./category"&amp;LEFT(categories!G1199,6),"/","\"), "")</f>
        <v>copy .\img3\img1777.jpg .\category\img3\</v>
      </c>
    </row>
    <row r="1200" spans="1:2" x14ac:dyDescent="0.25">
      <c r="A1200" t="str">
        <f>IF(LEN(categories!G1200) &gt; 0, "cp ."&amp;categories!G1200&amp;" ../catalog/category"&amp;LEFT(categories!G1200,6)&amp;";", "")</f>
        <v>cp ./img1/img65ba.jpg ../catalog/category/img1/;</v>
      </c>
      <c r="B1200" t="str">
        <f>IF(LEN(categories!G1200) &gt; 0, SUBSTITUTE("copy ."&amp;categories!G1200&amp;" ./category"&amp;LEFT(categories!G1200,6),"/","\"), "")</f>
        <v>copy .\img1\img65ba.jpg .\category\img1\</v>
      </c>
    </row>
    <row r="1201" spans="1:2" x14ac:dyDescent="0.25">
      <c r="A1201" t="str">
        <f>IF(LEN(categories!G1201) &gt; 0, "cp ."&amp;categories!G1201&amp;" ../catalog/category"&amp;LEFT(categories!G1201,6)&amp;";", "")</f>
        <v>cp ./img1/imge86c.jpg ../catalog/category/img1/;</v>
      </c>
      <c r="B1201" t="str">
        <f>IF(LEN(categories!G1201) &gt; 0, SUBSTITUTE("copy ."&amp;categories!G1201&amp;" ./category"&amp;LEFT(categories!G1201,6),"/","\"), "")</f>
        <v>copy .\img1\imge86c.jpg .\category\img1\</v>
      </c>
    </row>
    <row r="1202" spans="1:2" x14ac:dyDescent="0.25">
      <c r="A1202" t="str">
        <f>IF(LEN(categories!G1202) &gt; 0, "cp ."&amp;categories!G1202&amp;" ../catalog/category"&amp;LEFT(categories!G1202,6)&amp;";", "")</f>
        <v>cp ./img2/img913f.jpg ../catalog/category/img2/;</v>
      </c>
      <c r="B1202" t="str">
        <f>IF(LEN(categories!G1202) &gt; 0, SUBSTITUTE("copy ."&amp;categories!G1202&amp;" ./category"&amp;LEFT(categories!G1202,6),"/","\"), "")</f>
        <v>copy .\img2\img913f.jpg .\category\img2\</v>
      </c>
    </row>
    <row r="1203" spans="1:2" x14ac:dyDescent="0.25">
      <c r="A1203" t="str">
        <f>IF(LEN(categories!G1203) &gt; 0, "cp ."&amp;categories!G1203&amp;" ../catalog/category"&amp;LEFT(categories!G1203,6)&amp;";", "")</f>
        <v>cp ./img1/img8feb.jpg ../catalog/category/img1/;</v>
      </c>
      <c r="B1203" t="str">
        <f>IF(LEN(categories!G1203) &gt; 0, SUBSTITUTE("copy ."&amp;categories!G1203&amp;" ./category"&amp;LEFT(categories!G1203,6),"/","\"), "")</f>
        <v>copy .\img1\img8feb.jpg .\category\img1\</v>
      </c>
    </row>
    <row r="1204" spans="1:2" x14ac:dyDescent="0.25">
      <c r="A1204" t="str">
        <f>IF(LEN(categories!G1204) &gt; 0, "cp ."&amp;categories!G1204&amp;" ../catalog/category"&amp;LEFT(categories!G1204,6)&amp;";", "")</f>
        <v>cp ./img2/imgdc97.jpg ../catalog/category/img2/;</v>
      </c>
      <c r="B1204" t="str">
        <f>IF(LEN(categories!G1204) &gt; 0, SUBSTITUTE("copy ."&amp;categories!G1204&amp;" ./category"&amp;LEFT(categories!G1204,6),"/","\"), "")</f>
        <v>copy .\img2\imgdc97.jpg .\category\img2\</v>
      </c>
    </row>
    <row r="1205" spans="1:2" x14ac:dyDescent="0.25">
      <c r="A1205" t="str">
        <f>IF(LEN(categories!G1205) &gt; 0, "cp ."&amp;categories!G1205&amp;" ../catalog/category"&amp;LEFT(categories!G1205,6)&amp;";", "")</f>
        <v>cp ./img3/img7635.jpg ../catalog/category/img3/;</v>
      </c>
      <c r="B1205" t="str">
        <f>IF(LEN(categories!G1205) &gt; 0, SUBSTITUTE("copy ."&amp;categories!G1205&amp;" ./category"&amp;LEFT(categories!G1205,6),"/","\"), "")</f>
        <v>copy .\img3\img7635.jpg .\category\img3\</v>
      </c>
    </row>
    <row r="1206" spans="1:2" x14ac:dyDescent="0.25">
      <c r="A1206" t="str">
        <f>IF(LEN(categories!G1206) &gt; 0, "cp ."&amp;categories!G1206&amp;" ../catalog/category"&amp;LEFT(categories!G1206,6)&amp;";", "")</f>
        <v>cp ./img1/img604d.jpg ../catalog/category/img1/;</v>
      </c>
      <c r="B1206" t="str">
        <f>IF(LEN(categories!G1206) &gt; 0, SUBSTITUTE("copy ."&amp;categories!G1206&amp;" ./category"&amp;LEFT(categories!G1206,6),"/","\"), "")</f>
        <v>copy .\img1\img604d.jpg .\category\img1\</v>
      </c>
    </row>
    <row r="1207" spans="1:2" x14ac:dyDescent="0.25">
      <c r="A1207" t="str">
        <f>IF(LEN(categories!G1207) &gt; 0, "cp ."&amp;categories!G1207&amp;" ../catalog/category"&amp;LEFT(categories!G1207,6)&amp;";", "")</f>
        <v>cp ./img3/img5301.jpg ../catalog/category/img3/;</v>
      </c>
      <c r="B1207" t="str">
        <f>IF(LEN(categories!G1207) &gt; 0, SUBSTITUTE("copy ."&amp;categories!G1207&amp;" ./category"&amp;LEFT(categories!G1207,6),"/","\"), "")</f>
        <v>copy .\img3\img5301.jpg .\category\img3\</v>
      </c>
    </row>
    <row r="1208" spans="1:2" x14ac:dyDescent="0.25">
      <c r="A1208" t="str">
        <f>IF(LEN(categories!G1208) &gt; 0, "cp ."&amp;categories!G1208&amp;" ../catalog/category"&amp;LEFT(categories!G1208,6)&amp;";", "")</f>
        <v>cp ./img3/img33d2.jpg ../catalog/category/img3/;</v>
      </c>
      <c r="B1208" t="str">
        <f>IF(LEN(categories!G1208) &gt; 0, SUBSTITUTE("copy ."&amp;categories!G1208&amp;" ./category"&amp;LEFT(categories!G1208,6),"/","\"), "")</f>
        <v>copy .\img3\img33d2.jpg .\category\img3\</v>
      </c>
    </row>
    <row r="1209" spans="1:2" x14ac:dyDescent="0.25">
      <c r="A1209" t="str">
        <f>IF(LEN(categories!G1209) &gt; 0, "cp ."&amp;categories!G1209&amp;" ../catalog/category"&amp;LEFT(categories!G1209,6)&amp;";", "")</f>
        <v>cp ./img1/img195b.jpg ../catalog/category/img1/;</v>
      </c>
      <c r="B1209" t="str">
        <f>IF(LEN(categories!G1209) &gt; 0, SUBSTITUTE("copy ."&amp;categories!G1209&amp;" ./category"&amp;LEFT(categories!G1209,6),"/","\"), "")</f>
        <v>copy .\img1\img195b.jpg .\category\img1\</v>
      </c>
    </row>
    <row r="1210" spans="1:2" x14ac:dyDescent="0.25">
      <c r="A1210" t="str">
        <f>IF(LEN(categories!G1210) &gt; 0, "cp ."&amp;categories!G1210&amp;" ../catalog/category"&amp;LEFT(categories!G1210,6)&amp;";", "")</f>
        <v>cp ./img3/imge1e2.jpg ../catalog/category/img3/;</v>
      </c>
      <c r="B1210" t="str">
        <f>IF(LEN(categories!G1210) &gt; 0, SUBSTITUTE("copy ."&amp;categories!G1210&amp;" ./category"&amp;LEFT(categories!G1210,6),"/","\"), "")</f>
        <v>copy .\img3\imge1e2.jpg .\category\img3\</v>
      </c>
    </row>
    <row r="1211" spans="1:2" x14ac:dyDescent="0.25">
      <c r="A1211" t="str">
        <f>IF(LEN(categories!G1211) &gt; 0, "cp ."&amp;categories!G1211&amp;" ../catalog/category"&amp;LEFT(categories!G1211,6)&amp;";", "")</f>
        <v>cp ./img3/imge1e2.jpg ../catalog/category/img3/;</v>
      </c>
      <c r="B1211" t="str">
        <f>IF(LEN(categories!G1211) &gt; 0, SUBSTITUTE("copy ."&amp;categories!G1211&amp;" ./category"&amp;LEFT(categories!G1211,6),"/","\"), "")</f>
        <v>copy .\img3\imge1e2.jpg .\category\img3\</v>
      </c>
    </row>
    <row r="1212" spans="1:2" x14ac:dyDescent="0.25">
      <c r="A1212" t="str">
        <f>IF(LEN(categories!G1212) &gt; 0, "cp ."&amp;categories!G1212&amp;" ../catalog/category"&amp;LEFT(categories!G1212,6)&amp;";", "")</f>
        <v>cp ./img3/img5433.jpg ../catalog/category/img3/;</v>
      </c>
      <c r="B1212" t="str">
        <f>IF(LEN(categories!G1212) &gt; 0, SUBSTITUTE("copy ."&amp;categories!G1212&amp;" ./category"&amp;LEFT(categories!G1212,6),"/","\"), "")</f>
        <v>copy .\img3\img5433.jpg .\category\img3\</v>
      </c>
    </row>
    <row r="1213" spans="1:2" x14ac:dyDescent="0.25">
      <c r="A1213" t="str">
        <f>IF(LEN(categories!G1213) &gt; 0, "cp ."&amp;categories!G1213&amp;" ../catalog/category"&amp;LEFT(categories!G1213,6)&amp;";", "")</f>
        <v>cp ./img3/img2213.jpg ../catalog/category/img3/;</v>
      </c>
      <c r="B1213" t="str">
        <f>IF(LEN(categories!G1213) &gt; 0, SUBSTITUTE("copy ."&amp;categories!G1213&amp;" ./category"&amp;LEFT(categories!G1213,6),"/","\"), "")</f>
        <v>copy .\img3\img2213.jpg .\category\img3\</v>
      </c>
    </row>
    <row r="1214" spans="1:2" x14ac:dyDescent="0.25">
      <c r="A1214" t="str">
        <f>IF(LEN(categories!G1214) &gt; 0, "cp ."&amp;categories!G1214&amp;" ../catalog/category"&amp;LEFT(categories!G1214,6)&amp;";", "")</f>
        <v>cp ./img3/img4f07.jpg ../catalog/category/img3/;</v>
      </c>
      <c r="B1214" t="str">
        <f>IF(LEN(categories!G1214) &gt; 0, SUBSTITUTE("copy ."&amp;categories!G1214&amp;" ./category"&amp;LEFT(categories!G1214,6),"/","\"), "")</f>
        <v>copy .\img3\img4f07.jpg .\category\img3\</v>
      </c>
    </row>
    <row r="1215" spans="1:2" x14ac:dyDescent="0.25">
      <c r="A1215" t="str">
        <f>IF(LEN(categories!G1215) &gt; 0, "cp ."&amp;categories!G1215&amp;" ../catalog/category"&amp;LEFT(categories!G1215,6)&amp;";", "")</f>
        <v>cp ./img1/img5217.jpg ../catalog/category/img1/;</v>
      </c>
      <c r="B1215" t="str">
        <f>IF(LEN(categories!G1215) &gt; 0, SUBSTITUTE("copy ."&amp;categories!G1215&amp;" ./category"&amp;LEFT(categories!G1215,6),"/","\"), "")</f>
        <v>copy .\img1\img5217.jpg .\category\img1\</v>
      </c>
    </row>
    <row r="1216" spans="1:2" x14ac:dyDescent="0.25">
      <c r="A1216" t="str">
        <f>IF(LEN(categories!G1216) &gt; 0, "cp ."&amp;categories!G1216&amp;" ../catalog/category"&amp;LEFT(categories!G1216,6)&amp;";", "")</f>
        <v>cp ./img2/imgcf26.jpg ../catalog/category/img2/;</v>
      </c>
      <c r="B1216" t="str">
        <f>IF(LEN(categories!G1216) &gt; 0, SUBSTITUTE("copy ."&amp;categories!G1216&amp;" ./category"&amp;LEFT(categories!G1216,6),"/","\"), "")</f>
        <v>copy .\img2\imgcf26.jpg .\category\img2\</v>
      </c>
    </row>
    <row r="1217" spans="1:2" x14ac:dyDescent="0.25">
      <c r="A1217" t="str">
        <f>IF(LEN(categories!G1217) &gt; 0, "cp ."&amp;categories!G1217&amp;" ../catalog/category"&amp;LEFT(categories!G1217,6)&amp;";", "")</f>
        <v>cp ./img2/img26bf.jpg ../catalog/category/img2/;</v>
      </c>
      <c r="B1217" t="str">
        <f>IF(LEN(categories!G1217) &gt; 0, SUBSTITUTE("copy ."&amp;categories!G1217&amp;" ./category"&amp;LEFT(categories!G1217,6),"/","\"), "")</f>
        <v>copy .\img2\img26bf.jpg .\category\img2\</v>
      </c>
    </row>
    <row r="1218" spans="1:2" x14ac:dyDescent="0.25">
      <c r="A1218" t="str">
        <f>IF(LEN(categories!G1218) &gt; 0, "cp ."&amp;categories!G1218&amp;" ../catalog/category"&amp;LEFT(categories!G1218,6)&amp;";", "")</f>
        <v>cp ./img2/img225f.jpg ../catalog/category/img2/;</v>
      </c>
      <c r="B1218" t="str">
        <f>IF(LEN(categories!G1218) &gt; 0, SUBSTITUTE("copy ."&amp;categories!G1218&amp;" ./category"&amp;LEFT(categories!G1218,6),"/","\"), "")</f>
        <v>copy .\img2\img225f.jpg .\category\img2\</v>
      </c>
    </row>
    <row r="1219" spans="1:2" x14ac:dyDescent="0.25">
      <c r="A1219" t="str">
        <f>IF(LEN(categories!G1219) &gt; 0, "cp ."&amp;categories!G1219&amp;" ../catalog/category"&amp;LEFT(categories!G1219,6)&amp;";", "")</f>
        <v>cp ./img1/img8861.jpg ../catalog/category/img1/;</v>
      </c>
      <c r="B1219" t="str">
        <f>IF(LEN(categories!G1219) &gt; 0, SUBSTITUTE("copy ."&amp;categories!G1219&amp;" ./category"&amp;LEFT(categories!G1219,6),"/","\"), "")</f>
        <v>copy .\img1\img8861.jpg .\category\img1\</v>
      </c>
    </row>
    <row r="1220" spans="1:2" x14ac:dyDescent="0.25">
      <c r="A1220" t="str">
        <f>IF(LEN(categories!G1220) &gt; 0, "cp ."&amp;categories!G1220&amp;" ../catalog/category"&amp;LEFT(categories!G1220,6)&amp;";", "")</f>
        <v>cp ./img2/img28e7.jpg ../catalog/category/img2/;</v>
      </c>
      <c r="B1220" t="str">
        <f>IF(LEN(categories!G1220) &gt; 0, SUBSTITUTE("copy ."&amp;categories!G1220&amp;" ./category"&amp;LEFT(categories!G1220,6),"/","\"), "")</f>
        <v>copy .\img2\img28e7.jpg .\category\img2\</v>
      </c>
    </row>
    <row r="1221" spans="1:2" x14ac:dyDescent="0.25">
      <c r="A1221" t="str">
        <f>IF(LEN(categories!G1221) &gt; 0, "cp ."&amp;categories!G1221&amp;" ../catalog/category"&amp;LEFT(categories!G1221,6)&amp;";", "")</f>
        <v>cp ./img3/img37c2.jpg ../catalog/category/img3/;</v>
      </c>
      <c r="B1221" t="str">
        <f>IF(LEN(categories!G1221) &gt; 0, SUBSTITUTE("copy ."&amp;categories!G1221&amp;" ./category"&amp;LEFT(categories!G1221,6),"/","\"), "")</f>
        <v>copy .\img3\img37c2.jpg .\category\img3\</v>
      </c>
    </row>
    <row r="1222" spans="1:2" x14ac:dyDescent="0.25">
      <c r="A1222" t="str">
        <f>IF(LEN(categories!G1222) &gt; 0, "cp ."&amp;categories!G1222&amp;" ../catalog/category"&amp;LEFT(categories!G1222,6)&amp;";", "")</f>
        <v>cp ./img1/img8eaf.jpg ../catalog/category/img1/;</v>
      </c>
      <c r="B1222" t="str">
        <f>IF(LEN(categories!G1222) &gt; 0, SUBSTITUTE("copy ."&amp;categories!G1222&amp;" ./category"&amp;LEFT(categories!G1222,6),"/","\"), "")</f>
        <v>copy .\img1\img8eaf.jpg .\category\img1\</v>
      </c>
    </row>
    <row r="1223" spans="1:2" x14ac:dyDescent="0.25">
      <c r="A1223" t="str">
        <f>IF(LEN(categories!G1223) &gt; 0, "cp ."&amp;categories!G1223&amp;" ../catalog/category"&amp;LEFT(categories!G1223,6)&amp;";", "")</f>
        <v>cp ./img1/img44aa.jpg ../catalog/category/img1/;</v>
      </c>
      <c r="B1223" t="str">
        <f>IF(LEN(categories!G1223) &gt; 0, SUBSTITUTE("copy ."&amp;categories!G1223&amp;" ./category"&amp;LEFT(categories!G1223,6),"/","\"), "")</f>
        <v>copy .\img1\img44aa.jpg .\category\img1\</v>
      </c>
    </row>
    <row r="1224" spans="1:2" x14ac:dyDescent="0.25">
      <c r="A1224" t="str">
        <f>IF(LEN(categories!G1224) &gt; 0, "cp ."&amp;categories!G1224&amp;" ../catalog/category"&amp;LEFT(categories!G1224,6)&amp;";", "")</f>
        <v>cp ./img2/img9e9b.jpg ../catalog/category/img2/;</v>
      </c>
      <c r="B1224" t="str">
        <f>IF(LEN(categories!G1224) &gt; 0, SUBSTITUTE("copy ."&amp;categories!G1224&amp;" ./category"&amp;LEFT(categories!G1224,6),"/","\"), "")</f>
        <v>copy .\img2\img9e9b.jpg .\category\img2\</v>
      </c>
    </row>
    <row r="1225" spans="1:2" x14ac:dyDescent="0.25">
      <c r="A1225" t="str">
        <f>IF(LEN(categories!G1225) &gt; 0, "cp ."&amp;categories!G1225&amp;" ../catalog/category"&amp;LEFT(categories!G1225,6)&amp;";", "")</f>
        <v>cp ./img3/img1db0.jpg ../catalog/category/img3/;</v>
      </c>
      <c r="B1225" t="str">
        <f>IF(LEN(categories!G1225) &gt; 0, SUBSTITUTE("copy ."&amp;categories!G1225&amp;" ./category"&amp;LEFT(categories!G1225,6),"/","\"), "")</f>
        <v>copy .\img3\img1db0.jpg .\category\img3\</v>
      </c>
    </row>
    <row r="1226" spans="1:2" x14ac:dyDescent="0.25">
      <c r="A1226" t="str">
        <f>IF(LEN(categories!G1226) &gt; 0, "cp ."&amp;categories!G1226&amp;" ../catalog/category"&amp;LEFT(categories!G1226,6)&amp;";", "")</f>
        <v>cp ./img2/imgd901.jpg ../catalog/category/img2/;</v>
      </c>
      <c r="B1226" t="str">
        <f>IF(LEN(categories!G1226) &gt; 0, SUBSTITUTE("copy ."&amp;categories!G1226&amp;" ./category"&amp;LEFT(categories!G1226,6),"/","\"), "")</f>
        <v>copy .\img2\imgd901.jpg .\category\img2\</v>
      </c>
    </row>
    <row r="1227" spans="1:2" x14ac:dyDescent="0.25">
      <c r="A1227" t="str">
        <f>IF(LEN(categories!G1227) &gt; 0, "cp ."&amp;categories!G1227&amp;" ../catalog/category"&amp;LEFT(categories!G1227,6)&amp;";", "")</f>
        <v>cp ./img2/imgebdc.jpg ../catalog/category/img2/;</v>
      </c>
      <c r="B1227" t="str">
        <f>IF(LEN(categories!G1227) &gt; 0, SUBSTITUTE("copy ."&amp;categories!G1227&amp;" ./category"&amp;LEFT(categories!G1227,6),"/","\"), "")</f>
        <v>copy .\img2\imgebdc.jpg .\category\img2\</v>
      </c>
    </row>
    <row r="1228" spans="1:2" x14ac:dyDescent="0.25">
      <c r="A1228" t="str">
        <f>IF(LEN(categories!G1228) &gt; 0, "cp ."&amp;categories!G1228&amp;" ../catalog/category"&amp;LEFT(categories!G1228,6)&amp;";", "")</f>
        <v>cp ./img3/img19fa.jpg ../catalog/category/img3/;</v>
      </c>
      <c r="B1228" t="str">
        <f>IF(LEN(categories!G1228) &gt; 0, SUBSTITUTE("copy ."&amp;categories!G1228&amp;" ./category"&amp;LEFT(categories!G1228,6),"/","\"), "")</f>
        <v>copy .\img3\img19fa.jpg .\category\img3\</v>
      </c>
    </row>
    <row r="1229" spans="1:2" x14ac:dyDescent="0.25">
      <c r="A1229" t="str">
        <f>IF(LEN(categories!G1229) &gt; 0, "cp ."&amp;categories!G1229&amp;" ../catalog/category"&amp;LEFT(categories!G1229,6)&amp;";", "")</f>
        <v>cp ./img3/img1151.jpg ../catalog/category/img3/;</v>
      </c>
      <c r="B1229" t="str">
        <f>IF(LEN(categories!G1229) &gt; 0, SUBSTITUTE("copy ."&amp;categories!G1229&amp;" ./category"&amp;LEFT(categories!G1229,6),"/","\"), "")</f>
        <v>copy .\img3\img1151.jpg .\category\img3\</v>
      </c>
    </row>
    <row r="1230" spans="1:2" x14ac:dyDescent="0.25">
      <c r="A1230" t="str">
        <f>IF(LEN(categories!G1230) &gt; 0, "cp ."&amp;categories!G1230&amp;" ../catalog/category"&amp;LEFT(categories!G1230,6)&amp;";", "")</f>
        <v>cp ./img2/imge2a3.jpg ../catalog/category/img2/;</v>
      </c>
      <c r="B1230" t="str">
        <f>IF(LEN(categories!G1230) &gt; 0, SUBSTITUTE("copy ."&amp;categories!G1230&amp;" ./category"&amp;LEFT(categories!G1230,6),"/","\"), "")</f>
        <v>copy .\img2\imge2a3.jpg .\category\img2\</v>
      </c>
    </row>
    <row r="1231" spans="1:2" x14ac:dyDescent="0.25">
      <c r="A1231" t="str">
        <f>IF(LEN(categories!G1231) &gt; 0, "cp ."&amp;categories!G1231&amp;" ../catalog/category"&amp;LEFT(categories!G1231,6)&amp;";", "")</f>
        <v>cp ./img1/img2fa8.jpg ../catalog/category/img1/;</v>
      </c>
      <c r="B1231" t="str">
        <f>IF(LEN(categories!G1231) &gt; 0, SUBSTITUTE("copy ."&amp;categories!G1231&amp;" ./category"&amp;LEFT(categories!G1231,6),"/","\"), "")</f>
        <v>copy .\img1\img2fa8.jpg .\category\img1\</v>
      </c>
    </row>
    <row r="1232" spans="1:2" x14ac:dyDescent="0.25">
      <c r="A1232" t="str">
        <f>IF(LEN(categories!G1232) &gt; 0, "cp ."&amp;categories!G1232&amp;" ../catalog/category"&amp;LEFT(categories!G1232,6)&amp;";", "")</f>
        <v>cp ./img2/img11a8.jpg ../catalog/category/img2/;</v>
      </c>
      <c r="B1232" t="str">
        <f>IF(LEN(categories!G1232) &gt; 0, SUBSTITUTE("copy ."&amp;categories!G1232&amp;" ./category"&amp;LEFT(categories!G1232,6),"/","\"), "")</f>
        <v>copy .\img2\img11a8.jpg .\category\img2\</v>
      </c>
    </row>
    <row r="1233" spans="1:2" x14ac:dyDescent="0.25">
      <c r="A1233" t="str">
        <f>IF(LEN(categories!G1233) &gt; 0, "cp ."&amp;categories!G1233&amp;" ../catalog/category"&amp;LEFT(categories!G1233,6)&amp;";", "")</f>
        <v>cp ./img3/img03db.jpg ../catalog/category/img3/;</v>
      </c>
      <c r="B1233" t="str">
        <f>IF(LEN(categories!G1233) &gt; 0, SUBSTITUTE("copy ."&amp;categories!G1233&amp;" ./category"&amp;LEFT(categories!G1233,6),"/","\"), "")</f>
        <v>copy .\img3\img03db.jpg .\category\img3\</v>
      </c>
    </row>
    <row r="1234" spans="1:2" x14ac:dyDescent="0.25">
      <c r="A1234" t="str">
        <f>IF(LEN(categories!G1234) &gt; 0, "cp ."&amp;categories!G1234&amp;" ../catalog/category"&amp;LEFT(categories!G1234,6)&amp;";", "")</f>
        <v>cp ./img1/img488e.jpg ../catalog/category/img1/;</v>
      </c>
      <c r="B1234" t="str">
        <f>IF(LEN(categories!G1234) &gt; 0, SUBSTITUTE("copy ."&amp;categories!G1234&amp;" ./category"&amp;LEFT(categories!G1234,6),"/","\"), "")</f>
        <v>copy .\img1\img488e.jpg .\category\img1\</v>
      </c>
    </row>
    <row r="1235" spans="1:2" x14ac:dyDescent="0.25">
      <c r="A1235" t="str">
        <f>IF(LEN(categories!G1235) &gt; 0, "cp ."&amp;categories!G1235&amp;" ../catalog/category"&amp;LEFT(categories!G1235,6)&amp;";", "")</f>
        <v>cp ./img3/imgcc1f.jpg ../catalog/category/img3/;</v>
      </c>
      <c r="B1235" t="str">
        <f>IF(LEN(categories!G1235) &gt; 0, SUBSTITUTE("copy ."&amp;categories!G1235&amp;" ./category"&amp;LEFT(categories!G1235,6),"/","\"), "")</f>
        <v>copy .\img3\imgcc1f.jpg .\category\img3\</v>
      </c>
    </row>
    <row r="1236" spans="1:2" x14ac:dyDescent="0.25">
      <c r="A1236" t="str">
        <f>IF(LEN(categories!G1236) &gt; 0, "cp ."&amp;categories!G1236&amp;" ../catalog/category"&amp;LEFT(categories!G1236,6)&amp;";", "")</f>
        <v>cp ./img3/imgb2a0.jpg ../catalog/category/img3/;</v>
      </c>
      <c r="B1236" t="str">
        <f>IF(LEN(categories!G1236) &gt; 0, SUBSTITUTE("copy ."&amp;categories!G1236&amp;" ./category"&amp;LEFT(categories!G1236,6),"/","\"), "")</f>
        <v>copy .\img3\imgb2a0.jpg .\category\img3\</v>
      </c>
    </row>
    <row r="1237" spans="1:2" x14ac:dyDescent="0.25">
      <c r="A1237" t="str">
        <f>IF(LEN(categories!G1237) &gt; 0, "cp ."&amp;categories!G1237&amp;" ../catalog/category"&amp;LEFT(categories!G1237,6)&amp;";", "")</f>
        <v>cp ./img1/img5e4a.jpg ../catalog/category/img1/;</v>
      </c>
      <c r="B1237" t="str">
        <f>IF(LEN(categories!G1237) &gt; 0, SUBSTITUTE("copy ."&amp;categories!G1237&amp;" ./category"&amp;LEFT(categories!G1237,6),"/","\"), "")</f>
        <v>copy .\img1\img5e4a.jpg .\category\img1\</v>
      </c>
    </row>
    <row r="1238" spans="1:2" x14ac:dyDescent="0.25">
      <c r="A1238" t="str">
        <f>IF(LEN(categories!G1238) &gt; 0, "cp ."&amp;categories!G1238&amp;" ../catalog/category"&amp;LEFT(categories!G1238,6)&amp;";", "")</f>
        <v>cp ./img2/img8e2e.jpg ../catalog/category/img2/;</v>
      </c>
      <c r="B1238" t="str">
        <f>IF(LEN(categories!G1238) &gt; 0, SUBSTITUTE("copy ."&amp;categories!G1238&amp;" ./category"&amp;LEFT(categories!G1238,6),"/","\"), "")</f>
        <v>copy .\img2\img8e2e.jpg .\category\img2\</v>
      </c>
    </row>
    <row r="1239" spans="1:2" x14ac:dyDescent="0.25">
      <c r="A1239" t="str">
        <f>IF(LEN(categories!G1239) &gt; 0, "cp ."&amp;categories!G1239&amp;" ../catalog/category"&amp;LEFT(categories!G1239,6)&amp;";", "")</f>
        <v>cp ./img1/img3ba2.jpg ../catalog/category/img1/;</v>
      </c>
      <c r="B1239" t="str">
        <f>IF(LEN(categories!G1239) &gt; 0, SUBSTITUTE("copy ."&amp;categories!G1239&amp;" ./category"&amp;LEFT(categories!G1239,6),"/","\"), "")</f>
        <v>copy .\img1\img3ba2.jpg .\category\img1\</v>
      </c>
    </row>
    <row r="1240" spans="1:2" x14ac:dyDescent="0.25">
      <c r="A1240" t="str">
        <f>IF(LEN(categories!G1240) &gt; 0, "cp ."&amp;categories!G1240&amp;" ../catalog/category"&amp;LEFT(categories!G1240,6)&amp;";", "")</f>
        <v>cp ./img3/imgfdad.jpg ../catalog/category/img3/;</v>
      </c>
      <c r="B1240" t="str">
        <f>IF(LEN(categories!G1240) &gt; 0, SUBSTITUTE("copy ."&amp;categories!G1240&amp;" ./category"&amp;LEFT(categories!G1240,6),"/","\"), "")</f>
        <v>copy .\img3\imgfdad.jpg .\category\img3\</v>
      </c>
    </row>
    <row r="1241" spans="1:2" x14ac:dyDescent="0.25">
      <c r="A1241" t="str">
        <f>IF(LEN(categories!G1241) &gt; 0, "cp ."&amp;categories!G1241&amp;" ../catalog/category"&amp;LEFT(categories!G1241,6)&amp;";", "")</f>
        <v>cp ./img2/img05fb.jpg ../catalog/category/img2/;</v>
      </c>
      <c r="B1241" t="str">
        <f>IF(LEN(categories!G1241) &gt; 0, SUBSTITUTE("copy ."&amp;categories!G1241&amp;" ./category"&amp;LEFT(categories!G1241,6),"/","\"), "")</f>
        <v>copy .\img2\img05fb.jpg .\category\img2\</v>
      </c>
    </row>
    <row r="1242" spans="1:2" x14ac:dyDescent="0.25">
      <c r="A1242" t="str">
        <f>IF(LEN(categories!G1242) &gt; 0, "cp ."&amp;categories!G1242&amp;" ../catalog/category"&amp;LEFT(categories!G1242,6)&amp;";", "")</f>
        <v>cp ./img2/img6b7b.jpg ../catalog/category/img2/;</v>
      </c>
      <c r="B1242" t="str">
        <f>IF(LEN(categories!G1242) &gt; 0, SUBSTITUTE("copy ."&amp;categories!G1242&amp;" ./category"&amp;LEFT(categories!G1242,6),"/","\"), "")</f>
        <v>copy .\img2\img6b7b.jpg .\category\img2\</v>
      </c>
    </row>
    <row r="1243" spans="1:2" x14ac:dyDescent="0.25">
      <c r="A1243" t="str">
        <f>IF(LEN(categories!G1243) &gt; 0, "cp ."&amp;categories!G1243&amp;" ../catalog/category"&amp;LEFT(categories!G1243,6)&amp;";", "")</f>
        <v>cp ./img1/img7d49.jpg ../catalog/category/img1/;</v>
      </c>
      <c r="B1243" t="str">
        <f>IF(LEN(categories!G1243) &gt; 0, SUBSTITUTE("copy ."&amp;categories!G1243&amp;" ./category"&amp;LEFT(categories!G1243,6),"/","\"), "")</f>
        <v>copy .\img1\img7d49.jpg .\category\img1\</v>
      </c>
    </row>
    <row r="1244" spans="1:2" x14ac:dyDescent="0.25">
      <c r="A1244" t="str">
        <f>IF(LEN(categories!G1244) &gt; 0, "cp ."&amp;categories!G1244&amp;" ../catalog/category"&amp;LEFT(categories!G1244,6)&amp;";", "")</f>
        <v>cp ./img1/img8ce2.jpg ../catalog/category/img1/;</v>
      </c>
      <c r="B1244" t="str">
        <f>IF(LEN(categories!G1244) &gt; 0, SUBSTITUTE("copy ."&amp;categories!G1244&amp;" ./category"&amp;LEFT(categories!G1244,6),"/","\"), "")</f>
        <v>copy .\img1\img8ce2.jpg .\category\img1\</v>
      </c>
    </row>
    <row r="1245" spans="1:2" x14ac:dyDescent="0.25">
      <c r="A1245" t="str">
        <f>IF(LEN(categories!G1245) &gt; 0, "cp ."&amp;categories!G1245&amp;" ../catalog/category"&amp;LEFT(categories!G1245,6)&amp;";", "")</f>
        <v>cp ./img2/img5872.jpg ../catalog/category/img2/;</v>
      </c>
      <c r="B1245" t="str">
        <f>IF(LEN(categories!G1245) &gt; 0, SUBSTITUTE("copy ."&amp;categories!G1245&amp;" ./category"&amp;LEFT(categories!G1245,6),"/","\"), "")</f>
        <v>copy .\img2\img5872.jpg .\category\img2\</v>
      </c>
    </row>
    <row r="1246" spans="1:2" x14ac:dyDescent="0.25">
      <c r="A1246" t="str">
        <f>IF(LEN(categories!G1246) &gt; 0, "cp ."&amp;categories!G1246&amp;" ../catalog/category"&amp;LEFT(categories!G1246,6)&amp;";", "")</f>
        <v>cp ./img3/img769b.jpg ../catalog/category/img3/;</v>
      </c>
      <c r="B1246" t="str">
        <f>IF(LEN(categories!G1246) &gt; 0, SUBSTITUTE("copy ."&amp;categories!G1246&amp;" ./category"&amp;LEFT(categories!G1246,6),"/","\"), "")</f>
        <v>copy .\img3\img769b.jpg .\category\img3\</v>
      </c>
    </row>
    <row r="1247" spans="1:2" x14ac:dyDescent="0.25">
      <c r="A1247" t="str">
        <f>IF(LEN(categories!G1247) &gt; 0, "cp ."&amp;categories!G1247&amp;" ../catalog/category"&amp;LEFT(categories!G1247,6)&amp;";", "")</f>
        <v>cp ./img1/img8e56.jpg ../catalog/category/img1/;</v>
      </c>
      <c r="B1247" t="str">
        <f>IF(LEN(categories!G1247) &gt; 0, SUBSTITUTE("copy ."&amp;categories!G1247&amp;" ./category"&amp;LEFT(categories!G1247,6),"/","\"), "")</f>
        <v>copy .\img1\img8e56.jpg .\category\img1\</v>
      </c>
    </row>
    <row r="1248" spans="1:2" x14ac:dyDescent="0.25">
      <c r="A1248" t="str">
        <f>IF(LEN(categories!G1248) &gt; 0, "cp ."&amp;categories!G1248&amp;" ../catalog/category"&amp;LEFT(categories!G1248,6)&amp;";", "")</f>
        <v>cp ./img3/imgcf26-2.jpg ../catalog/category/img3/;</v>
      </c>
      <c r="B1248" t="str">
        <f>IF(LEN(categories!G1248) &gt; 0, SUBSTITUTE("copy ."&amp;categories!G1248&amp;" ./category"&amp;LEFT(categories!G1248,6),"/","\"), "")</f>
        <v>copy .\img3\imgcf26-2.jpg .\category\img3\</v>
      </c>
    </row>
    <row r="1249" spans="1:2" x14ac:dyDescent="0.25">
      <c r="A1249" t="str">
        <f>IF(LEN(categories!G1249) &gt; 0, "cp ."&amp;categories!G1249&amp;" ../catalog/category"&amp;LEFT(categories!G1249,6)&amp;";", "")</f>
        <v>cp ./img2/imga082.jpg ../catalog/category/img2/;</v>
      </c>
      <c r="B1249" t="str">
        <f>IF(LEN(categories!G1249) &gt; 0, SUBSTITUTE("copy ."&amp;categories!G1249&amp;" ./category"&amp;LEFT(categories!G1249,6),"/","\"), "")</f>
        <v>copy .\img2\imga082.jpg .\category\img2\</v>
      </c>
    </row>
    <row r="1250" spans="1:2" x14ac:dyDescent="0.25">
      <c r="A1250" t="str">
        <f>IF(LEN(categories!G1250) &gt; 0, "cp ."&amp;categories!G1250&amp;" ../catalog/category"&amp;LEFT(categories!G1250,6)&amp;";", "")</f>
        <v>cp ./img2/img0db0.jpg ../catalog/category/img2/;</v>
      </c>
      <c r="B1250" t="str">
        <f>IF(LEN(categories!G1250) &gt; 0, SUBSTITUTE("copy ."&amp;categories!G1250&amp;" ./category"&amp;LEFT(categories!G1250,6),"/","\"), "")</f>
        <v>copy .\img2\img0db0.jpg .\category\img2\</v>
      </c>
    </row>
    <row r="1251" spans="1:2" x14ac:dyDescent="0.25">
      <c r="A1251" t="str">
        <f>IF(LEN(categories!G1251) &gt; 0, "cp ."&amp;categories!G1251&amp;" ../catalog/category"&amp;LEFT(categories!G1251,6)&amp;";", "")</f>
        <v>cp ./img3/imgbc43.jpg ../catalog/category/img3/;</v>
      </c>
      <c r="B1251" t="str">
        <f>IF(LEN(categories!G1251) &gt; 0, SUBSTITUTE("copy ."&amp;categories!G1251&amp;" ./category"&amp;LEFT(categories!G1251,6),"/","\"), "")</f>
        <v>copy .\img3\imgbc43.jpg .\category\img3\</v>
      </c>
    </row>
    <row r="1252" spans="1:2" x14ac:dyDescent="0.25">
      <c r="A1252" t="str">
        <f>IF(LEN(categories!G1252) &gt; 0, "cp ."&amp;categories!G1252&amp;" ../catalog/category"&amp;LEFT(categories!G1252,6)&amp;";", "")</f>
        <v>cp ./img3/img1a98.jpg ../catalog/category/img3/;</v>
      </c>
      <c r="B1252" t="str">
        <f>IF(LEN(categories!G1252) &gt; 0, SUBSTITUTE("copy ."&amp;categories!G1252&amp;" ./category"&amp;LEFT(categories!G1252,6),"/","\"), "")</f>
        <v>copy .\img3\img1a98.jpg .\category\img3\</v>
      </c>
    </row>
    <row r="1253" spans="1:2" x14ac:dyDescent="0.25">
      <c r="A1253" t="str">
        <f>IF(LEN(categories!G1253) &gt; 0, "cp ."&amp;categories!G1253&amp;" ../catalog/category"&amp;LEFT(categories!G1253,6)&amp;";", "")</f>
        <v>cp ./img3/imgc4b7.jpg ../catalog/category/img3/;</v>
      </c>
      <c r="B1253" t="str">
        <f>IF(LEN(categories!G1253) &gt; 0, SUBSTITUTE("copy ."&amp;categories!G1253&amp;" ./category"&amp;LEFT(categories!G1253,6),"/","\"), "")</f>
        <v>copy .\img3\imgc4b7.jpg .\category\img3\</v>
      </c>
    </row>
    <row r="1254" spans="1:2" x14ac:dyDescent="0.25">
      <c r="A1254" t="str">
        <f>IF(LEN(categories!G1254) &gt; 0, "cp ."&amp;categories!G1254&amp;" ../catalog/category"&amp;LEFT(categories!G1254,6)&amp;";", "")</f>
        <v>cp ./img2/img82d0.jpg ../catalog/category/img2/;</v>
      </c>
      <c r="B1254" t="str">
        <f>IF(LEN(categories!G1254) &gt; 0, SUBSTITUTE("copy ."&amp;categories!G1254&amp;" ./category"&amp;LEFT(categories!G1254,6),"/","\"), "")</f>
        <v>copy .\img2\img82d0.jpg .\category\img2\</v>
      </c>
    </row>
    <row r="1255" spans="1:2" x14ac:dyDescent="0.25">
      <c r="A1255" t="str">
        <f>IF(LEN(categories!G1255) &gt; 0, "cp ."&amp;categories!G1255&amp;" ../catalog/category"&amp;LEFT(categories!G1255,6)&amp;";", "")</f>
        <v>cp ./img1/img4d30.jpg ../catalog/category/img1/;</v>
      </c>
      <c r="B1255" t="str">
        <f>IF(LEN(categories!G1255) &gt; 0, SUBSTITUTE("copy ."&amp;categories!G1255&amp;" ./category"&amp;LEFT(categories!G1255,6),"/","\"), "")</f>
        <v>copy .\img1\img4d30.jpg .\category\img1\</v>
      </c>
    </row>
    <row r="1256" spans="1:2" x14ac:dyDescent="0.25">
      <c r="A1256" t="str">
        <f>IF(LEN(categories!G1256) &gt; 0, "cp ."&amp;categories!G1256&amp;" ../catalog/category"&amp;LEFT(categories!G1256,6)&amp;";", "")</f>
        <v>cp ./img1/imgb419.jpg ../catalog/category/img1/;</v>
      </c>
      <c r="B1256" t="str">
        <f>IF(LEN(categories!G1256) &gt; 0, SUBSTITUTE("copy ."&amp;categories!G1256&amp;" ./category"&amp;LEFT(categories!G1256,6),"/","\"), "")</f>
        <v>copy .\img1\imgb419.jpg .\category\img1\</v>
      </c>
    </row>
    <row r="1257" spans="1:2" x14ac:dyDescent="0.25">
      <c r="A1257" t="str">
        <f>IF(LEN(categories!G1257) &gt; 0, "cp ."&amp;categories!G1257&amp;" ../catalog/category"&amp;LEFT(categories!G1257,6)&amp;";", "")</f>
        <v>cp ./img2/imge11f.jpg ../catalog/category/img2/;</v>
      </c>
      <c r="B1257" t="str">
        <f>IF(LEN(categories!G1257) &gt; 0, SUBSTITUTE("copy ."&amp;categories!G1257&amp;" ./category"&amp;LEFT(categories!G1257,6),"/","\"), "")</f>
        <v>copy .\img2\imge11f.jpg .\category\img2\</v>
      </c>
    </row>
    <row r="1258" spans="1:2" x14ac:dyDescent="0.25">
      <c r="A1258" t="str">
        <f>IF(LEN(categories!G1258) &gt; 0, "cp ."&amp;categories!G1258&amp;" ../catalog/category"&amp;LEFT(categories!G1258,6)&amp;";", "")</f>
        <v>cp ./img3/img077d.jpg ../catalog/category/img3/;</v>
      </c>
      <c r="B1258" t="str">
        <f>IF(LEN(categories!G1258) &gt; 0, SUBSTITUTE("copy ."&amp;categories!G1258&amp;" ./category"&amp;LEFT(categories!G1258,6),"/","\"), "")</f>
        <v>copy .\img3\img077d.jpg .\category\img3\</v>
      </c>
    </row>
    <row r="1259" spans="1:2" x14ac:dyDescent="0.25">
      <c r="A1259" t="str">
        <f>IF(LEN(categories!G1259) &gt; 0, "cp ."&amp;categories!G1259&amp;" ../catalog/category"&amp;LEFT(categories!G1259,6)&amp;";", "")</f>
        <v>cp ./img1/img2ca1.jpg ../catalog/category/img1/;</v>
      </c>
      <c r="B1259" t="str">
        <f>IF(LEN(categories!G1259) &gt; 0, SUBSTITUTE("copy ."&amp;categories!G1259&amp;" ./category"&amp;LEFT(categories!G1259,6),"/","\"), "")</f>
        <v>copy .\img1\img2ca1.jpg .\category\img1\</v>
      </c>
    </row>
    <row r="1260" spans="1:2" x14ac:dyDescent="0.25">
      <c r="A1260" t="str">
        <f>IF(LEN(categories!G1260) &gt; 0, "cp ."&amp;categories!G1260&amp;" ../catalog/category"&amp;LEFT(categories!G1260,6)&amp;";", "")</f>
        <v>cp ./img3/imgcd9a.jpg ../catalog/category/img3/;</v>
      </c>
      <c r="B1260" t="str">
        <f>IF(LEN(categories!G1260) &gt; 0, SUBSTITUTE("copy ."&amp;categories!G1260&amp;" ./category"&amp;LEFT(categories!G1260,6),"/","\"), "")</f>
        <v>copy .\img3\imgcd9a.jpg .\category\img3\</v>
      </c>
    </row>
    <row r="1261" spans="1:2" x14ac:dyDescent="0.25">
      <c r="A1261" t="str">
        <f>IF(LEN(categories!G1261) &gt; 0, "cp ."&amp;categories!G1261&amp;" ../catalog/category"&amp;LEFT(categories!G1261,6)&amp;";", "")</f>
        <v>cp ./img1/img003f.jpg ../catalog/category/img1/;</v>
      </c>
      <c r="B1261" t="str">
        <f>IF(LEN(categories!G1261) &gt; 0, SUBSTITUTE("copy ."&amp;categories!G1261&amp;" ./category"&amp;LEFT(categories!G1261,6),"/","\"), "")</f>
        <v>copy .\img1\img003f.jpg .\category\img1\</v>
      </c>
    </row>
    <row r="1262" spans="1:2" x14ac:dyDescent="0.25">
      <c r="A1262" t="str">
        <f>IF(LEN(categories!G1262) &gt; 0, "cp ."&amp;categories!G1262&amp;" ../catalog/category"&amp;LEFT(categories!G1262,6)&amp;";", "")</f>
        <v>cp ./img3/img9498.jpg ../catalog/category/img3/;</v>
      </c>
      <c r="B1262" t="str">
        <f>IF(LEN(categories!G1262) &gt; 0, SUBSTITUTE("copy ."&amp;categories!G1262&amp;" ./category"&amp;LEFT(categories!G1262,6),"/","\"), "")</f>
        <v>copy .\img3\img9498.jpg .\category\img3\</v>
      </c>
    </row>
    <row r="1263" spans="1:2" x14ac:dyDescent="0.25">
      <c r="A1263" t="str">
        <f>IF(LEN(categories!G1263) &gt; 0, "cp ."&amp;categories!G1263&amp;" ../catalog/category"&amp;LEFT(categories!G1263,6)&amp;";", "")</f>
        <v>cp ./img3/imgb1b0.jpg ../catalog/category/img3/;</v>
      </c>
      <c r="B1263" t="str">
        <f>IF(LEN(categories!G1263) &gt; 0, SUBSTITUTE("copy ."&amp;categories!G1263&amp;" ./category"&amp;LEFT(categories!G1263,6),"/","\"), "")</f>
        <v>copy .\img3\imgb1b0.jpg .\category\img3\</v>
      </c>
    </row>
    <row r="1264" spans="1:2" x14ac:dyDescent="0.25">
      <c r="A1264" t="str">
        <f>IF(LEN(categories!G1264) &gt; 0, "cp ."&amp;categories!G1264&amp;" ../catalog/category"&amp;LEFT(categories!G1264,6)&amp;";", "")</f>
        <v>cp ./img1/img72c3.jpg ../catalog/category/img1/;</v>
      </c>
      <c r="B1264" t="str">
        <f>IF(LEN(categories!G1264) &gt; 0, SUBSTITUTE("copy ."&amp;categories!G1264&amp;" ./category"&amp;LEFT(categories!G1264,6),"/","\"), "")</f>
        <v>copy .\img1\img72c3.jpg .\category\img1\</v>
      </c>
    </row>
    <row r="1265" spans="1:2" x14ac:dyDescent="0.25">
      <c r="A1265" t="str">
        <f>IF(LEN(categories!G1265) &gt; 0, "cp ."&amp;categories!G1265&amp;" ../catalog/category"&amp;LEFT(categories!G1265,6)&amp;";", "")</f>
        <v>cp ./img3/imgdaf1.jpg ../catalog/category/img3/;</v>
      </c>
      <c r="B1265" t="str">
        <f>IF(LEN(categories!G1265) &gt; 0, SUBSTITUTE("copy ."&amp;categories!G1265&amp;" ./category"&amp;LEFT(categories!G1265,6),"/","\"), "")</f>
        <v>copy .\img3\imgdaf1.jpg .\category\img3\</v>
      </c>
    </row>
    <row r="1266" spans="1:2" x14ac:dyDescent="0.25">
      <c r="A1266" t="str">
        <f>IF(LEN(categories!G1266) &gt; 0, "cp ."&amp;categories!G1266&amp;" ../catalog/category"&amp;LEFT(categories!G1266,6)&amp;";", "")</f>
        <v>cp ./img1/imgbfe4.jpg ../catalog/category/img1/;</v>
      </c>
      <c r="B1266" t="str">
        <f>IF(LEN(categories!G1266) &gt; 0, SUBSTITUTE("copy ."&amp;categories!G1266&amp;" ./category"&amp;LEFT(categories!G1266,6),"/","\"), "")</f>
        <v>copy .\img1\imgbfe4.jpg .\category\img1\</v>
      </c>
    </row>
    <row r="1267" spans="1:2" x14ac:dyDescent="0.25">
      <c r="A1267" t="str">
        <f>IF(LEN(categories!G1267) &gt; 0, "cp ."&amp;categories!G1267&amp;" ../catalog/category"&amp;LEFT(categories!G1267,6)&amp;";", "")</f>
        <v>cp ./img2/img82b1.jpg ../catalog/category/img2/;</v>
      </c>
      <c r="B1267" t="str">
        <f>IF(LEN(categories!G1267) &gt; 0, SUBSTITUTE("copy ."&amp;categories!G1267&amp;" ./category"&amp;LEFT(categories!G1267,6),"/","\"), "")</f>
        <v>copy .\img2\img82b1.jpg .\category\img2\</v>
      </c>
    </row>
    <row r="1268" spans="1:2" x14ac:dyDescent="0.25">
      <c r="A1268" t="str">
        <f>IF(LEN(categories!G1268) &gt; 0, "cp ."&amp;categories!G1268&amp;" ../catalog/category"&amp;LEFT(categories!G1268,6)&amp;";", "")</f>
        <v>cp ./img3/img1faf.jpg ../catalog/category/img3/;</v>
      </c>
      <c r="B1268" t="str">
        <f>IF(LEN(categories!G1268) &gt; 0, SUBSTITUTE("copy ."&amp;categories!G1268&amp;" ./category"&amp;LEFT(categories!G1268,6),"/","\"), "")</f>
        <v>copy .\img3\img1faf.jpg .\category\img3\</v>
      </c>
    </row>
    <row r="1269" spans="1:2" x14ac:dyDescent="0.25">
      <c r="A1269" t="str">
        <f>IF(LEN(categories!G1269) &gt; 0, "cp ."&amp;categories!G1269&amp;" ../catalog/category"&amp;LEFT(categories!G1269,6)&amp;";", "")</f>
        <v>cp ./img1/img9856.jpg ../catalog/category/img1/;</v>
      </c>
      <c r="B1269" t="str">
        <f>IF(LEN(categories!G1269) &gt; 0, SUBSTITUTE("copy ."&amp;categories!G1269&amp;" ./category"&amp;LEFT(categories!G1269,6),"/","\"), "")</f>
        <v>copy .\img1\img9856.jpg .\category\img1\</v>
      </c>
    </row>
    <row r="1270" spans="1:2" x14ac:dyDescent="0.25">
      <c r="A1270" t="str">
        <f>IF(LEN(categories!G1270) &gt; 0, "cp ."&amp;categories!G1270&amp;" ../catalog/category"&amp;LEFT(categories!G1270,6)&amp;";", "")</f>
        <v>cp ./img2/img2124.jpg ../catalog/category/img2/;</v>
      </c>
      <c r="B1270" t="str">
        <f>IF(LEN(categories!G1270) &gt; 0, SUBSTITUTE("copy ."&amp;categories!G1270&amp;" ./category"&amp;LEFT(categories!G1270,6),"/","\"), "")</f>
        <v>copy .\img2\img2124.jpg .\category\img2\</v>
      </c>
    </row>
    <row r="1271" spans="1:2" x14ac:dyDescent="0.25">
      <c r="A1271" t="str">
        <f>IF(LEN(categories!G1271) &gt; 0, "cp ."&amp;categories!G1271&amp;" ../catalog/category"&amp;LEFT(categories!G1271,6)&amp;";", "")</f>
        <v>cp ./img1/img62ec.jpg ../catalog/category/img1/;</v>
      </c>
      <c r="B1271" t="str">
        <f>IF(LEN(categories!G1271) &gt; 0, SUBSTITUTE("copy ."&amp;categories!G1271&amp;" ./category"&amp;LEFT(categories!G1271,6),"/","\"), "")</f>
        <v>copy .\img1\img62ec.jpg .\category\img1\</v>
      </c>
    </row>
    <row r="1272" spans="1:2" x14ac:dyDescent="0.25">
      <c r="A1272" t="str">
        <f>IF(LEN(categories!G1272) &gt; 0, "cp ."&amp;categories!G1272&amp;" ../catalog/category"&amp;LEFT(categories!G1272,6)&amp;";", "")</f>
        <v>cp ./img3/imge747.jpg ../catalog/category/img3/;</v>
      </c>
      <c r="B1272" t="str">
        <f>IF(LEN(categories!G1272) &gt; 0, SUBSTITUTE("copy ."&amp;categories!G1272&amp;" ./category"&amp;LEFT(categories!G1272,6),"/","\"), "")</f>
        <v>copy .\img3\imge747.jpg .\category\img3\</v>
      </c>
    </row>
    <row r="1273" spans="1:2" x14ac:dyDescent="0.25">
      <c r="A1273" t="str">
        <f>IF(LEN(categories!G1273) &gt; 0, "cp ."&amp;categories!G1273&amp;" ../catalog/category"&amp;LEFT(categories!G1273,6)&amp;";", "")</f>
        <v>cp ./img1/img3a2d.jpg ../catalog/category/img1/;</v>
      </c>
      <c r="B1273" t="str">
        <f>IF(LEN(categories!G1273) &gt; 0, SUBSTITUTE("copy ."&amp;categories!G1273&amp;" ./category"&amp;LEFT(categories!G1273,6),"/","\"), "")</f>
        <v>copy .\img1\img3a2d.jpg .\category\img1\</v>
      </c>
    </row>
    <row r="1274" spans="1:2" x14ac:dyDescent="0.25">
      <c r="A1274" t="str">
        <f>IF(LEN(categories!G1274) &gt; 0, "cp ."&amp;categories!G1274&amp;" ../catalog/category"&amp;LEFT(categories!G1274,6)&amp;";", "")</f>
        <v>cp ./img3/imge5db.jpg ../catalog/category/img3/;</v>
      </c>
      <c r="B1274" t="str">
        <f>IF(LEN(categories!G1274) &gt; 0, SUBSTITUTE("copy ."&amp;categories!G1274&amp;" ./category"&amp;LEFT(categories!G1274,6),"/","\"), "")</f>
        <v>copy .\img3\imge5db.jpg .\category\img3\</v>
      </c>
    </row>
    <row r="1275" spans="1:2" x14ac:dyDescent="0.25">
      <c r="A1275" t="str">
        <f>IF(LEN(categories!G1275) &gt; 0, "cp ."&amp;categories!G1275&amp;" ../catalog/category"&amp;LEFT(categories!G1275,6)&amp;";", "")</f>
        <v>cp ./img2/imge099.jpg ../catalog/category/img2/;</v>
      </c>
      <c r="B1275" t="str">
        <f>IF(LEN(categories!G1275) &gt; 0, SUBSTITUTE("copy ."&amp;categories!G1275&amp;" ./category"&amp;LEFT(categories!G1275,6),"/","\"), "")</f>
        <v>copy .\img2\imge099.jpg .\category\img2\</v>
      </c>
    </row>
    <row r="1276" spans="1:2" x14ac:dyDescent="0.25">
      <c r="A1276" t="str">
        <f>IF(LEN(categories!G1276) &gt; 0, "cp ."&amp;categories!G1276&amp;" ../catalog/category"&amp;LEFT(categories!G1276,6)&amp;";", "")</f>
        <v>cp ./img2/img6d25.jpg ../catalog/category/img2/;</v>
      </c>
      <c r="B1276" t="str">
        <f>IF(LEN(categories!G1276) &gt; 0, SUBSTITUTE("copy ."&amp;categories!G1276&amp;" ./category"&amp;LEFT(categories!G1276,6),"/","\"), "")</f>
        <v>copy .\img2\img6d25.jpg .\category\img2\</v>
      </c>
    </row>
    <row r="1277" spans="1:2" x14ac:dyDescent="0.25">
      <c r="A1277" t="str">
        <f>IF(LEN(categories!G1277) &gt; 0, "cp ."&amp;categories!G1277&amp;" ../catalog/category"&amp;LEFT(categories!G1277,6)&amp;";", "")</f>
        <v>cp ./img3/imgf69b.jpg ../catalog/category/img3/;</v>
      </c>
      <c r="B1277" t="str">
        <f>IF(LEN(categories!G1277) &gt; 0, SUBSTITUTE("copy ."&amp;categories!G1277&amp;" ./category"&amp;LEFT(categories!G1277,6),"/","\"), "")</f>
        <v>copy .\img3\imgf69b.jpg .\category\img3\</v>
      </c>
    </row>
    <row r="1278" spans="1:2" x14ac:dyDescent="0.25">
      <c r="A1278" t="str">
        <f>IF(LEN(categories!G1278) &gt; 0, "cp ."&amp;categories!G1278&amp;" ../catalog/category"&amp;LEFT(categories!G1278,6)&amp;";", "")</f>
        <v>cp ./img1/img76c6.jpg ../catalog/category/img1/;</v>
      </c>
      <c r="B1278" t="str">
        <f>IF(LEN(categories!G1278) &gt; 0, SUBSTITUTE("copy ."&amp;categories!G1278&amp;" ./category"&amp;LEFT(categories!G1278,6),"/","\"), "")</f>
        <v>copy .\img1\img76c6.jpg .\category\img1\</v>
      </c>
    </row>
    <row r="1279" spans="1:2" x14ac:dyDescent="0.25">
      <c r="A1279" t="str">
        <f>IF(LEN(categories!G1279) &gt; 0, "cp ."&amp;categories!G1279&amp;" ../catalog/category"&amp;LEFT(categories!G1279,6)&amp;";", "")</f>
        <v>cp ./img1/img256a.jpg ../catalog/category/img1/;</v>
      </c>
      <c r="B1279" t="str">
        <f>IF(LEN(categories!G1279) &gt; 0, SUBSTITUTE("copy ."&amp;categories!G1279&amp;" ./category"&amp;LEFT(categories!G1279,6),"/","\"), "")</f>
        <v>copy .\img1\img256a.jpg .\category\img1\</v>
      </c>
    </row>
    <row r="1280" spans="1:2" x14ac:dyDescent="0.25">
      <c r="A1280" t="str">
        <f>IF(LEN(categories!G1280) &gt; 0, "cp ."&amp;categories!G1280&amp;" ../catalog/category"&amp;LEFT(categories!G1280,6)&amp;";", "")</f>
        <v>cp ./img1/img5358.jpg ../catalog/category/img1/;</v>
      </c>
      <c r="B1280" t="str">
        <f>IF(LEN(categories!G1280) &gt; 0, SUBSTITUTE("copy ."&amp;categories!G1280&amp;" ./category"&amp;LEFT(categories!G1280,6),"/","\"), "")</f>
        <v>copy .\img1\img5358.jpg .\category\img1\</v>
      </c>
    </row>
    <row r="1281" spans="1:2" x14ac:dyDescent="0.25">
      <c r="A1281" t="str">
        <f>IF(LEN(categories!G1281) &gt; 0, "cp ."&amp;categories!G1281&amp;" ../catalog/category"&amp;LEFT(categories!G1281,6)&amp;";", "")</f>
        <v>cp ./img2/img2c01.jpg ../catalog/category/img2/;</v>
      </c>
      <c r="B1281" t="str">
        <f>IF(LEN(categories!G1281) &gt; 0, SUBSTITUTE("copy ."&amp;categories!G1281&amp;" ./category"&amp;LEFT(categories!G1281,6),"/","\"), "")</f>
        <v>copy .\img2\img2c01.jpg .\category\img2\</v>
      </c>
    </row>
    <row r="1282" spans="1:2" x14ac:dyDescent="0.25">
      <c r="A1282" t="str">
        <f>IF(LEN(categories!G1282) &gt; 0, "cp ."&amp;categories!G1282&amp;" ../catalog/category"&amp;LEFT(categories!G1282,6)&amp;";", "")</f>
        <v>cp ./img1/img71c0.jpg ../catalog/category/img1/;</v>
      </c>
      <c r="B1282" t="str">
        <f>IF(LEN(categories!G1282) &gt; 0, SUBSTITUTE("copy ."&amp;categories!G1282&amp;" ./category"&amp;LEFT(categories!G1282,6),"/","\"), "")</f>
        <v>copy .\img1\img71c0.jpg .\category\img1\</v>
      </c>
    </row>
    <row r="1283" spans="1:2" x14ac:dyDescent="0.25">
      <c r="A1283" t="str">
        <f>IF(LEN(categories!G1283) &gt; 0, "cp ."&amp;categories!G1283&amp;" ../catalog/category"&amp;LEFT(categories!G1283,6)&amp;";", "")</f>
        <v>cp ./img3/img4449.jpg ../catalog/category/img3/;</v>
      </c>
      <c r="B1283" t="str">
        <f>IF(LEN(categories!G1283) &gt; 0, SUBSTITUTE("copy ."&amp;categories!G1283&amp;" ./category"&amp;LEFT(categories!G1283,6),"/","\"), "")</f>
        <v>copy .\img3\img4449.jpg .\category\img3\</v>
      </c>
    </row>
    <row r="1284" spans="1:2" x14ac:dyDescent="0.25">
      <c r="A1284" t="str">
        <f>IF(LEN(categories!G1284) &gt; 0, "cp ."&amp;categories!G1284&amp;" ../catalog/category"&amp;LEFT(categories!G1284,6)&amp;";", "")</f>
        <v>cp ./img1/imga5d9.jpg ../catalog/category/img1/;</v>
      </c>
      <c r="B1284" t="str">
        <f>IF(LEN(categories!G1284) &gt; 0, SUBSTITUTE("copy ."&amp;categories!G1284&amp;" ./category"&amp;LEFT(categories!G1284,6),"/","\"), "")</f>
        <v>copy .\img1\imga5d9.jpg .\category\img1\</v>
      </c>
    </row>
    <row r="1285" spans="1:2" x14ac:dyDescent="0.25">
      <c r="A1285" t="str">
        <f>IF(LEN(categories!G1285) &gt; 0, "cp ."&amp;categories!G1285&amp;" ../catalog/category"&amp;LEFT(categories!G1285,6)&amp;";", "")</f>
        <v>cp ./img2/img3639.jpg ../catalog/category/img2/;</v>
      </c>
      <c r="B1285" t="str">
        <f>IF(LEN(categories!G1285) &gt; 0, SUBSTITUTE("copy ."&amp;categories!G1285&amp;" ./category"&amp;LEFT(categories!G1285,6),"/","\"), "")</f>
        <v>copy .\img2\img3639.jpg .\category\img2\</v>
      </c>
    </row>
    <row r="1286" spans="1:2" x14ac:dyDescent="0.25">
      <c r="A1286" t="str">
        <f>IF(LEN(categories!G1286) &gt; 0, "cp ."&amp;categories!G1286&amp;" ../catalog/category"&amp;LEFT(categories!G1286,6)&amp;";", "")</f>
        <v>cp ./img2/imgce19.jpg ../catalog/category/img2/;</v>
      </c>
      <c r="B1286" t="str">
        <f>IF(LEN(categories!G1286) &gt; 0, SUBSTITUTE("copy ."&amp;categories!G1286&amp;" ./category"&amp;LEFT(categories!G1286,6),"/","\"), "")</f>
        <v>copy .\img2\imgce19.jpg .\category\img2\</v>
      </c>
    </row>
    <row r="1287" spans="1:2" x14ac:dyDescent="0.25">
      <c r="A1287" t="str">
        <f>IF(LEN(categories!G1287) &gt; 0, "cp ."&amp;categories!G1287&amp;" ../catalog/category"&amp;LEFT(categories!G1287,6)&amp;";", "")</f>
        <v>cp ./img2/img4c69.jpg ../catalog/category/img2/;</v>
      </c>
      <c r="B1287" t="str">
        <f>IF(LEN(categories!G1287) &gt; 0, SUBSTITUTE("copy ."&amp;categories!G1287&amp;" ./category"&amp;LEFT(categories!G1287,6),"/","\"), "")</f>
        <v>copy .\img2\img4c69.jpg .\category\img2\</v>
      </c>
    </row>
    <row r="1288" spans="1:2" x14ac:dyDescent="0.25">
      <c r="A1288" t="str">
        <f>IF(LEN(categories!G1288) &gt; 0, "cp ."&amp;categories!G1288&amp;" ../catalog/category"&amp;LEFT(categories!G1288,6)&amp;";", "")</f>
        <v>cp ./img1/img7275.jpg ../catalog/category/img1/;</v>
      </c>
      <c r="B1288" t="str">
        <f>IF(LEN(categories!G1288) &gt; 0, SUBSTITUTE("copy ."&amp;categories!G1288&amp;" ./category"&amp;LEFT(categories!G1288,6),"/","\"), "")</f>
        <v>copy .\img1\img7275.jpg .\category\img1\</v>
      </c>
    </row>
    <row r="1289" spans="1:2" x14ac:dyDescent="0.25">
      <c r="A1289" t="str">
        <f>IF(LEN(categories!G1289) &gt; 0, "cp ."&amp;categories!G1289&amp;" ../catalog/category"&amp;LEFT(categories!G1289,6)&amp;";", "")</f>
        <v>cp ./img3/imge0df.jpg ../catalog/category/img3/;</v>
      </c>
      <c r="B1289" t="str">
        <f>IF(LEN(categories!G1289) &gt; 0, SUBSTITUTE("copy ."&amp;categories!G1289&amp;" ./category"&amp;LEFT(categories!G1289,6),"/","\"), "")</f>
        <v>copy .\img3\imge0df.jpg .\category\img3\</v>
      </c>
    </row>
    <row r="1290" spans="1:2" x14ac:dyDescent="0.25">
      <c r="A1290" t="str">
        <f>IF(LEN(categories!G1290) &gt; 0, "cp ."&amp;categories!G1290&amp;" ../catalog/category"&amp;LEFT(categories!G1290,6)&amp;";", "")</f>
        <v>cp ./img1/imgf9bc.jpg ../catalog/category/img1/;</v>
      </c>
      <c r="B1290" t="str">
        <f>IF(LEN(categories!G1290) &gt; 0, SUBSTITUTE("copy ."&amp;categories!G1290&amp;" ./category"&amp;LEFT(categories!G1290,6),"/","\"), "")</f>
        <v>copy .\img1\imgf9bc.jpg .\category\img1\</v>
      </c>
    </row>
    <row r="1291" spans="1:2" x14ac:dyDescent="0.25">
      <c r="A1291" t="str">
        <f>IF(LEN(categories!G1291) &gt; 0, "cp ."&amp;categories!G1291&amp;" ../catalog/category"&amp;LEFT(categories!G1291,6)&amp;";", "")</f>
        <v>cp ./img1/imgaa2e.jpg ../catalog/category/img1/;</v>
      </c>
      <c r="B1291" t="str">
        <f>IF(LEN(categories!G1291) &gt; 0, SUBSTITUTE("copy ."&amp;categories!G1291&amp;" ./category"&amp;LEFT(categories!G1291,6),"/","\"), "")</f>
        <v>copy .\img1\imgaa2e.jpg .\category\img1\</v>
      </c>
    </row>
    <row r="1292" spans="1:2" x14ac:dyDescent="0.25">
      <c r="A1292" t="str">
        <f>IF(LEN(categories!G1292) &gt; 0, "cp ."&amp;categories!G1292&amp;" ../catalog/category"&amp;LEFT(categories!G1292,6)&amp;";", "")</f>
        <v>cp ./img1/img0cec.jpg ../catalog/category/img1/;</v>
      </c>
      <c r="B1292" t="str">
        <f>IF(LEN(categories!G1292) &gt; 0, SUBSTITUTE("copy ."&amp;categories!G1292&amp;" ./category"&amp;LEFT(categories!G1292,6),"/","\"), "")</f>
        <v>copy .\img1\img0cec.jpg .\category\img1\</v>
      </c>
    </row>
    <row r="1293" spans="1:2" x14ac:dyDescent="0.25">
      <c r="A1293" t="str">
        <f>IF(LEN(categories!G1293) &gt; 0, "cp ."&amp;categories!G1293&amp;" ../catalog/category"&amp;LEFT(categories!G1293,6)&amp;";", "")</f>
        <v>cp ./img2/img9741-2.jpg ../catalog/category/img2/;</v>
      </c>
      <c r="B1293" t="str">
        <f>IF(LEN(categories!G1293) &gt; 0, SUBSTITUTE("copy ."&amp;categories!G1293&amp;" ./category"&amp;LEFT(categories!G1293,6),"/","\"), "")</f>
        <v>copy .\img2\img9741-2.jpg .\category\img2\</v>
      </c>
    </row>
    <row r="1294" spans="1:2" x14ac:dyDescent="0.25">
      <c r="A1294" t="str">
        <f>IF(LEN(categories!G1294) &gt; 0, "cp ."&amp;categories!G1294&amp;" ../catalog/category"&amp;LEFT(categories!G1294,6)&amp;";", "")</f>
        <v>cp ./img1/img3c7e.jpg ../catalog/category/img1/;</v>
      </c>
      <c r="B1294" t="str">
        <f>IF(LEN(categories!G1294) &gt; 0, SUBSTITUTE("copy ."&amp;categories!G1294&amp;" ./category"&amp;LEFT(categories!G1294,6),"/","\"), "")</f>
        <v>copy .\img1\img3c7e.jpg .\category\img1\</v>
      </c>
    </row>
    <row r="1295" spans="1:2" x14ac:dyDescent="0.25">
      <c r="A1295" t="str">
        <f>IF(LEN(categories!G1295) &gt; 0, "cp ."&amp;categories!G1295&amp;" ../catalog/category"&amp;LEFT(categories!G1295,6)&amp;";", "")</f>
        <v>cp ./img1/imgbd5e.jpg ../catalog/category/img1/;</v>
      </c>
      <c r="B1295" t="str">
        <f>IF(LEN(categories!G1295) &gt; 0, SUBSTITUTE("copy ."&amp;categories!G1295&amp;" ./category"&amp;LEFT(categories!G1295,6),"/","\"), "")</f>
        <v>copy .\img1\imgbd5e.jpg .\category\img1\</v>
      </c>
    </row>
    <row r="1296" spans="1:2" x14ac:dyDescent="0.25">
      <c r="A1296" t="str">
        <f>IF(LEN(categories!G1296) &gt; 0, "cp ."&amp;categories!G1296&amp;" ../catalog/category"&amp;LEFT(categories!G1296,6)&amp;";", "")</f>
        <v>cp ./img1/imgf949.jpg ../catalog/category/img1/;</v>
      </c>
      <c r="B1296" t="str">
        <f>IF(LEN(categories!G1296) &gt; 0, SUBSTITUTE("copy ."&amp;categories!G1296&amp;" ./category"&amp;LEFT(categories!G1296,6),"/","\"), "")</f>
        <v>copy .\img1\imgf949.jpg .\category\img1\</v>
      </c>
    </row>
    <row r="1297" spans="1:2" x14ac:dyDescent="0.25">
      <c r="A1297" t="str">
        <f>IF(LEN(categories!G1297) &gt; 0, "cp ."&amp;categories!G1297&amp;" ../catalog/category"&amp;LEFT(categories!G1297,6)&amp;";", "")</f>
        <v>cp ./img2/img3fec.jpg ../catalog/category/img2/;</v>
      </c>
      <c r="B1297" t="str">
        <f>IF(LEN(categories!G1297) &gt; 0, SUBSTITUTE("copy ."&amp;categories!G1297&amp;" ./category"&amp;LEFT(categories!G1297,6),"/","\"), "")</f>
        <v>copy .\img2\img3fec.jpg .\category\img2\</v>
      </c>
    </row>
    <row r="1298" spans="1:2" x14ac:dyDescent="0.25">
      <c r="A1298" t="str">
        <f>IF(LEN(categories!G1298) &gt; 0, "cp ."&amp;categories!G1298&amp;" ../catalog/category"&amp;LEFT(categories!G1298,6)&amp;";", "")</f>
        <v>cp ./img2/imge26f.jpg ../catalog/category/img2/;</v>
      </c>
      <c r="B1298" t="str">
        <f>IF(LEN(categories!G1298) &gt; 0, SUBSTITUTE("copy ."&amp;categories!G1298&amp;" ./category"&amp;LEFT(categories!G1298,6),"/","\"), "")</f>
        <v>copy .\img2\imge26f.jpg .\category\img2\</v>
      </c>
    </row>
    <row r="1299" spans="1:2" x14ac:dyDescent="0.25">
      <c r="A1299" t="str">
        <f>IF(LEN(categories!G1299) &gt; 0, "cp ."&amp;categories!G1299&amp;" ../catalog/category"&amp;LEFT(categories!G1299,6)&amp;";", "")</f>
        <v>cp ./img3/img6d90.jpg ../catalog/category/img3/;</v>
      </c>
      <c r="B1299" t="str">
        <f>IF(LEN(categories!G1299) &gt; 0, SUBSTITUTE("copy ."&amp;categories!G1299&amp;" ./category"&amp;LEFT(categories!G1299,6),"/","\"), "")</f>
        <v>copy .\img3\img6d90.jpg .\category\img3\</v>
      </c>
    </row>
    <row r="1300" spans="1:2" x14ac:dyDescent="0.25">
      <c r="A1300" t="str">
        <f>IF(LEN(categories!G1300) &gt; 0, "cp ."&amp;categories!G1300&amp;" ../catalog/category"&amp;LEFT(categories!G1300,6)&amp;";", "")</f>
        <v>cp ./img3/img75bb.jpg ../catalog/category/img3/;</v>
      </c>
      <c r="B1300" t="str">
        <f>IF(LEN(categories!G1300) &gt; 0, SUBSTITUTE("copy ."&amp;categories!G1300&amp;" ./category"&amp;LEFT(categories!G1300,6),"/","\"), "")</f>
        <v>copy .\img3\img75bb.jpg .\category\img3\</v>
      </c>
    </row>
    <row r="1301" spans="1:2" x14ac:dyDescent="0.25">
      <c r="A1301" t="str">
        <f>IF(LEN(categories!G1301) &gt; 0, "cp ."&amp;categories!G1301&amp;" ../catalog/category"&amp;LEFT(categories!G1301,6)&amp;";", "")</f>
        <v>cp ./img3/img4403.jpg ../catalog/category/img3/;</v>
      </c>
      <c r="B1301" t="str">
        <f>IF(LEN(categories!G1301) &gt; 0, SUBSTITUTE("copy ."&amp;categories!G1301&amp;" ./category"&amp;LEFT(categories!G1301,6),"/","\"), "")</f>
        <v>copy .\img3\img4403.jpg .\category\img3\</v>
      </c>
    </row>
    <row r="1302" spans="1:2" x14ac:dyDescent="0.25">
      <c r="A1302" t="str">
        <f>IF(LEN(categories!G1302) &gt; 0, "cp ."&amp;categories!G1302&amp;" ../catalog/category"&amp;LEFT(categories!G1302,6)&amp;";", "")</f>
        <v>cp ./img3/imgc879.jpg ../catalog/category/img3/;</v>
      </c>
      <c r="B1302" t="str">
        <f>IF(LEN(categories!G1302) &gt; 0, SUBSTITUTE("copy ."&amp;categories!G1302&amp;" ./category"&amp;LEFT(categories!G1302,6),"/","\"), "")</f>
        <v>copy .\img3\imgc879.jpg .\category\img3\</v>
      </c>
    </row>
    <row r="1303" spans="1:2" x14ac:dyDescent="0.25">
      <c r="A1303" t="str">
        <f>IF(LEN(categories!G1303) &gt; 0, "cp ."&amp;categories!G1303&amp;" ../catalog/category"&amp;LEFT(categories!G1303,6)&amp;";", "")</f>
        <v>cp ./img1/imgb606.jpg ../catalog/category/img1/;</v>
      </c>
      <c r="B1303" t="str">
        <f>IF(LEN(categories!G1303) &gt; 0, SUBSTITUTE("copy ."&amp;categories!G1303&amp;" ./category"&amp;LEFT(categories!G1303,6),"/","\"), "")</f>
        <v>copy .\img1\imgb606.jpg .\category\img1\</v>
      </c>
    </row>
    <row r="1304" spans="1:2" x14ac:dyDescent="0.25">
      <c r="A1304" t="str">
        <f>IF(LEN(categories!G1304) &gt; 0, "cp ."&amp;categories!G1304&amp;" ../catalog/category"&amp;LEFT(categories!G1304,6)&amp;";", "")</f>
        <v>cp ./img2/img4e12.jpg ../catalog/category/img2/;</v>
      </c>
      <c r="B1304" t="str">
        <f>IF(LEN(categories!G1304) &gt; 0, SUBSTITUTE("copy ."&amp;categories!G1304&amp;" ./category"&amp;LEFT(categories!G1304,6),"/","\"), "")</f>
        <v>copy .\img2\img4e12.jpg .\category\img2\</v>
      </c>
    </row>
    <row r="1305" spans="1:2" x14ac:dyDescent="0.25">
      <c r="A1305" t="str">
        <f>IF(LEN(categories!G1305) &gt; 0, "cp ."&amp;categories!G1305&amp;" ../catalog/category"&amp;LEFT(categories!G1305,6)&amp;";", "")</f>
        <v>cp ./img2/img5849.jpg ../catalog/category/img2/;</v>
      </c>
      <c r="B1305" t="str">
        <f>IF(LEN(categories!G1305) &gt; 0, SUBSTITUTE("copy ."&amp;categories!G1305&amp;" ./category"&amp;LEFT(categories!G1305,6),"/","\"), "")</f>
        <v>copy .\img2\img5849.jpg .\category\img2\</v>
      </c>
    </row>
    <row r="1306" spans="1:2" x14ac:dyDescent="0.25">
      <c r="A1306" t="str">
        <f>IF(LEN(categories!G1306) &gt; 0, "cp ."&amp;categories!G1306&amp;" ../catalog/category"&amp;LEFT(categories!G1306,6)&amp;";", "")</f>
        <v>cp ./img2/img4e12.jpg ../catalog/category/img2/;</v>
      </c>
      <c r="B1306" t="str">
        <f>IF(LEN(categories!G1306) &gt; 0, SUBSTITUTE("copy ."&amp;categories!G1306&amp;" ./category"&amp;LEFT(categories!G1306,6),"/","\"), "")</f>
        <v>copy .\img2\img4e12.jpg .\category\img2\</v>
      </c>
    </row>
    <row r="1307" spans="1:2" x14ac:dyDescent="0.25">
      <c r="A1307" t="str">
        <f>IF(LEN(categories!G1307) &gt; 0, "cp ."&amp;categories!G1307&amp;" ../catalog/category"&amp;LEFT(categories!G1307,6)&amp;";", "")</f>
        <v>cp ./img2/imgd71f.jpg ../catalog/category/img2/;</v>
      </c>
      <c r="B1307" t="str">
        <f>IF(LEN(categories!G1307) &gt; 0, SUBSTITUTE("copy ."&amp;categories!G1307&amp;" ./category"&amp;LEFT(categories!G1307,6),"/","\"), "")</f>
        <v>copy .\img2\imgd71f.jpg .\category\img2\</v>
      </c>
    </row>
    <row r="1308" spans="1:2" x14ac:dyDescent="0.25">
      <c r="A1308" t="str">
        <f>IF(LEN(categories!G1308) &gt; 0, "cp ."&amp;categories!G1308&amp;" ../catalog/category"&amp;LEFT(categories!G1308,6)&amp;";", "")</f>
        <v>cp ./img1/imgb96d.jpg ../catalog/category/img1/;</v>
      </c>
      <c r="B1308" t="str">
        <f>IF(LEN(categories!G1308) &gt; 0, SUBSTITUTE("copy ."&amp;categories!G1308&amp;" ./category"&amp;LEFT(categories!G1308,6),"/","\"), "")</f>
        <v>copy .\img1\imgb96d.jpg .\category\img1\</v>
      </c>
    </row>
    <row r="1309" spans="1:2" x14ac:dyDescent="0.25">
      <c r="A1309" t="str">
        <f>IF(LEN(categories!G1309) &gt; 0, "cp ."&amp;categories!G1309&amp;" ../catalog/category"&amp;LEFT(categories!G1309,6)&amp;";", "")</f>
        <v>cp ./img3/imgc3d2.jpg ../catalog/category/img3/;</v>
      </c>
      <c r="B1309" t="str">
        <f>IF(LEN(categories!G1309) &gt; 0, SUBSTITUTE("copy ."&amp;categories!G1309&amp;" ./category"&amp;LEFT(categories!G1309,6),"/","\"), "")</f>
        <v>copy .\img3\imgc3d2.jpg .\category\img3\</v>
      </c>
    </row>
    <row r="1310" spans="1:2" x14ac:dyDescent="0.25">
      <c r="A1310" t="str">
        <f>IF(LEN(categories!G1310) &gt; 0, "cp ."&amp;categories!G1310&amp;" ../catalog/category"&amp;LEFT(categories!G1310,6)&amp;";", "")</f>
        <v>cp ./img2/img6715.jpg ../catalog/category/img2/;</v>
      </c>
      <c r="B1310" t="str">
        <f>IF(LEN(categories!G1310) &gt; 0, SUBSTITUTE("copy ."&amp;categories!G1310&amp;" ./category"&amp;LEFT(categories!G1310,6),"/","\"), "")</f>
        <v>copy .\img2\img6715.jpg .\category\img2\</v>
      </c>
    </row>
    <row r="1311" spans="1:2" x14ac:dyDescent="0.25">
      <c r="A1311" t="str">
        <f>IF(LEN(categories!G1311) &gt; 0, "cp ."&amp;categories!G1311&amp;" ../catalog/category"&amp;LEFT(categories!G1311,6)&amp;";", "")</f>
        <v>cp ./img1/img78fe.jpg ../catalog/category/img1/;</v>
      </c>
      <c r="B1311" t="str">
        <f>IF(LEN(categories!G1311) &gt; 0, SUBSTITUTE("copy ."&amp;categories!G1311&amp;" ./category"&amp;LEFT(categories!G1311,6),"/","\"), "")</f>
        <v>copy .\img1\img78fe.jpg .\category\img1\</v>
      </c>
    </row>
    <row r="1312" spans="1:2" x14ac:dyDescent="0.25">
      <c r="A1312" t="str">
        <f>IF(LEN(categories!G1312) &gt; 0, "cp ."&amp;categories!G1312&amp;" ../catalog/category"&amp;LEFT(categories!G1312,6)&amp;";", "")</f>
        <v>cp ./img3/imgf4f6.jpg ../catalog/category/img3/;</v>
      </c>
      <c r="B1312" t="str">
        <f>IF(LEN(categories!G1312) &gt; 0, SUBSTITUTE("copy ."&amp;categories!G1312&amp;" ./category"&amp;LEFT(categories!G1312,6),"/","\"), "")</f>
        <v>copy .\img3\imgf4f6.jpg .\category\img3\</v>
      </c>
    </row>
    <row r="1313" spans="1:2" x14ac:dyDescent="0.25">
      <c r="A1313" t="str">
        <f>IF(LEN(categories!G1313) &gt; 0, "cp ."&amp;categories!G1313&amp;" ../catalog/category"&amp;LEFT(categories!G1313,6)&amp;";", "")</f>
        <v>cp ./img1/img7275.jpg ../catalog/category/img1/;</v>
      </c>
      <c r="B1313" t="str">
        <f>IF(LEN(categories!G1313) &gt; 0, SUBSTITUTE("copy ."&amp;categories!G1313&amp;" ./category"&amp;LEFT(categories!G1313,6),"/","\"), "")</f>
        <v>copy .\img1\img7275.jpg .\category\img1\</v>
      </c>
    </row>
    <row r="1314" spans="1:2" x14ac:dyDescent="0.25">
      <c r="A1314" t="str">
        <f>IF(LEN(categories!G1314) &gt; 0, "cp ."&amp;categories!G1314&amp;" ../catalog/category"&amp;LEFT(categories!G1314,6)&amp;";", "")</f>
        <v>cp ./img1/img3383.jpg ../catalog/category/img1/;</v>
      </c>
      <c r="B1314" t="str">
        <f>IF(LEN(categories!G1314) &gt; 0, SUBSTITUTE("copy ."&amp;categories!G1314&amp;" ./category"&amp;LEFT(categories!G1314,6),"/","\"), "")</f>
        <v>copy .\img1\img3383.jpg .\category\img1\</v>
      </c>
    </row>
    <row r="1315" spans="1:2" x14ac:dyDescent="0.25">
      <c r="A1315" t="str">
        <f>IF(LEN(categories!G1315) &gt; 0, "cp ."&amp;categories!G1315&amp;" ../catalog/category"&amp;LEFT(categories!G1315,6)&amp;";", "")</f>
        <v>cp ./img1/img9c79.jpg ../catalog/category/img1/;</v>
      </c>
      <c r="B1315" t="str">
        <f>IF(LEN(categories!G1315) &gt; 0, SUBSTITUTE("copy ."&amp;categories!G1315&amp;" ./category"&amp;LEFT(categories!G1315,6),"/","\"), "")</f>
        <v>copy .\img1\img9c79.jpg .\category\img1\</v>
      </c>
    </row>
    <row r="1316" spans="1:2" x14ac:dyDescent="0.25">
      <c r="A1316" t="str">
        <f>IF(LEN(categories!G1316) &gt; 0, "cp ."&amp;categories!G1316&amp;" ../catalog/category"&amp;LEFT(categories!G1316,6)&amp;";", "")</f>
        <v>cp ./img2/img1844.jpg ../catalog/category/img2/;</v>
      </c>
      <c r="B1316" t="str">
        <f>IF(LEN(categories!G1316) &gt; 0, SUBSTITUTE("copy ."&amp;categories!G1316&amp;" ./category"&amp;LEFT(categories!G1316,6),"/","\"), "")</f>
        <v>copy .\img2\img1844.jpg .\category\img2\</v>
      </c>
    </row>
    <row r="1317" spans="1:2" x14ac:dyDescent="0.25">
      <c r="A1317" t="str">
        <f>IF(LEN(categories!G1317) &gt; 0, "cp ."&amp;categories!G1317&amp;" ../catalog/category"&amp;LEFT(categories!G1317,6)&amp;";", "")</f>
        <v>cp ./img3/img5445.jpg ../catalog/category/img3/;</v>
      </c>
      <c r="B1317" t="str">
        <f>IF(LEN(categories!G1317) &gt; 0, SUBSTITUTE("copy ."&amp;categories!G1317&amp;" ./category"&amp;LEFT(categories!G1317,6),"/","\"), "")</f>
        <v>copy .\img3\img5445.jpg .\category\img3\</v>
      </c>
    </row>
    <row r="1318" spans="1:2" x14ac:dyDescent="0.25">
      <c r="A1318" t="str">
        <f>IF(LEN(categories!G1318) &gt; 0, "cp ."&amp;categories!G1318&amp;" ../catalog/category"&amp;LEFT(categories!G1318,6)&amp;";", "")</f>
        <v>cp ./img3/img1123.jpg ../catalog/category/img3/;</v>
      </c>
      <c r="B1318" t="str">
        <f>IF(LEN(categories!G1318) &gt; 0, SUBSTITUTE("copy ."&amp;categories!G1318&amp;" ./category"&amp;LEFT(categories!G1318,6),"/","\"), "")</f>
        <v>copy .\img3\img1123.jpg .\category\img3\</v>
      </c>
    </row>
    <row r="1319" spans="1:2" x14ac:dyDescent="0.25">
      <c r="A1319" t="str">
        <f>IF(LEN(categories!G1319) &gt; 0, "cp ."&amp;categories!G1319&amp;" ../catalog/category"&amp;LEFT(categories!G1319,6)&amp;";", "")</f>
        <v>cp ./img2/img26e3.jpg ../catalog/category/img2/;</v>
      </c>
      <c r="B1319" t="str">
        <f>IF(LEN(categories!G1319) &gt; 0, SUBSTITUTE("copy ."&amp;categories!G1319&amp;" ./category"&amp;LEFT(categories!G1319,6),"/","\"), "")</f>
        <v>copy .\img2\img26e3.jpg .\category\img2\</v>
      </c>
    </row>
    <row r="1320" spans="1:2" x14ac:dyDescent="0.25">
      <c r="A1320" t="str">
        <f>IF(LEN(categories!G1320) &gt; 0, "cp ."&amp;categories!G1320&amp;" ../catalog/category"&amp;LEFT(categories!G1320,6)&amp;";", "")</f>
        <v>cp ./img2/img9527.jpg ../catalog/category/img2/;</v>
      </c>
      <c r="B1320" t="str">
        <f>IF(LEN(categories!G1320) &gt; 0, SUBSTITUTE("copy ."&amp;categories!G1320&amp;" ./category"&amp;LEFT(categories!G1320,6),"/","\"), "")</f>
        <v>copy .\img2\img9527.jpg .\category\img2\</v>
      </c>
    </row>
    <row r="1321" spans="1:2" x14ac:dyDescent="0.25">
      <c r="A1321" t="str">
        <f>IF(LEN(categories!G1321) &gt; 0, "cp ."&amp;categories!G1321&amp;" ../catalog/category"&amp;LEFT(categories!G1321,6)&amp;";", "")</f>
        <v>cp ./img1/imgc168.jpg ../catalog/category/img1/;</v>
      </c>
      <c r="B1321" t="str">
        <f>IF(LEN(categories!G1321) &gt; 0, SUBSTITUTE("copy ."&amp;categories!G1321&amp;" ./category"&amp;LEFT(categories!G1321,6),"/","\"), "")</f>
        <v>copy .\img1\imgc168.jpg .\category\img1\</v>
      </c>
    </row>
    <row r="1322" spans="1:2" x14ac:dyDescent="0.25">
      <c r="A1322" t="str">
        <f>IF(LEN(categories!G1322) &gt; 0, "cp ."&amp;categories!G1322&amp;" ../catalog/category"&amp;LEFT(categories!G1322,6)&amp;";", "")</f>
        <v>cp ./img1/imgc233.jpg ../catalog/category/img1/;</v>
      </c>
      <c r="B1322" t="str">
        <f>IF(LEN(categories!G1322) &gt; 0, SUBSTITUTE("copy ."&amp;categories!G1322&amp;" ./category"&amp;LEFT(categories!G1322,6),"/","\"), "")</f>
        <v>copy .\img1\imgc233.jpg .\category\img1\</v>
      </c>
    </row>
    <row r="1323" spans="1:2" x14ac:dyDescent="0.25">
      <c r="A1323" t="str">
        <f>IF(LEN(categories!G1323) &gt; 0, "cp ."&amp;categories!G1323&amp;" ../catalog/category"&amp;LEFT(categories!G1323,6)&amp;";", "")</f>
        <v>cp ./img3/imgd7d5.jpg ../catalog/category/img3/;</v>
      </c>
      <c r="B1323" t="str">
        <f>IF(LEN(categories!G1323) &gt; 0, SUBSTITUTE("copy ."&amp;categories!G1323&amp;" ./category"&amp;LEFT(categories!G1323,6),"/","\"), "")</f>
        <v>copy .\img3\imgd7d5.jpg .\category\img3\</v>
      </c>
    </row>
    <row r="1324" spans="1:2" x14ac:dyDescent="0.25">
      <c r="A1324" t="str">
        <f>IF(LEN(categories!G1324) &gt; 0, "cp ."&amp;categories!G1324&amp;" ../catalog/category"&amp;LEFT(categories!G1324,6)&amp;";", "")</f>
        <v>cp ./img1/img2e89.jpg ../catalog/category/img1/;</v>
      </c>
      <c r="B1324" t="str">
        <f>IF(LEN(categories!G1324) &gt; 0, SUBSTITUTE("copy ."&amp;categories!G1324&amp;" ./category"&amp;LEFT(categories!G1324,6),"/","\"), "")</f>
        <v>copy .\img1\img2e89.jpg .\category\img1\</v>
      </c>
    </row>
    <row r="1325" spans="1:2" x14ac:dyDescent="0.25">
      <c r="A1325" t="str">
        <f>IF(LEN(categories!G1325) &gt; 0, "cp ."&amp;categories!G1325&amp;" ../catalog/category"&amp;LEFT(categories!G1325,6)&amp;";", "")</f>
        <v>cp ./img3/img7729.jpg ../catalog/category/img3/;</v>
      </c>
      <c r="B1325" t="str">
        <f>IF(LEN(categories!G1325) &gt; 0, SUBSTITUTE("copy ."&amp;categories!G1325&amp;" ./category"&amp;LEFT(categories!G1325,6),"/","\"), "")</f>
        <v>copy .\img3\img7729.jpg .\category\img3\</v>
      </c>
    </row>
    <row r="1326" spans="1:2" x14ac:dyDescent="0.25">
      <c r="A1326" t="str">
        <f>IF(LEN(categories!G1326) &gt; 0, "cp ."&amp;categories!G1326&amp;" ../catalog/category"&amp;LEFT(categories!G1326,6)&amp;";", "")</f>
        <v>cp ./img2/img9998.jpg ../catalog/category/img2/;</v>
      </c>
      <c r="B1326" t="str">
        <f>IF(LEN(categories!G1326) &gt; 0, SUBSTITUTE("copy ."&amp;categories!G1326&amp;" ./category"&amp;LEFT(categories!G1326,6),"/","\"), "")</f>
        <v>copy .\img2\img9998.jpg .\category\img2\</v>
      </c>
    </row>
    <row r="1327" spans="1:2" x14ac:dyDescent="0.25">
      <c r="A1327" t="str">
        <f>IF(LEN(categories!G1327) &gt; 0, "cp ."&amp;categories!G1327&amp;" ../catalog/category"&amp;LEFT(categories!G1327,6)&amp;";", "")</f>
        <v>cp ./img3/imgcbac.jpg ../catalog/category/img3/;</v>
      </c>
      <c r="B1327" t="str">
        <f>IF(LEN(categories!G1327) &gt; 0, SUBSTITUTE("copy ."&amp;categories!G1327&amp;" ./category"&amp;LEFT(categories!G1327,6),"/","\"), "")</f>
        <v>copy .\img3\imgcbac.jpg .\category\img3\</v>
      </c>
    </row>
    <row r="1328" spans="1:2" x14ac:dyDescent="0.25">
      <c r="A1328" t="str">
        <f>IF(LEN(categories!G1328) &gt; 0, "cp ."&amp;categories!G1328&amp;" ../catalog/category"&amp;LEFT(categories!G1328,6)&amp;";", "")</f>
        <v>cp ./img2/imge556.jpg ../catalog/category/img2/;</v>
      </c>
      <c r="B1328" t="str">
        <f>IF(LEN(categories!G1328) &gt; 0, SUBSTITUTE("copy ."&amp;categories!G1328&amp;" ./category"&amp;LEFT(categories!G1328,6),"/","\"), "")</f>
        <v>copy .\img2\imge556.jpg .\category\img2\</v>
      </c>
    </row>
    <row r="1329" spans="1:2" x14ac:dyDescent="0.25">
      <c r="A1329" t="str">
        <f>IF(LEN(categories!G1329) &gt; 0, "cp ."&amp;categories!G1329&amp;" ../catalog/category"&amp;LEFT(categories!G1329,6)&amp;";", "")</f>
        <v>cp ./img1/img23a1.jpg ../catalog/category/img1/;</v>
      </c>
      <c r="B1329" t="str">
        <f>IF(LEN(categories!G1329) &gt; 0, SUBSTITUTE("copy ."&amp;categories!G1329&amp;" ./category"&amp;LEFT(categories!G1329,6),"/","\"), "")</f>
        <v>copy .\img1\img23a1.jpg .\category\img1\</v>
      </c>
    </row>
    <row r="1330" spans="1:2" x14ac:dyDescent="0.25">
      <c r="A1330" t="str">
        <f>IF(LEN(categories!G1330) &gt; 0, "cp ."&amp;categories!G1330&amp;" ../catalog/category"&amp;LEFT(categories!G1330,6)&amp;";", "")</f>
        <v>cp ./img3/img518d.jpg ../catalog/category/img3/;</v>
      </c>
      <c r="B1330" t="str">
        <f>IF(LEN(categories!G1330) &gt; 0, SUBSTITUTE("copy ."&amp;categories!G1330&amp;" ./category"&amp;LEFT(categories!G1330,6),"/","\"), "")</f>
        <v>copy .\img3\img518d.jpg .\category\img3\</v>
      </c>
    </row>
    <row r="1331" spans="1:2" x14ac:dyDescent="0.25">
      <c r="A1331" t="str">
        <f>IF(LEN(categories!G1331) &gt; 0, "cp ."&amp;categories!G1331&amp;" ../catalog/category"&amp;LEFT(categories!G1331,6)&amp;";", "")</f>
        <v>cp ./img1/img649a.jpg ../catalog/category/img1/;</v>
      </c>
      <c r="B1331" t="str">
        <f>IF(LEN(categories!G1331) &gt; 0, SUBSTITUTE("copy ."&amp;categories!G1331&amp;" ./category"&amp;LEFT(categories!G1331,6),"/","\"), "")</f>
        <v>copy .\img1\img649a.jpg .\category\img1\</v>
      </c>
    </row>
    <row r="1332" spans="1:2" x14ac:dyDescent="0.25">
      <c r="A1332" t="str">
        <f>IF(LEN(categories!G1332) &gt; 0, "cp ."&amp;categories!G1332&amp;" ../catalog/category"&amp;LEFT(categories!G1332,6)&amp;";", "")</f>
        <v>cp ./img2/imgf1b8.jpg ../catalog/category/img2/;</v>
      </c>
      <c r="B1332" t="str">
        <f>IF(LEN(categories!G1332) &gt; 0, SUBSTITUTE("copy ."&amp;categories!G1332&amp;" ./category"&amp;LEFT(categories!G1332,6),"/","\"), "")</f>
        <v>copy .\img2\imgf1b8.jpg .\category\img2\</v>
      </c>
    </row>
    <row r="1333" spans="1:2" x14ac:dyDescent="0.25">
      <c r="A1333" t="str">
        <f>IF(LEN(categories!G1333) &gt; 0, "cp ."&amp;categories!G1333&amp;" ../catalog/category"&amp;LEFT(categories!G1333,6)&amp;";", "")</f>
        <v>cp ./img3/img4778.jpg ../catalog/category/img3/;</v>
      </c>
      <c r="B1333" t="str">
        <f>IF(LEN(categories!G1333) &gt; 0, SUBSTITUTE("copy ."&amp;categories!G1333&amp;" ./category"&amp;LEFT(categories!G1333,6),"/","\"), "")</f>
        <v>copy .\img3\img4778.jpg .\category\img3\</v>
      </c>
    </row>
    <row r="1334" spans="1:2" x14ac:dyDescent="0.25">
      <c r="A1334" t="str">
        <f>IF(LEN(categories!G1334) &gt; 0, "cp ."&amp;categories!G1334&amp;" ../catalog/category"&amp;LEFT(categories!G1334,6)&amp;";", "")</f>
        <v>cp ./img3/img1438.jpg ../catalog/category/img3/;</v>
      </c>
      <c r="B1334" t="str">
        <f>IF(LEN(categories!G1334) &gt; 0, SUBSTITUTE("copy ."&amp;categories!G1334&amp;" ./category"&amp;LEFT(categories!G1334,6),"/","\"), "")</f>
        <v>copy .\img3\img1438.jpg .\category\img3\</v>
      </c>
    </row>
    <row r="1335" spans="1:2" x14ac:dyDescent="0.25">
      <c r="A1335" t="str">
        <f>IF(LEN(categories!G1335) &gt; 0, "cp ."&amp;categories!G1335&amp;" ../catalog/category"&amp;LEFT(categories!G1335,6)&amp;";", "")</f>
        <v>cp ./img2/imgbab2.jpg ../catalog/category/img2/;</v>
      </c>
      <c r="B1335" t="str">
        <f>IF(LEN(categories!G1335) &gt; 0, SUBSTITUTE("copy ."&amp;categories!G1335&amp;" ./category"&amp;LEFT(categories!G1335,6),"/","\"), "")</f>
        <v>copy .\img2\imgbab2.jpg .\category\img2\</v>
      </c>
    </row>
    <row r="1336" spans="1:2" x14ac:dyDescent="0.25">
      <c r="A1336" t="str">
        <f>IF(LEN(categories!G1336) &gt; 0, "cp ."&amp;categories!G1336&amp;" ../catalog/category"&amp;LEFT(categories!G1336,6)&amp;";", "")</f>
        <v>cp ./img2/imgce4c.jpg ../catalog/category/img2/;</v>
      </c>
      <c r="B1336" t="str">
        <f>IF(LEN(categories!G1336) &gt; 0, SUBSTITUTE("copy ."&amp;categories!G1336&amp;" ./category"&amp;LEFT(categories!G1336,6),"/","\"), "")</f>
        <v>copy .\img2\imgce4c.jpg .\category\img2\</v>
      </c>
    </row>
    <row r="1337" spans="1:2" x14ac:dyDescent="0.25">
      <c r="A1337" t="str">
        <f>IF(LEN(categories!G1337) &gt; 0, "cp ."&amp;categories!G1337&amp;" ../catalog/category"&amp;LEFT(categories!G1337,6)&amp;";", "")</f>
        <v>cp ./img1/img9493.jpg ../catalog/category/img1/;</v>
      </c>
      <c r="B1337" t="str">
        <f>IF(LEN(categories!G1337) &gt; 0, SUBSTITUTE("copy ."&amp;categories!G1337&amp;" ./category"&amp;LEFT(categories!G1337,6),"/","\"), "")</f>
        <v>copy .\img1\img9493.jpg .\category\img1\</v>
      </c>
    </row>
    <row r="1338" spans="1:2" x14ac:dyDescent="0.25">
      <c r="A1338" t="str">
        <f>IF(LEN(categories!G1338) &gt; 0, "cp ."&amp;categories!G1338&amp;" ../catalog/category"&amp;LEFT(categories!G1338,6)&amp;";", "")</f>
        <v>cp ./img1/imga20b.jpg ../catalog/category/img1/;</v>
      </c>
      <c r="B1338" t="str">
        <f>IF(LEN(categories!G1338) &gt; 0, SUBSTITUTE("copy ."&amp;categories!G1338&amp;" ./category"&amp;LEFT(categories!G1338,6),"/","\"), "")</f>
        <v>copy .\img1\imga20b.jpg .\category\img1\</v>
      </c>
    </row>
    <row r="1339" spans="1:2" x14ac:dyDescent="0.25">
      <c r="A1339" t="str">
        <f>IF(LEN(categories!G1339) &gt; 0, "cp ."&amp;categories!G1339&amp;" ../catalog/category"&amp;LEFT(categories!G1339,6)&amp;";", "")</f>
        <v>cp ./img3/img1e6b.jpg ../catalog/category/img3/;</v>
      </c>
      <c r="B1339" t="str">
        <f>IF(LEN(categories!G1339) &gt; 0, SUBSTITUTE("copy ."&amp;categories!G1339&amp;" ./category"&amp;LEFT(categories!G1339,6),"/","\"), "")</f>
        <v>copy .\img3\img1e6b.jpg .\category\img3\</v>
      </c>
    </row>
    <row r="1340" spans="1:2" x14ac:dyDescent="0.25">
      <c r="A1340" t="str">
        <f>IF(LEN(categories!G1340) &gt; 0, "cp ."&amp;categories!G1340&amp;" ../catalog/category"&amp;LEFT(categories!G1340,6)&amp;";", "")</f>
        <v>cp ./img2/imgd16a.jpg ../catalog/category/img2/;</v>
      </c>
      <c r="B1340" t="str">
        <f>IF(LEN(categories!G1340) &gt; 0, SUBSTITUTE("copy ."&amp;categories!G1340&amp;" ./category"&amp;LEFT(categories!G1340,6),"/","\"), "")</f>
        <v>copy .\img2\imgd16a.jpg .\category\img2\</v>
      </c>
    </row>
    <row r="1341" spans="1:2" x14ac:dyDescent="0.25">
      <c r="A1341" t="str">
        <f>IF(LEN(categories!G1341) &gt; 0, "cp ."&amp;categories!G1341&amp;" ../catalog/category"&amp;LEFT(categories!G1341,6)&amp;";", "")</f>
        <v>cp ./img1/imgf7ee.jpg ../catalog/category/img1/;</v>
      </c>
      <c r="B1341" t="str">
        <f>IF(LEN(categories!G1341) &gt; 0, SUBSTITUTE("copy ."&amp;categories!G1341&amp;" ./category"&amp;LEFT(categories!G1341,6),"/","\"), "")</f>
        <v>copy .\img1\imgf7ee.jpg .\category\img1\</v>
      </c>
    </row>
    <row r="1342" spans="1:2" x14ac:dyDescent="0.25">
      <c r="A1342" t="str">
        <f>IF(LEN(categories!G1342) &gt; 0, "cp ."&amp;categories!G1342&amp;" ../catalog/category"&amp;LEFT(categories!G1342,6)&amp;";", "")</f>
        <v>cp ./img2/imgc084.jpg ../catalog/category/img2/;</v>
      </c>
      <c r="B1342" t="str">
        <f>IF(LEN(categories!G1342) &gt; 0, SUBSTITUTE("copy ."&amp;categories!G1342&amp;" ./category"&amp;LEFT(categories!G1342,6),"/","\"), "")</f>
        <v>copy .\img2\imgc084.jpg .\category\img2\</v>
      </c>
    </row>
    <row r="1343" spans="1:2" x14ac:dyDescent="0.25">
      <c r="A1343" t="str">
        <f>IF(LEN(categories!G1343) &gt; 0, "cp ."&amp;categories!G1343&amp;" ../catalog/category"&amp;LEFT(categories!G1343,6)&amp;";", "")</f>
        <v>cp ./img3/imgb655.jpg ../catalog/category/img3/;</v>
      </c>
      <c r="B1343" t="str">
        <f>IF(LEN(categories!G1343) &gt; 0, SUBSTITUTE("copy ."&amp;categories!G1343&amp;" ./category"&amp;LEFT(categories!G1343,6),"/","\"), "")</f>
        <v>copy .\img3\imgb655.jpg .\category\img3\</v>
      </c>
    </row>
    <row r="1344" spans="1:2" x14ac:dyDescent="0.25">
      <c r="A1344" t="str">
        <f>IF(LEN(categories!G1344) &gt; 0, "cp ."&amp;categories!G1344&amp;" ../catalog/category"&amp;LEFT(categories!G1344,6)&amp;";", "")</f>
        <v>cp ./img1/img8a01.jpg ../catalog/category/img1/;</v>
      </c>
      <c r="B1344" t="str">
        <f>IF(LEN(categories!G1344) &gt; 0, SUBSTITUTE("copy ."&amp;categories!G1344&amp;" ./category"&amp;LEFT(categories!G1344,6),"/","\"), "")</f>
        <v>copy .\img1\img8a01.jpg .\category\img1\</v>
      </c>
    </row>
    <row r="1345" spans="1:2" x14ac:dyDescent="0.25">
      <c r="A1345" t="str">
        <f>IF(LEN(categories!G1345) &gt; 0, "cp ."&amp;categories!G1345&amp;" ../catalog/category"&amp;LEFT(categories!G1345,6)&amp;";", "")</f>
        <v>cp ./img3/img7908.jpg ../catalog/category/img3/;</v>
      </c>
      <c r="B1345" t="str">
        <f>IF(LEN(categories!G1345) &gt; 0, SUBSTITUTE("copy ."&amp;categories!G1345&amp;" ./category"&amp;LEFT(categories!G1345,6),"/","\"), "")</f>
        <v>copy .\img3\img7908.jpg .\category\img3\</v>
      </c>
    </row>
    <row r="1346" spans="1:2" x14ac:dyDescent="0.25">
      <c r="A1346" t="str">
        <f>IF(LEN(categories!G1346) &gt; 0, "cp ."&amp;categories!G1346&amp;" ../catalog/category"&amp;LEFT(categories!G1346,6)&amp;";", "")</f>
        <v>cp ./img2/imgd3a4.jpg ../catalog/category/img2/;</v>
      </c>
      <c r="B1346" t="str">
        <f>IF(LEN(categories!G1346) &gt; 0, SUBSTITUTE("copy ."&amp;categories!G1346&amp;" ./category"&amp;LEFT(categories!G1346,6),"/","\"), "")</f>
        <v>copy .\img2\imgd3a4.jpg .\category\img2\</v>
      </c>
    </row>
    <row r="1347" spans="1:2" x14ac:dyDescent="0.25">
      <c r="A1347" t="str">
        <f>IF(LEN(categories!G1347) &gt; 0, "cp ."&amp;categories!G1347&amp;" ../catalog/category"&amp;LEFT(categories!G1347,6)&amp;";", "")</f>
        <v>cp ./img3/img9926.jpg ../catalog/category/img3/;</v>
      </c>
      <c r="B1347" t="str">
        <f>IF(LEN(categories!G1347) &gt; 0, SUBSTITUTE("copy ."&amp;categories!G1347&amp;" ./category"&amp;LEFT(categories!G1347,6),"/","\"), "")</f>
        <v>copy .\img3\img9926.jpg .\category\img3\</v>
      </c>
    </row>
    <row r="1348" spans="1:2" x14ac:dyDescent="0.25">
      <c r="A1348" t="str">
        <f>IF(LEN(categories!G1348) &gt; 0, "cp ."&amp;categories!G1348&amp;" ../catalog/category"&amp;LEFT(categories!G1348,6)&amp;";", "")</f>
        <v>cp ./img2/img5087.jpg ../catalog/category/img2/;</v>
      </c>
      <c r="B1348" t="str">
        <f>IF(LEN(categories!G1348) &gt; 0, SUBSTITUTE("copy ."&amp;categories!G1348&amp;" ./category"&amp;LEFT(categories!G1348,6),"/","\"), "")</f>
        <v>copy .\img2\img5087.jpg .\category\img2\</v>
      </c>
    </row>
    <row r="1349" spans="1:2" x14ac:dyDescent="0.25">
      <c r="A1349" t="str">
        <f>IF(LEN(categories!G1349) &gt; 0, "cp ."&amp;categories!G1349&amp;" ../catalog/category"&amp;LEFT(categories!G1349,6)&amp;";", "")</f>
        <v>cp ./img3/img1e30-2.jpg ../catalog/category/img3/;</v>
      </c>
      <c r="B1349" t="str">
        <f>IF(LEN(categories!G1349) &gt; 0, SUBSTITUTE("copy ."&amp;categories!G1349&amp;" ./category"&amp;LEFT(categories!G1349,6),"/","\"), "")</f>
        <v>copy .\img3\img1e30-2.jpg .\category\img3\</v>
      </c>
    </row>
    <row r="1350" spans="1:2" x14ac:dyDescent="0.25">
      <c r="A1350" t="str">
        <f>IF(LEN(categories!G1350) &gt; 0, "cp ."&amp;categories!G1350&amp;" ../catalog/category"&amp;LEFT(categories!G1350,6)&amp;";", "")</f>
        <v>cp ./img3/img6998.jpg ../catalog/category/img3/;</v>
      </c>
      <c r="B1350" t="str">
        <f>IF(LEN(categories!G1350) &gt; 0, SUBSTITUTE("copy ."&amp;categories!G1350&amp;" ./category"&amp;LEFT(categories!G1350,6),"/","\"), "")</f>
        <v>copy .\img3\img6998.jpg .\category\img3\</v>
      </c>
    </row>
    <row r="1351" spans="1:2" x14ac:dyDescent="0.25">
      <c r="A1351" t="str">
        <f>IF(LEN(categories!G1351) &gt; 0, "cp ."&amp;categories!G1351&amp;" ../catalog/category"&amp;LEFT(categories!G1351,6)&amp;";", "")</f>
        <v>cp ./img2/imgde4a.jpg ../catalog/category/img2/;</v>
      </c>
      <c r="B1351" t="str">
        <f>IF(LEN(categories!G1351) &gt; 0, SUBSTITUTE("copy ."&amp;categories!G1351&amp;" ./category"&amp;LEFT(categories!G1351,6),"/","\"), "")</f>
        <v>copy .\img2\imgde4a.jpg .\category\img2\</v>
      </c>
    </row>
    <row r="1352" spans="1:2" x14ac:dyDescent="0.25">
      <c r="A1352" t="str">
        <f>IF(LEN(categories!G1352) &gt; 0, "cp ."&amp;categories!G1352&amp;" ../catalog/category"&amp;LEFT(categories!G1352,6)&amp;";", "")</f>
        <v>cp ./img3/img056c.jpg ../catalog/category/img3/;</v>
      </c>
      <c r="B1352" t="str">
        <f>IF(LEN(categories!G1352) &gt; 0, SUBSTITUTE("copy ."&amp;categories!G1352&amp;" ./category"&amp;LEFT(categories!G1352,6),"/","\"), "")</f>
        <v>copy .\img3\img056c.jpg .\category\img3\</v>
      </c>
    </row>
    <row r="1353" spans="1:2" x14ac:dyDescent="0.25">
      <c r="A1353" t="str">
        <f>IF(LEN(categories!G1353) &gt; 0, "cp ."&amp;categories!G1353&amp;" ../catalog/category"&amp;LEFT(categories!G1353,6)&amp;";", "")</f>
        <v>cp ./img1/imgac35.jpg ../catalog/category/img1/;</v>
      </c>
      <c r="B1353" t="str">
        <f>IF(LEN(categories!G1353) &gt; 0, SUBSTITUTE("copy ."&amp;categories!G1353&amp;" ./category"&amp;LEFT(categories!G1353,6),"/","\"), "")</f>
        <v>copy .\img1\imgac35.jpg .\category\img1\</v>
      </c>
    </row>
    <row r="1354" spans="1:2" x14ac:dyDescent="0.25">
      <c r="A1354" t="str">
        <f>IF(LEN(categories!G1354) &gt; 0, "cp ."&amp;categories!G1354&amp;" ../catalog/category"&amp;LEFT(categories!G1354,6)&amp;";", "")</f>
        <v>cp ./img3/img4a88.jpg ../catalog/category/img3/;</v>
      </c>
      <c r="B1354" t="str">
        <f>IF(LEN(categories!G1354) &gt; 0, SUBSTITUTE("copy ."&amp;categories!G1354&amp;" ./category"&amp;LEFT(categories!G1354,6),"/","\"), "")</f>
        <v>copy .\img3\img4a88.jpg .\category\img3\</v>
      </c>
    </row>
    <row r="1355" spans="1:2" x14ac:dyDescent="0.25">
      <c r="A1355" t="str">
        <f>IF(LEN(categories!G1355) &gt; 0, "cp ."&amp;categories!G1355&amp;" ../catalog/category"&amp;LEFT(categories!G1355,6)&amp;";", "")</f>
        <v>cp ./img2/img6156.jpg ../catalog/category/img2/;</v>
      </c>
      <c r="B1355" t="str">
        <f>IF(LEN(categories!G1355) &gt; 0, SUBSTITUTE("copy ."&amp;categories!G1355&amp;" ./category"&amp;LEFT(categories!G1355,6),"/","\"), "")</f>
        <v>copy .\img2\img6156.jpg .\category\img2\</v>
      </c>
    </row>
    <row r="1356" spans="1:2" x14ac:dyDescent="0.25">
      <c r="A1356" t="str">
        <f>IF(LEN(categories!G1356) &gt; 0, "cp ."&amp;categories!G1356&amp;" ../catalog/category"&amp;LEFT(categories!G1356,6)&amp;";", "")</f>
        <v>cp ./img3/imga0b7.jpg ../catalog/category/img3/;</v>
      </c>
      <c r="B1356" t="str">
        <f>IF(LEN(categories!G1356) &gt; 0, SUBSTITUTE("copy ."&amp;categories!G1356&amp;" ./category"&amp;LEFT(categories!G1356,6),"/","\"), "")</f>
        <v>copy .\img3\imga0b7.jpg .\category\img3\</v>
      </c>
    </row>
    <row r="1357" spans="1:2" x14ac:dyDescent="0.25">
      <c r="A1357" t="str">
        <f>IF(LEN(categories!G1357) &gt; 0, "cp ."&amp;categories!G1357&amp;" ../catalog/category"&amp;LEFT(categories!G1357,6)&amp;";", "")</f>
        <v>cp ./img1/img2b4c.jpg ../catalog/category/img1/;</v>
      </c>
      <c r="B1357" t="str">
        <f>IF(LEN(categories!G1357) &gt; 0, SUBSTITUTE("copy ."&amp;categories!G1357&amp;" ./category"&amp;LEFT(categories!G1357,6),"/","\"), "")</f>
        <v>copy .\img1\img2b4c.jpg .\category\img1\</v>
      </c>
    </row>
    <row r="1358" spans="1:2" x14ac:dyDescent="0.25">
      <c r="A1358" t="str">
        <f>IF(LEN(categories!G1358) &gt; 0, "cp ."&amp;categories!G1358&amp;" ../catalog/category"&amp;LEFT(categories!G1358,6)&amp;";", "")</f>
        <v>cp ./img2/img586a.jpg ../catalog/category/img2/;</v>
      </c>
      <c r="B1358" t="str">
        <f>IF(LEN(categories!G1358) &gt; 0, SUBSTITUTE("copy ."&amp;categories!G1358&amp;" ./category"&amp;LEFT(categories!G1358,6),"/","\"), "")</f>
        <v>copy .\img2\img586a.jpg .\category\img2\</v>
      </c>
    </row>
    <row r="1359" spans="1:2" x14ac:dyDescent="0.25">
      <c r="A1359" t="str">
        <f>IF(LEN(categories!G1359) &gt; 0, "cp ."&amp;categories!G1359&amp;" ../catalog/category"&amp;LEFT(categories!G1359,6)&amp;";", "")</f>
        <v>cp ./img3/img2e5f.jpg ../catalog/category/img3/;</v>
      </c>
      <c r="B1359" t="str">
        <f>IF(LEN(categories!G1359) &gt; 0, SUBSTITUTE("copy ."&amp;categories!G1359&amp;" ./category"&amp;LEFT(categories!G1359,6),"/","\"), "")</f>
        <v>copy .\img3\img2e5f.jpg .\category\img3\</v>
      </c>
    </row>
    <row r="1360" spans="1:2" x14ac:dyDescent="0.25">
      <c r="A1360" t="str">
        <f>IF(LEN(categories!G1360) &gt; 0, "cp ."&amp;categories!G1360&amp;" ../catalog/category"&amp;LEFT(categories!G1360,6)&amp;";", "")</f>
        <v>cp ./img2/imgae85.jpg ../catalog/category/img2/;</v>
      </c>
      <c r="B1360" t="str">
        <f>IF(LEN(categories!G1360) &gt; 0, SUBSTITUTE("copy ."&amp;categories!G1360&amp;" ./category"&amp;LEFT(categories!G1360,6),"/","\"), "")</f>
        <v>copy .\img2\imgae85.jpg .\category\img2\</v>
      </c>
    </row>
    <row r="1361" spans="1:2" x14ac:dyDescent="0.25">
      <c r="A1361" t="str">
        <f>IF(LEN(categories!G1361) &gt; 0, "cp ."&amp;categories!G1361&amp;" ../catalog/category"&amp;LEFT(categories!G1361,6)&amp;";", "")</f>
        <v>cp ./img2/imgfe95.jpg ../catalog/category/img2/;</v>
      </c>
      <c r="B1361" t="str">
        <f>IF(LEN(categories!G1361) &gt; 0, SUBSTITUTE("copy ."&amp;categories!G1361&amp;" ./category"&amp;LEFT(categories!G1361,6),"/","\"), "")</f>
        <v>copy .\img2\imgfe95.jpg .\category\img2\</v>
      </c>
    </row>
    <row r="1362" spans="1:2" x14ac:dyDescent="0.25">
      <c r="A1362" t="str">
        <f>IF(LEN(categories!G1362) &gt; 0, "cp ."&amp;categories!G1362&amp;" ../catalog/category"&amp;LEFT(categories!G1362,6)&amp;";", "")</f>
        <v>cp ./img3/img97bb.jpg ../catalog/category/img3/;</v>
      </c>
      <c r="B1362" t="str">
        <f>IF(LEN(categories!G1362) &gt; 0, SUBSTITUTE("copy ."&amp;categories!G1362&amp;" ./category"&amp;LEFT(categories!G1362,6),"/","\"), "")</f>
        <v>copy .\img3\img97bb.jpg .\category\img3\</v>
      </c>
    </row>
    <row r="1363" spans="1:2" x14ac:dyDescent="0.25">
      <c r="A1363" t="str">
        <f>IF(LEN(categories!G1363) &gt; 0, "cp ."&amp;categories!G1363&amp;" ../catalog/category"&amp;LEFT(categories!G1363,6)&amp;";", "")</f>
        <v>cp ./img1/img006b.jpg ../catalog/category/img1/;</v>
      </c>
      <c r="B1363" t="str">
        <f>IF(LEN(categories!G1363) &gt; 0, SUBSTITUTE("copy ."&amp;categories!G1363&amp;" ./category"&amp;LEFT(categories!G1363,6),"/","\"), "")</f>
        <v>copy .\img1\img006b.jpg .\category\img1\</v>
      </c>
    </row>
    <row r="1364" spans="1:2" x14ac:dyDescent="0.25">
      <c r="A1364" t="str">
        <f>IF(LEN(categories!G1364) &gt; 0, "cp ."&amp;categories!G1364&amp;" ../catalog/category"&amp;LEFT(categories!G1364,6)&amp;";", "")</f>
        <v>cp ./img3/img6f69.jpg ../catalog/category/img3/;</v>
      </c>
      <c r="B1364" t="str">
        <f>IF(LEN(categories!G1364) &gt; 0, SUBSTITUTE("copy ."&amp;categories!G1364&amp;" ./category"&amp;LEFT(categories!G1364,6),"/","\"), "")</f>
        <v>copy .\img3\img6f69.jpg .\category\img3\</v>
      </c>
    </row>
    <row r="1365" spans="1:2" x14ac:dyDescent="0.25">
      <c r="A1365" t="str">
        <f>IF(LEN(categories!G1365) &gt; 0, "cp ."&amp;categories!G1365&amp;" ../catalog/category"&amp;LEFT(categories!G1365,6)&amp;";", "")</f>
        <v>cp ./img1/imgc23f.jpg ../catalog/category/img1/;</v>
      </c>
      <c r="B1365" t="str">
        <f>IF(LEN(categories!G1365) &gt; 0, SUBSTITUTE("copy ."&amp;categories!G1365&amp;" ./category"&amp;LEFT(categories!G1365,6),"/","\"), "")</f>
        <v>copy .\img1\imgc23f.jpg .\category\img1\</v>
      </c>
    </row>
    <row r="1366" spans="1:2" x14ac:dyDescent="0.25">
      <c r="A1366" t="str">
        <f>IF(LEN(categories!G1366) &gt; 0, "cp ."&amp;categories!G1366&amp;" ../catalog/category"&amp;LEFT(categories!G1366,6)&amp;";", "")</f>
        <v>cp ./img2/imgb97c.jpg ../catalog/category/img2/;</v>
      </c>
      <c r="B1366" t="str">
        <f>IF(LEN(categories!G1366) &gt; 0, SUBSTITUTE("copy ."&amp;categories!G1366&amp;" ./category"&amp;LEFT(categories!G1366,6),"/","\"), "")</f>
        <v>copy .\img2\imgb97c.jpg .\category\img2\</v>
      </c>
    </row>
    <row r="1367" spans="1:2" x14ac:dyDescent="0.25">
      <c r="A1367" t="str">
        <f>IF(LEN(categories!G1367) &gt; 0, "cp ."&amp;categories!G1367&amp;" ../catalog/category"&amp;LEFT(categories!G1367,6)&amp;";", "")</f>
        <v>cp ./img2/img1449.jpg ../catalog/category/img2/;</v>
      </c>
      <c r="B1367" t="str">
        <f>IF(LEN(categories!G1367) &gt; 0, SUBSTITUTE("copy ."&amp;categories!G1367&amp;" ./category"&amp;LEFT(categories!G1367,6),"/","\"), "")</f>
        <v>copy .\img2\img1449.jpg .\category\img2\</v>
      </c>
    </row>
    <row r="1368" spans="1:2" x14ac:dyDescent="0.25">
      <c r="A1368" t="str">
        <f>IF(LEN(categories!G1368) &gt; 0, "cp ."&amp;categories!G1368&amp;" ../catalog/category"&amp;LEFT(categories!G1368,6)&amp;";", "")</f>
        <v>cp ./img2/img3b52.jpg ../catalog/category/img2/;</v>
      </c>
      <c r="B1368" t="str">
        <f>IF(LEN(categories!G1368) &gt; 0, SUBSTITUTE("copy ."&amp;categories!G1368&amp;" ./category"&amp;LEFT(categories!G1368,6),"/","\"), "")</f>
        <v>copy .\img2\img3b52.jpg .\category\img2\</v>
      </c>
    </row>
    <row r="1369" spans="1:2" x14ac:dyDescent="0.25">
      <c r="A1369" t="str">
        <f>IF(LEN(categories!G1369) &gt; 0, "cp ."&amp;categories!G1369&amp;" ../catalog/category"&amp;LEFT(categories!G1369,6)&amp;";", "")</f>
        <v>cp ./img3/img1c29.jpg ../catalog/category/img3/;</v>
      </c>
      <c r="B1369" t="str">
        <f>IF(LEN(categories!G1369) &gt; 0, SUBSTITUTE("copy ."&amp;categories!G1369&amp;" ./category"&amp;LEFT(categories!G1369,6),"/","\"), "")</f>
        <v>copy .\img3\img1c29.jpg .\category\img3\</v>
      </c>
    </row>
    <row r="1370" spans="1:2" x14ac:dyDescent="0.25">
      <c r="A1370" t="str">
        <f>IF(LEN(categories!G1370) &gt; 0, "cp ."&amp;categories!G1370&amp;" ../catalog/category"&amp;LEFT(categories!G1370,6)&amp;";", "")</f>
        <v>cp ./img1/imgaa3d.jpg ../catalog/category/img1/;</v>
      </c>
      <c r="B1370" t="str">
        <f>IF(LEN(categories!G1370) &gt; 0, SUBSTITUTE("copy ."&amp;categories!G1370&amp;" ./category"&amp;LEFT(categories!G1370,6),"/","\"), "")</f>
        <v>copy .\img1\imgaa3d.jpg .\category\img1\</v>
      </c>
    </row>
    <row r="1371" spans="1:2" x14ac:dyDescent="0.25">
      <c r="A1371" t="str">
        <f>IF(LEN(categories!G1371) &gt; 0, "cp ."&amp;categories!G1371&amp;" ../catalog/category"&amp;LEFT(categories!G1371,6)&amp;";", "")</f>
        <v>cp ./img1/imgb628.jpg ../catalog/category/img1/;</v>
      </c>
      <c r="B1371" t="str">
        <f>IF(LEN(categories!G1371) &gt; 0, SUBSTITUTE("copy ."&amp;categories!G1371&amp;" ./category"&amp;LEFT(categories!G1371,6),"/","\"), "")</f>
        <v>copy .\img1\imgb628.jpg .\category\img1\</v>
      </c>
    </row>
    <row r="1372" spans="1:2" x14ac:dyDescent="0.25">
      <c r="A1372" t="str">
        <f>IF(LEN(categories!G1372) &gt; 0, "cp ."&amp;categories!G1372&amp;" ../catalog/category"&amp;LEFT(categories!G1372,6)&amp;";", "")</f>
        <v>cp ./img3/img172b.jpg ../catalog/category/img3/;</v>
      </c>
      <c r="B1372" t="str">
        <f>IF(LEN(categories!G1372) &gt; 0, SUBSTITUTE("copy ."&amp;categories!G1372&amp;" ./category"&amp;LEFT(categories!G1372,6),"/","\"), "")</f>
        <v>copy .\img3\img172b.jpg .\category\img3\</v>
      </c>
    </row>
    <row r="1373" spans="1:2" x14ac:dyDescent="0.25">
      <c r="A1373" t="str">
        <f>IF(LEN(categories!G1373) &gt; 0, "cp ."&amp;categories!G1373&amp;" ../catalog/category"&amp;LEFT(categories!G1373,6)&amp;";", "")</f>
        <v>cp ./img3/img5b23.jpg ../catalog/category/img3/;</v>
      </c>
      <c r="B1373" t="str">
        <f>IF(LEN(categories!G1373) &gt; 0, SUBSTITUTE("copy ."&amp;categories!G1373&amp;" ./category"&amp;LEFT(categories!G1373,6),"/","\"), "")</f>
        <v>copy .\img3\img5b23.jpg .\category\img3\</v>
      </c>
    </row>
    <row r="1374" spans="1:2" x14ac:dyDescent="0.25">
      <c r="A1374" t="str">
        <f>IF(LEN(categories!G1374) &gt; 0, "cp ."&amp;categories!G1374&amp;" ../catalog/category"&amp;LEFT(categories!G1374,6)&amp;";", "")</f>
        <v>cp ./img3/imgf137.jpg ../catalog/category/img3/;</v>
      </c>
      <c r="B1374" t="str">
        <f>IF(LEN(categories!G1374) &gt; 0, SUBSTITUTE("copy ."&amp;categories!G1374&amp;" ./category"&amp;LEFT(categories!G1374,6),"/","\"), "")</f>
        <v>copy .\img3\imgf137.jpg .\category\img3\</v>
      </c>
    </row>
    <row r="1375" spans="1:2" x14ac:dyDescent="0.25">
      <c r="A1375" t="str">
        <f>IF(LEN(categories!G1375) &gt; 0, "cp ."&amp;categories!G1375&amp;" ../catalog/category"&amp;LEFT(categories!G1375,6)&amp;";", "")</f>
        <v>cp ./img2/imgc2b9.jpg ../catalog/category/img2/;</v>
      </c>
      <c r="B1375" t="str">
        <f>IF(LEN(categories!G1375) &gt; 0, SUBSTITUTE("copy ."&amp;categories!G1375&amp;" ./category"&amp;LEFT(categories!G1375,6),"/","\"), "")</f>
        <v>copy .\img2\imgc2b9.jpg .\category\img2\</v>
      </c>
    </row>
    <row r="1376" spans="1:2" x14ac:dyDescent="0.25">
      <c r="A1376" t="str">
        <f>IF(LEN(categories!G1376) &gt; 0, "cp ."&amp;categories!G1376&amp;" ../catalog/category"&amp;LEFT(categories!G1376,6)&amp;";", "")</f>
        <v>cp ./img1/img81a1.jpg ../catalog/category/img1/;</v>
      </c>
      <c r="B1376" t="str">
        <f>IF(LEN(categories!G1376) &gt; 0, SUBSTITUTE("copy ."&amp;categories!G1376&amp;" ./category"&amp;LEFT(categories!G1376,6),"/","\"), "")</f>
        <v>copy .\img1\img81a1.jpg .\category\img1\</v>
      </c>
    </row>
    <row r="1377" spans="1:2" x14ac:dyDescent="0.25">
      <c r="A1377" t="str">
        <f>IF(LEN(categories!G1377) &gt; 0, "cp ."&amp;categories!G1377&amp;" ../catalog/category"&amp;LEFT(categories!G1377,6)&amp;";", "")</f>
        <v>cp ./img3/imgb3d9.jpg ../catalog/category/img3/;</v>
      </c>
      <c r="B1377" t="str">
        <f>IF(LEN(categories!G1377) &gt; 0, SUBSTITUTE("copy ."&amp;categories!G1377&amp;" ./category"&amp;LEFT(categories!G1377,6),"/","\"), "")</f>
        <v>copy .\img3\imgb3d9.jpg .\category\img3\</v>
      </c>
    </row>
    <row r="1378" spans="1:2" x14ac:dyDescent="0.25">
      <c r="A1378" t="str">
        <f>IF(LEN(categories!G1378) &gt; 0, "cp ."&amp;categories!G1378&amp;" ../catalog/category"&amp;LEFT(categories!G1378,6)&amp;";", "")</f>
        <v>cp ./img2/img20dd.jpg ../catalog/category/img2/;</v>
      </c>
      <c r="B1378" t="str">
        <f>IF(LEN(categories!G1378) &gt; 0, SUBSTITUTE("copy ."&amp;categories!G1378&amp;" ./category"&amp;LEFT(categories!G1378,6),"/","\"), "")</f>
        <v>copy .\img2\img20dd.jpg .\category\img2\</v>
      </c>
    </row>
    <row r="1379" spans="1:2" x14ac:dyDescent="0.25">
      <c r="A1379" t="str">
        <f>IF(LEN(categories!G1379) &gt; 0, "cp ."&amp;categories!G1379&amp;" ../catalog/category"&amp;LEFT(categories!G1379,6)&amp;";", "")</f>
        <v>cp ./img1/img9fc4.jpg ../catalog/category/img1/;</v>
      </c>
      <c r="B1379" t="str">
        <f>IF(LEN(categories!G1379) &gt; 0, SUBSTITUTE("copy ."&amp;categories!G1379&amp;" ./category"&amp;LEFT(categories!G1379,6),"/","\"), "")</f>
        <v>copy .\img1\img9fc4.jpg .\category\img1\</v>
      </c>
    </row>
    <row r="1380" spans="1:2" x14ac:dyDescent="0.25">
      <c r="A1380" t="str">
        <f>IF(LEN(categories!G1380) &gt; 0, "cp ."&amp;categories!G1380&amp;" ../catalog/category"&amp;LEFT(categories!G1380,6)&amp;";", "")</f>
        <v>cp ./img2/img2435.jpg ../catalog/category/img2/;</v>
      </c>
      <c r="B1380" t="str">
        <f>IF(LEN(categories!G1380) &gt; 0, SUBSTITUTE("copy ."&amp;categories!G1380&amp;" ./category"&amp;LEFT(categories!G1380,6),"/","\"), "")</f>
        <v>copy .\img2\img2435.jpg .\category\img2\</v>
      </c>
    </row>
    <row r="1381" spans="1:2" x14ac:dyDescent="0.25">
      <c r="A1381" t="str">
        <f>IF(LEN(categories!G1381) &gt; 0, "cp ."&amp;categories!G1381&amp;" ../catalog/category"&amp;LEFT(categories!G1381,6)&amp;";", "")</f>
        <v>cp ./img1/imgbfb1.jpg ../catalog/category/img1/;</v>
      </c>
      <c r="B1381" t="str">
        <f>IF(LEN(categories!G1381) &gt; 0, SUBSTITUTE("copy ."&amp;categories!G1381&amp;" ./category"&amp;LEFT(categories!G1381,6),"/","\"), "")</f>
        <v>copy .\img1\imgbfb1.jpg .\category\img1\</v>
      </c>
    </row>
    <row r="1382" spans="1:2" x14ac:dyDescent="0.25">
      <c r="A1382" t="str">
        <f>IF(LEN(categories!G1382) &gt; 0, "cp ."&amp;categories!G1382&amp;" ../catalog/category"&amp;LEFT(categories!G1382,6)&amp;";", "")</f>
        <v>cp ./img2/imgb2c8.jpg ../catalog/category/img2/;</v>
      </c>
      <c r="B1382" t="str">
        <f>IF(LEN(categories!G1382) &gt; 0, SUBSTITUTE("copy ."&amp;categories!G1382&amp;" ./category"&amp;LEFT(categories!G1382,6),"/","\"), "")</f>
        <v>copy .\img2\imgb2c8.jpg .\category\img2\</v>
      </c>
    </row>
    <row r="1383" spans="1:2" x14ac:dyDescent="0.25">
      <c r="A1383" t="str">
        <f>IF(LEN(categories!G1383) &gt; 0, "cp ."&amp;categories!G1383&amp;" ../catalog/category"&amp;LEFT(categories!G1383,6)&amp;";", "")</f>
        <v>cp ./img2/imgd832.jpg ../catalog/category/img2/;</v>
      </c>
      <c r="B1383" t="str">
        <f>IF(LEN(categories!G1383) &gt; 0, SUBSTITUTE("copy ."&amp;categories!G1383&amp;" ./category"&amp;LEFT(categories!G1383,6),"/","\"), "")</f>
        <v>copy .\img2\imgd832.jpg .\category\img2\</v>
      </c>
    </row>
    <row r="1384" spans="1:2" x14ac:dyDescent="0.25">
      <c r="A1384" t="str">
        <f>IF(LEN(categories!G1384) &gt; 0, "cp ."&amp;categories!G1384&amp;" ../catalog/category"&amp;LEFT(categories!G1384,6)&amp;";", "")</f>
        <v>cp ./img1/imgce04.jpg ../catalog/category/img1/;</v>
      </c>
      <c r="B1384" t="str">
        <f>IF(LEN(categories!G1384) &gt; 0, SUBSTITUTE("copy ."&amp;categories!G1384&amp;" ./category"&amp;LEFT(categories!G1384,6),"/","\"), "")</f>
        <v>copy .\img1\imgce04.jpg .\category\img1\</v>
      </c>
    </row>
    <row r="1385" spans="1:2" x14ac:dyDescent="0.25">
      <c r="A1385" t="str">
        <f>IF(LEN(categories!G1385) &gt; 0, "cp ."&amp;categories!G1385&amp;" ../catalog/category"&amp;LEFT(categories!G1385,6)&amp;";", "")</f>
        <v>cp ./img1/imgdf2e.jpg ../catalog/category/img1/;</v>
      </c>
      <c r="B1385" t="str">
        <f>IF(LEN(categories!G1385) &gt; 0, SUBSTITUTE("copy ."&amp;categories!G1385&amp;" ./category"&amp;LEFT(categories!G1385,6),"/","\"), "")</f>
        <v>copy .\img1\imgdf2e.jpg .\category\img1\</v>
      </c>
    </row>
    <row r="1386" spans="1:2" x14ac:dyDescent="0.25">
      <c r="A1386" t="str">
        <f>IF(LEN(categories!G1386) &gt; 0, "cp ."&amp;categories!G1386&amp;" ../catalog/category"&amp;LEFT(categories!G1386,6)&amp;";", "")</f>
        <v>cp ./img3/imgea3c.jpg ../catalog/category/img3/;</v>
      </c>
      <c r="B1386" t="str">
        <f>IF(LEN(categories!G1386) &gt; 0, SUBSTITUTE("copy ."&amp;categories!G1386&amp;" ./category"&amp;LEFT(categories!G1386,6),"/","\"), "")</f>
        <v>copy .\img3\imgea3c.jpg .\category\img3\</v>
      </c>
    </row>
    <row r="1387" spans="1:2" x14ac:dyDescent="0.25">
      <c r="A1387" t="str">
        <f>IF(LEN(categories!G1387) &gt; 0, "cp ."&amp;categories!G1387&amp;" ../catalog/category"&amp;LEFT(categories!G1387,6)&amp;";", "")</f>
        <v>cp ./img3/imgf6eb.jpg ../catalog/category/img3/;</v>
      </c>
      <c r="B1387" t="str">
        <f>IF(LEN(categories!G1387) &gt; 0, SUBSTITUTE("copy ."&amp;categories!G1387&amp;" ./category"&amp;LEFT(categories!G1387,6),"/","\"), "")</f>
        <v>copy .\img3\imgf6eb.jpg .\category\img3\</v>
      </c>
    </row>
    <row r="1388" spans="1:2" x14ac:dyDescent="0.25">
      <c r="A1388" t="str">
        <f>IF(LEN(categories!G1388) &gt; 0, "cp ."&amp;categories!G1388&amp;" ../catalog/category"&amp;LEFT(categories!G1388,6)&amp;";", "")</f>
        <v>cp ./img3/img38b9.jpg ../catalog/category/img3/;</v>
      </c>
      <c r="B1388" t="str">
        <f>IF(LEN(categories!G1388) &gt; 0, SUBSTITUTE("copy ."&amp;categories!G1388&amp;" ./category"&amp;LEFT(categories!G1388,6),"/","\"), "")</f>
        <v>copy .\img3\img38b9.jpg .\category\img3\</v>
      </c>
    </row>
    <row r="1389" spans="1:2" x14ac:dyDescent="0.25">
      <c r="A1389" t="str">
        <f>IF(LEN(categories!G1389) &gt; 0, "cp ."&amp;categories!G1389&amp;" ../catalog/category"&amp;LEFT(categories!G1389,6)&amp;";", "")</f>
        <v>cp ./img1/imgbf7a.jpg ../catalog/category/img1/;</v>
      </c>
      <c r="B1389" t="str">
        <f>IF(LEN(categories!G1389) &gt; 0, SUBSTITUTE("copy ."&amp;categories!G1389&amp;" ./category"&amp;LEFT(categories!G1389,6),"/","\"), "")</f>
        <v>copy .\img1\imgbf7a.jpg .\category\img1\</v>
      </c>
    </row>
    <row r="1390" spans="1:2" x14ac:dyDescent="0.25">
      <c r="A1390" t="str">
        <f>IF(LEN(categories!G1390) &gt; 0, "cp ."&amp;categories!G1390&amp;" ../catalog/category"&amp;LEFT(categories!G1390,6)&amp;";", "")</f>
        <v>cp ./img3/imgfe9d.jpg ../catalog/category/img3/;</v>
      </c>
      <c r="B1390" t="str">
        <f>IF(LEN(categories!G1390) &gt; 0, SUBSTITUTE("copy ."&amp;categories!G1390&amp;" ./category"&amp;LEFT(categories!G1390,6),"/","\"), "")</f>
        <v>copy .\img3\imgfe9d.jpg .\category\img3\</v>
      </c>
    </row>
    <row r="1391" spans="1:2" x14ac:dyDescent="0.25">
      <c r="A1391" t="str">
        <f>IF(LEN(categories!G1391) &gt; 0, "cp ."&amp;categories!G1391&amp;" ../catalog/category"&amp;LEFT(categories!G1391,6)&amp;";", "")</f>
        <v>cp ./img1/img4c95.jpg ../catalog/category/img1/;</v>
      </c>
      <c r="B1391" t="str">
        <f>IF(LEN(categories!G1391) &gt; 0, SUBSTITUTE("copy ."&amp;categories!G1391&amp;" ./category"&amp;LEFT(categories!G1391,6),"/","\"), "")</f>
        <v>copy .\img1\img4c95.jpg .\category\img1\</v>
      </c>
    </row>
    <row r="1392" spans="1:2" x14ac:dyDescent="0.25">
      <c r="A1392" t="str">
        <f>IF(LEN(categories!G1392) &gt; 0, "cp ."&amp;categories!G1392&amp;" ../catalog/category"&amp;LEFT(categories!G1392,6)&amp;";", "")</f>
        <v>cp ./img1/imga4c3.jpg ../catalog/category/img1/;</v>
      </c>
      <c r="B1392" t="str">
        <f>IF(LEN(categories!G1392) &gt; 0, SUBSTITUTE("copy ."&amp;categories!G1392&amp;" ./category"&amp;LEFT(categories!G1392,6),"/","\"), "")</f>
        <v>copy .\img1\imga4c3.jpg .\category\img1\</v>
      </c>
    </row>
    <row r="1393" spans="1:2" x14ac:dyDescent="0.25">
      <c r="A1393" t="str">
        <f>IF(LEN(categories!G1393) &gt; 0, "cp ."&amp;categories!G1393&amp;" ../catalog/category"&amp;LEFT(categories!G1393,6)&amp;";", "")</f>
        <v>cp ./img2/imga23e.jpg ../catalog/category/img2/;</v>
      </c>
      <c r="B1393" t="str">
        <f>IF(LEN(categories!G1393) &gt; 0, SUBSTITUTE("copy ."&amp;categories!G1393&amp;" ./category"&amp;LEFT(categories!G1393,6),"/","\"), "")</f>
        <v>copy .\img2\imga23e.jpg .\category\img2\</v>
      </c>
    </row>
    <row r="1394" spans="1:2" x14ac:dyDescent="0.25">
      <c r="A1394" t="str">
        <f>IF(LEN(categories!G1394) &gt; 0, "cp ."&amp;categories!G1394&amp;" ../catalog/category"&amp;LEFT(categories!G1394,6)&amp;";", "")</f>
        <v>cp ./img1/imga83b.jpg ../catalog/category/img1/;</v>
      </c>
      <c r="B1394" t="str">
        <f>IF(LEN(categories!G1394) &gt; 0, SUBSTITUTE("copy ."&amp;categories!G1394&amp;" ./category"&amp;LEFT(categories!G1394,6),"/","\"), "")</f>
        <v>copy .\img1\imga83b.jpg .\category\img1\</v>
      </c>
    </row>
    <row r="1395" spans="1:2" x14ac:dyDescent="0.25">
      <c r="A1395" t="str">
        <f>IF(LEN(categories!G1395) &gt; 0, "cp ."&amp;categories!G1395&amp;" ../catalog/category"&amp;LEFT(categories!G1395,6)&amp;";", "")</f>
        <v>cp ./img2/img7e96.jpg ../catalog/category/img2/;</v>
      </c>
      <c r="B1395" t="str">
        <f>IF(LEN(categories!G1395) &gt; 0, SUBSTITUTE("copy ."&amp;categories!G1395&amp;" ./category"&amp;LEFT(categories!G1395,6),"/","\"), "")</f>
        <v>copy .\img2\img7e96.jpg .\category\img2\</v>
      </c>
    </row>
    <row r="1396" spans="1:2" x14ac:dyDescent="0.25">
      <c r="A1396" t="str">
        <f>IF(LEN(categories!G1396) &gt; 0, "cp ."&amp;categories!G1396&amp;" ../catalog/category"&amp;LEFT(categories!G1396,6)&amp;";", "")</f>
        <v>cp ./img2/imgbea7.jpg ../catalog/category/img2/;</v>
      </c>
      <c r="B1396" t="str">
        <f>IF(LEN(categories!G1396) &gt; 0, SUBSTITUTE("copy ."&amp;categories!G1396&amp;" ./category"&amp;LEFT(categories!G1396,6),"/","\"), "")</f>
        <v>copy .\img2\imgbea7.jpg .\category\img2\</v>
      </c>
    </row>
    <row r="1397" spans="1:2" x14ac:dyDescent="0.25">
      <c r="A1397" t="str">
        <f>IF(LEN(categories!G1397) &gt; 0, "cp ."&amp;categories!G1397&amp;" ../catalog/category"&amp;LEFT(categories!G1397,6)&amp;";", "")</f>
        <v>cp ./img2/img6e83.jpg ../catalog/category/img2/;</v>
      </c>
      <c r="B1397" t="str">
        <f>IF(LEN(categories!G1397) &gt; 0, SUBSTITUTE("copy ."&amp;categories!G1397&amp;" ./category"&amp;LEFT(categories!G1397,6),"/","\"), "")</f>
        <v>copy .\img2\img6e83.jpg .\category\img2\</v>
      </c>
    </row>
    <row r="1398" spans="1:2" x14ac:dyDescent="0.25">
      <c r="A1398" t="str">
        <f>IF(LEN(categories!G1398) &gt; 0, "cp ."&amp;categories!G1398&amp;" ../catalog/category"&amp;LEFT(categories!G1398,6)&amp;";", "")</f>
        <v>cp ./img3/imga8eb.jpg ../catalog/category/img3/;</v>
      </c>
      <c r="B1398" t="str">
        <f>IF(LEN(categories!G1398) &gt; 0, SUBSTITUTE("copy ."&amp;categories!G1398&amp;" ./category"&amp;LEFT(categories!G1398,6),"/","\"), "")</f>
        <v>copy .\img3\imga8eb.jpg .\category\img3\</v>
      </c>
    </row>
    <row r="1399" spans="1:2" x14ac:dyDescent="0.25">
      <c r="A1399" t="str">
        <f>IF(LEN(categories!G1399) &gt; 0, "cp ."&amp;categories!G1399&amp;" ../catalog/category"&amp;LEFT(categories!G1399,6)&amp;";", "")</f>
        <v>cp ./img2/img2dfa.jpg ../catalog/category/img2/;</v>
      </c>
      <c r="B1399" t="str">
        <f>IF(LEN(categories!G1399) &gt; 0, SUBSTITUTE("copy ."&amp;categories!G1399&amp;" ./category"&amp;LEFT(categories!G1399,6),"/","\"), "")</f>
        <v>copy .\img2\img2dfa.jpg .\category\img2\</v>
      </c>
    </row>
    <row r="1400" spans="1:2" x14ac:dyDescent="0.25">
      <c r="A1400" t="str">
        <f>IF(LEN(categories!G1400) &gt; 0, "cp ."&amp;categories!G1400&amp;" ../catalog/category"&amp;LEFT(categories!G1400,6)&amp;";", "")</f>
        <v>cp ./img2/img0844.jpg ../catalog/category/img2/;</v>
      </c>
      <c r="B1400" t="str">
        <f>IF(LEN(categories!G1400) &gt; 0, SUBSTITUTE("copy ."&amp;categories!G1400&amp;" ./category"&amp;LEFT(categories!G1400,6),"/","\"), "")</f>
        <v>copy .\img2\img0844.jpg .\category\img2\</v>
      </c>
    </row>
    <row r="1401" spans="1:2" x14ac:dyDescent="0.25">
      <c r="A1401" t="str">
        <f>IF(LEN(categories!G1401) &gt; 0, "cp ."&amp;categories!G1401&amp;" ../catalog/category"&amp;LEFT(categories!G1401,6)&amp;";", "")</f>
        <v>cp ./img2/img9741.jpg ../catalog/category/img2/;</v>
      </c>
      <c r="B1401" t="str">
        <f>IF(LEN(categories!G1401) &gt; 0, SUBSTITUTE("copy ."&amp;categories!G1401&amp;" ./category"&amp;LEFT(categories!G1401,6),"/","\"), "")</f>
        <v>copy .\img2\img9741.jpg .\category\img2\</v>
      </c>
    </row>
    <row r="1402" spans="1:2" x14ac:dyDescent="0.25">
      <c r="A1402" t="str">
        <f>IF(LEN(categories!G1402) &gt; 0, "cp ."&amp;categories!G1402&amp;" ../catalog/category"&amp;LEFT(categories!G1402,6)&amp;";", "")</f>
        <v>cp ./img1/img9283.jpg ../catalog/category/img1/;</v>
      </c>
      <c r="B1402" t="str">
        <f>IF(LEN(categories!G1402) &gt; 0, SUBSTITUTE("copy ."&amp;categories!G1402&amp;" ./category"&amp;LEFT(categories!G1402,6),"/","\"), "")</f>
        <v>copy .\img1\img9283.jpg .\category\img1\</v>
      </c>
    </row>
    <row r="1403" spans="1:2" x14ac:dyDescent="0.25">
      <c r="A1403" t="str">
        <f>IF(LEN(categories!G1403) &gt; 0, "cp ."&amp;categories!G1403&amp;" ../catalog/category"&amp;LEFT(categories!G1403,6)&amp;";", "")</f>
        <v>cp ./img1/imgcf93.jpg ../catalog/category/img1/;</v>
      </c>
      <c r="B1403" t="str">
        <f>IF(LEN(categories!G1403) &gt; 0, SUBSTITUTE("copy ."&amp;categories!G1403&amp;" ./category"&amp;LEFT(categories!G1403,6),"/","\"), "")</f>
        <v>copy .\img1\imgcf93.jpg .\category\img1\</v>
      </c>
    </row>
    <row r="1404" spans="1:2" x14ac:dyDescent="0.25">
      <c r="A1404" t="str">
        <f>IF(LEN(categories!G1404) &gt; 0, "cp ."&amp;categories!G1404&amp;" ../catalog/category"&amp;LEFT(categories!G1404,6)&amp;";", "")</f>
        <v>cp ./img1/img4cc8.jpg ../catalog/category/img1/;</v>
      </c>
      <c r="B1404" t="str">
        <f>IF(LEN(categories!G1404) &gt; 0, SUBSTITUTE("copy ."&amp;categories!G1404&amp;" ./category"&amp;LEFT(categories!G1404,6),"/","\"), "")</f>
        <v>copy .\img1\img4cc8.jpg .\category\img1\</v>
      </c>
    </row>
    <row r="1405" spans="1:2" x14ac:dyDescent="0.25">
      <c r="A1405" t="str">
        <f>IF(LEN(categories!G1405) &gt; 0, "cp ."&amp;categories!G1405&amp;" ../catalog/category"&amp;LEFT(categories!G1405,6)&amp;";", "")</f>
        <v>cp ./img1/img9d52.jpg ../catalog/category/img1/;</v>
      </c>
      <c r="B1405" t="str">
        <f>IF(LEN(categories!G1405) &gt; 0, SUBSTITUTE("copy ."&amp;categories!G1405&amp;" ./category"&amp;LEFT(categories!G1405,6),"/","\"), "")</f>
        <v>copy .\img1\img9d52.jpg .\category\img1\</v>
      </c>
    </row>
    <row r="1406" spans="1:2" x14ac:dyDescent="0.25">
      <c r="A1406" t="str">
        <f>IF(LEN(categories!G1406) &gt; 0, "cp ."&amp;categories!G1406&amp;" ../catalog/category"&amp;LEFT(categories!G1406,6)&amp;";", "")</f>
        <v>cp ./img3/img264b.jpg ../catalog/category/img3/;</v>
      </c>
      <c r="B1406" t="str">
        <f>IF(LEN(categories!G1406) &gt; 0, SUBSTITUTE("copy ."&amp;categories!G1406&amp;" ./category"&amp;LEFT(categories!G1406,6),"/","\"), "")</f>
        <v>copy .\img3\img264b.jpg .\category\img3\</v>
      </c>
    </row>
    <row r="1407" spans="1:2" x14ac:dyDescent="0.25">
      <c r="A1407" t="str">
        <f>IF(LEN(categories!G1407) &gt; 0, "cp ."&amp;categories!G1407&amp;" ../catalog/category"&amp;LEFT(categories!G1407,6)&amp;";", "")</f>
        <v>cp ./img1/img23cb.jpg ../catalog/category/img1/;</v>
      </c>
      <c r="B1407" t="str">
        <f>IF(LEN(categories!G1407) &gt; 0, SUBSTITUTE("copy ."&amp;categories!G1407&amp;" ./category"&amp;LEFT(categories!G1407,6),"/","\"), "")</f>
        <v>copy .\img1\img23cb.jpg .\category\img1\</v>
      </c>
    </row>
    <row r="1408" spans="1:2" x14ac:dyDescent="0.25">
      <c r="A1408" t="str">
        <f>IF(LEN(categories!G1408) &gt; 0, "cp ."&amp;categories!G1408&amp;" ../catalog/category"&amp;LEFT(categories!G1408,6)&amp;";", "")</f>
        <v>cp ./img3/imgfe76.jpg ../catalog/category/img3/;</v>
      </c>
      <c r="B1408" t="str">
        <f>IF(LEN(categories!G1408) &gt; 0, SUBSTITUTE("copy ."&amp;categories!G1408&amp;" ./category"&amp;LEFT(categories!G1408,6),"/","\"), "")</f>
        <v>copy .\img3\imgfe76.jpg .\category\img3\</v>
      </c>
    </row>
    <row r="1409" spans="1:2" x14ac:dyDescent="0.25">
      <c r="A1409" t="str">
        <f>IF(LEN(categories!G1409) &gt; 0, "cp ."&amp;categories!G1409&amp;" ../catalog/category"&amp;LEFT(categories!G1409,6)&amp;";", "")</f>
        <v>cp ./img1/imgee77.jpg ../catalog/category/img1/;</v>
      </c>
      <c r="B1409" t="str">
        <f>IF(LEN(categories!G1409) &gt; 0, SUBSTITUTE("copy ."&amp;categories!G1409&amp;" ./category"&amp;LEFT(categories!G1409,6),"/","\"), "")</f>
        <v>copy .\img1\imgee77.jpg .\category\img1\</v>
      </c>
    </row>
    <row r="1410" spans="1:2" x14ac:dyDescent="0.25">
      <c r="A1410" t="str">
        <f>IF(LEN(categories!G1410) &gt; 0, "cp ."&amp;categories!G1410&amp;" ../catalog/category"&amp;LEFT(categories!G1410,6)&amp;";", "")</f>
        <v>cp ./img2/img4509.jpg ../catalog/category/img2/;</v>
      </c>
      <c r="B1410" t="str">
        <f>IF(LEN(categories!G1410) &gt; 0, SUBSTITUTE("copy ."&amp;categories!G1410&amp;" ./category"&amp;LEFT(categories!G1410,6),"/","\"), "")</f>
        <v>copy .\img2\img4509.jpg .\category\img2\</v>
      </c>
    </row>
    <row r="1411" spans="1:2" x14ac:dyDescent="0.25">
      <c r="A1411" t="str">
        <f>IF(LEN(categories!G1411) &gt; 0, "cp ."&amp;categories!G1411&amp;" ../catalog/category"&amp;LEFT(categories!G1411,6)&amp;";", "")</f>
        <v>cp ./img2/imge6c1.jpg ../catalog/category/img2/;</v>
      </c>
      <c r="B1411" t="str">
        <f>IF(LEN(categories!G1411) &gt; 0, SUBSTITUTE("copy ."&amp;categories!G1411&amp;" ./category"&amp;LEFT(categories!G1411,6),"/","\"), "")</f>
        <v>copy .\img2\imge6c1.jpg .\category\img2\</v>
      </c>
    </row>
    <row r="1412" spans="1:2" x14ac:dyDescent="0.25">
      <c r="A1412" t="str">
        <f>IF(LEN(categories!G1412) &gt; 0, "cp ."&amp;categories!G1412&amp;" ../catalog/category"&amp;LEFT(categories!G1412,6)&amp;";", "")</f>
        <v>cp ./img1/imgdbd7.jpg ../catalog/category/img1/;</v>
      </c>
      <c r="B1412" t="str">
        <f>IF(LEN(categories!G1412) &gt; 0, SUBSTITUTE("copy ."&amp;categories!G1412&amp;" ./category"&amp;LEFT(categories!G1412,6),"/","\"), "")</f>
        <v>copy .\img1\imgdbd7.jpg .\category\img1\</v>
      </c>
    </row>
    <row r="1413" spans="1:2" x14ac:dyDescent="0.25">
      <c r="A1413" t="str">
        <f>IF(LEN(categories!G1413) &gt; 0, "cp ."&amp;categories!G1413&amp;" ../catalog/category"&amp;LEFT(categories!G1413,6)&amp;";", "")</f>
        <v>cp ./img3/img0ac1.jpg ../catalog/category/img3/;</v>
      </c>
      <c r="B1413" t="str">
        <f>IF(LEN(categories!G1413) &gt; 0, SUBSTITUTE("copy ."&amp;categories!G1413&amp;" ./category"&amp;LEFT(categories!G1413,6),"/","\"), "")</f>
        <v>copy .\img3\img0ac1.jpg .\category\img3\</v>
      </c>
    </row>
    <row r="1414" spans="1:2" x14ac:dyDescent="0.25">
      <c r="A1414" t="str">
        <f>IF(LEN(categories!G1414) &gt; 0, "cp ."&amp;categories!G1414&amp;" ../catalog/category"&amp;LEFT(categories!G1414,6)&amp;";", "")</f>
        <v>cp ./img3/img2c9f.jpg ../catalog/category/img3/;</v>
      </c>
      <c r="B1414" t="str">
        <f>IF(LEN(categories!G1414) &gt; 0, SUBSTITUTE("copy ."&amp;categories!G1414&amp;" ./category"&amp;LEFT(categories!G1414,6),"/","\"), "")</f>
        <v>copy .\img3\img2c9f.jpg .\category\img3\</v>
      </c>
    </row>
    <row r="1415" spans="1:2" x14ac:dyDescent="0.25">
      <c r="A1415" t="str">
        <f>IF(LEN(categories!G1415) &gt; 0, "cp ."&amp;categories!G1415&amp;" ../catalog/category"&amp;LEFT(categories!G1415,6)&amp;";", "")</f>
        <v>cp ./img2/img8e1f.jpg ../catalog/category/img2/;</v>
      </c>
      <c r="B1415" t="str">
        <f>IF(LEN(categories!G1415) &gt; 0, SUBSTITUTE("copy ."&amp;categories!G1415&amp;" ./category"&amp;LEFT(categories!G1415,6),"/","\"), "")</f>
        <v>copy .\img2\img8e1f.jpg .\category\img2\</v>
      </c>
    </row>
    <row r="1416" spans="1:2" x14ac:dyDescent="0.25">
      <c r="A1416" t="str">
        <f>IF(LEN(categories!G1416) &gt; 0, "cp ."&amp;categories!G1416&amp;" ../catalog/category"&amp;LEFT(categories!G1416,6)&amp;";", "")</f>
        <v>cp ./img1/imgb7a7.jpg ../catalog/category/img1/;</v>
      </c>
      <c r="B1416" t="str">
        <f>IF(LEN(categories!G1416) &gt; 0, SUBSTITUTE("copy ."&amp;categories!G1416&amp;" ./category"&amp;LEFT(categories!G1416,6),"/","\"), "")</f>
        <v>copy .\img1\imgb7a7.jpg .\category\img1\</v>
      </c>
    </row>
    <row r="1417" spans="1:2" x14ac:dyDescent="0.25">
      <c r="A1417" t="str">
        <f>IF(LEN(categories!G1417) &gt; 0, "cp ."&amp;categories!G1417&amp;" ../catalog/category"&amp;LEFT(categories!G1417,6)&amp;";", "")</f>
        <v>cp ./img3/img9e20.jpg ../catalog/category/img3/;</v>
      </c>
      <c r="B1417" t="str">
        <f>IF(LEN(categories!G1417) &gt; 0, SUBSTITUTE("copy ."&amp;categories!G1417&amp;" ./category"&amp;LEFT(categories!G1417,6),"/","\"), "")</f>
        <v>copy .\img3\img9e20.jpg .\category\img3\</v>
      </c>
    </row>
    <row r="1418" spans="1:2" x14ac:dyDescent="0.25">
      <c r="A1418" t="str">
        <f>IF(LEN(categories!G1418) &gt; 0, "cp ."&amp;categories!G1418&amp;" ../catalog/category"&amp;LEFT(categories!G1418,6)&amp;";", "")</f>
        <v>cp ./img2/img6e4c.jpg ../catalog/category/img2/;</v>
      </c>
      <c r="B1418" t="str">
        <f>IF(LEN(categories!G1418) &gt; 0, SUBSTITUTE("copy ."&amp;categories!G1418&amp;" ./category"&amp;LEFT(categories!G1418,6),"/","\"), "")</f>
        <v>copy .\img2\img6e4c.jpg .\category\img2\</v>
      </c>
    </row>
    <row r="1419" spans="1:2" x14ac:dyDescent="0.25">
      <c r="A1419" t="str">
        <f>IF(LEN(categories!G1419) &gt; 0, "cp ."&amp;categories!G1419&amp;" ../catalog/category"&amp;LEFT(categories!G1419,6)&amp;";", "")</f>
        <v>cp ./img3/img462b.jpg ../catalog/category/img3/;</v>
      </c>
      <c r="B1419" t="str">
        <f>IF(LEN(categories!G1419) &gt; 0, SUBSTITUTE("copy ."&amp;categories!G1419&amp;" ./category"&amp;LEFT(categories!G1419,6),"/","\"), "")</f>
        <v>copy .\img3\img462b.jpg .\category\img3\</v>
      </c>
    </row>
    <row r="1420" spans="1:2" x14ac:dyDescent="0.25">
      <c r="A1420" t="str">
        <f>IF(LEN(categories!G1420) &gt; 0, "cp ."&amp;categories!G1420&amp;" ../catalog/category"&amp;LEFT(categories!G1420,6)&amp;";", "")</f>
        <v>cp ./img1/img0362.jpg ../catalog/category/img1/;</v>
      </c>
      <c r="B1420" t="str">
        <f>IF(LEN(categories!G1420) &gt; 0, SUBSTITUTE("copy ."&amp;categories!G1420&amp;" ./category"&amp;LEFT(categories!G1420,6),"/","\"), "")</f>
        <v>copy .\img1\img0362.jpg .\category\img1\</v>
      </c>
    </row>
    <row r="1421" spans="1:2" x14ac:dyDescent="0.25">
      <c r="A1421" t="str">
        <f>IF(LEN(categories!G1421) &gt; 0, "cp ."&amp;categories!G1421&amp;" ../catalog/category"&amp;LEFT(categories!G1421,6)&amp;";", "")</f>
        <v>cp ./img1/imgd71e.jpg ../catalog/category/img1/;</v>
      </c>
      <c r="B1421" t="str">
        <f>IF(LEN(categories!G1421) &gt; 0, SUBSTITUTE("copy ."&amp;categories!G1421&amp;" ./category"&amp;LEFT(categories!G1421,6),"/","\"), "")</f>
        <v>copy .\img1\imgd71e.jpg .\category\img1\</v>
      </c>
    </row>
    <row r="1422" spans="1:2" x14ac:dyDescent="0.25">
      <c r="A1422" t="str">
        <f>IF(LEN(categories!G1422) &gt; 0, "cp ."&amp;categories!G1422&amp;" ../catalog/category"&amp;LEFT(categories!G1422,6)&amp;";", "")</f>
        <v>cp ./img3/img4eb4.jpg ../catalog/category/img3/;</v>
      </c>
      <c r="B1422" t="str">
        <f>IF(LEN(categories!G1422) &gt; 0, SUBSTITUTE("copy ."&amp;categories!G1422&amp;" ./category"&amp;LEFT(categories!G1422,6),"/","\"), "")</f>
        <v>copy .\img3\img4eb4.jpg .\category\img3\</v>
      </c>
    </row>
    <row r="1423" spans="1:2" x14ac:dyDescent="0.25">
      <c r="A1423" t="str">
        <f>IF(LEN(categories!G1423) &gt; 0, "cp ."&amp;categories!G1423&amp;" ../catalog/category"&amp;LEFT(categories!G1423,6)&amp;";", "")</f>
        <v>cp ./img3/img8f2b.jpg ../catalog/category/img3/;</v>
      </c>
      <c r="B1423" t="str">
        <f>IF(LEN(categories!G1423) &gt; 0, SUBSTITUTE("copy ."&amp;categories!G1423&amp;" ./category"&amp;LEFT(categories!G1423,6),"/","\"), "")</f>
        <v>copy .\img3\img8f2b.jpg .\category\img3\</v>
      </c>
    </row>
    <row r="1424" spans="1:2" x14ac:dyDescent="0.25">
      <c r="A1424" t="str">
        <f>IF(LEN(categories!G1424) &gt; 0, "cp ."&amp;categories!G1424&amp;" ../catalog/category"&amp;LEFT(categories!G1424,6)&amp;";", "")</f>
        <v>cp ./img3/imgacfc.jpg ../catalog/category/img3/;</v>
      </c>
      <c r="B1424" t="str">
        <f>IF(LEN(categories!G1424) &gt; 0, SUBSTITUTE("copy ."&amp;categories!G1424&amp;" ./category"&amp;LEFT(categories!G1424,6),"/","\"), "")</f>
        <v>copy .\img3\imgacfc.jpg .\category\img3\</v>
      </c>
    </row>
    <row r="1425" spans="1:2" x14ac:dyDescent="0.25">
      <c r="A1425" t="str">
        <f>IF(LEN(categories!G1425) &gt; 0, "cp ."&amp;categories!G1425&amp;" ../catalog/category"&amp;LEFT(categories!G1425,6)&amp;";", "")</f>
        <v>cp ./img2/img0d59.jpg ../catalog/category/img2/;</v>
      </c>
      <c r="B1425" t="str">
        <f>IF(LEN(categories!G1425) &gt; 0, SUBSTITUTE("copy ."&amp;categories!G1425&amp;" ./category"&amp;LEFT(categories!G1425,6),"/","\"), "")</f>
        <v>copy .\img2\img0d59.jpg .\category\img2\</v>
      </c>
    </row>
    <row r="1426" spans="1:2" x14ac:dyDescent="0.25">
      <c r="A1426" t="str">
        <f>IF(LEN(categories!G1426) &gt; 0, "cp ."&amp;categories!G1426&amp;" ../catalog/category"&amp;LEFT(categories!G1426,6)&amp;";", "")</f>
        <v>cp ./img3/imgd4ec.jpg ../catalog/category/img3/;</v>
      </c>
      <c r="B1426" t="str">
        <f>IF(LEN(categories!G1426) &gt; 0, SUBSTITUTE("copy ."&amp;categories!G1426&amp;" ./category"&amp;LEFT(categories!G1426,6),"/","\"), "")</f>
        <v>copy .\img3\imgd4ec.jpg .\category\img3\</v>
      </c>
    </row>
    <row r="1427" spans="1:2" x14ac:dyDescent="0.25">
      <c r="A1427" t="str">
        <f>IF(LEN(categories!G1427) &gt; 0, "cp ."&amp;categories!G1427&amp;" ../catalog/category"&amp;LEFT(categories!G1427,6)&amp;";", "")</f>
        <v>cp ./img2/imga685.jpg ../catalog/category/img2/;</v>
      </c>
      <c r="B1427" t="str">
        <f>IF(LEN(categories!G1427) &gt; 0, SUBSTITUTE("copy ."&amp;categories!G1427&amp;" ./category"&amp;LEFT(categories!G1427,6),"/","\"), "")</f>
        <v>copy .\img2\imga685.jpg .\category\img2\</v>
      </c>
    </row>
    <row r="1428" spans="1:2" x14ac:dyDescent="0.25">
      <c r="A1428" t="str">
        <f>IF(LEN(categories!G1428) &gt; 0, "cp ."&amp;categories!G1428&amp;" ../catalog/category"&amp;LEFT(categories!G1428,6)&amp;";", "")</f>
        <v>cp ./img1/img5868.jpg ../catalog/category/img1/;</v>
      </c>
      <c r="B1428" t="str">
        <f>IF(LEN(categories!G1428) &gt; 0, SUBSTITUTE("copy ."&amp;categories!G1428&amp;" ./category"&amp;LEFT(categories!G1428,6),"/","\"), "")</f>
        <v>copy .\img1\img5868.jpg .\category\img1\</v>
      </c>
    </row>
    <row r="1429" spans="1:2" x14ac:dyDescent="0.25">
      <c r="A1429" t="str">
        <f>IF(LEN(categories!G1429) &gt; 0, "cp ."&amp;categories!G1429&amp;" ../catalog/category"&amp;LEFT(categories!G1429,6)&amp;";", "")</f>
        <v>cp ./img2/img8395.jpg ../catalog/category/img2/;</v>
      </c>
      <c r="B1429" t="str">
        <f>IF(LEN(categories!G1429) &gt; 0, SUBSTITUTE("copy ."&amp;categories!G1429&amp;" ./category"&amp;LEFT(categories!G1429,6),"/","\"), "")</f>
        <v>copy .\img2\img8395.jpg .\category\img2\</v>
      </c>
    </row>
    <row r="1430" spans="1:2" x14ac:dyDescent="0.25">
      <c r="A1430" t="str">
        <f>IF(LEN(categories!G1430) &gt; 0, "cp ."&amp;categories!G1430&amp;" ../catalog/category"&amp;LEFT(categories!G1430,6)&amp;";", "")</f>
        <v>cp ./img3/imgc1a9.jpg ../catalog/category/img3/;</v>
      </c>
      <c r="B1430" t="str">
        <f>IF(LEN(categories!G1430) &gt; 0, SUBSTITUTE("copy ."&amp;categories!G1430&amp;" ./category"&amp;LEFT(categories!G1430,6),"/","\"), "")</f>
        <v>copy .\img3\imgc1a9.jpg .\category\img3\</v>
      </c>
    </row>
    <row r="1431" spans="1:2" x14ac:dyDescent="0.25">
      <c r="A1431" t="str">
        <f>IF(LEN(categories!G1431) &gt; 0, "cp ."&amp;categories!G1431&amp;" ../catalog/category"&amp;LEFT(categories!G1431,6)&amp;";", "")</f>
        <v>cp ./img3/img33c1.jpg ../catalog/category/img3/;</v>
      </c>
      <c r="B1431" t="str">
        <f>IF(LEN(categories!G1431) &gt; 0, SUBSTITUTE("copy ."&amp;categories!G1431&amp;" ./category"&amp;LEFT(categories!G1431,6),"/","\"), "")</f>
        <v>copy .\img3\img33c1.jpg .\category\img3\</v>
      </c>
    </row>
    <row r="1432" spans="1:2" x14ac:dyDescent="0.25">
      <c r="A1432" t="str">
        <f>IF(LEN(categories!G1432) &gt; 0, "cp ."&amp;categories!G1432&amp;" ../catalog/category"&amp;LEFT(categories!G1432,6)&amp;";", "")</f>
        <v>cp ./img3/imgd43a.jpg ../catalog/category/img3/;</v>
      </c>
      <c r="B1432" t="str">
        <f>IF(LEN(categories!G1432) &gt; 0, SUBSTITUTE("copy ."&amp;categories!G1432&amp;" ./category"&amp;LEFT(categories!G1432,6),"/","\"), "")</f>
        <v>copy .\img3\imgd43a.jpg .\category\img3\</v>
      </c>
    </row>
    <row r="1433" spans="1:2" x14ac:dyDescent="0.25">
      <c r="A1433" t="str">
        <f>IF(LEN(categories!G1433) &gt; 0, "cp ."&amp;categories!G1433&amp;" ../catalog/category"&amp;LEFT(categories!G1433,6)&amp;";", "")</f>
        <v>cp ./img2/imgec89.jpg ../catalog/category/img2/;</v>
      </c>
      <c r="B1433" t="str">
        <f>IF(LEN(categories!G1433) &gt; 0, SUBSTITUTE("copy ."&amp;categories!G1433&amp;" ./category"&amp;LEFT(categories!G1433,6),"/","\"), "")</f>
        <v>copy .\img2\imgec89.jpg .\category\img2\</v>
      </c>
    </row>
    <row r="1434" spans="1:2" x14ac:dyDescent="0.25">
      <c r="A1434" t="str">
        <f>IF(LEN(categories!G1434) &gt; 0, "cp ."&amp;categories!G1434&amp;" ../catalog/category"&amp;LEFT(categories!G1434,6)&amp;";", "")</f>
        <v>cp ./img1/imga109.jpg ../catalog/category/img1/;</v>
      </c>
      <c r="B1434" t="str">
        <f>IF(LEN(categories!G1434) &gt; 0, SUBSTITUTE("copy ."&amp;categories!G1434&amp;" ./category"&amp;LEFT(categories!G1434,6),"/","\"), "")</f>
        <v>copy .\img1\imga109.jpg .\category\img1\</v>
      </c>
    </row>
    <row r="1435" spans="1:2" x14ac:dyDescent="0.25">
      <c r="A1435" t="str">
        <f>IF(LEN(categories!G1435) &gt; 0, "cp ."&amp;categories!G1435&amp;" ../catalog/category"&amp;LEFT(categories!G1435,6)&amp;";", "")</f>
        <v>cp ./img1/img7bb4.jpg ../catalog/category/img1/;</v>
      </c>
      <c r="B1435" t="str">
        <f>IF(LEN(categories!G1435) &gt; 0, SUBSTITUTE("copy ."&amp;categories!G1435&amp;" ./category"&amp;LEFT(categories!G1435,6),"/","\"), "")</f>
        <v>copy .\img1\img7bb4.jpg .\category\img1\</v>
      </c>
    </row>
    <row r="1436" spans="1:2" x14ac:dyDescent="0.25">
      <c r="A1436" t="str">
        <f>IF(LEN(categories!G1436) &gt; 0, "cp ."&amp;categories!G1436&amp;" ../catalog/category"&amp;LEFT(categories!G1436,6)&amp;";", "")</f>
        <v>cp ./img1/img2347.jpg ../catalog/category/img1/;</v>
      </c>
      <c r="B1436" t="str">
        <f>IF(LEN(categories!G1436) &gt; 0, SUBSTITUTE("copy ."&amp;categories!G1436&amp;" ./category"&amp;LEFT(categories!G1436,6),"/","\"), "")</f>
        <v>copy .\img1\img2347.jpg .\category\img1\</v>
      </c>
    </row>
    <row r="1437" spans="1:2" x14ac:dyDescent="0.25">
      <c r="A1437" t="str">
        <f>IF(LEN(categories!G1437) &gt; 0, "cp ."&amp;categories!G1437&amp;" ../catalog/category"&amp;LEFT(categories!G1437,6)&amp;";", "")</f>
        <v>cp ./img1/img8f3d.jpg ../catalog/category/img1/;</v>
      </c>
      <c r="B1437" t="str">
        <f>IF(LEN(categories!G1437) &gt; 0, SUBSTITUTE("copy ."&amp;categories!G1437&amp;" ./category"&amp;LEFT(categories!G1437,6),"/","\"), "")</f>
        <v>copy .\img1\img8f3d.jpg .\category\img1\</v>
      </c>
    </row>
    <row r="1438" spans="1:2" x14ac:dyDescent="0.25">
      <c r="A1438" t="str">
        <f>IF(LEN(categories!G1438) &gt; 0, "cp ."&amp;categories!G1438&amp;" ../catalog/category"&amp;LEFT(categories!G1438,6)&amp;";", "")</f>
        <v>cp ./img2/img13e5.jpg ../catalog/category/img2/;</v>
      </c>
      <c r="B1438" t="str">
        <f>IF(LEN(categories!G1438) &gt; 0, SUBSTITUTE("copy ."&amp;categories!G1438&amp;" ./category"&amp;LEFT(categories!G1438,6),"/","\"), "")</f>
        <v>copy .\img2\img13e5.jpg .\category\img2\</v>
      </c>
    </row>
    <row r="1439" spans="1:2" x14ac:dyDescent="0.25">
      <c r="A1439" t="str">
        <f>IF(LEN(categories!G1439) &gt; 0, "cp ."&amp;categories!G1439&amp;" ../catalog/category"&amp;LEFT(categories!G1439,6)&amp;";", "")</f>
        <v>cp ./img1/imgc00e.jpg ../catalog/category/img1/;</v>
      </c>
      <c r="B1439" t="str">
        <f>IF(LEN(categories!G1439) &gt; 0, SUBSTITUTE("copy ."&amp;categories!G1439&amp;" ./category"&amp;LEFT(categories!G1439,6),"/","\"), "")</f>
        <v>copy .\img1\imgc00e.jpg .\category\img1\</v>
      </c>
    </row>
    <row r="1440" spans="1:2" x14ac:dyDescent="0.25">
      <c r="A1440" t="str">
        <f>IF(LEN(categories!G1440) &gt; 0, "cp ."&amp;categories!G1440&amp;" ../catalog/category"&amp;LEFT(categories!G1440,6)&amp;";", "")</f>
        <v>cp ./img2/img16bb.jpg ../catalog/category/img2/;</v>
      </c>
      <c r="B1440" t="str">
        <f>IF(LEN(categories!G1440) &gt; 0, SUBSTITUTE("copy ."&amp;categories!G1440&amp;" ./category"&amp;LEFT(categories!G1440,6),"/","\"), "")</f>
        <v>copy .\img2\img16bb.jpg .\category\img2\</v>
      </c>
    </row>
    <row r="1441" spans="1:2" x14ac:dyDescent="0.25">
      <c r="A1441" t="str">
        <f>IF(LEN(categories!G1441) &gt; 0, "cp ."&amp;categories!G1441&amp;" ../catalog/category"&amp;LEFT(categories!G1441,6)&amp;";", "")</f>
        <v>cp ./img2/img7f68.jpg ../catalog/category/img2/;</v>
      </c>
      <c r="B1441" t="str">
        <f>IF(LEN(categories!G1441) &gt; 0, SUBSTITUTE("copy ."&amp;categories!G1441&amp;" ./category"&amp;LEFT(categories!G1441,6),"/","\"), "")</f>
        <v>copy .\img2\img7f68.jpg .\category\img2\</v>
      </c>
    </row>
    <row r="1442" spans="1:2" x14ac:dyDescent="0.25">
      <c r="A1442" t="str">
        <f>IF(LEN(categories!G1442) &gt; 0, "cp ."&amp;categories!G1442&amp;" ../catalog/category"&amp;LEFT(categories!G1442,6)&amp;";", "")</f>
        <v>cp ./img1/imgc175.jpg ../catalog/category/img1/;</v>
      </c>
      <c r="B1442" t="str">
        <f>IF(LEN(categories!G1442) &gt; 0, SUBSTITUTE("copy ."&amp;categories!G1442&amp;" ./category"&amp;LEFT(categories!G1442,6),"/","\"), "")</f>
        <v>copy .\img1\imgc175.jpg .\category\img1\</v>
      </c>
    </row>
    <row r="1443" spans="1:2" x14ac:dyDescent="0.25">
      <c r="A1443" t="str">
        <f>IF(LEN(categories!G1443) &gt; 0, "cp ."&amp;categories!G1443&amp;" ../catalog/category"&amp;LEFT(categories!G1443,6)&amp;";", "")</f>
        <v>cp ./img1/img353d.jpg ../catalog/category/img1/;</v>
      </c>
      <c r="B1443" t="str">
        <f>IF(LEN(categories!G1443) &gt; 0, SUBSTITUTE("copy ."&amp;categories!G1443&amp;" ./category"&amp;LEFT(categories!G1443,6),"/","\"), "")</f>
        <v>copy .\img1\img353d.jpg .\category\img1\</v>
      </c>
    </row>
    <row r="1444" spans="1:2" x14ac:dyDescent="0.25">
      <c r="A1444" t="str">
        <f>IF(LEN(categories!G1444) &gt; 0, "cp ."&amp;categories!G1444&amp;" ../catalog/category"&amp;LEFT(categories!G1444,6)&amp;";", "")</f>
        <v>cp ./img3/imgdef4.jpg ../catalog/category/img3/;</v>
      </c>
      <c r="B1444" t="str">
        <f>IF(LEN(categories!G1444) &gt; 0, SUBSTITUTE("copy ."&amp;categories!G1444&amp;" ./category"&amp;LEFT(categories!G1444,6),"/","\"), "")</f>
        <v>copy .\img3\imgdef4.jpg .\category\img3\</v>
      </c>
    </row>
    <row r="1445" spans="1:2" x14ac:dyDescent="0.25">
      <c r="A1445" t="str">
        <f>IF(LEN(categories!G1445) &gt; 0, "cp ."&amp;categories!G1445&amp;" ../catalog/category"&amp;LEFT(categories!G1445,6)&amp;";", "")</f>
        <v>cp ./img2/imgcec4.jpg ../catalog/category/img2/;</v>
      </c>
      <c r="B1445" t="str">
        <f>IF(LEN(categories!G1445) &gt; 0, SUBSTITUTE("copy ."&amp;categories!G1445&amp;" ./category"&amp;LEFT(categories!G1445,6),"/","\"), "")</f>
        <v>copy .\img2\imgcec4.jpg .\category\img2\</v>
      </c>
    </row>
    <row r="1446" spans="1:2" hidden="1" x14ac:dyDescent="0.25">
      <c r="A1446" t="str">
        <f>IF(LEN(categories!G1446) &gt; 0, "cp ."&amp;categories!G1446&amp;" ../catalog/category"&amp;LEFT(categories!G1446,6)&amp;";", "")</f>
        <v/>
      </c>
      <c r="B1446" t="str">
        <f>IF(LEN(categories!G1446) &gt; 0, SUBSTITUTE("copy ."&amp;categories!G1446&amp;" ./category"&amp;LEFT(categories!G1446,6),"/","\"), "")</f>
        <v/>
      </c>
    </row>
    <row r="1447" spans="1:2" hidden="1" x14ac:dyDescent="0.25">
      <c r="A1447" t="str">
        <f>IF(LEN(categories!G1447) &gt; 0, "cp ."&amp;categories!G1447&amp;" ../catalog/category"&amp;LEFT(categories!G1447,6)&amp;";", "")</f>
        <v/>
      </c>
      <c r="B1447" t="str">
        <f>IF(LEN(categories!G1447) &gt; 0, SUBSTITUTE("copy ."&amp;categories!G1447&amp;" ./category"&amp;LEFT(categories!G1447,6),"/","\"), "")</f>
        <v/>
      </c>
    </row>
    <row r="1448" spans="1:2" hidden="1" x14ac:dyDescent="0.25">
      <c r="A1448" t="str">
        <f>IF(LEN(categories!G1448) &gt; 0, "cp ."&amp;categories!G1448&amp;" ../catalog/category"&amp;LEFT(categories!G1448,6)&amp;";", "")</f>
        <v/>
      </c>
      <c r="B1448" t="str">
        <f>IF(LEN(categories!G1448) &gt; 0, SUBSTITUTE("copy ."&amp;categories!G1448&amp;" ./category"&amp;LEFT(categories!G1448,6),"/","\"), "")</f>
        <v/>
      </c>
    </row>
    <row r="1449" spans="1:2" hidden="1" x14ac:dyDescent="0.25">
      <c r="A1449" t="str">
        <f>IF(LEN(categories!G1449) &gt; 0, "cp ."&amp;categories!G1449&amp;" ../catalog/category"&amp;LEFT(categories!G1449,6)&amp;";", "")</f>
        <v/>
      </c>
      <c r="B1449" t="str">
        <f>IF(LEN(categories!G1449) &gt; 0, SUBSTITUTE("copy ."&amp;categories!G1449&amp;" ./category"&amp;LEFT(categories!G1449,6),"/","\"), "")</f>
        <v/>
      </c>
    </row>
    <row r="1450" spans="1:2" hidden="1" x14ac:dyDescent="0.25">
      <c r="A1450" t="str">
        <f>IF(LEN(categories!G1450) &gt; 0, "cp ."&amp;categories!G1450&amp;" ../catalog/category"&amp;LEFT(categories!G1450,6)&amp;";", "")</f>
        <v/>
      </c>
      <c r="B1450" t="str">
        <f>IF(LEN(categories!G1450) &gt; 0, SUBSTITUTE("copy ."&amp;categories!G1450&amp;" ./category"&amp;LEFT(categories!G1450,6),"/","\"), "")</f>
        <v/>
      </c>
    </row>
  </sheetData>
  <autoFilter ref="A2:F1450">
    <filterColumn colId="1">
      <filters>
        <filter val="copy .\img1\img003f.jpg .\category\img1\"/>
        <filter val="copy .\img1\img006b.jpg .\category\img1\"/>
        <filter val="copy .\img1\img012d.jpg .\category\img1\"/>
        <filter val="copy .\img1\img015e.jpg .\category\img1\"/>
        <filter val="copy .\img1\img0193.jpg .\category\img1\"/>
        <filter val="copy .\img1\img02df.jpg .\category\img1\"/>
        <filter val="copy .\img1\img0344.jpg .\category\img1\"/>
        <filter val="copy .\img1\img0362.jpg .\category\img1\"/>
        <filter val="copy .\img1\img0504.jpg .\category\img1\"/>
        <filter val="copy .\img1\img060b.jpg .\category\img1\"/>
        <filter val="copy .\img1\img072c.jpg .\category\img1\"/>
        <filter val="copy .\img1\img0a52.jpg .\category\img1\"/>
        <filter val="copy .\img1\img0ac2.jpg .\category\img1\"/>
        <filter val="copy .\img1\img0b53.jpg .\category\img1\"/>
        <filter val="copy .\img1\img0b5a.jpg .\category\img1\"/>
        <filter val="copy .\img1\img0c14.jpg .\category\img1\"/>
        <filter val="copy .\img1\img0c59.jpg .\category\img1\"/>
        <filter val="copy .\img1\img0cec.jpg .\category\img1\"/>
        <filter val="copy .\img1\img0d76.jpg .\category\img1\"/>
        <filter val="copy .\img1\img0e73.jpg .\category\img1\"/>
        <filter val="copy .\img1\img0eca.jpg .\category\img1\"/>
        <filter val="copy .\img1\img0fc5.jpg .\category\img1\"/>
        <filter val="copy .\img1\img0ffd.jpg .\category\img1\"/>
        <filter val="copy .\img1\img10fb.jpg .\category\img1\"/>
        <filter val="copy .\img1\img117e.jpg .\category\img1\"/>
        <filter val="copy .\img1\img1259.jpg .\category\img1\"/>
        <filter val="copy .\img1\img1265.jpg .\category\img1\"/>
        <filter val="copy .\img1\img12db.jpg .\category\img1\"/>
        <filter val="copy .\img1\img1389.jpg .\category\img1\"/>
        <filter val="copy .\img1\img156e.jpg .\category\img1\"/>
        <filter val="copy .\img1\img15ca.jpg .\category\img1\"/>
        <filter val="copy .\img1\img1606.jpg .\category\img1\"/>
        <filter val="copy .\img1\img1616.jpg .\category\img1\"/>
        <filter val="copy .\img1\img1626.jpg .\category\img1\"/>
        <filter val="copy .\img1\img16ca.jpg .\category\img1\"/>
        <filter val="copy .\img1\img191a.jpg .\category\img1\"/>
        <filter val="copy .\img1\img195b.jpg .\category\img1\"/>
        <filter val="copy .\img1\img1961.jpg .\category\img1\"/>
        <filter val="copy .\img1\img1b18.jpg .\category\img1\"/>
        <filter val="copy .\img1\img1b28.jpg .\category\img1\"/>
        <filter val="copy .\img1\img1b66-2.jpg .\category\img1\"/>
        <filter val="copy .\img1\img1c08.jpg .\category\img1\"/>
        <filter val="copy .\img1\img1c36.jpg .\category\img1\"/>
        <filter val="copy .\img1\img1da4.jpg .\category\img1\"/>
        <filter val="copy .\img1\img1e3a.jpg .\category\img1\"/>
        <filter val="copy .\img1\img1ee1.jpg .\category\img1\"/>
        <filter val="copy .\img1\img1f1e.jpg .\category\img1\"/>
        <filter val="copy .\img1\img1f4b.jpg .\category\img1\"/>
        <filter val="copy .\img1\img1f5e.jpg .\category\img1\"/>
        <filter val="copy .\img1\img1f69.jpg .\category\img1\"/>
        <filter val="copy .\img1\img1f8d.jpg .\category\img1\"/>
        <filter val="copy .\img1\img1fcc.jpg .\category\img1\"/>
        <filter val="copy .\img1\img1fd4.jpg .\category\img1\"/>
        <filter val="copy .\img1\img1fd9.jpg .\category\img1\"/>
        <filter val="copy .\img1\img2016.jpg .\category\img1\"/>
        <filter val="copy .\img1\img20b6.jpg .\category\img1\"/>
        <filter val="copy .\img1\img211e.jpg .\category\img1\"/>
        <filter val="copy .\img1\img2145.jpg .\category\img1\"/>
        <filter val="copy .\img1\img21cd.jpg .\category\img1\"/>
        <filter val="copy .\img1\img2347.jpg .\category\img1\"/>
        <filter val="copy .\img1\img234d.jpg .\category\img1\"/>
        <filter val="copy .\img1\img23a1.jpg .\category\img1\"/>
        <filter val="copy .\img1\img23cb.jpg .\category\img1\"/>
        <filter val="copy .\img1\img2462.jpg .\category\img1\"/>
        <filter val="copy .\img1\img2485.jpg .\category\img1\"/>
        <filter val="copy .\img1\img256a.jpg .\category\img1\"/>
        <filter val="copy .\img1\img25da.jpg .\category\img1\"/>
        <filter val="copy .\img1\img2602.jpg .\category\img1\"/>
        <filter val="copy .\img1\img2688.jpg .\category\img1\"/>
        <filter val="copy .\img1\img26c7.jpg .\category\img1\"/>
        <filter val="copy .\img1\img26fe.jpg .\category\img1\"/>
        <filter val="copy .\img1\img2777.jpg .\category\img1\"/>
        <filter val="copy .\img1\img27af.jpg .\category\img1\"/>
        <filter val="copy .\img1\img27ca.jpg .\category\img1\"/>
        <filter val="copy .\img1\img28a8.jpg .\category\img1\"/>
        <filter val="copy .\img1\img290e.jpg .\category\img1\"/>
        <filter val="copy .\img1\img2953.jpg .\category\img1\"/>
        <filter val="copy .\img1\img2996.jpg .\category\img1\"/>
        <filter val="copy .\img1\img2a18.jpg .\category\img1\"/>
        <filter val="copy .\img1\img2ad1.jpg .\category\img1\"/>
        <filter val="copy .\img1\img2b1d.jpg .\category\img1\"/>
        <filter val="copy .\img1\img2b40.jpg .\category\img1\"/>
        <filter val="copy .\img1\img2b4c.jpg .\category\img1\"/>
        <filter val="copy .\img1\img2ca1.jpg .\category\img1\"/>
        <filter val="copy .\img1\img2d5f.jpg .\category\img1\"/>
        <filter val="copy .\img1\img2d9c.jpg .\category\img1\"/>
        <filter val="copy .\img1\img2e89.jpg .\category\img1\"/>
        <filter val="copy .\img1\img2f58.jpg .\category\img1\"/>
        <filter val="copy .\img1\img2fa8.jpg .\category\img1\"/>
        <filter val="copy .\img1\img3146.jpg .\category\img1\"/>
        <filter val="copy .\img1\img31d4.jpg .\category\img1\"/>
        <filter val="copy .\img1\img31ea.jpg .\category\img1\"/>
        <filter val="copy .\img1\img3253.jpg .\category\img1\"/>
        <filter val="copy .\img1\img329f.jpg .\category\img1\"/>
        <filter val="copy .\img1\img3383.jpg .\category\img1\"/>
        <filter val="copy .\img1\img3506.jpg .\category\img1\"/>
        <filter val="copy .\img1\img3532.jpg .\category\img1\"/>
        <filter val="copy .\img1\img353d.jpg .\category\img1\"/>
        <filter val="copy .\img1\img370d.jpg .\category\img1\"/>
        <filter val="copy .\img1\img3870.jpg .\category\img1\"/>
        <filter val="copy .\img1\img38cc.jpg .\category\img1\"/>
        <filter val="copy .\img1\img3a2a.jpg .\category\img1\"/>
        <filter val="copy .\img1\img3a2d.jpg .\category\img1\"/>
        <filter val="copy .\img1\img3a64.jpg .\category\img1\"/>
        <filter val="copy .\img1\img3a92.jpg .\category\img1\"/>
        <filter val="copy .\img1\img3ae1.jpg .\category\img1\"/>
        <filter val="copy .\img1\img3ba2.jpg .\category\img1\"/>
        <filter val="copy .\img1\img3bb2.jpg .\category\img1\"/>
        <filter val="copy .\img1\img3bff.jpg .\category\img1\"/>
        <filter val="copy .\img1\img3c04.jpg .\category\img1\"/>
        <filter val="copy .\img1\img3c40.jpg .\category\img1\"/>
        <filter val="copy .\img1\img3c7e.jpg .\category\img1\"/>
        <filter val="copy .\img1\img3d78.jpg .\category\img1\"/>
        <filter val="copy .\img1\img3ea9.jpg .\category\img1\"/>
        <filter val="copy .\img1\img3f24.jpg .\category\img1\"/>
        <filter val="copy .\img1\img3f93.jpg .\category\img1\"/>
        <filter val="copy .\img1\img408b.jpg .\category\img1\"/>
        <filter val="copy .\img1\img415b.jpg .\category\img1\"/>
        <filter val="copy .\img1\img41fd.jpg .\category\img1\"/>
        <filter val="copy .\img1\img4245.jpg .\category\img1\"/>
        <filter val="copy .\img1\img439e.jpg .\category\img1\"/>
        <filter val="copy .\img1\img44aa.jpg .\category\img1\"/>
        <filter val="copy .\img1\img44c2.jpg .\category\img1\"/>
        <filter val="copy .\img1\img450a.jpg .\category\img1\"/>
        <filter val="copy .\img1\img453d.jpg .\category\img1\"/>
        <filter val="copy .\img1\img460f.jpg .\category\img1\"/>
        <filter val="copy .\img1\img46a1.jpg .\category\img1\"/>
        <filter val="copy .\img1\img4715.jpg .\category\img1\"/>
        <filter val="copy .\img1\img4749.jpg .\category\img1\"/>
        <filter val="copy .\img1\img4847.jpg .\category\img1\"/>
        <filter val="copy .\img1\img488e.jpg .\category\img1\"/>
        <filter val="copy .\img1\img48bb.jpg .\category\img1\"/>
        <filter val="copy .\img1\img48ea.jpg .\category\img1\"/>
        <filter val="copy .\img1\img49cc.jpg .\category\img1\"/>
        <filter val="copy .\img1\img4a03.jpg .\category\img1\"/>
        <filter val="copy .\img1\img4b67.jpg .\category\img1\"/>
        <filter val="copy .\img1\img4bc7.jpg .\category\img1\"/>
        <filter val="copy .\img1\img4c95.jpg .\category\img1\"/>
        <filter val="copy .\img1\img4cc8.jpg .\category\img1\"/>
        <filter val="copy .\img1\img4cd9.jpg .\category\img1\"/>
        <filter val="copy .\img1\img4d30.jpg .\category\img1\"/>
        <filter val="copy .\img1\img4d60.jpg .\category\img1\"/>
        <filter val="copy .\img1\img4dd0.jpg .\category\img1\"/>
        <filter val="copy .\img1\img4f00.jpg .\category\img1\"/>
        <filter val="copy .\img1\img4f51.jpg .\category\img1\"/>
        <filter val="copy .\img1\img4f85.jpg .\category\img1\"/>
        <filter val="copy .\img1\img5025.jpg .\category\img1\"/>
        <filter val="copy .\img1\img5089.jpg .\category\img1\"/>
        <filter val="copy .\img1\img5128.jpg .\category\img1\"/>
        <filter val="copy .\img1\img5168.jpg .\category\img1\"/>
        <filter val="copy .\img1\img51c2.jpg .\category\img1\"/>
        <filter val="copy .\img1\img5217.jpg .\category\img1\"/>
        <filter val="copy .\img1\img525c.jpg .\category\img1\"/>
        <filter val="copy .\img1\img5285.jpg .\category\img1\"/>
        <filter val="copy .\img1\img529c.jpg .\category\img1\"/>
        <filter val="copy .\img1\img52a2-2.jpg .\category\img1\"/>
        <filter val="copy .\img1\img52b9.jpg .\category\img1\"/>
        <filter val="copy .\img1\img5330.jpg .\category\img1\"/>
        <filter val="copy .\img1\img5358.jpg .\category\img1\"/>
        <filter val="copy .\img1\img53cd.jpg .\category\img1\"/>
        <filter val="copy .\img1\img53d0.jpg .\category\img1\"/>
        <filter val="copy .\img1\img5541.jpg .\category\img1\"/>
        <filter val="copy .\img1\img556f.jpg .\category\img1\"/>
        <filter val="copy .\img1\img561c.jpg .\category\img1\"/>
        <filter val="copy .\img1\img563b.jpg .\category\img1\"/>
        <filter val="copy .\img1\img56b7.jpg .\category\img1\"/>
        <filter val="copy .\img1\img571d.jpg .\category\img1\"/>
        <filter val="copy .\img1\img5862.jpg .\category\img1\"/>
        <filter val="copy .\img1\img5868.jpg .\category\img1\"/>
        <filter val="copy .\img1\img5884.jpg .\category\img1\"/>
        <filter val="copy .\img1\img59aa.jpg .\category\img1\"/>
        <filter val="copy .\img1\img59cd.jpg .\category\img1\"/>
        <filter val="copy .\img1\img5c7c.jpg .\category\img1\"/>
        <filter val="copy .\img1\img5c81.jpg .\category\img1\"/>
        <filter val="copy .\img1\img5cae.jpg .\category\img1\"/>
        <filter val="copy .\img1\img5cdb.jpg .\category\img1\"/>
        <filter val="copy .\img1\img5e2f.jpg .\category\img1\"/>
        <filter val="copy .\img1\img5e31.jpg .\category\img1\"/>
        <filter val="copy .\img1\img5e4a.jpg .\category\img1\"/>
        <filter val="copy .\img1\img5ef3.jpg .\category\img1\"/>
        <filter val="copy .\img1\img5fb6.jpg .\category\img1\"/>
        <filter val="copy .\img1\img6027.jpg .\category\img1\"/>
        <filter val="copy .\img1\img604d.jpg .\category\img1\"/>
        <filter val="copy .\img1\img621c.jpg .\category\img1\"/>
        <filter val="copy .\img1\img62ec.jpg .\category\img1\"/>
        <filter val="copy .\img1\img6406.jpg .\category\img1\"/>
        <filter val="copy .\img1\img640e.jpg .\category\img1\"/>
        <filter val="copy .\img1\img6416.jpg .\category\img1\"/>
        <filter val="copy .\img1\img649a.jpg .\category\img1\"/>
        <filter val="copy .\img1\img64c2.jpg .\category\img1\"/>
        <filter val="copy .\img1\img65ba.jpg .\category\img1\"/>
        <filter val="copy .\img1\img665b.jpg .\category\img1\"/>
        <filter val="copy .\img1\img670d.jpg .\category\img1\"/>
        <filter val="copy .\img1\img682f.jpg .\category\img1\"/>
        <filter val="copy .\img1\img69c1.jpg .\category\img1\"/>
        <filter val="copy .\img1\img6a7a.jpg .\category\img1\"/>
        <filter val="copy .\img1\img6b4f.jpg .\category\img1\"/>
        <filter val="copy .\img1\img6b79.jpg .\category\img1\"/>
        <filter val="copy .\img1\img6c20.jpg .\category\img1\"/>
        <filter val="copy .\img1\img6e55.jpg .\category\img1\"/>
        <filter val="copy .\img1\img6e93.jpg .\category\img1\"/>
        <filter val="copy .\img1\img6ee1.jpg .\category\img1\"/>
        <filter val="copy .\img1\img6f1a.jpg .\category\img1\"/>
        <filter val="copy .\img1\img6f1c.jpg .\category\img1\"/>
        <filter val="copy .\img1\img6f4a.jpg .\category\img1\"/>
        <filter val="copy .\img1\img717c.jpg .\category\img1\"/>
        <filter val="copy .\img1\img71c0.jpg .\category\img1\"/>
        <filter val="copy .\img1\img7227.jpg .\category\img1\"/>
        <filter val="copy .\img1\img7275.jpg .\category\img1\"/>
        <filter val="copy .\img1\img72c3.jpg .\category\img1\"/>
        <filter val="copy .\img1\img72d2.jpg .\category\img1\"/>
        <filter val="copy .\img1\img7308.jpg .\category\img1\"/>
        <filter val="copy .\img1\img73d0.jpg .\category\img1\"/>
        <filter val="copy .\img1\img75a1.jpg .\category\img1\"/>
        <filter val="copy .\img1\img75c2.jpg .\category\img1\"/>
        <filter val="copy .\img1\img76c6.jpg .\category\img1\"/>
        <filter val="copy .\img1\img7803.jpg .\category\img1\"/>
        <filter val="copy .\img1\img78fe.jpg .\category\img1\"/>
        <filter val="copy .\img1\img7a03.jpg .\category\img1\"/>
        <filter val="copy .\img1\img7bb4.jpg .\category\img1\"/>
        <filter val="copy .\img1\img7d49.jpg .\category\img1\"/>
        <filter val="copy .\img1\img7e21.jpg .\category\img1\"/>
        <filter val="copy .\img1\img803e.jpg .\category\img1\"/>
        <filter val="copy .\img1\img80c5.jpg .\category\img1\"/>
        <filter val="copy .\img1\img816a.jpg .\category\img1\"/>
        <filter val="copy .\img1\img81a1.jpg .\category\img1\"/>
        <filter val="copy .\img1\img8268.jpg .\category\img1\"/>
        <filter val="copy .\img1\img826b.jpg .\category\img1\"/>
        <filter val="copy .\img1\img82a9.jpg .\category\img1\"/>
        <filter val="copy .\img1\img82d9.jpg .\category\img1\"/>
        <filter val="copy .\img1\img8387.jpg .\category\img1\"/>
        <filter val="copy .\img1\img84b3.jpg .\category\img1\"/>
        <filter val="copy .\img1\img84e3.jpg .\category\img1\"/>
        <filter val="copy .\img1\img85c3.jpg .\category\img1\"/>
        <filter val="copy .\img1\img85d9.jpg .\category\img1\"/>
        <filter val="copy .\img1\img85dd.jpg .\category\img1\"/>
        <filter val="copy .\img1\img8652.jpg .\category\img1\"/>
        <filter val="copy .\img1\img8861.jpg .\category\img1\"/>
        <filter val="copy .\img1\img8868.jpg .\category\img1\"/>
        <filter val="copy .\img1\img8944.jpg .\category\img1\"/>
        <filter val="copy .\img1\img8969.jpg .\category\img1\"/>
        <filter val="copy .\img1\img8a01.jpg .\category\img1\"/>
        <filter val="copy .\img1\img8a11.jpg .\category\img1\"/>
        <filter val="copy .\img1\img8a28.jpg .\category\img1\"/>
        <filter val="copy .\img1\img8c5b.jpg .\category\img1\"/>
        <filter val="copy .\img1\img8ce2.jpg .\category\img1\"/>
        <filter val="copy .\img1\img8cfb.jpg .\category\img1\"/>
        <filter val="copy .\img1\img8d37.jpg .\category\img1\"/>
        <filter val="copy .\img1\img8d46.jpg .\category\img1\"/>
        <filter val="copy .\img1\img8d58.jpg .\category\img1\"/>
        <filter val="copy .\img1\img8d8d.jpg .\category\img1\"/>
        <filter val="copy .\img1\img8e56.jpg .\category\img1\"/>
        <filter val="copy .\img1\img8eac.jpg .\category\img1\"/>
        <filter val="copy .\img1\img8eaf.jpg .\category\img1\"/>
        <filter val="copy .\img1\img8eb8.jpg .\category\img1\"/>
        <filter val="copy .\img1\img8ede.jpg .\category\img1\"/>
        <filter val="copy .\img1\img8f3d.jpg .\category\img1\"/>
        <filter val="copy .\img1\img8feb.jpg .\category\img1\"/>
        <filter val="copy .\img1\img9140.jpg .\category\img1\"/>
        <filter val="copy .\img1\img9222.jpg .\category\img1\"/>
        <filter val="copy .\img1\img9236.jpg .\category\img1\"/>
        <filter val="copy .\img1\img9283.jpg .\category\img1\"/>
        <filter val="copy .\img1\img9303.jpg .\category\img1\"/>
        <filter val="copy .\img1\img93f1.jpg .\category\img1\"/>
        <filter val="copy .\img1\img9425.jpg .\category\img1\"/>
        <filter val="copy .\img1\img9493.jpg .\category\img1\"/>
        <filter val="copy .\img1\img95ee.jpg .\category\img1\"/>
        <filter val="copy .\img1\img9600.jpg .\category\img1\"/>
        <filter val="copy .\img1\img9604.jpg .\category\img1\"/>
        <filter val="copy .\img1\img9656.jpg .\category\img1\"/>
        <filter val="copy .\img1\img96a8-2.jpg .\category\img1\"/>
        <filter val="copy .\img1\img9716.jpg .\category\img1\"/>
        <filter val="copy .\img1\img97ba.jpg .\category\img1\"/>
        <filter val="copy .\img1\img97de.jpg .\category\img1\"/>
        <filter val="copy .\img1\img97f2.jpg .\category\img1\"/>
        <filter val="copy .\img1\img9856.jpg .\category\img1\"/>
        <filter val="copy .\img1\img9863.jpg .\category\img1\"/>
        <filter val="copy .\img1\img995e.jpg .\category\img1\"/>
        <filter val="copy .\img1\img9a00.jpg .\category\img1\"/>
        <filter val="copy .\img1\img9a18.jpg .\category\img1\"/>
        <filter val="copy .\img1\img9a22.jpg .\category\img1\"/>
        <filter val="copy .\img1\img9a77.jpg .\category\img1\"/>
        <filter val="copy .\img1\img9b19.jpg .\category\img1\"/>
        <filter val="copy .\img1\img9b33.jpg .\category\img1\"/>
        <filter val="copy .\img1\img9bf2.jpg .\category\img1\"/>
        <filter val="copy .\img1\img9c37.jpg .\category\img1\"/>
        <filter val="copy .\img1\img9c5d.jpg .\category\img1\"/>
        <filter val="copy .\img1\img9c79.jpg .\category\img1\"/>
        <filter val="copy .\img1\img9d52.jpg .\category\img1\"/>
        <filter val="copy .\img1\img9dc8.jpg .\category\img1\"/>
        <filter val="copy .\img1\img9e02.jpg .\category\img1\"/>
        <filter val="copy .\img1\img9e67.jpg .\category\img1\"/>
        <filter val="copy .\img1\img9e72.jpg .\category\img1\"/>
        <filter val="copy .\img1\img9ef8.jpg .\category\img1\"/>
        <filter val="copy .\img1\img9f6e.jpg .\category\img1\"/>
        <filter val="copy .\img1\img9fc4.jpg .\category\img1\"/>
        <filter val="copy .\img1\imga109.jpg .\category\img1\"/>
        <filter val="copy .\img1\imga11b.jpg .\category\img1\"/>
        <filter val="copy .\img1\imga20b.jpg .\category\img1\"/>
        <filter val="copy .\img1\imga2b1.jpg .\category\img1\"/>
        <filter val="copy .\img1\imga339.jpg .\category\img1\"/>
        <filter val="copy .\img1\imga34a.jpg .\category\img1\"/>
        <filter val="copy .\img1\imga451.jpg .\category\img1\"/>
        <filter val="copy .\img1\imga4c3.jpg .\category\img1\"/>
        <filter val="copy .\img1\imga5d9.jpg .\category\img1\"/>
        <filter val="copy .\img1\imga660.jpg .\category\img1\"/>
        <filter val="copy .\img1\imga69b.jpg .\category\img1\"/>
        <filter val="copy .\img1\imga6ab.jpg .\category\img1\"/>
        <filter val="copy .\img1\imga7c2.jpg .\category\img1\"/>
        <filter val="copy .\img1\imga7c9.jpg .\category\img1\"/>
        <filter val="copy .\img1\imga83b.jpg .\category\img1\"/>
        <filter val="copy .\img1\imga951.jpg .\category\img1\"/>
        <filter val="copy .\img1\imga98c.jpg .\category\img1\"/>
        <filter val="copy .\img1\imgaa2e.jpg .\category\img1\"/>
        <filter val="copy .\img1\imgaa3d.jpg .\category\img1\"/>
        <filter val="copy .\img1\imgaa54.jpg .\category\img1\"/>
        <filter val="copy .\img1\imgaaa4.jpg .\category\img1\"/>
        <filter val="copy .\img1\imgab2e.jpg .\category\img1\"/>
        <filter val="copy .\img1\imgab55.jpg .\category\img1\"/>
        <filter val="copy .\img1\imgabdf.jpg .\category\img1\"/>
        <filter val="copy .\img1\imgac35.jpg .\category\img1\"/>
        <filter val="copy .\img1\imgacf2.jpg .\category\img1\"/>
        <filter val="copy .\img1\imgad0b.jpg .\category\img1\"/>
        <filter val="copy .\img1\imgadc0.jpg .\category\img1\"/>
        <filter val="copy .\img1\imgadda.jpg .\category\img1\"/>
        <filter val="copy .\img1\imgae39.jpg .\category\img1\"/>
        <filter val="copy .\img1\imgaea7.jpg .\category\img1\"/>
        <filter val="copy .\img1\imgaf6c.jpg .\category\img1\"/>
        <filter val="copy .\img1\imgaf80.jpg .\category\img1\"/>
        <filter val="copy .\img1\imgb035.jpg .\category\img1\"/>
        <filter val="copy .\img1\imgb0db.jpg .\category\img1\"/>
        <filter val="copy .\img1\imgb1e8.jpg .\category\img1\"/>
        <filter val="copy .\img1\imgb305.jpg .\category\img1\"/>
        <filter val="copy .\img1\imgb31a.jpg .\category\img1\"/>
        <filter val="copy .\img1\imgb31b.jpg .\category\img1\"/>
        <filter val="copy .\img1\imgb397.jpg .\category\img1\"/>
        <filter val="copy .\img1\imgb401.jpg .\category\img1\"/>
        <filter val="copy .\img1\imgb419.jpg .\category\img1\"/>
        <filter val="copy .\img1\imgb606.jpg .\category\img1\"/>
        <filter val="copy .\img1\imgb624.jpg .\category\img1\"/>
        <filter val="copy .\img1\imgb628.jpg .\category\img1\"/>
        <filter val="copy .\img1\imgb7a7.jpg .\category\img1\"/>
        <filter val="copy .\img1\imgb7af.jpg .\category\img1\"/>
        <filter val="copy .\img1\imgb7db.jpg .\category\img1\"/>
        <filter val="copy .\img1\imgb80f.jpg .\category\img1\"/>
        <filter val="copy .\img1\imgb8a7.jpg .\category\img1\"/>
        <filter val="copy .\img1\imgb952.jpg .\category\img1\"/>
        <filter val="copy .\img1\imgb953.jpg .\category\img1\"/>
        <filter val="copy .\img1\imgb96d.jpg .\category\img1\"/>
        <filter val="copy .\img1\imgb9ae.jpg .\category\img1\"/>
        <filter val="copy .\img1\imgba4d.jpg .\category\img1\"/>
        <filter val="copy .\img1\imgbbb3.jpg .\category\img1\"/>
        <filter val="copy .\img1\imgbcbf.jpg .\category\img1\"/>
        <filter val="copy .\img1\imgbd5e.jpg .\category\img1\"/>
        <filter val="copy .\img1\imgbd67.jpg .\category\img1\"/>
        <filter val="copy .\img1\imgbe2b.jpg .\category\img1\"/>
        <filter val="copy .\img1\imgbe8c.jpg .\category\img1\"/>
        <filter val="copy .\img1\imgbea3.jpg .\category\img1\"/>
        <filter val="copy .\img1\imgbefa.jpg .\category\img1\"/>
        <filter val="copy .\img1\imgbf28.jpg .\category\img1\"/>
        <filter val="copy .\img1\imgbf7a.jpg .\category\img1\"/>
        <filter val="copy .\img1\imgbfb1.jpg .\category\img1\"/>
        <filter val="copy .\img1\imgbfda.jpg .\category\img1\"/>
        <filter val="copy .\img1\imgbfe4.jpg .\category\img1\"/>
        <filter val="copy .\img1\imgc00e.jpg .\category\img1\"/>
        <filter val="copy .\img1\imgc0bb.jpg .\category\img1\"/>
        <filter val="copy .\img1\imgc168.jpg .\category\img1\"/>
        <filter val="copy .\img1\imgc175.jpg .\category\img1\"/>
        <filter val="copy .\img1\imgc233.jpg .\category\img1\"/>
        <filter val="copy .\img1\imgc23f.jpg .\category\img1\"/>
        <filter val="copy .\img1\imgc290.jpg .\category\img1\"/>
        <filter val="copy .\img1\imgc446.jpg .\category\img1\"/>
        <filter val="copy .\img1\imgc53b.jpg .\category\img1\"/>
        <filter val="copy .\img1\imgc6f3.jpg .\category\img1\"/>
        <filter val="copy .\img1\imgc7bc.jpg .\category\img1\"/>
        <filter val="copy .\img1\imgc84e.jpg .\category\img1\"/>
        <filter val="copy .\img1\imgc891.jpg .\category\img1\"/>
        <filter val="copy .\img1\imgc8ea.jpg .\category\img1\"/>
        <filter val="copy .\img1\imgc92e.jpg .\category\img1\"/>
        <filter val="copy .\img1\imgc95d.jpg .\category\img1\"/>
        <filter val="copy .\img1\imgc971.jpg .\category\img1\"/>
        <filter val="copy .\img1\imgc9c4.jpg .\category\img1\"/>
        <filter val="copy .\img1\imgcb83.jpg .\category\img1\"/>
        <filter val="copy .\img1\imgcbca.jpg .\category\img1\"/>
        <filter val="copy .\img1\imgcd04.jpg .\category\img1\"/>
        <filter val="copy .\img1\imgcd31.jpg .\category\img1\"/>
        <filter val="copy .\img1\imgce04.jpg .\category\img1\"/>
        <filter val="copy .\img1\imgcedf.jpg .\category\img1\"/>
        <filter val="copy .\img1\imgcf36.jpg .\category\img1\"/>
        <filter val="copy .\img1\imgcf48.jpg .\category\img1\"/>
        <filter val="copy .\img1\imgcf93.jpg .\category\img1\"/>
        <filter val="copy .\img1\imgcfa2.jpg .\category\img1\"/>
        <filter val="copy .\img1\imgcfb8.jpg .\category\img1\"/>
        <filter val="copy .\img1\imgd01a.jpg .\category\img1\"/>
        <filter val="copy .\img1\imgd129.jpg .\category\img1\"/>
        <filter val="copy .\img1\imgd137.jpg .\category\img1\"/>
        <filter val="copy .\img1\imgd19b.jpg .\category\img1\"/>
        <filter val="copy .\img1\imgd306.jpg .\category\img1\"/>
        <filter val="copy .\img1\imgd422.jpg .\category\img1\"/>
        <filter val="copy .\img1\imgd431.jpg .\category\img1\"/>
        <filter val="copy .\img1\imgd6be.jpg .\category\img1\"/>
        <filter val="copy .\img1\imgd6bf.jpg .\category\img1\"/>
        <filter val="copy .\img1\imgd6d7.jpg .\category\img1\"/>
        <filter val="copy .\img1\imgd71e.jpg .\category\img1\"/>
        <filter val="copy .\img1\imgd7bf.jpg .\category\img1\"/>
        <filter val="copy .\img1\imgd8a2.jpg .\category\img1\"/>
        <filter val="copy .\img1\imgd8b8.jpg .\category\img1\"/>
        <filter val="copy .\img1\imgd945.jpg .\category\img1\"/>
        <filter val="copy .\img1\imgd996.jpg .\category\img1\"/>
        <filter val="copy .\img1\imgda08.jpg .\category\img1\"/>
        <filter val="copy .\img1\imgda19.jpg .\category\img1\"/>
        <filter val="copy .\img1\imgda6e.jpg .\category\img1\"/>
        <filter val="copy .\img1\imgda76.jpg .\category\img1\"/>
        <filter val="copy .\img1\imgdbd7.jpg .\category\img1\"/>
        <filter val="copy .\img1\imgddec.jpg .\category\img1\"/>
        <filter val="copy .\img1\imgde32.jpg .\category\img1\"/>
        <filter val="copy .\img1\imgdf2e.jpg .\category\img1\"/>
        <filter val="copy .\img1\imgdf6e.jpg .\category\img1\"/>
        <filter val="copy .\img1\imge04e.jpg .\category\img1\"/>
        <filter val="copy .\img1\imge193.jpg .\category\img1\"/>
        <filter val="copy .\img1\imge1af.jpg .\category\img1\"/>
        <filter val="copy .\img1\imge227.jpg .\category\img1\"/>
        <filter val="copy .\img1\imge280.jpg .\category\img1\"/>
        <filter val="copy .\img1\imge43e.jpg .\category\img1\"/>
        <filter val="copy .\img1\imge448.jpg .\category\img1\"/>
        <filter val="copy .\img1\imge451.jpg .\category\img1\"/>
        <filter val="copy .\img1\imge454.jpg .\category\img1\"/>
        <filter val="copy .\img1\imge46a.jpg .\category\img1\"/>
        <filter val="copy .\img1\imge5dd.jpg .\category\img1\"/>
        <filter val="copy .\img1\imge5ed.jpg .\category\img1\"/>
        <filter val="copy .\img1\imge671.jpg .\category\img1\"/>
        <filter val="copy .\img1\imge68e.jpg .\category\img1\"/>
        <filter val="copy .\img1\imge6f8.jpg .\category\img1\"/>
        <filter val="copy .\img1\imge86c.jpg .\category\img1\"/>
        <filter val="copy .\img1\imge93e.jpg .\category\img1\"/>
        <filter val="copy .\img1\imge990.jpg .\category\img1\"/>
        <filter val="copy .\img1\imge9b7.jpg .\category\img1\"/>
        <filter val="copy .\img1\imgea27.jpg .\category\img1\"/>
        <filter val="copy .\img1\imgea71.jpg .\category\img1\"/>
        <filter val="copy .\img1\imgeacf.jpg .\category\img1\"/>
        <filter val="copy .\img1\imgeb61.jpg .\category\img1\"/>
        <filter val="copy .\img1\imgeb7d.jpg .\category\img1\"/>
        <filter val="copy .\img1\imgebad.jpg .\category\img1\"/>
        <filter val="copy .\img1\imgecf0.jpg .\category\img1\"/>
        <filter val="copy .\img1\imgee12.jpg .\category\img1\"/>
        <filter val="copy .\img1\imgee77.jpg .\category\img1\"/>
        <filter val="copy .\img1\imgef18.jpg .\category\img1\"/>
        <filter val="copy .\img1\imgf0e3.jpg .\category\img1\"/>
        <filter val="copy .\img1\imgf0e9.jpg .\category\img1\"/>
        <filter val="copy .\img1\imgf1e4.jpg .\category\img1\"/>
        <filter val="copy .\img1\imgf2ff-2.jpg .\category\img1\"/>
        <filter val="copy .\img1\imgf3b3.jpg .\category\img1\"/>
        <filter val="copy .\img1\imgf522.jpg .\category\img1\"/>
        <filter val="copy .\img1\imgf7ee.jpg .\category\img1\"/>
        <filter val="copy .\img1\imgf866.jpg .\category\img1\"/>
        <filter val="copy .\img1\imgf8ce.jpg .\category\img1\"/>
        <filter val="copy .\img1\imgf949.jpg .\category\img1\"/>
        <filter val="copy .\img1\imgf95e.jpg .\category\img1\"/>
        <filter val="copy .\img1\imgf9bc.jpg .\category\img1\"/>
        <filter val="copy .\img1\imgfb86.jpg .\category\img1\"/>
        <filter val="copy .\img1\imgfc90.jpg .\category\img1\"/>
        <filter val="copy .\img1\imgfc92.jpg .\category\img1\"/>
        <filter val="copy .\img1\imgfce3.jpg .\category\img1\"/>
        <filter val="copy .\img1\imgfd54.jpg .\category\img1\"/>
        <filter val="copy .\img1\imgfd6e.jpg .\category\img1\"/>
        <filter val="copy .\img1\imgfe08.jpg .\category\img1\"/>
        <filter val="copy .\img1\imgfec7.jpg .\category\img1\"/>
        <filter val="copy .\img1\imgfed4.jpg .\category\img1\"/>
        <filter val="copy .\img1\imgffa4.jpg .\category\img1\"/>
        <filter val="copy .\img1\imgffde.jpg .\category\img1\"/>
        <filter val="copy .\img1\imgfff0.jpg .\category\img1\"/>
        <filter val="copy .\img2\img006f.jpg .\category\img2\"/>
        <filter val="copy .\img2\img0071.jpg .\category\img2\"/>
        <filter val="copy .\img2\img0089.jpg .\category\img2\"/>
        <filter val="copy .\img2\img0094.jpg .\category\img2\"/>
        <filter val="copy .\img2\img01c3.jpg .\category\img2\"/>
        <filter val="copy .\img2\img031e.jpg .\category\img2\"/>
        <filter val="copy .\img2\img0386.jpg .\category\img2\"/>
        <filter val="copy .\img2\img03a3.jpg .\category\img2\"/>
        <filter val="copy .\img2\img0541.jpg .\category\img2\"/>
        <filter val="copy .\img2\img059b.jpg .\category\img2\"/>
        <filter val="copy .\img2\img05eb.jpg .\category\img2\"/>
        <filter val="copy .\img2\img05fb.jpg .\category\img2\"/>
        <filter val="copy .\img2\img0664.jpg .\category\img2\"/>
        <filter val="copy .\img2\img066a.jpg .\category\img2\"/>
        <filter val="copy .\img2\img06d8.jpg .\category\img2\"/>
        <filter val="copy .\img2\img06f3.jpg .\category\img2\"/>
        <filter val="copy .\img2\img07b5.jpg .\category\img2\"/>
        <filter val="copy .\img2\img0844.jpg .\category\img2\"/>
        <filter val="copy .\img2\img08b3.jpg .\category\img2\"/>
        <filter val="copy .\img2\img08f4.jpg .\category\img2\"/>
        <filter val="copy .\img2\img0a77.jpg .\category\img2\"/>
        <filter val="copy .\img2\img0bf2.jpg .\category\img2\"/>
        <filter val="copy .\img2\img0cbe.jpg .\category\img2\"/>
        <filter val="copy .\img2\img0cc8.jpg .\category\img2\"/>
        <filter val="copy .\img2\img0d01.jpg .\category\img2\"/>
        <filter val="copy .\img2\img0d59.jpg .\category\img2\"/>
        <filter val="copy .\img2\img0d8c.jpg .\category\img2\"/>
        <filter val="copy .\img2\img0db0.jpg .\category\img2\"/>
        <filter val="copy .\img2\img0e43.jpg .\category\img2\"/>
        <filter val="copy .\img2\img0ee0.jpg .\category\img2\"/>
        <filter val="copy .\img2\img0fae.jpg .\category\img2\"/>
        <filter val="copy .\img2\img1017.jpg .\category\img2\"/>
        <filter val="copy .\img2\img1070.jpg .\category\img2\"/>
        <filter val="copy .\img2\img10aa.jpg .\category\img2\"/>
        <filter val="copy .\img2\img1191.jpg .\category\img2\"/>
        <filter val="copy .\img2\img11a8.jpg .\category\img2\"/>
        <filter val="copy .\img2\img12b8.jpg .\category\img2\"/>
        <filter val="copy .\img2\img13e5.jpg .\category\img2\"/>
        <filter val="copy .\img2\img1449.jpg .\category\img2\"/>
        <filter val="copy .\img2\img1454.jpg .\category\img2\"/>
        <filter val="copy .\img2\img1499.jpg .\category\img2\"/>
        <filter val="copy .\img2\img15fa.jpg .\category\img2\"/>
        <filter val="copy .\img2\img163f.jpg .\category\img2\"/>
        <filter val="copy .\img2\img1688.jpg .\category\img2\"/>
        <filter val="copy .\img2\img16bb.jpg .\category\img2\"/>
        <filter val="copy .\img2\img17ce.jpg .\category\img2\"/>
        <filter val="copy .\img2\img17d4.jpg .\category\img2\"/>
        <filter val="copy .\img2\img1838.jpg .\category\img2\"/>
        <filter val="copy .\img2\img1844.jpg .\category\img2\"/>
        <filter val="copy .\img2\img187c.jpg .\category\img2\"/>
        <filter val="copy .\img2\img192c.jpg .\category\img2\"/>
        <filter val="copy .\img2\img192c-2.jpg .\category\img2\"/>
        <filter val="copy .\img2\img193c.jpg .\category\img2\"/>
        <filter val="copy .\img2\img194f.jpg .\category\img2\"/>
        <filter val="copy .\img2\img1996.jpg .\category\img2\"/>
        <filter val="copy .\img2\img1a16.jpg .\category\img2\"/>
        <filter val="copy .\img2\img1a1f.jpg .\category\img2\"/>
        <filter val="copy .\img2\img1a3a.jpg .\category\img2\"/>
        <filter val="copy .\img2\img1a68.jpg .\category\img2\"/>
        <filter val="copy .\img2\img1b8b.jpg .\category\img2\"/>
        <filter val="copy .\img2\img1ce8.jpg .\category\img2\"/>
        <filter val="copy .\img2\img1e6d.jpg .\category\img2\"/>
        <filter val="copy .\img2\img1e6e.jpg .\category\img2\"/>
        <filter val="copy .\img2\img1e8c.jpg .\category\img2\"/>
        <filter val="copy .\img2\img1efc.jpg .\category\img2\"/>
        <filter val="copy .\img2\img1f3b.jpg .\category\img2\"/>
        <filter val="copy .\img2\img1f9c.jpg .\category\img2\"/>
        <filter val="copy .\img2\img1fb7.jpg .\category\img2\"/>
        <filter val="copy .\img2\img1fff.jpg .\category\img2\"/>
        <filter val="copy .\img2\img2020.jpg .\category\img2\"/>
        <filter val="copy .\img2\img202c.jpg .\category\img2\"/>
        <filter val="copy .\img2\img20dd.jpg .\category\img2\"/>
        <filter val="copy .\img2\img2124.jpg .\category\img2\"/>
        <filter val="copy .\img2\img21cb.jpg .\category\img2\"/>
        <filter val="copy .\img2\img223b.jpg .\category\img2\"/>
        <filter val="copy .\img2\img225f.jpg .\category\img2\"/>
        <filter val="copy .\img2\img22b2.jpg .\category\img2\"/>
        <filter val="copy .\img2\img22e4.jpg .\category\img2\"/>
        <filter val="copy .\img2\img22f5.jpg .\category\img2\"/>
        <filter val="copy .\img2\img2370.jpg .\category\img2\"/>
        <filter val="copy .\img2\img23da.jpg .\category\img2\"/>
        <filter val="copy .\img2\img2421.jpg .\category\img2\"/>
        <filter val="copy .\img2\img2435.jpg .\category\img2\"/>
        <filter val="copy .\img2\img251a.jpg .\category\img2\"/>
        <filter val="copy .\img2\img25f4.jpg .\category\img2\"/>
        <filter val="copy .\img2\img2663.jpg .\category\img2\"/>
        <filter val="copy .\img2\img26bf.jpg .\category\img2\"/>
        <filter val="copy .\img2\img26e3.jpg .\category\img2\"/>
        <filter val="copy .\img2\img2760.jpg .\category\img2\"/>
        <filter val="copy .\img2\img27ea.jpg .\category\img2\"/>
        <filter val="copy .\img2\img287e.jpg .\category\img2\"/>
        <filter val="copy .\img2\img28e7.jpg .\category\img2\"/>
        <filter val="copy .\img2\img2933.jpg .\category\img2\"/>
        <filter val="copy .\img2\img2ab1.jpg .\category\img2\"/>
        <filter val="copy .\img2\img2ad5.jpg .\category\img2\"/>
        <filter val="copy .\img2\img2be7.jpg .\category\img2\"/>
        <filter val="copy .\img2\img2c01.jpg .\category\img2\"/>
        <filter val="copy .\img2\img2c2e.jpg .\category\img2\"/>
        <filter val="copy .\img2\img2dfa.jpg .\category\img2\"/>
        <filter val="copy .\img2\img2e7b.jpg .\category\img2\"/>
        <filter val="copy .\img2\img2e8d.jpg .\category\img2\"/>
        <filter val="copy .\img2\img2f43.jpg .\category\img2\"/>
        <filter val="copy .\img2\img30e0.jpg .\category\img2\"/>
        <filter val="copy .\img2\img3200.jpg .\category\img2\"/>
        <filter val="copy .\img2\img3371.jpg .\category\img2\"/>
        <filter val="copy .\img2\img337d.jpg .\category\img2\"/>
        <filter val="copy .\img2\img3394.jpg .\category\img2\"/>
        <filter val="copy .\img2\img33d2.jpg .\category\img2\"/>
        <filter val="copy .\img2\img3461.jpg .\category\img2\"/>
        <filter val="copy .\img2\img34df.jpg .\category\img2\"/>
        <filter val="copy .\img2\img3619.jpg .\category\img2\"/>
        <filter val="copy .\img2\img3639.jpg .\category\img2\"/>
        <filter val="copy .\img2\img3689.jpg .\category\img2\"/>
        <filter val="copy .\img2\img3718.jpg .\category\img2\"/>
        <filter val="copy .\img2\img371d.jpg .\category\img2\"/>
        <filter val="copy .\img2\img37ca.jpg .\category\img2\"/>
        <filter val="copy .\img2\img380b.jpg .\category\img2\"/>
        <filter val="copy .\img2\img38f6.jpg .\category\img2\"/>
        <filter val="copy .\img2\img39b3.jpg .\category\img2\"/>
        <filter val="copy .\img2\img3a91.jpg .\category\img2\"/>
        <filter val="copy .\img2\img3b52.jpg .\category\img2\"/>
        <filter val="copy .\img2\img3b62.jpg .\category\img2\"/>
        <filter val="copy .\img2\img3c0b.jpg .\category\img2\"/>
        <filter val="copy .\img2\img3c46.jpg .\category\img2\"/>
        <filter val="copy .\img2\img3c7c.jpg .\category\img2\"/>
        <filter val="copy .\img2\img3ceb.jpg .\category\img2\"/>
        <filter val="copy .\img2\img3feb.jpg .\category\img2\"/>
        <filter val="copy .\img2\img3fec.jpg .\category\img2\"/>
        <filter val="copy .\img2\img40cd.jpg .\category\img2\"/>
        <filter val="copy .\img2\img40ef.jpg .\category\img2\"/>
        <filter val="copy .\img2\img4201.jpg .\category\img2\"/>
        <filter val="copy .\img2\img421a.jpg .\category\img2\"/>
        <filter val="copy .\img2\img424e.jpg .\category\img2\"/>
        <filter val="copy .\img2\img445c.jpg .\category\img2\"/>
        <filter val="copy .\img2\img4509.jpg .\category\img2\"/>
        <filter val="copy .\img2\img4518.jpg .\category\img2\"/>
        <filter val="copy .\img2\img46c7.jpg .\category\img2\"/>
        <filter val="copy .\img2\img470d.jpg .\category\img2\"/>
        <filter val="copy .\img2\img476b.jpg .\category\img2\"/>
        <filter val="copy .\img2\img47b7.jpg .\category\img2\"/>
        <filter val="copy .\img2\img4809.jpg .\category\img2\"/>
        <filter val="copy .\img2\img481a.jpg .\category\img2\"/>
        <filter val="copy .\img2\img4973.jpg .\category\img2\"/>
        <filter val="copy .\img2\img49e0.jpg .\category\img2\"/>
        <filter val="copy .\img2\img49e1.jpg .\category\img2\"/>
        <filter val="copy .\img2\img4a56.jpg .\category\img2\"/>
        <filter val="copy .\img2\img4a7b.jpg .\category\img2\"/>
        <filter val="copy .\img2\img4be0.jpg .\category\img2\"/>
        <filter val="copy .\img2\img4c69.jpg .\category\img2\"/>
        <filter val="copy .\img2\img4d3e.jpg .\category\img2\"/>
        <filter val="copy .\img2\img4da3.jpg .\category\img2\"/>
        <filter val="copy .\img2\img4e12.jpg .\category\img2\"/>
        <filter val="copy .\img2\img4e23.jpg .\category\img2\"/>
        <filter val="copy .\img2\img4e8f.jpg .\category\img2\"/>
        <filter val="copy .\img2\img4f89.jpg .\category\img2\"/>
        <filter val="copy .\img2\img500d.jpg .\category\img2\"/>
        <filter val="copy .\img2\img5016.jpg .\category\img2\"/>
        <filter val="copy .\img2\img505c.jpg .\category\img2\"/>
        <filter val="copy .\img2\img5087.jpg .\category\img2\"/>
        <filter val="copy .\img2\img5130.jpg .\category\img2\"/>
        <filter val="copy .\img2\img526c.jpg .\category\img2\"/>
        <filter val="copy .\img2\img52c0.jpg .\category\img2\"/>
        <filter val="copy .\img2\img5503.jpg .\category\img2\"/>
        <filter val="copy .\img2\img5590.jpg .\category\img2\"/>
        <filter val="copy .\img2\img55a2.jpg .\category\img2\"/>
        <filter val="copy .\img2\img55bd.jpg .\category\img2\"/>
        <filter val="copy .\img2\img572e.jpg .\category\img2\"/>
        <filter val="copy .\img2\img57b5.jpg .\category\img2\"/>
        <filter val="copy .\img2\img5849.jpg .\category\img2\"/>
        <filter val="copy .\img2\img586a.jpg .\category\img2\"/>
        <filter val="copy .\img2\img5872.jpg .\category\img2\"/>
        <filter val="copy .\img2\img5964.jpg .\category\img2\"/>
        <filter val="copy .\img2\img5a93.jpg .\category\img2\"/>
        <filter val="copy .\img2\img5aab.jpg .\category\img2\"/>
        <filter val="copy .\img2\img5bb1.jpg .\category\img2\"/>
        <filter val="copy .\img2\img5c3a.jpg .\category\img2\"/>
        <filter val="copy .\img2\img5d9d.jpg .\category\img2\"/>
        <filter val="copy .\img2\img5dd5.jpg .\category\img2\"/>
        <filter val="copy .\img2\img5e0d.jpg .\category\img2\"/>
        <filter val="copy .\img2\img5e0e.jpg .\category\img2\"/>
        <filter val="copy .\img2\img5ecf.jpg .\category\img2\"/>
        <filter val="copy .\img2\img60eb.jpg .\category\img2\"/>
        <filter val="copy .\img2\img60ed.jpg .\category\img2\"/>
        <filter val="copy .\img2\img6156.jpg .\category\img2\"/>
        <filter val="copy .\img2\img6198.jpg .\category\img2\"/>
        <filter val="copy .\img2\img6345.jpg .\category\img2\"/>
        <filter val="copy .\img2\img63b0.jpg .\category\img2\"/>
        <filter val="copy .\img2\img6459.jpg .\category\img2\"/>
        <filter val="copy .\img2\img65a0.jpg .\category\img2\"/>
        <filter val="copy .\img2\img6675.jpg .\category\img2\"/>
        <filter val="copy .\img2\img668b.jpg .\category\img2\"/>
        <filter val="copy .\img2\img66ac.jpg .\category\img2\"/>
        <filter val="copy .\img2\img6715.jpg .\category\img2\"/>
        <filter val="copy .\img2\img678b.jpg .\category\img2\"/>
        <filter val="copy .\img2\img681d.jpg .\category\img2\"/>
        <filter val="copy .\img2\img6823.jpg .\category\img2\"/>
        <filter val="copy .\img2\img68b3.jpg .\category\img2\"/>
        <filter val="copy .\img2\img68c6.jpg .\category\img2\"/>
        <filter val="copy .\img2\img68f9.jpg .\category\img2\"/>
        <filter val="copy .\img2\img6979.jpg .\category\img2\"/>
        <filter val="copy .\img2\img69b2.jpg .\category\img2\"/>
        <filter val="copy .\img2\img6a6b.jpg .\category\img2\"/>
        <filter val="copy .\img2\img6aba.jpg .\category\img2\"/>
        <filter val="copy .\img2\img6b7b.jpg .\category\img2\"/>
        <filter val="copy .\img2\img6bfa.jpg .\category\img2\"/>
        <filter val="copy .\img2\img6c29.jpg .\category\img2\"/>
        <filter val="copy .\img2\img6c6c.jpg .\category\img2\"/>
        <filter val="copy .\img2\img6c75.jpg .\category\img2\"/>
        <filter val="copy .\img2\img6d25.jpg .\category\img2\"/>
        <filter val="copy .\img2\img6e4c.jpg .\category\img2\"/>
        <filter val="copy .\img2\img6e63.jpg .\category\img2\"/>
        <filter val="copy .\img2\img6e67.jpg .\category\img2\"/>
        <filter val="copy .\img2\img6e83.jpg .\category\img2\"/>
        <filter val="copy .\img2\img6e9f.jpg .\category\img2\"/>
        <filter val="copy .\img2\img6ecd.jpg .\category\img2\"/>
        <filter val="copy .\img2\img6f16.jpg .\category\img2\"/>
        <filter val="copy .\img2\img7062.jpg .\category\img2\"/>
        <filter val="copy .\img2\img712a.jpg .\category\img2\"/>
        <filter val="copy .\img2\img71b1.jpg .\category\img2\"/>
        <filter val="copy .\img2\img71ca.jpg .\category\img2\"/>
        <filter val="copy .\img2\img71dc.jpg .\category\img2\"/>
        <filter val="copy .\img2\img73e7.jpg .\category\img2\"/>
        <filter val="copy .\img2\img7834.jpg .\category\img2\"/>
        <filter val="copy .\img2\img79b5.jpg .\category\img2\"/>
        <filter val="copy .\img2\img7a61.jpg .\category\img2\"/>
        <filter val="copy .\img2\img7a65.jpg .\category\img2\"/>
        <filter val="copy .\img2\img7ad7.jpg .\category\img2\"/>
        <filter val="copy .\img2\img7bdf-2.jpg .\category\img2\"/>
        <filter val="copy .\img2\img7c18-2.jpg .\category\img2\"/>
        <filter val="copy .\img2\img7c4a.jpg .\category\img2\"/>
        <filter val="copy .\img2\img7c80.jpg .\category\img2\"/>
        <filter val="copy .\img2\img7d07.jpg .\category\img2\"/>
        <filter val="copy .\img2\img7e44.jpg .\category\img2\"/>
        <filter val="copy .\img2\img7e59.jpg .\category\img2\"/>
        <filter val="copy .\img2\img7e96.jpg .\category\img2\"/>
        <filter val="copy .\img2\img7ebf.jpg .\category\img2\"/>
        <filter val="copy .\img2\img7f19.jpg .\category\img2\"/>
        <filter val="copy .\img2\img7f3a.jpg .\category\img2\"/>
        <filter val="copy .\img2\img7f48.jpg .\category\img2\"/>
        <filter val="copy .\img2\img7f68.jpg .\category\img2\"/>
        <filter val="copy .\img2\img813f.jpg .\category\img2\"/>
        <filter val="copy .\img2\img817e.jpg .\category\img2\"/>
        <filter val="copy .\img2\img81ae.jpg .\category\img2\"/>
        <filter val="copy .\img2\img8283.jpg .\category\img2\"/>
        <filter val="copy .\img2\img82b1.jpg .\category\img2\"/>
        <filter val="copy .\img2\img82d0.jpg .\category\img2\"/>
        <filter val="copy .\img2\img8309.jpg .\category\img2\"/>
        <filter val="copy .\img2\img8395.jpg .\category\img2\"/>
        <filter val="copy .\img2\img83a5.jpg .\category\img2\"/>
        <filter val="copy .\img2\img8461.jpg .\category\img2\"/>
        <filter val="copy .\img2\img848c.jpg .\category\img2\"/>
        <filter val="copy .\img2\img8592.jpg .\category\img2\"/>
        <filter val="copy .\img2\img8630.jpg .\category\img2\"/>
        <filter val="copy .\img2\img866b.jpg .\category\img2\"/>
        <filter val="copy .\img2\img86c3.jpg .\category\img2\"/>
        <filter val="copy .\img2\img86ef.jpg .\category\img2\"/>
        <filter val="copy .\img2\img87eb.jpg .\category\img2\"/>
        <filter val="copy .\img2\img8816.jpg .\category\img2\"/>
        <filter val="copy .\img2\img8838.jpg .\category\img2\"/>
        <filter val="copy .\img2\img883d.jpg .\category\img2\"/>
        <filter val="copy .\img2\img896c.jpg .\category\img2\"/>
        <filter val="copy .\img2\img8b32.jpg .\category\img2\"/>
        <filter val="copy .\img2\img8bd2.jpg .\category\img2\"/>
        <filter val="copy .\img2\img8c2b.jpg .\category\img2\"/>
        <filter val="copy .\img2\img8c5d.jpg .\category\img2\"/>
        <filter val="copy .\img2\img8ce6.jpg .\category\img2\"/>
        <filter val="copy .\img2\img8db7.jpg .\category\img2\"/>
        <filter val="copy .\img2\img8e1f.jpg .\category\img2\"/>
        <filter val="copy .\img2\img8e2e.jpg .\category\img2\"/>
        <filter val="copy .\img2\img8f41.jpg .\category\img2\"/>
        <filter val="copy .\img2\img8f4a.jpg .\category\img2\"/>
        <filter val="copy .\img2\img8f7e.jpg .\category\img2\"/>
        <filter val="copy .\img2\img8f91.jpg .\category\img2\"/>
        <filter val="copy .\img2\img905a.jpg .\category\img2\"/>
        <filter val="copy .\img2\img9066.jpg .\category\img2\"/>
        <filter val="copy .\img2\img906c.jpg .\category\img2\"/>
        <filter val="copy .\img2\img90b7.jpg .\category\img2\"/>
        <filter val="copy .\img2\img913f.jpg .\category\img2\"/>
        <filter val="copy .\img2\img9197.jpg .\category\img2\"/>
        <filter val="copy .\img2\img9411.jpg .\category\img2\"/>
        <filter val="copy .\img2\img9527.jpg .\category\img2\"/>
        <filter val="copy .\img2\img9626.jpg .\category\img2\"/>
        <filter val="copy .\img2\img9741.jpg .\category\img2\"/>
        <filter val="copy .\img2\img9741-2.jpg .\category\img2\"/>
        <filter val="copy .\img2\img9907.jpg .\category\img2\"/>
        <filter val="copy .\img2\img991c.jpg .\category\img2\"/>
        <filter val="copy .\img2\img9998.jpg .\category\img2\"/>
        <filter val="copy .\img2\img99f0.jpg .\category\img2\"/>
        <filter val="copy .\img2\img9a2f.jpg .\category\img2\"/>
        <filter val="copy .\img2\img9a2f-2.jpg .\category\img2\"/>
        <filter val="copy .\img2\img9b67.jpg .\category\img2\"/>
        <filter val="copy .\img2\img9c4a.jpg .\category\img2\"/>
        <filter val="copy .\img2\img9cc3.jpg .\category\img2\"/>
        <filter val="copy .\img2\img9d68.jpg .\category\img2\"/>
        <filter val="copy .\img2\img9db5.jpg .\category\img2\"/>
        <filter val="copy .\img2\img9dfb.jpg .\category\img2\"/>
        <filter val="copy .\img2\img9e05.jpg .\category\img2\"/>
        <filter val="copy .\img2\img9e9b.jpg .\category\img2\"/>
        <filter val="copy .\img2\imga073.jpg .\category\img2\"/>
        <filter val="copy .\img2\imga082.jpg .\category\img2\"/>
        <filter val="copy .\img2\imga10a.jpg .\category\img2\"/>
        <filter val="copy .\img2\imga120.jpg .\category\img2\"/>
        <filter val="copy .\img2\imga126.jpg .\category\img2\"/>
        <filter val="copy .\img2\imga13c.jpg .\category\img2\"/>
        <filter val="copy .\img2\imga22f.jpg .\category\img2\"/>
        <filter val="copy .\img2\imga23e.jpg .\category\img2\"/>
        <filter val="copy .\img2\imga566.jpg .\category\img2\"/>
        <filter val="copy .\img2\imga575.jpg .\category\img2\"/>
        <filter val="copy .\img2\imga616.jpg .\category\img2\"/>
        <filter val="copy .\img2\imga685.jpg .\category\img2\"/>
        <filter val="copy .\img2\imga721.jpg .\category\img2\"/>
        <filter val="copy .\img2\imga770.jpg .\category\img2\"/>
        <filter val="copy .\img2\imga7c2.jpg .\category\img2\"/>
        <filter val="copy .\img2\imga7d0.jpg .\category\img2\"/>
        <filter val="copy .\img2\imga9b4.jpg .\category\img2\"/>
        <filter val="copy .\img2\imgac58-2.jpg .\category\img2\"/>
        <filter val="copy .\img2\imgad27.jpg .\category\img2\"/>
        <filter val="copy .\img2\imgaddf.jpg .\category\img2\"/>
        <filter val="copy .\img2\imgae85.jpg .\category\img2\"/>
        <filter val="copy .\img2\imgafae.jpg .\category\img2\"/>
        <filter val="copy .\img2\imgafda.jpg .\category\img2\"/>
        <filter val="copy .\img2\imgb06c.jpg .\category\img2\"/>
        <filter val="copy .\img2\imgb0d2.jpg .\category\img2\"/>
        <filter val="copy .\img2\imgb111-2.jpg .\category\img2\"/>
        <filter val="copy .\img2\imgb152.jpg .\category\img2\"/>
        <filter val="copy .\img2\imgb298.jpg .\category\img2\"/>
        <filter val="copy .\img2\imgb2c8.jpg .\category\img2\"/>
        <filter val="copy .\img2\imgb2dc.jpg .\category\img2\"/>
        <filter val="copy .\img2\imgb328.jpg .\category\img2\"/>
        <filter val="copy .\img2\imgb35e.jpg .\category\img2\"/>
        <filter val="copy .\img2\imgb414.jpg .\category\img2\"/>
        <filter val="copy .\img2\imgb4a0.jpg .\category\img2\"/>
        <filter val="copy .\img2\imgb501.jpg .\category\img2\"/>
        <filter val="copy .\img2\imgb5c0-2.jpg .\category\img2\"/>
        <filter val="copy .\img2\imgb5cd.jpg .\category\img2\"/>
        <filter val="copy .\img2\imgb690.jpg .\category\img2\"/>
        <filter val="copy .\img2\imgb6e5-2.jpg .\category\img2\"/>
        <filter val="copy .\img2\imgb741.jpg .\category\img2\"/>
        <filter val="copy .\img2\imgb78d.jpg .\category\img2\"/>
        <filter val="copy .\img2\imgb7ec.jpg .\category\img2\"/>
        <filter val="copy .\img2\imgb80a.jpg .\category\img2\"/>
        <filter val="copy .\img2\imgb85d.jpg .\category\img2\"/>
        <filter val="copy .\img2\imgb887.jpg .\category\img2\"/>
        <filter val="copy .\img2\imgb97b.jpg .\category\img2\"/>
        <filter val="copy .\img2\imgb97c.jpg .\category\img2\"/>
        <filter val="copy .\img2\imgba3d.jpg .\category\img2\"/>
        <filter val="copy .\img2\imgbab2.jpg .\category\img2\"/>
        <filter val="copy .\img2\imgbb28.jpg .\category\img2\"/>
        <filter val="copy .\img2\imgbb37.jpg .\category\img2\"/>
        <filter val="copy .\img2\imgbc36.jpg .\category\img2\"/>
        <filter val="copy .\img2\imgbcf2.jpg .\category\img2\"/>
        <filter val="copy .\img2\imgbd53.jpg .\category\img2\"/>
        <filter val="copy .\img2\imgbd60.jpg .\category\img2\"/>
        <filter val="copy .\img2\imgbdf9.jpg .\category\img2\"/>
        <filter val="copy .\img2\imgbe3b.jpg .\category\img2\"/>
        <filter val="copy .\img2\imgbea7.jpg .\category\img2\"/>
        <filter val="copy .\img2\imgbecb.jpg .\category\img2\"/>
        <filter val="copy .\img2\imgbfe3.jpg .\category\img2\"/>
        <filter val="copy .\img2\imgc084.jpg .\category\img2\"/>
        <filter val="copy .\img2\imgc08f.jpg .\category\img2\"/>
        <filter val="copy .\img2\imgc09e.jpg .\category\img2\"/>
        <filter val="copy .\img2\imgc186.jpg .\category\img2\"/>
        <filter val="copy .\img2\imgc1c4.jpg .\category\img2\"/>
        <filter val="copy .\img2\imgc203.jpg .\category\img2\"/>
        <filter val="copy .\img2\imgc2b9.jpg .\category\img2\"/>
        <filter val="copy .\img2\imgc307.jpg .\category\img2\"/>
        <filter val="copy .\img2\imgc329.jpg .\category\img2\"/>
        <filter val="copy .\img2\imgc364.jpg .\category\img2\"/>
        <filter val="copy .\img2\imgc3d0.jpg .\category\img2\"/>
        <filter val="copy .\img2\imgc48b.jpg .\category\img2\"/>
        <filter val="copy .\img2\imgc4be.jpg .\category\img2\"/>
        <filter val="copy .\img2\imgc587.jpg .\category\img2\"/>
        <filter val="copy .\img2\imgc708.jpg .\category\img2\"/>
        <filter val="copy .\img2\imgc771.jpg .\category\img2\"/>
        <filter val="copy .\img2\imgc8e7.jpg .\category\img2\"/>
        <filter val="copy .\img2\imgcba2.jpg .\category\img2\"/>
        <filter val="copy .\img2\imgcc07.jpg .\category\img2\"/>
        <filter val="copy .\img2\imgce19.jpg .\category\img2\"/>
        <filter val="copy .\img2\imgce4c.jpg .\category\img2\"/>
        <filter val="copy .\img2\imgcec4.jpg .\category\img2\"/>
        <filter val="copy .\img2\imgcf26.jpg .\category\img2\"/>
        <filter val="copy .\img2\imgcf5e.jpg .\category\img2\"/>
        <filter val="copy .\img2\imgcf5f.jpg .\category\img2\"/>
        <filter val="copy .\img2\imgd07b.jpg .\category\img2\"/>
        <filter val="copy .\img2\imgd0db.jpg .\category\img2\"/>
        <filter val="copy .\img2\imgd16a.jpg .\category\img2\"/>
        <filter val="copy .\img2\imgd19e.jpg .\category\img2\"/>
        <filter val="copy .\img2\imgd3a4.jpg .\category\img2\"/>
        <filter val="copy .\img2\imgd52d.jpg .\category\img2\"/>
        <filter val="copy .\img2\imgd66b.jpg .\category\img2\"/>
        <filter val="copy .\img2\imgd6cf.jpg .\category\img2\"/>
        <filter val="copy .\img2\imgd71f.jpg .\category\img2\"/>
        <filter val="copy .\img2\imgd737.jpg .\category\img2\"/>
        <filter val="copy .\img2\imgd80c.jpg .\category\img2\"/>
        <filter val="copy .\img2\imgd832.jpg .\category\img2\"/>
        <filter val="copy .\img2\imgd84a.jpg .\category\img2\"/>
        <filter val="copy .\img2\imgd851.jpg .\category\img2\"/>
        <filter val="copy .\img2\imgd85c.jpg .\category\img2\"/>
        <filter val="copy .\img2\imgd901.jpg .\category\img2\"/>
        <filter val="copy .\img2\imgda04.jpg .\category\img2\"/>
        <filter val="copy .\img2\imgda09.jpg .\category\img2\"/>
        <filter val="copy .\img2\imgda28.jpg .\category\img2\"/>
        <filter val="copy .\img2\imgda40.jpg .\category\img2\"/>
        <filter val="copy .\img2\imgda76.jpg .\category\img2\"/>
        <filter val="copy .\img2\imgdad4.jpg .\category\img2\"/>
        <filter val="copy .\img2\imgdc6b.jpg .\category\img2\"/>
        <filter val="copy .\img2\imgdc97.jpg .\category\img2\"/>
        <filter val="copy .\img2\imgde4a.jpg .\category\img2\"/>
        <filter val="copy .\img2\imgdf17.jpg .\category\img2\"/>
        <filter val="copy .\img2\imge011.jpg .\category\img2\"/>
        <filter val="copy .\img2\imge028.jpg .\category\img2\"/>
        <filter val="copy .\img2\imge092.jpg .\category\img2\"/>
        <filter val="copy .\img2\imge099.jpg .\category\img2\"/>
        <filter val="copy .\img2\imge11f.jpg .\category\img2\"/>
        <filter val="copy .\img2\imge26f.jpg .\category\img2\"/>
        <filter val="copy .\img2\imge27b.jpg .\category\img2\"/>
        <filter val="copy .\img2\imge2a3.jpg .\category\img2\"/>
        <filter val="copy .\img2\imge395.jpg .\category\img2\"/>
        <filter val="copy .\img2\imge54a.jpg .\category\img2\"/>
        <filter val="copy .\img2\imge556.jpg .\category\img2\"/>
        <filter val="copy .\img2\imge588.jpg .\category\img2\"/>
        <filter val="copy .\img2\imge5b7.jpg .\category\img2\"/>
        <filter val="copy .\img2\imge5f5.jpg .\category\img2\"/>
        <filter val="copy .\img2\imge649.jpg .\category\img2\"/>
        <filter val="copy .\img2\imge6c1.jpg .\category\img2\"/>
        <filter val="copy .\img2\imge6f3.jpg .\category\img2\"/>
        <filter val="copy .\img2\imge7b1.jpg .\category\img2\"/>
        <filter val="copy .\img2\imge9c4.jpg .\category\img2\"/>
        <filter val="copy .\img2\imgeb07.jpg .\category\img2\"/>
        <filter val="copy .\img2\imgeb32.jpg .\category\img2\"/>
        <filter val="copy .\img2\imgebdc.jpg .\category\img2\"/>
        <filter val="copy .\img2\imgec89.jpg .\category\img2\"/>
        <filter val="copy .\img2\imgedc5.jpg .\category\img2\"/>
        <filter val="copy .\img2\imgee5b.jpg .\category\img2\"/>
        <filter val="copy .\img2\imgf1b8.jpg .\category\img2\"/>
        <filter val="copy .\img2\imgf3ba.jpg .\category\img2\"/>
        <filter val="copy .\img2\imgf449.jpg .\category\img2\"/>
        <filter val="copy .\img2\imgf49b.jpg .\category\img2\"/>
        <filter val="copy .\img2\imgf4d8.jpg .\category\img2\"/>
        <filter val="copy .\img2\imgf538.jpg .\category\img2\"/>
        <filter val="copy .\img2\imgf5c7.jpg .\category\img2\"/>
        <filter val="copy .\img2\imgf6b4.jpg .\category\img2\"/>
        <filter val="copy .\img2\imgf6e3.jpg .\category\img2\"/>
        <filter val="copy .\img2\imgf706.jpg .\category\img2\"/>
        <filter val="copy .\img2\imgf72e.jpg .\category\img2\"/>
        <filter val="copy .\img2\imgf8d3.jpg .\category\img2\"/>
        <filter val="copy .\img2\imgf8e6.jpg .\category\img2\"/>
        <filter val="copy .\img2\imgf94e.jpg .\category\img2\"/>
        <filter val="copy .\img2\imgf974.jpg .\category\img2\"/>
        <filter val="copy .\img2\imgfba5.jpg .\category\img2\"/>
        <filter val="copy .\img2\imgfd78.jpg .\category\img2\"/>
        <filter val="copy .\img2\imgfe5f.jpg .\category\img2\"/>
        <filter val="copy .\img2\imgfe72.jpg .\category\img2\"/>
        <filter val="copy .\img2\imgfe95.jpg .\category\img2\"/>
        <filter val="copy .\img2\imgfefb.jpg .\category\img2\"/>
        <filter val="copy .\img3\img000e.jpg .\category\img3\"/>
        <filter val="copy .\img3\img0020.jpg .\category\img3\"/>
        <filter val="copy .\img3\img0060.jpg .\category\img3\"/>
        <filter val="copy .\img3\img0149.jpg .\category\img3\"/>
        <filter val="copy .\img3\img015a.jpg .\category\img3\"/>
        <filter val="copy .\img3\img0332.jpg .\category\img3\"/>
        <filter val="copy .\img3\img03db.jpg .\category\img3\"/>
        <filter val="copy .\img3\img03f1.jpg .\category\img3\"/>
        <filter val="copy .\img3\img0488.jpg .\category\img3\"/>
        <filter val="copy .\img3\img049b.jpg .\category\img3\"/>
        <filter val="copy .\img3\img0528.jpg .\category\img3\"/>
        <filter val="copy .\img3\img056c.jpg .\category\img3\"/>
        <filter val="copy .\img3\img0598.jpg .\category\img3\"/>
        <filter val="copy .\img3\img062e.jpg .\category\img3\"/>
        <filter val="copy .\img3\img06ab.jpg .\category\img3\"/>
        <filter val="copy .\img3\img06be.jpg .\category\img3\"/>
        <filter val="copy .\img3\img0755.jpg .\category\img3\"/>
        <filter val="copy .\img3\img077d.jpg .\category\img3\"/>
        <filter val="copy .\img3\img07b0.jpg .\category\img3\"/>
        <filter val="copy .\img3\img0905.jpg .\category\img3\"/>
        <filter val="copy .\img3\img0910.jpg .\category\img3\"/>
        <filter val="copy .\img3\img09a9.jpg .\category\img3\"/>
        <filter val="copy .\img3\img0a4d.jpg .\category\img3\"/>
        <filter val="copy .\img3\img0abb.jpg .\category\img3\"/>
        <filter val="copy .\img3\img0ac1.jpg .\category\img3\"/>
        <filter val="copy .\img3\img0acb.jpg .\category\img3\"/>
        <filter val="copy .\img3\img0b27.jpg .\category\img3\"/>
        <filter val="copy .\img3\img0b74.jpg .\category\img3\"/>
        <filter val="copy .\img3\img0bfa.jpg .\category\img3\"/>
        <filter val="copy .\img3\img0c8d.jpg .\category\img3\"/>
        <filter val="copy .\img3\img0d1f.jpg .\category\img3\"/>
        <filter val="copy .\img3\img0d56.jpg .\category\img3\"/>
        <filter val="copy .\img3\img0e35.jpg .\category\img3\"/>
        <filter val="copy .\img3\img0e55.jpg .\category\img3\"/>
        <filter val="copy .\img3\img0f36.jpg .\category\img3\"/>
        <filter val="copy .\img3\img1123.jpg .\category\img3\"/>
        <filter val="copy .\img3\img1151.jpg .\category\img3\"/>
        <filter val="copy .\img3\img1171.jpg .\category\img3\"/>
        <filter val="copy .\img3\img1172.jpg .\category\img3\"/>
        <filter val="copy .\img3\img1263.jpg .\category\img3\"/>
        <filter val="copy .\img3\img12c1.jpg .\category\img3\"/>
        <filter val="copy .\img3\img12c2.jpg .\category\img3\"/>
        <filter val="copy .\img3\img1438.jpg .\category\img3\"/>
        <filter val="copy .\img3\img14a5.jpg .\category\img3\"/>
        <filter val="copy .\img3\img172b.jpg .\category\img3\"/>
        <filter val="copy .\img3\img1777.jpg .\category\img3\"/>
        <filter val="copy .\img3\img1816.jpg .\category\img3\"/>
        <filter val="copy .\img3\img19fa.jpg .\category\img3\"/>
        <filter val="copy .\img3\img1a98.jpg .\category\img3\"/>
        <filter val="copy .\img3\img1b06.jpg .\category\img3\"/>
        <filter val="copy .\img3\img1bc1.jpg .\category\img3\"/>
        <filter val="copy .\img3\img1c29.jpg .\category\img3\"/>
        <filter val="copy .\img3\img1c2f.jpg .\category\img3\"/>
        <filter val="copy .\img3\img1c3a.jpg .\category\img3\"/>
        <filter val="copy .\img3\img1c75.jpg .\category\img3\"/>
        <filter val="copy .\img3\img1db0.jpg .\category\img3\"/>
        <filter val="copy .\img3\img1dc7.jpg .\category\img3\"/>
        <filter val="copy .\img3\img1dcd.jpg .\category\img3\"/>
        <filter val="copy .\img3\img1e30.jpg .\category\img3\"/>
        <filter val="copy .\img3\img1e30-2.jpg .\category\img3\"/>
        <filter val="copy .\img3\img1e6b.jpg .\category\img3\"/>
        <filter val="copy .\img3\img1ed5.jpg .\category\img3\"/>
        <filter val="copy .\img3\img1ef6.jpg .\category\img3\"/>
        <filter val="copy .\img3\img1faf.jpg .\category\img3\"/>
        <filter val="copy .\img3\img1fcd.jpg .\category\img3\"/>
        <filter val="copy .\img3\img1ff3.jpg .\category\img3\"/>
        <filter val="copy .\img3\img204d.jpg .\category\img3\"/>
        <filter val="copy .\img3\img218e.jpg .\category\img3\"/>
        <filter val="copy .\img3\img21c3.jpg .\category\img3\"/>
        <filter val="copy .\img3\img2213.jpg .\category\img3\"/>
        <filter val="copy .\img3\img223e.jpg .\category\img3\"/>
        <filter val="copy .\img3\img2293-2.jpg .\category\img3\"/>
        <filter val="copy .\img3\img22de.jpg .\category\img3\"/>
        <filter val="copy .\img3\img24de.jpg .\category\img3\"/>
        <filter val="copy .\img3\img2542.jpg .\category\img3\"/>
        <filter val="copy .\img3\img25db.jpg .\category\img3\"/>
        <filter val="copy .\img3\img264b.jpg .\category\img3\"/>
        <filter val="copy .\img3\img26df.jpg .\category\img3\"/>
        <filter val="copy .\img3\img2724.jpg .\category\img3\"/>
        <filter val="copy .\img3\img2773.jpg .\category\img3\"/>
        <filter val="copy .\img3\img2791.jpg .\category\img3\"/>
        <filter val="copy .\img3\img27a1.jpg .\category\img3\"/>
        <filter val="copy .\img3\img2833.jpg .\category\img3\"/>
        <filter val="copy .\img3\img2866.jpg .\category\img3\"/>
        <filter val="copy .\img3\img28a6.jpg .\category\img3\"/>
        <filter val="copy .\img3\img29bc.jpg .\category\img3\"/>
        <filter val="copy .\img3\img2a68.jpg .\category\img3\"/>
        <filter val="copy .\img3\img2a8c.jpg .\category\img3\"/>
        <filter val="copy .\img3\img2ac8.jpg .\category\img3\"/>
        <filter val="copy .\img3\img2ae2.jpg .\category\img3\"/>
        <filter val="copy .\img3\img2b4d.jpg .\category\img3\"/>
        <filter val="copy .\img3\img2b64.jpg .\category\img3\"/>
        <filter val="copy .\img3\img2c00.jpg .\category\img3\"/>
        <filter val="copy .\img3\img2c63.jpg .\category\img3\"/>
        <filter val="copy .\img3\img2c73.jpg .\category\img3\"/>
        <filter val="copy .\img3\img2c9f.jpg .\category\img3\"/>
        <filter val="copy .\img3\img2d59.jpg .\category\img3\"/>
        <filter val="copy .\img3\img2e02.jpg .\category\img3\"/>
        <filter val="copy .\img3\img2e5f.jpg .\category\img3\"/>
        <filter val="copy .\img3\img2eab.jpg .\category\img3\"/>
        <filter val="copy .\img3\img2f23.jpg .\category\img3\"/>
        <filter val="copy .\img3\img2fd4.jpg .\category\img3\"/>
        <filter val="copy .\img3\img300c.jpg .\category\img3\"/>
        <filter val="copy .\img3\img3114.jpg .\category\img3\"/>
        <filter val="copy .\img3\img31bf.jpg .\category\img3\"/>
        <filter val="copy .\img3\img32ba.jpg .\category\img3\"/>
        <filter val="copy .\img3\img33c1.jpg .\category\img3\"/>
        <filter val="copy .\img3\img33d2.jpg .\category\img3\"/>
        <filter val="copy .\img3\img34e4.jpg .\category\img3\"/>
        <filter val="copy .\img3\img352c.jpg .\category\img3\"/>
        <filter val="copy .\img3\img359c.jpg .\category\img3\"/>
        <filter val="copy .\img3\img362c.jpg .\category\img3\"/>
        <filter val="copy .\img3\img366d.jpg .\category\img3\"/>
        <filter val="copy .\img3\img36ff.jpg .\category\img3\"/>
        <filter val="copy .\img3\img37a2.jpg .\category\img3\"/>
        <filter val="copy .\img3\img37c2.jpg .\category\img3\"/>
        <filter val="copy .\img3\img3888.jpg .\category\img3\"/>
        <filter val="copy .\img3\img38b9.jpg .\category\img3\"/>
        <filter val="copy .\img3\img3972.jpg .\category\img3\"/>
        <filter val="copy .\img3\img39e9.jpg .\category\img3\"/>
        <filter val="copy .\img3\img3b74.jpg .\category\img3\"/>
        <filter val="copy .\img3\img3c43.jpg .\category\img3\"/>
        <filter val="copy .\img3\img3d40.jpg .\category\img3\"/>
        <filter val="copy .\img3\img3dc9.jpg .\category\img3\"/>
        <filter val="copy .\img3\img3f41.jpg .\category\img3\"/>
        <filter val="copy .\img3\img3f8d.jpg .\category\img3\"/>
        <filter val="copy .\img3\img4007.jpg .\category\img3\"/>
        <filter val="copy .\img3\img4018.jpg .\category\img3\"/>
        <filter val="copy .\img3\img4227.jpg .\category\img3\"/>
        <filter val="copy .\img3\img425d.jpg .\category\img3\"/>
        <filter val="copy .\img3\img4403.jpg .\category\img3\"/>
        <filter val="copy .\img3\img4427.jpg .\category\img3\"/>
        <filter val="copy .\img3\img4438.jpg .\category\img3\"/>
        <filter val="copy .\img3\img4449.jpg .\category\img3\"/>
        <filter val="copy .\img3\img44e5.jpg .\category\img3\"/>
        <filter val="copy .\img3\img452a.jpg .\category\img3\"/>
        <filter val="copy .\img3\img4575.jpg .\category\img3\"/>
        <filter val="copy .\img3\img462b.jpg .\category\img3\"/>
        <filter val="copy .\img3\img4683.jpg .\category\img3\"/>
        <filter val="copy .\img3\img46c7.jpg .\category\img3\"/>
        <filter val="copy .\img3\img4778.jpg .\category\img3\"/>
        <filter val="copy .\img3\img47ee.jpg .\category\img3\"/>
        <filter val="copy .\img3\img48db.jpg .\category\img3\"/>
        <filter val="copy .\img3\img4943.jpg .\category\img3\"/>
        <filter val="copy .\img3\img4a46.jpg .\category\img3\"/>
        <filter val="copy .\img3\img4a88.jpg .\category\img3\"/>
        <filter val="copy .\img3\img4d03.jpg .\category\img3\"/>
        <filter val="copy .\img3\img4d42.jpg .\category\img3\"/>
        <filter val="copy .\img3\img4dcb.jpg .\category\img3\"/>
        <filter val="copy .\img3\img4eb4.jpg .\category\img3\"/>
        <filter val="copy .\img3\img4eba.jpg .\category\img3\"/>
        <filter val="copy .\img3\img4ebf.jpg .\category\img3\"/>
        <filter val="copy .\img3\img4f07.jpg .\category\img3\"/>
        <filter val="copy .\img3\img4f28.jpg .\category\img3\"/>
        <filter val="copy .\img3\img4fcc.jpg .\category\img3\"/>
        <filter val="copy .\img3\img5090.jpg .\category\img3\"/>
        <filter val="copy .\img3\img50f3.jpg .\category\img3\"/>
        <filter val="copy .\img3\img518d.jpg .\category\img3\"/>
        <filter val="copy .\img3\img5284.jpg .\category\img3\"/>
        <filter val="copy .\img3\img5301.jpg .\category\img3\"/>
        <filter val="copy .\img3\img5433.jpg .\category\img3\"/>
        <filter val="copy .\img3\img5445.jpg .\category\img3\"/>
        <filter val="copy .\img3\img5458.jpg .\category\img3\"/>
        <filter val="copy .\img3\img5484.jpg .\category\img3\"/>
        <filter val="copy .\img3\img559b.jpg .\category\img3\"/>
        <filter val="copy .\img3\img57a8.jpg .\category\img3\"/>
        <filter val="copy .\img3\img57b0.jpg .\category\img3\"/>
        <filter val="copy .\img3\img57df.jpg .\category\img3\"/>
        <filter val="copy .\img3\img58d7.jpg .\category\img3\"/>
        <filter val="copy .\img3\img597c.jpg .\category\img3\"/>
        <filter val="copy .\img3\img5a5f.jpg .\category\img3\"/>
        <filter val="copy .\img3\img5aed.jpg .\category\img3\"/>
        <filter val="copy .\img3\img5b23.jpg .\category\img3\"/>
        <filter val="copy .\img3\img5b2f.jpg .\category\img3\"/>
        <filter val="copy .\img3\img5ba3.jpg .\category\img3\"/>
        <filter val="copy .\img3\img5ca8.jpg .\category\img3\"/>
        <filter val="copy .\img3\img5cee.jpg .\category\img3\"/>
        <filter val="copy .\img3\img5d1c.jpg .\category\img3\"/>
        <filter val="copy .\img3\img5d28.jpg .\category\img3\"/>
        <filter val="copy .\img3\img5da2.jpg .\category\img3\"/>
        <filter val="copy .\img3\img5e30.jpg .\category\img3\"/>
        <filter val="copy .\img3\img5f02.jpg .\category\img3\"/>
        <filter val="copy .\img3\img5f86.jpg .\category\img3\"/>
        <filter val="copy .\img3\img601d.jpg .\category\img3\"/>
        <filter val="copy .\img3\img6082.jpg .\category\img3\"/>
        <filter val="copy .\img3\img60c1.jpg .\category\img3\"/>
        <filter val="copy .\img3\img61c1.jpg .\category\img3\"/>
        <filter val="copy .\img3\img622f.jpg .\category\img3\"/>
        <filter val="copy .\img3\img6300.jpg .\category\img3\"/>
        <filter val="copy .\img3\img6321.jpg .\category\img3\"/>
        <filter val="copy .\img3\img63b4.jpg .\category\img3\"/>
        <filter val="copy .\img3\img6494.jpg .\category\img3\"/>
        <filter val="copy .\img3\img6517.jpg .\category\img3\"/>
        <filter val="copy .\img3\img6574.jpg .\category\img3\"/>
        <filter val="copy .\img3\img6596.jpg .\category\img3\"/>
        <filter val="copy .\img3\img6732.jpg .\category\img3\"/>
        <filter val="copy .\img3\img683e.jpg .\category\img3\"/>
        <filter val="copy .\img3\img6967.jpg .\category\img3\"/>
        <filter val="copy .\img3\img6998.jpg .\category\img3\"/>
        <filter val="copy .\img3\img6a70.jpg .\category\img3\"/>
        <filter val="copy .\img3\img6b00.jpg .\category\img3\"/>
        <filter val="copy .\img3\img6c2b.jpg .\category\img3\"/>
        <filter val="copy .\img3\img6c91.jpg .\category\img3\"/>
        <filter val="copy .\img3\img6d80.jpg .\category\img3\"/>
        <filter val="copy .\img3\img6d90.jpg .\category\img3\"/>
        <filter val="copy .\img3\img6e1e.jpg .\category\img3\"/>
        <filter val="copy .\img3\img6e4e.jpg .\category\img3\"/>
        <filter val="copy .\img3\img6ed1.jpg .\category\img3\"/>
        <filter val="copy .\img3\img6f00.jpg .\category\img3\"/>
        <filter val="copy .\img3\img6f69.jpg .\category\img3\"/>
        <filter val="copy .\img3\img730b.jpg .\category\img3\"/>
        <filter val="copy .\img3\img7317.jpg .\category\img3\"/>
        <filter val="copy .\img3\img73af.jpg .\category\img3\"/>
        <filter val="copy .\img3\img753c.jpg .\category\img3\"/>
        <filter val="copy .\img3\img75bb.jpg .\category\img3\"/>
        <filter val="copy .\img3\img7635.jpg .\category\img3\"/>
        <filter val="copy .\img3\img769b.jpg .\category\img3\"/>
        <filter val="copy .\img3\img7729.jpg .\category\img3\"/>
        <filter val="copy .\img3\img7796.jpg .\category\img3\"/>
        <filter val="copy .\img3\img783f.jpg .\category\img3\"/>
        <filter val="copy .\img3\img7844.jpg .\category\img3\"/>
        <filter val="copy .\img3\img78a0.jpg .\category\img3\"/>
        <filter val="copy .\img3\img78bb.jpg .\category\img3\"/>
        <filter val="copy .\img3\img7908.jpg .\category\img3\"/>
        <filter val="copy .\img3\img7a0d.jpg .\category\img3\"/>
        <filter val="copy .\img3\img7c7b.jpg .\category\img3\"/>
        <filter val="copy .\img3\img7ce6.jpg .\category\img3\"/>
        <filter val="copy .\img3\img7d7f.jpg .\category\img3\"/>
        <filter val="copy .\img3\img7dd3.jpg .\category\img3\"/>
        <filter val="copy .\img3\img7ea3.jpg .\category\img3\"/>
        <filter val="copy .\img3\img7eb9.jpg .\category\img3\"/>
        <filter val="copy .\img3\img7f22.jpg .\category\img3\"/>
        <filter val="copy .\img3\img7f6b.jpg .\category\img3\"/>
        <filter val="copy .\img3\img8067.jpg .\category\img3\"/>
        <filter val="copy .\img3\img81da.jpg .\category\img3\"/>
        <filter val="copy .\img3\img8204.jpg .\category\img3\"/>
        <filter val="copy .\img3\img8217.jpg .\category\img3\"/>
        <filter val="copy .\img3\img85d7.jpg .\category\img3\"/>
        <filter val="copy .\img3\img8654.jpg .\category\img3\"/>
        <filter val="copy .\img3\img86db.jpg .\category\img3\"/>
        <filter val="copy .\img3\img86e4.jpg .\category\img3\"/>
        <filter val="copy .\img3\img8767.jpg .\category\img3\"/>
        <filter val="copy .\img3\img876a.jpg .\category\img3\"/>
        <filter val="copy .\img3\img878b.jpg .\category\img3\"/>
        <filter val="copy .\img3\img87fa.jpg .\category\img3\"/>
        <filter val="copy .\img3\img8890.jpg .\category\img3\"/>
        <filter val="copy .\img3\img8907.jpg .\category\img3\"/>
        <filter val="copy .\img3\img8a85.jpg .\category\img3\"/>
        <filter val="copy .\img3\img8ac6.jpg .\category\img3\"/>
        <filter val="copy .\img3\img8adf.jpg .\category\img3\"/>
        <filter val="copy .\img3\img8bc7.jpg .\category\img3\"/>
        <filter val="copy .\img3\img8c35.jpg .\category\img3\"/>
        <filter val="copy .\img3\img8c47.jpg .\category\img3\"/>
        <filter val="copy .\img3\img8c7a.jpg .\category\img3\"/>
        <filter val="copy .\img3\img8ca8.jpg .\category\img3\"/>
        <filter val="copy .\img3\img8d3d.jpg .\category\img3\"/>
        <filter val="copy .\img3\img8d60.jpg .\category\img3\"/>
        <filter val="copy .\img3\img8de8.jpg .\category\img3\"/>
        <filter val="copy .\img3\img8e27.jpg .\category\img3\"/>
        <filter val="copy .\img3\img8e64.jpg .\category\img3\"/>
        <filter val="copy .\img3\img8e6a.jpg .\category\img3\"/>
        <filter val="copy .\img3\img8f2b.jpg .\category\img3\"/>
        <filter val="copy .\img3\img9049.jpg .\category\img3\"/>
        <filter val="copy .\img3\img90e0.jpg .\category\img3\"/>
        <filter val="copy .\img3\img9123.jpg .\category\img3\"/>
        <filter val="copy .\img3\img91b9.jpg .\category\img3\"/>
        <filter val="copy .\img3\img91bb.jpg .\category\img3\"/>
        <filter val="copy .\img3\img91c6.jpg .\category\img3\"/>
        <filter val="copy .\img3\img9204.jpg .\category\img3\"/>
        <filter val="copy .\img3\img9282.jpg .\category\img3\"/>
        <filter val="copy .\img3\img942b.jpg .\category\img3\"/>
        <filter val="copy .\img3\img9498.jpg .\category\img3\"/>
        <filter val="copy .\img3\img94a7.jpg .\category\img3\"/>
        <filter val="copy .\img3\img9531.jpg .\category\img3\"/>
        <filter val="copy .\img3\img9617.jpg .\category\img3\"/>
        <filter val="copy .\img3\img964e.jpg .\category\img3\"/>
        <filter val="copy .\img3\img97bb.jpg .\category\img3\"/>
        <filter val="copy .\img3\img97fc.jpg .\category\img3\"/>
        <filter val="copy .\img3\img985d.jpg .\category\img3\"/>
        <filter val="copy .\img3\img98cd.jpg .\category\img3\"/>
        <filter val="copy .\img3\img9926.jpg .\category\img3\"/>
        <filter val="copy .\img3\img9996.jpg .\category\img3\"/>
        <filter val="copy .\img3\img9a41.jpg .\category\img3\"/>
        <filter val="copy .\img3\img9a56.jpg .\category\img3\"/>
        <filter val="copy .\img3\img9e11.jpg .\category\img3\"/>
        <filter val="copy .\img3\img9e20.jpg .\category\img3\"/>
        <filter val="copy .\img3\img9f1f.jpg .\category\img3\"/>
        <filter val="copy .\img3\img9f58.jpg .\category\img3\"/>
        <filter val="copy .\img3\img9f5a.jpg .\category\img3\"/>
        <filter val="copy .\img3\imga0b7.jpg .\category\img3\"/>
        <filter val="copy .\img3\imga0e2.jpg .\category\img3\"/>
        <filter val="copy .\img3\imga102.jpg .\category\img3\"/>
        <filter val="copy .\img3\imga160.jpg .\category\img3\"/>
        <filter val="copy .\img3\imga292.jpg .\category\img3\"/>
        <filter val="copy .\img3\imga2f5.jpg .\category\img3\"/>
        <filter val="copy .\img3\imga42f.jpg .\category\img3\"/>
        <filter val="copy .\img3\imga45c.jpg .\category\img3\"/>
        <filter val="copy .\img3\imga511.jpg .\category\img3\"/>
        <filter val="copy .\img3\imga596.jpg .\category\img3\"/>
        <filter val="copy .\img3\imga641.jpg .\category\img3\"/>
        <filter val="copy .\img3\imga6e1.jpg .\category\img3\"/>
        <filter val="copy .\img3\imga87a.jpg .\category\img3\"/>
        <filter val="copy .\img3\imga8eb.jpg .\category\img3\"/>
        <filter val="copy .\img3\imga94c.jpg .\category\img3\"/>
        <filter val="copy .\img3\imgaa2c.jpg .\category\img3\"/>
        <filter val="copy .\img3\imgaa38.jpg .\category\img3\"/>
        <filter val="copy .\img3\imgac74.jpg .\category\img3\"/>
        <filter val="copy .\img3\imgaca7.jpg .\category\img3\"/>
        <filter val="copy .\img3\imgace2.jpg .\category\img3\"/>
        <filter val="copy .\img3\imgacfc.jpg .\category\img3\"/>
        <filter val="copy .\img3\imgadbe.jpg .\category\img3\"/>
        <filter val="copy .\img3\imgae4c.jpg .\category\img3\"/>
        <filter val="copy .\img3\imgaf45.jpg .\category\img3\"/>
        <filter val="copy .\img3\imgb09d.jpg .\category\img3\"/>
        <filter val="copy .\img3\imgb0ae.jpg .\category\img3\"/>
        <filter val="copy .\img3\imgb0d8.jpg .\category\img3\"/>
        <filter val="copy .\img3\imgb1a3.jpg .\category\img3\"/>
        <filter val="copy .\img3\imgb1b0.jpg .\category\img3\"/>
        <filter val="copy .\img3\imgb1e0.jpg .\category\img3\"/>
        <filter val="copy .\img3\imgb28a.jpg .\category\img3\"/>
        <filter val="copy .\img3\imgb2a0.jpg .\category\img3\"/>
        <filter val="copy .\img3\imgb3d9.jpg .\category\img3\"/>
        <filter val="copy .\img3\imgb3f1.jpg .\category\img3\"/>
        <filter val="copy .\img3\imgb5ab.jpg .\category\img3\"/>
        <filter val="copy .\img3\imgb5fc.jpg .\category\img3\"/>
        <filter val="copy .\img3\imgb655.jpg .\category\img3\"/>
        <filter val="copy .\img3\imgb80f.jpg .\category\img3\"/>
        <filter val="copy .\img3\imgb8bf.jpg .\category\img3\"/>
        <filter val="copy .\img3\imgb8f2.jpg .\category\img3\"/>
        <filter val="copy .\img3\imgb906.jpg .\category\img3\"/>
        <filter val="copy .\img3\imgb971.jpg .\category\img3\"/>
        <filter val="copy .\img3\imgb9c1.jpg .\category\img3\"/>
        <filter val="copy .\img3\imgb9c1-2.jpg .\category\img3\"/>
        <filter val="copy .\img3\imgbacd.jpg .\category\img3\"/>
        <filter val="copy .\img3\imgbb8b.jpg .\category\img3\"/>
        <filter val="copy .\img3\imgbb9f.jpg .\category\img3\"/>
        <filter val="copy .\img3\imgbc43.jpg .\category\img3\"/>
        <filter val="copy .\img3\imgbc8f.jpg .\category\img3\"/>
        <filter val="copy .\img3\imgbd2c.jpg .\category\img3\"/>
        <filter val="copy .\img3\imgbe53.jpg .\category\img3\"/>
        <filter val="copy .\img3\imgbe6d-2.jpg .\category\img3\"/>
        <filter val="copy .\img3\imgc052.jpg .\category\img3\"/>
        <filter val="copy .\img3\imgc067.jpg .\category\img3\"/>
        <filter val="copy .\img3\imgc158.jpg .\category\img3\"/>
        <filter val="copy .\img3\imgc1a9.jpg .\category\img3\"/>
        <filter val="copy .\img3\imgc3d2.jpg .\category\img3\"/>
        <filter val="copy .\img3\imgc48c.jpg .\category\img3\"/>
        <filter val="copy .\img3\imgc4b0.jpg .\category\img3\"/>
        <filter val="copy .\img3\imgc4b7.jpg .\category\img3\"/>
        <filter val="copy .\img3\imgc4d0.jpg .\category\img3\"/>
        <filter val="copy .\img3\imgc53f.jpg .\category\img3\"/>
        <filter val="copy .\img3\imgc5b3.jpg .\category\img3\"/>
        <filter val="copy .\img3\imgc5dd.jpg .\category\img3\"/>
        <filter val="copy .\img3\imgc7a2.jpg .\category\img3\"/>
        <filter val="copy .\img3\imgc86c.jpg .\category\img3\"/>
        <filter val="copy .\img3\imgc879.jpg .\category\img3\"/>
        <filter val="copy .\img3\imgc8a1.jpg .\category\img3\"/>
        <filter val="copy .\img3\imgc8f4.jpg .\category\img3\"/>
        <filter val="copy .\img3\imgca8f.jpg .\category\img3\"/>
        <filter val="copy .\img3\imgcacc.jpg .\category\img3\"/>
        <filter val="copy .\img3\imgcb13.jpg .\category\img3\"/>
        <filter val="copy .\img3\imgcb4a.jpg .\category\img3\"/>
        <filter val="copy .\img3\imgcbac.jpg .\category\img3\"/>
        <filter val="copy .\img3\imgcbb5.jpg .\category\img3\"/>
        <filter val="copy .\img3\imgcbce.jpg .\category\img3\"/>
        <filter val="copy .\img3\imgcc1f.jpg .\category\img3\"/>
        <filter val="copy .\img3\imgcc81.jpg .\category\img3\"/>
        <filter val="copy .\img3\imgcc95.jpg .\category\img3\"/>
        <filter val="copy .\img3\imgcd9a.jpg .\category\img3\"/>
        <filter val="copy .\img3\imgcdd3.jpg .\category\img3\"/>
        <filter val="copy .\img3\imgce6b.jpg .\category\img3\"/>
        <filter val="copy .\img3\imgceb4.jpg .\category\img3\"/>
        <filter val="copy .\img3\imgcf26-2.jpg .\category\img3\"/>
        <filter val="copy .\img3\imgd063.jpg .\category\img3\"/>
        <filter val="copy .\img3\imgd090.jpg .\category\img3\"/>
        <filter val="copy .\img3\imgd0e1.jpg .\category\img3\"/>
        <filter val="copy .\img3\imgd1e5-2.jpg .\category\img3\"/>
        <filter val="copy .\img3\imgd20d.jpg .\category\img3\"/>
        <filter val="copy .\img3\imgd255.jpg .\category\img3\"/>
        <filter val="copy .\img3\imgd266.jpg .\category\img3\"/>
        <filter val="copy .\img3\imgd28d.jpg .\category\img3\"/>
        <filter val="copy .\img3\imgd3fa.jpg .\category\img3\"/>
        <filter val="copy .\img3\imgd43a.jpg .\category\img3\"/>
        <filter val="copy .\img3\imgd490.jpg .\category\img3\"/>
        <filter val="copy .\img3\imgd4ec.jpg .\category\img3\"/>
        <filter val="copy .\img3\imgd53f-2.jpg .\category\img3\"/>
        <filter val="copy .\img3\imgd60d.jpg .\category\img3\"/>
        <filter val="copy .\img3\imgd775.jpg .\category\img3\"/>
        <filter val="copy .\img3\imgd78f.jpg .\category\img3\"/>
        <filter val="copy .\img3\imgd7bf.jpg .\category\img3\"/>
        <filter val="copy .\img3\imgd7d5.jpg .\category\img3\"/>
        <filter val="copy .\img3\imgd86d.jpg .\category\img3\"/>
        <filter val="copy .\img3\imgd8df.jpg .\category\img3\"/>
        <filter val="copy .\img3\imgd8f2.jpg .\category\img3\"/>
        <filter val="copy .\img3\imgda10.jpg .\category\img3\"/>
        <filter val="copy .\img3\imgda5b.jpg .\category\img3\"/>
        <filter val="copy .\img3\imgdaf1.jpg .\category\img3\"/>
        <filter val="copy .\img3\imgdc76.jpg .\category\img3\"/>
        <filter val="copy .\img3\imgdce7.jpg .\category\img3\"/>
        <filter val="copy .\img3\imgdd1d.jpg .\category\img3\"/>
        <filter val="copy .\img3\imgdd7e.jpg .\category\img3\"/>
        <filter val="copy .\img3\imgddb8.jpg .\category\img3\"/>
        <filter val="copy .\img3\imgdee7.jpg .\category\img3\"/>
        <filter val="copy .\img3\imgdef4.jpg .\category\img3\"/>
        <filter val="copy .\img3\imgdf2d.jpg .\category\img3\"/>
        <filter val="copy .\img3\imgdf9b.jpg .\category\img3\"/>
        <filter val="copy .\img3\imgdfd0.jpg .\category\img3\"/>
        <filter val="copy .\img3\imge0df.jpg .\category\img3\"/>
        <filter val="copy .\img3\imge1e2.jpg .\category\img3\"/>
        <filter val="copy .\img3\imge1e8.jpg .\category\img3\"/>
        <filter val="copy .\img3\imge237.jpg .\category\img3\"/>
        <filter val="copy .\img3\imge46d.jpg .\category\img3\"/>
        <filter val="copy .\img3\imge5a9.jpg .\category\img3\"/>
        <filter val="copy .\img3\imge5db.jpg .\category\img3\"/>
        <filter val="copy .\img3\imge699.jpg .\category\img3\"/>
        <filter val="copy .\img3\imge747.jpg .\category\img3\"/>
        <filter val="copy .\img3\imge77f.jpg .\category\img3\"/>
        <filter val="copy .\img3\imge888.jpg .\category\img3\"/>
        <filter val="copy .\img3\imgea04.jpg .\category\img3\"/>
        <filter val="copy .\img3\imgea1a.jpg .\category\img3\"/>
        <filter val="copy .\img3\imgea3c.jpg .\category\img3\"/>
        <filter val="copy .\img3\imgead6.jpg .\category\img3\"/>
        <filter val="copy .\img3\imgebb0.jpg .\category\img3\"/>
        <filter val="copy .\img3\imgedd5.jpg .\category\img3\"/>
        <filter val="copy .\img3\imgeeb9.jpg .\category\img3\"/>
        <filter val="copy .\img3\imgefee.jpg .\category\img3\"/>
        <filter val="copy .\img3\imgf012.jpg .\category\img3\"/>
        <filter val="copy .\img3\imgf031.jpg .\category\img3\"/>
        <filter val="copy .\img3\imgf048.jpg .\category\img3\"/>
        <filter val="copy .\img3\imgf05d.jpg .\category\img3\"/>
        <filter val="copy .\img3\imgf137.jpg .\category\img3\"/>
        <filter val="copy .\img3\imgf1d9.jpg .\category\img3\"/>
        <filter val="copy .\img3\imgf2be.jpg .\category\img3\"/>
        <filter val="copy .\img3\imgf2bf.jpg .\category\img3\"/>
        <filter val="copy .\img3\imgf330.jpg .\category\img3\"/>
        <filter val="copy .\img3\imgf4f6.jpg .\category\img3\"/>
        <filter val="copy .\img3\imgf532.jpg .\category\img3\"/>
        <filter val="copy .\img3\imgf5cd.jpg .\category\img3\"/>
        <filter val="copy .\img3\imgf63f.jpg .\category\img3\"/>
        <filter val="copy .\img3\imgf663.jpg .\category\img3\"/>
        <filter val="copy .\img3\imgf663-2.jpg .\category\img3\"/>
        <filter val="copy .\img3\imgf69b.jpg .\category\img3\"/>
        <filter val="copy .\img3\imgf6b0.jpg .\category\img3\"/>
        <filter val="copy .\img3\imgf6eb.jpg .\category\img3\"/>
        <filter val="copy .\img3\imgfb70.jpg .\category\img3\"/>
        <filter val="copy .\img3\imgfb81.jpg .\category\img3\"/>
        <filter val="copy .\img3\imgfb93.jpg .\category\img3\"/>
        <filter val="copy .\img3\imgfcbc.jpg .\category\img3\"/>
        <filter val="copy .\img3\imgfcd3.jpg .\category\img3\"/>
        <filter val="copy .\img3\imgfdad.jpg .\category\img3\"/>
        <filter val="copy .\img3\imgfe71.jpg .\category\img3\"/>
        <filter val="copy .\img3\imgfe76.jpg .\category\img3\"/>
        <filter val="copy .\img3\imgfe9d.jpg .\category\img3\"/>
      </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59"/>
  <sheetViews>
    <sheetView workbookViewId="0">
      <selection activeCell="A2" sqref="A2"/>
    </sheetView>
  </sheetViews>
  <sheetFormatPr defaultRowHeight="15" x14ac:dyDescent="0.25"/>
  <cols>
    <col min="1" max="1" width="39.5703125" customWidth="1"/>
  </cols>
  <sheetData>
    <row r="1" spans="1:2" x14ac:dyDescent="0.25">
      <c r="A1">
        <v>1</v>
      </c>
      <c r="B1">
        <v>1</v>
      </c>
    </row>
    <row r="2" spans="1:2" x14ac:dyDescent="0.25">
      <c r="A2" t="s">
        <v>0</v>
      </c>
      <c r="B2">
        <v>2</v>
      </c>
    </row>
    <row r="3" spans="1:2" x14ac:dyDescent="0.25">
      <c r="A3" t="s">
        <v>1</v>
      </c>
      <c r="B3">
        <v>1000</v>
      </c>
    </row>
    <row r="4" spans="1:2" x14ac:dyDescent="0.25">
      <c r="A4" t="s">
        <v>2</v>
      </c>
      <c r="B4">
        <v>1001</v>
      </c>
    </row>
    <row r="5" spans="1:2" x14ac:dyDescent="0.25">
      <c r="A5" t="s">
        <v>3</v>
      </c>
      <c r="B5">
        <v>1002</v>
      </c>
    </row>
    <row r="6" spans="1:2" x14ac:dyDescent="0.25">
      <c r="A6" t="s">
        <v>4</v>
      </c>
      <c r="B6">
        <v>1003</v>
      </c>
    </row>
    <row r="7" spans="1:2" x14ac:dyDescent="0.25">
      <c r="A7" t="s">
        <v>5</v>
      </c>
      <c r="B7">
        <v>1004</v>
      </c>
    </row>
    <row r="8" spans="1:2" x14ac:dyDescent="0.25">
      <c r="A8" t="s">
        <v>6</v>
      </c>
      <c r="B8">
        <v>1005</v>
      </c>
    </row>
    <row r="9" spans="1:2" x14ac:dyDescent="0.25">
      <c r="A9" t="s">
        <v>7</v>
      </c>
      <c r="B9">
        <v>1006</v>
      </c>
    </row>
    <row r="10" spans="1:2" x14ac:dyDescent="0.25">
      <c r="A10" t="s">
        <v>8</v>
      </c>
      <c r="B10">
        <v>1007</v>
      </c>
    </row>
    <row r="11" spans="1:2" x14ac:dyDescent="0.25">
      <c r="A11" t="s">
        <v>9</v>
      </c>
      <c r="B11">
        <v>1403</v>
      </c>
    </row>
    <row r="12" spans="1:2" x14ac:dyDescent="0.25">
      <c r="A12" t="s">
        <v>10</v>
      </c>
      <c r="B12">
        <v>1460</v>
      </c>
    </row>
    <row r="13" spans="1:2" x14ac:dyDescent="0.25">
      <c r="A13" t="s">
        <v>11</v>
      </c>
      <c r="B13">
        <v>1461</v>
      </c>
    </row>
    <row r="14" spans="1:2" x14ac:dyDescent="0.25">
      <c r="A14" t="s">
        <v>12</v>
      </c>
      <c r="B14">
        <v>1462</v>
      </c>
    </row>
    <row r="15" spans="1:2" x14ac:dyDescent="0.25">
      <c r="A15" t="s">
        <v>13</v>
      </c>
      <c r="B15">
        <v>1463</v>
      </c>
    </row>
    <row r="16" spans="1:2" x14ac:dyDescent="0.25">
      <c r="A16" t="s">
        <v>14</v>
      </c>
      <c r="B16">
        <v>1464</v>
      </c>
    </row>
    <row r="17" spans="1:2" x14ac:dyDescent="0.25">
      <c r="A17" t="s">
        <v>15</v>
      </c>
      <c r="B17">
        <v>1465</v>
      </c>
    </row>
    <row r="18" spans="1:2" x14ac:dyDescent="0.25">
      <c r="A18" t="s">
        <v>16</v>
      </c>
      <c r="B18">
        <v>1466</v>
      </c>
    </row>
    <row r="19" spans="1:2" x14ac:dyDescent="0.25">
      <c r="A19" t="s">
        <v>17</v>
      </c>
      <c r="B19">
        <v>1467</v>
      </c>
    </row>
    <row r="20" spans="1:2" x14ac:dyDescent="0.25">
      <c r="A20" t="s">
        <v>18</v>
      </c>
      <c r="B20">
        <v>1468</v>
      </c>
    </row>
    <row r="21" spans="1:2" x14ac:dyDescent="0.25">
      <c r="A21" t="s">
        <v>19</v>
      </c>
      <c r="B21">
        <v>1469</v>
      </c>
    </row>
    <row r="22" spans="1:2" x14ac:dyDescent="0.25">
      <c r="A22" t="s">
        <v>20</v>
      </c>
      <c r="B22">
        <v>1470</v>
      </c>
    </row>
    <row r="23" spans="1:2" x14ac:dyDescent="0.25">
      <c r="A23" t="s">
        <v>21</v>
      </c>
      <c r="B23">
        <v>1471</v>
      </c>
    </row>
    <row r="24" spans="1:2" x14ac:dyDescent="0.25">
      <c r="A24" t="s">
        <v>22</v>
      </c>
      <c r="B24">
        <v>1472</v>
      </c>
    </row>
    <row r="25" spans="1:2" x14ac:dyDescent="0.25">
      <c r="A25" t="s">
        <v>23</v>
      </c>
      <c r="B25">
        <v>1473</v>
      </c>
    </row>
    <row r="26" spans="1:2" x14ac:dyDescent="0.25">
      <c r="A26" t="s">
        <v>24</v>
      </c>
      <c r="B26">
        <v>1474</v>
      </c>
    </row>
    <row r="27" spans="1:2" x14ac:dyDescent="0.25">
      <c r="A27" t="s">
        <v>25</v>
      </c>
      <c r="B27">
        <v>181</v>
      </c>
    </row>
    <row r="28" spans="1:2" x14ac:dyDescent="0.25">
      <c r="A28" t="s">
        <v>26</v>
      </c>
      <c r="B28">
        <v>1031</v>
      </c>
    </row>
    <row r="29" spans="1:2" x14ac:dyDescent="0.25">
      <c r="A29" t="s">
        <v>27</v>
      </c>
      <c r="B29">
        <v>1032</v>
      </c>
    </row>
    <row r="30" spans="1:2" x14ac:dyDescent="0.25">
      <c r="A30" t="s">
        <v>28</v>
      </c>
      <c r="B30">
        <v>1033</v>
      </c>
    </row>
    <row r="31" spans="1:2" x14ac:dyDescent="0.25">
      <c r="A31" t="s">
        <v>29</v>
      </c>
      <c r="B31">
        <v>1034</v>
      </c>
    </row>
    <row r="32" spans="1:2" x14ac:dyDescent="0.25">
      <c r="A32" t="s">
        <v>30</v>
      </c>
      <c r="B32">
        <v>1035</v>
      </c>
    </row>
    <row r="33" spans="1:2" x14ac:dyDescent="0.25">
      <c r="A33" t="s">
        <v>31</v>
      </c>
      <c r="B33">
        <v>1097</v>
      </c>
    </row>
    <row r="34" spans="1:2" x14ac:dyDescent="0.25">
      <c r="A34" t="s">
        <v>32</v>
      </c>
      <c r="B34">
        <v>1098</v>
      </c>
    </row>
    <row r="35" spans="1:2" x14ac:dyDescent="0.25">
      <c r="A35" t="s">
        <v>33</v>
      </c>
      <c r="B35">
        <v>1099</v>
      </c>
    </row>
    <row r="36" spans="1:2" x14ac:dyDescent="0.25">
      <c r="A36" t="s">
        <v>34</v>
      </c>
      <c r="B36">
        <v>1100</v>
      </c>
    </row>
    <row r="37" spans="1:2" x14ac:dyDescent="0.25">
      <c r="A37" t="s">
        <v>35</v>
      </c>
      <c r="B37">
        <v>1101</v>
      </c>
    </row>
    <row r="38" spans="1:2" x14ac:dyDescent="0.25">
      <c r="A38" t="s">
        <v>36</v>
      </c>
      <c r="B38">
        <v>1180</v>
      </c>
    </row>
    <row r="39" spans="1:2" x14ac:dyDescent="0.25">
      <c r="A39" t="s">
        <v>37</v>
      </c>
      <c r="B39">
        <v>1181</v>
      </c>
    </row>
    <row r="40" spans="1:2" x14ac:dyDescent="0.25">
      <c r="A40" t="s">
        <v>38</v>
      </c>
      <c r="B40">
        <v>1182</v>
      </c>
    </row>
    <row r="41" spans="1:2" x14ac:dyDescent="0.25">
      <c r="A41" t="s">
        <v>39</v>
      </c>
      <c r="B41">
        <v>1183</v>
      </c>
    </row>
    <row r="42" spans="1:2" x14ac:dyDescent="0.25">
      <c r="A42" t="s">
        <v>40</v>
      </c>
      <c r="B42">
        <v>1184</v>
      </c>
    </row>
    <row r="43" spans="1:2" x14ac:dyDescent="0.25">
      <c r="A43" t="s">
        <v>41</v>
      </c>
      <c r="B43">
        <v>1185</v>
      </c>
    </row>
    <row r="44" spans="1:2" x14ac:dyDescent="0.25">
      <c r="A44" t="s">
        <v>42</v>
      </c>
      <c r="B44">
        <v>1186</v>
      </c>
    </row>
    <row r="45" spans="1:2" x14ac:dyDescent="0.25">
      <c r="A45" t="s">
        <v>43</v>
      </c>
      <c r="B45">
        <v>1187</v>
      </c>
    </row>
    <row r="46" spans="1:2" x14ac:dyDescent="0.25">
      <c r="A46" t="s">
        <v>44</v>
      </c>
      <c r="B46">
        <v>1188</v>
      </c>
    </row>
    <row r="47" spans="1:2" x14ac:dyDescent="0.25">
      <c r="A47" t="s">
        <v>45</v>
      </c>
      <c r="B47">
        <v>1189</v>
      </c>
    </row>
    <row r="48" spans="1:2" x14ac:dyDescent="0.25">
      <c r="A48" t="s">
        <v>46</v>
      </c>
      <c r="B48">
        <v>1190</v>
      </c>
    </row>
    <row r="49" spans="1:2" x14ac:dyDescent="0.25">
      <c r="A49" t="s">
        <v>47</v>
      </c>
      <c r="B49">
        <v>1191</v>
      </c>
    </row>
    <row r="50" spans="1:2" x14ac:dyDescent="0.25">
      <c r="A50" t="s">
        <v>48</v>
      </c>
      <c r="B50">
        <v>182</v>
      </c>
    </row>
    <row r="51" spans="1:2" x14ac:dyDescent="0.25">
      <c r="A51" t="s">
        <v>49</v>
      </c>
      <c r="B51">
        <v>1356</v>
      </c>
    </row>
    <row r="52" spans="1:2" x14ac:dyDescent="0.25">
      <c r="A52" t="s">
        <v>50</v>
      </c>
      <c r="B52">
        <v>1357</v>
      </c>
    </row>
    <row r="53" spans="1:2" x14ac:dyDescent="0.25">
      <c r="A53" t="s">
        <v>51</v>
      </c>
      <c r="B53">
        <v>183</v>
      </c>
    </row>
    <row r="54" spans="1:2" x14ac:dyDescent="0.25">
      <c r="A54" t="s">
        <v>52</v>
      </c>
      <c r="B54">
        <v>184</v>
      </c>
    </row>
    <row r="55" spans="1:2" x14ac:dyDescent="0.25">
      <c r="A55" t="s">
        <v>53</v>
      </c>
      <c r="B55">
        <v>185</v>
      </c>
    </row>
    <row r="56" spans="1:2" x14ac:dyDescent="0.25">
      <c r="A56" t="s">
        <v>54</v>
      </c>
      <c r="B56">
        <v>186</v>
      </c>
    </row>
    <row r="57" spans="1:2" x14ac:dyDescent="0.25">
      <c r="A57" t="s">
        <v>55</v>
      </c>
      <c r="B57">
        <v>187</v>
      </c>
    </row>
    <row r="58" spans="1:2" x14ac:dyDescent="0.25">
      <c r="A58" t="s">
        <v>56</v>
      </c>
      <c r="B58">
        <v>188</v>
      </c>
    </row>
    <row r="59" spans="1:2" x14ac:dyDescent="0.25">
      <c r="A59" t="s">
        <v>57</v>
      </c>
      <c r="B59">
        <v>189</v>
      </c>
    </row>
    <row r="60" spans="1:2" x14ac:dyDescent="0.25">
      <c r="A60" t="s">
        <v>58</v>
      </c>
      <c r="B60">
        <v>190</v>
      </c>
    </row>
    <row r="61" spans="1:2" x14ac:dyDescent="0.25">
      <c r="A61" t="s">
        <v>59</v>
      </c>
      <c r="B61">
        <v>191</v>
      </c>
    </row>
    <row r="62" spans="1:2" x14ac:dyDescent="0.25">
      <c r="A62" t="s">
        <v>60</v>
      </c>
      <c r="B62">
        <v>192</v>
      </c>
    </row>
    <row r="63" spans="1:2" x14ac:dyDescent="0.25">
      <c r="A63" t="s">
        <v>61</v>
      </c>
      <c r="B63">
        <v>193</v>
      </c>
    </row>
    <row r="64" spans="1:2" x14ac:dyDescent="0.25">
      <c r="A64" t="s">
        <v>62</v>
      </c>
      <c r="B64">
        <v>320</v>
      </c>
    </row>
    <row r="65" spans="1:2" x14ac:dyDescent="0.25">
      <c r="A65" t="s">
        <v>63</v>
      </c>
      <c r="B65">
        <v>321</v>
      </c>
    </row>
    <row r="66" spans="1:2" x14ac:dyDescent="0.25">
      <c r="A66" t="s">
        <v>64</v>
      </c>
      <c r="B66">
        <v>322</v>
      </c>
    </row>
    <row r="67" spans="1:2" x14ac:dyDescent="0.25">
      <c r="A67" t="s">
        <v>65</v>
      </c>
      <c r="B67">
        <v>323</v>
      </c>
    </row>
    <row r="68" spans="1:2" x14ac:dyDescent="0.25">
      <c r="A68" t="s">
        <v>66</v>
      </c>
      <c r="B68">
        <v>946</v>
      </c>
    </row>
    <row r="69" spans="1:2" x14ac:dyDescent="0.25">
      <c r="A69" t="s">
        <v>67</v>
      </c>
      <c r="B69">
        <v>947</v>
      </c>
    </row>
    <row r="70" spans="1:2" x14ac:dyDescent="0.25">
      <c r="A70" t="s">
        <v>68</v>
      </c>
      <c r="B70">
        <v>948</v>
      </c>
    </row>
    <row r="71" spans="1:2" x14ac:dyDescent="0.25">
      <c r="A71" t="s">
        <v>69</v>
      </c>
      <c r="B71">
        <v>257</v>
      </c>
    </row>
    <row r="72" spans="1:2" x14ac:dyDescent="0.25">
      <c r="A72" t="s">
        <v>70</v>
      </c>
      <c r="B72">
        <v>258</v>
      </c>
    </row>
    <row r="73" spans="1:2" x14ac:dyDescent="0.25">
      <c r="A73" t="s">
        <v>71</v>
      </c>
      <c r="B73">
        <v>259</v>
      </c>
    </row>
    <row r="74" spans="1:2" x14ac:dyDescent="0.25">
      <c r="A74" t="s">
        <v>72</v>
      </c>
      <c r="B74">
        <v>260</v>
      </c>
    </row>
    <row r="75" spans="1:2" x14ac:dyDescent="0.25">
      <c r="A75" t="s">
        <v>73</v>
      </c>
      <c r="B75">
        <v>261</v>
      </c>
    </row>
    <row r="76" spans="1:2" x14ac:dyDescent="0.25">
      <c r="A76" t="s">
        <v>74</v>
      </c>
      <c r="B76">
        <v>428</v>
      </c>
    </row>
    <row r="77" spans="1:2" x14ac:dyDescent="0.25">
      <c r="A77" t="s">
        <v>75</v>
      </c>
      <c r="B77">
        <v>429</v>
      </c>
    </row>
    <row r="78" spans="1:2" x14ac:dyDescent="0.25">
      <c r="A78" t="s">
        <v>76</v>
      </c>
      <c r="B78">
        <v>430</v>
      </c>
    </row>
    <row r="79" spans="1:2" x14ac:dyDescent="0.25">
      <c r="A79" t="s">
        <v>77</v>
      </c>
      <c r="B79">
        <v>528</v>
      </c>
    </row>
    <row r="80" spans="1:2" x14ac:dyDescent="0.25">
      <c r="A80" t="s">
        <v>78</v>
      </c>
      <c r="B80">
        <v>1395</v>
      </c>
    </row>
    <row r="81" spans="1:2" x14ac:dyDescent="0.25">
      <c r="A81" t="s">
        <v>79</v>
      </c>
      <c r="B81">
        <v>529</v>
      </c>
    </row>
    <row r="82" spans="1:2" x14ac:dyDescent="0.25">
      <c r="A82" t="s">
        <v>80</v>
      </c>
      <c r="B82">
        <v>530</v>
      </c>
    </row>
    <row r="83" spans="1:2" x14ac:dyDescent="0.25">
      <c r="A83" t="s">
        <v>81</v>
      </c>
      <c r="B83">
        <v>531</v>
      </c>
    </row>
    <row r="84" spans="1:2" x14ac:dyDescent="0.25">
      <c r="A84" t="s">
        <v>82</v>
      </c>
      <c r="B84">
        <v>532</v>
      </c>
    </row>
    <row r="85" spans="1:2" x14ac:dyDescent="0.25">
      <c r="A85" t="s">
        <v>83</v>
      </c>
      <c r="B85">
        <v>603</v>
      </c>
    </row>
    <row r="86" spans="1:2" x14ac:dyDescent="0.25">
      <c r="A86" t="s">
        <v>84</v>
      </c>
      <c r="B86">
        <v>604</v>
      </c>
    </row>
    <row r="87" spans="1:2" x14ac:dyDescent="0.25">
      <c r="A87" t="s">
        <v>85</v>
      </c>
      <c r="B87">
        <v>605</v>
      </c>
    </row>
    <row r="88" spans="1:2" x14ac:dyDescent="0.25">
      <c r="A88" t="s">
        <v>86</v>
      </c>
      <c r="B88">
        <v>606</v>
      </c>
    </row>
    <row r="89" spans="1:2" x14ac:dyDescent="0.25">
      <c r="A89" t="s">
        <v>87</v>
      </c>
      <c r="B89">
        <v>202</v>
      </c>
    </row>
    <row r="90" spans="1:2" x14ac:dyDescent="0.25">
      <c r="A90" t="s">
        <v>88</v>
      </c>
      <c r="B90">
        <v>1024</v>
      </c>
    </row>
    <row r="91" spans="1:2" x14ac:dyDescent="0.25">
      <c r="A91" t="s">
        <v>89</v>
      </c>
      <c r="B91">
        <v>1048</v>
      </c>
    </row>
    <row r="92" spans="1:2" x14ac:dyDescent="0.25">
      <c r="A92" t="s">
        <v>90</v>
      </c>
      <c r="B92">
        <v>1109</v>
      </c>
    </row>
    <row r="93" spans="1:2" x14ac:dyDescent="0.25">
      <c r="A93" t="s">
        <v>91</v>
      </c>
      <c r="B93">
        <v>1110</v>
      </c>
    </row>
    <row r="94" spans="1:2" x14ac:dyDescent="0.25">
      <c r="A94" t="s">
        <v>92</v>
      </c>
      <c r="B94">
        <v>1111</v>
      </c>
    </row>
    <row r="95" spans="1:2" x14ac:dyDescent="0.25">
      <c r="A95" t="s">
        <v>93</v>
      </c>
      <c r="B95">
        <v>1112</v>
      </c>
    </row>
    <row r="96" spans="1:2" x14ac:dyDescent="0.25">
      <c r="A96" t="s">
        <v>94</v>
      </c>
      <c r="B96">
        <v>1113</v>
      </c>
    </row>
    <row r="97" spans="1:2" x14ac:dyDescent="0.25">
      <c r="A97" t="s">
        <v>95</v>
      </c>
      <c r="B97">
        <v>1114</v>
      </c>
    </row>
    <row r="98" spans="1:2" x14ac:dyDescent="0.25">
      <c r="A98" t="s">
        <v>96</v>
      </c>
      <c r="B98">
        <v>1179</v>
      </c>
    </row>
    <row r="99" spans="1:2" x14ac:dyDescent="0.25">
      <c r="A99" t="s">
        <v>97</v>
      </c>
      <c r="B99">
        <v>1242</v>
      </c>
    </row>
    <row r="100" spans="1:2" x14ac:dyDescent="0.25">
      <c r="A100" t="s">
        <v>98</v>
      </c>
      <c r="B100">
        <v>203</v>
      </c>
    </row>
    <row r="101" spans="1:2" x14ac:dyDescent="0.25">
      <c r="A101" t="s">
        <v>99</v>
      </c>
      <c r="B101">
        <v>204</v>
      </c>
    </row>
    <row r="102" spans="1:2" x14ac:dyDescent="0.25">
      <c r="A102" t="s">
        <v>100</v>
      </c>
      <c r="B102">
        <v>753</v>
      </c>
    </row>
    <row r="103" spans="1:2" x14ac:dyDescent="0.25">
      <c r="A103" t="s">
        <v>101</v>
      </c>
      <c r="B103">
        <v>893</v>
      </c>
    </row>
    <row r="104" spans="1:2" x14ac:dyDescent="0.25">
      <c r="A104" t="s">
        <v>102</v>
      </c>
      <c r="B104">
        <v>205</v>
      </c>
    </row>
    <row r="105" spans="1:2" x14ac:dyDescent="0.25">
      <c r="A105" t="s">
        <v>103</v>
      </c>
      <c r="B105">
        <v>1058</v>
      </c>
    </row>
    <row r="106" spans="1:2" x14ac:dyDescent="0.25">
      <c r="A106" t="s">
        <v>104</v>
      </c>
      <c r="B106">
        <v>1059</v>
      </c>
    </row>
    <row r="107" spans="1:2" x14ac:dyDescent="0.25">
      <c r="A107" t="s">
        <v>105</v>
      </c>
      <c r="B107">
        <v>1060</v>
      </c>
    </row>
    <row r="108" spans="1:2" x14ac:dyDescent="0.25">
      <c r="A108" t="s">
        <v>106</v>
      </c>
      <c r="B108">
        <v>1061</v>
      </c>
    </row>
    <row r="109" spans="1:2" x14ac:dyDescent="0.25">
      <c r="A109" t="s">
        <v>107</v>
      </c>
      <c r="B109">
        <v>1157</v>
      </c>
    </row>
    <row r="110" spans="1:2" x14ac:dyDescent="0.25">
      <c r="A110" t="s">
        <v>108</v>
      </c>
      <c r="B110">
        <v>1158</v>
      </c>
    </row>
    <row r="111" spans="1:2" x14ac:dyDescent="0.25">
      <c r="A111" t="s">
        <v>109</v>
      </c>
      <c r="B111">
        <v>1159</v>
      </c>
    </row>
    <row r="112" spans="1:2" x14ac:dyDescent="0.25">
      <c r="A112" t="s">
        <v>110</v>
      </c>
      <c r="B112">
        <v>1160</v>
      </c>
    </row>
    <row r="113" spans="1:2" x14ac:dyDescent="0.25">
      <c r="A113" t="s">
        <v>111</v>
      </c>
      <c r="B113">
        <v>1161</v>
      </c>
    </row>
    <row r="114" spans="1:2" x14ac:dyDescent="0.25">
      <c r="A114" t="s">
        <v>112</v>
      </c>
      <c r="B114">
        <v>1162</v>
      </c>
    </row>
    <row r="115" spans="1:2" x14ac:dyDescent="0.25">
      <c r="A115" t="s">
        <v>113</v>
      </c>
      <c r="B115">
        <v>1163</v>
      </c>
    </row>
    <row r="116" spans="1:2" x14ac:dyDescent="0.25">
      <c r="A116" t="s">
        <v>114</v>
      </c>
      <c r="B116">
        <v>1164</v>
      </c>
    </row>
    <row r="117" spans="1:2" x14ac:dyDescent="0.25">
      <c r="A117" t="s">
        <v>115</v>
      </c>
      <c r="B117">
        <v>1165</v>
      </c>
    </row>
    <row r="118" spans="1:2" x14ac:dyDescent="0.25">
      <c r="A118" t="s">
        <v>116</v>
      </c>
      <c r="B118">
        <v>1166</v>
      </c>
    </row>
    <row r="119" spans="1:2" x14ac:dyDescent="0.25">
      <c r="A119" t="s">
        <v>117</v>
      </c>
      <c r="B119">
        <v>1167</v>
      </c>
    </row>
    <row r="120" spans="1:2" x14ac:dyDescent="0.25">
      <c r="A120" t="s">
        <v>118</v>
      </c>
      <c r="B120">
        <v>1168</v>
      </c>
    </row>
    <row r="121" spans="1:2" x14ac:dyDescent="0.25">
      <c r="A121" t="s">
        <v>119</v>
      </c>
      <c r="B121">
        <v>1169</v>
      </c>
    </row>
    <row r="122" spans="1:2" x14ac:dyDescent="0.25">
      <c r="A122" t="s">
        <v>120</v>
      </c>
      <c r="B122">
        <v>1170</v>
      </c>
    </row>
    <row r="123" spans="1:2" x14ac:dyDescent="0.25">
      <c r="A123" t="s">
        <v>121</v>
      </c>
      <c r="B123">
        <v>1171</v>
      </c>
    </row>
    <row r="124" spans="1:2" x14ac:dyDescent="0.25">
      <c r="A124" t="s">
        <v>122</v>
      </c>
      <c r="B124">
        <v>1172</v>
      </c>
    </row>
    <row r="125" spans="1:2" x14ac:dyDescent="0.25">
      <c r="A125" t="s">
        <v>123</v>
      </c>
      <c r="B125">
        <v>1173</v>
      </c>
    </row>
    <row r="126" spans="1:2" x14ac:dyDescent="0.25">
      <c r="A126" t="s">
        <v>124</v>
      </c>
      <c r="B126">
        <v>1174</v>
      </c>
    </row>
    <row r="127" spans="1:2" x14ac:dyDescent="0.25">
      <c r="A127" t="s">
        <v>125</v>
      </c>
      <c r="B127">
        <v>1175</v>
      </c>
    </row>
    <row r="128" spans="1:2" x14ac:dyDescent="0.25">
      <c r="A128" t="s">
        <v>126</v>
      </c>
      <c r="B128">
        <v>1192</v>
      </c>
    </row>
    <row r="129" spans="1:2" x14ac:dyDescent="0.25">
      <c r="A129" t="s">
        <v>127</v>
      </c>
      <c r="B129">
        <v>1193</v>
      </c>
    </row>
    <row r="130" spans="1:2" x14ac:dyDescent="0.25">
      <c r="A130" t="s">
        <v>128</v>
      </c>
      <c r="B130">
        <v>1194</v>
      </c>
    </row>
    <row r="131" spans="1:2" x14ac:dyDescent="0.25">
      <c r="A131" t="s">
        <v>129</v>
      </c>
      <c r="B131">
        <v>1195</v>
      </c>
    </row>
    <row r="132" spans="1:2" x14ac:dyDescent="0.25">
      <c r="A132" t="s">
        <v>130</v>
      </c>
      <c r="B132">
        <v>1196</v>
      </c>
    </row>
    <row r="133" spans="1:2" x14ac:dyDescent="0.25">
      <c r="A133" t="s">
        <v>131</v>
      </c>
      <c r="B133">
        <v>1197</v>
      </c>
    </row>
    <row r="134" spans="1:2" x14ac:dyDescent="0.25">
      <c r="A134" t="s">
        <v>132</v>
      </c>
      <c r="B134">
        <v>1198</v>
      </c>
    </row>
    <row r="135" spans="1:2" x14ac:dyDescent="0.25">
      <c r="A135" t="s">
        <v>133</v>
      </c>
      <c r="B135">
        <v>1199</v>
      </c>
    </row>
    <row r="136" spans="1:2" x14ac:dyDescent="0.25">
      <c r="A136" t="s">
        <v>134</v>
      </c>
      <c r="B136">
        <v>1200</v>
      </c>
    </row>
    <row r="137" spans="1:2" x14ac:dyDescent="0.25">
      <c r="A137" t="s">
        <v>135</v>
      </c>
      <c r="B137">
        <v>1227</v>
      </c>
    </row>
    <row r="138" spans="1:2" x14ac:dyDescent="0.25">
      <c r="A138" t="s">
        <v>136</v>
      </c>
      <c r="B138">
        <v>1228</v>
      </c>
    </row>
    <row r="139" spans="1:2" x14ac:dyDescent="0.25">
      <c r="A139" t="s">
        <v>137</v>
      </c>
      <c r="B139">
        <v>1229</v>
      </c>
    </row>
    <row r="140" spans="1:2" x14ac:dyDescent="0.25">
      <c r="A140" t="s">
        <v>138</v>
      </c>
      <c r="B140">
        <v>1230</v>
      </c>
    </row>
    <row r="141" spans="1:2" x14ac:dyDescent="0.25">
      <c r="A141" t="s">
        <v>139</v>
      </c>
      <c r="B141">
        <v>1231</v>
      </c>
    </row>
    <row r="142" spans="1:2" x14ac:dyDescent="0.25">
      <c r="A142" t="s">
        <v>140</v>
      </c>
      <c r="B142">
        <v>1232</v>
      </c>
    </row>
    <row r="143" spans="1:2" x14ac:dyDescent="0.25">
      <c r="A143" t="s">
        <v>141</v>
      </c>
      <c r="B143">
        <v>1233</v>
      </c>
    </row>
    <row r="144" spans="1:2" x14ac:dyDescent="0.25">
      <c r="A144" t="s">
        <v>142</v>
      </c>
      <c r="B144">
        <v>1234</v>
      </c>
    </row>
    <row r="145" spans="1:2" x14ac:dyDescent="0.25">
      <c r="A145" t="s">
        <v>143</v>
      </c>
      <c r="B145">
        <v>1239</v>
      </c>
    </row>
    <row r="146" spans="1:2" x14ac:dyDescent="0.25">
      <c r="A146" t="s">
        <v>144</v>
      </c>
      <c r="B146">
        <v>1240</v>
      </c>
    </row>
    <row r="147" spans="1:2" x14ac:dyDescent="0.25">
      <c r="A147" t="s">
        <v>145</v>
      </c>
      <c r="B147">
        <v>1241</v>
      </c>
    </row>
    <row r="148" spans="1:2" x14ac:dyDescent="0.25">
      <c r="A148" t="s">
        <v>146</v>
      </c>
      <c r="B148">
        <v>1272</v>
      </c>
    </row>
    <row r="149" spans="1:2" x14ac:dyDescent="0.25">
      <c r="A149" t="s">
        <v>147</v>
      </c>
      <c r="B149">
        <v>1273</v>
      </c>
    </row>
    <row r="150" spans="1:2" x14ac:dyDescent="0.25">
      <c r="A150" t="s">
        <v>148</v>
      </c>
      <c r="B150">
        <v>1274</v>
      </c>
    </row>
    <row r="151" spans="1:2" x14ac:dyDescent="0.25">
      <c r="A151" t="s">
        <v>149</v>
      </c>
      <c r="B151">
        <v>1275</v>
      </c>
    </row>
    <row r="152" spans="1:2" x14ac:dyDescent="0.25">
      <c r="A152" t="s">
        <v>150</v>
      </c>
      <c r="B152">
        <v>1276</v>
      </c>
    </row>
    <row r="153" spans="1:2" x14ac:dyDescent="0.25">
      <c r="A153" t="s">
        <v>151</v>
      </c>
      <c r="B153">
        <v>1277</v>
      </c>
    </row>
    <row r="154" spans="1:2" x14ac:dyDescent="0.25">
      <c r="A154" t="s">
        <v>152</v>
      </c>
      <c r="B154">
        <v>1316</v>
      </c>
    </row>
    <row r="155" spans="1:2" x14ac:dyDescent="0.25">
      <c r="A155" t="s">
        <v>153</v>
      </c>
      <c r="B155">
        <v>1317</v>
      </c>
    </row>
    <row r="156" spans="1:2" x14ac:dyDescent="0.25">
      <c r="A156" t="s">
        <v>154</v>
      </c>
      <c r="B156">
        <v>1318</v>
      </c>
    </row>
    <row r="157" spans="1:2" x14ac:dyDescent="0.25">
      <c r="A157" t="s">
        <v>155</v>
      </c>
      <c r="B157">
        <v>206</v>
      </c>
    </row>
    <row r="158" spans="1:2" x14ac:dyDescent="0.25">
      <c r="A158" t="s">
        <v>156</v>
      </c>
      <c r="B158">
        <v>207</v>
      </c>
    </row>
    <row r="159" spans="1:2" x14ac:dyDescent="0.25">
      <c r="A159" t="s">
        <v>157</v>
      </c>
      <c r="B159">
        <v>208</v>
      </c>
    </row>
    <row r="160" spans="1:2" x14ac:dyDescent="0.25">
      <c r="A160" t="s">
        <v>158</v>
      </c>
      <c r="B160">
        <v>209</v>
      </c>
    </row>
    <row r="161" spans="1:2" x14ac:dyDescent="0.25">
      <c r="A161" t="s">
        <v>159</v>
      </c>
      <c r="B161">
        <v>210</v>
      </c>
    </row>
    <row r="162" spans="1:2" x14ac:dyDescent="0.25">
      <c r="A162" t="s">
        <v>160</v>
      </c>
      <c r="B162">
        <v>211</v>
      </c>
    </row>
    <row r="163" spans="1:2" x14ac:dyDescent="0.25">
      <c r="A163" t="s">
        <v>161</v>
      </c>
      <c r="B163">
        <v>212</v>
      </c>
    </row>
    <row r="164" spans="1:2" x14ac:dyDescent="0.25">
      <c r="A164" t="s">
        <v>162</v>
      </c>
      <c r="B164">
        <v>213</v>
      </c>
    </row>
    <row r="165" spans="1:2" x14ac:dyDescent="0.25">
      <c r="A165" t="s">
        <v>163</v>
      </c>
      <c r="B165">
        <v>214</v>
      </c>
    </row>
    <row r="166" spans="1:2" x14ac:dyDescent="0.25">
      <c r="A166" t="s">
        <v>164</v>
      </c>
      <c r="B166">
        <v>215</v>
      </c>
    </row>
    <row r="167" spans="1:2" x14ac:dyDescent="0.25">
      <c r="A167" t="s">
        <v>165</v>
      </c>
      <c r="B167">
        <v>216</v>
      </c>
    </row>
    <row r="168" spans="1:2" x14ac:dyDescent="0.25">
      <c r="A168" t="s">
        <v>166</v>
      </c>
      <c r="B168">
        <v>217</v>
      </c>
    </row>
    <row r="169" spans="1:2" x14ac:dyDescent="0.25">
      <c r="A169" t="s">
        <v>167</v>
      </c>
      <c r="B169">
        <v>284</v>
      </c>
    </row>
    <row r="170" spans="1:2" x14ac:dyDescent="0.25">
      <c r="A170" t="s">
        <v>168</v>
      </c>
      <c r="B170">
        <v>285</v>
      </c>
    </row>
    <row r="171" spans="1:2" x14ac:dyDescent="0.25">
      <c r="A171" t="s">
        <v>169</v>
      </c>
      <c r="B171">
        <v>286</v>
      </c>
    </row>
    <row r="172" spans="1:2" x14ac:dyDescent="0.25">
      <c r="A172" t="s">
        <v>170</v>
      </c>
      <c r="B172">
        <v>298</v>
      </c>
    </row>
    <row r="173" spans="1:2" x14ac:dyDescent="0.25">
      <c r="A173" t="s">
        <v>171</v>
      </c>
      <c r="B173">
        <v>299</v>
      </c>
    </row>
    <row r="174" spans="1:2" x14ac:dyDescent="0.25">
      <c r="A174" t="s">
        <v>172</v>
      </c>
      <c r="B174">
        <v>300</v>
      </c>
    </row>
    <row r="175" spans="1:2" x14ac:dyDescent="0.25">
      <c r="A175" t="s">
        <v>173</v>
      </c>
      <c r="B175">
        <v>301</v>
      </c>
    </row>
    <row r="176" spans="1:2" x14ac:dyDescent="0.25">
      <c r="A176" t="s">
        <v>174</v>
      </c>
      <c r="B176">
        <v>302</v>
      </c>
    </row>
    <row r="177" spans="1:2" x14ac:dyDescent="0.25">
      <c r="A177" t="s">
        <v>175</v>
      </c>
      <c r="B177">
        <v>303</v>
      </c>
    </row>
    <row r="178" spans="1:2" x14ac:dyDescent="0.25">
      <c r="A178" t="s">
        <v>176</v>
      </c>
      <c r="B178">
        <v>304</v>
      </c>
    </row>
    <row r="179" spans="1:2" x14ac:dyDescent="0.25">
      <c r="A179" t="s">
        <v>177</v>
      </c>
      <c r="B179">
        <v>305</v>
      </c>
    </row>
    <row r="180" spans="1:2" x14ac:dyDescent="0.25">
      <c r="A180" t="s">
        <v>178</v>
      </c>
      <c r="B180">
        <v>306</v>
      </c>
    </row>
    <row r="181" spans="1:2" x14ac:dyDescent="0.25">
      <c r="A181" t="s">
        <v>179</v>
      </c>
      <c r="B181">
        <v>307</v>
      </c>
    </row>
    <row r="182" spans="1:2" x14ac:dyDescent="0.25">
      <c r="A182" t="s">
        <v>180</v>
      </c>
      <c r="B182">
        <v>308</v>
      </c>
    </row>
    <row r="183" spans="1:2" x14ac:dyDescent="0.25">
      <c r="A183" t="s">
        <v>181</v>
      </c>
      <c r="B183">
        <v>613</v>
      </c>
    </row>
    <row r="184" spans="1:2" x14ac:dyDescent="0.25">
      <c r="A184" t="s">
        <v>182</v>
      </c>
      <c r="B184">
        <v>614</v>
      </c>
    </row>
    <row r="185" spans="1:2" x14ac:dyDescent="0.25">
      <c r="A185" t="s">
        <v>183</v>
      </c>
      <c r="B185">
        <v>615</v>
      </c>
    </row>
    <row r="186" spans="1:2" x14ac:dyDescent="0.25">
      <c r="A186" t="s">
        <v>184</v>
      </c>
      <c r="B186">
        <v>616</v>
      </c>
    </row>
    <row r="187" spans="1:2" x14ac:dyDescent="0.25">
      <c r="A187" t="s">
        <v>185</v>
      </c>
      <c r="B187">
        <v>617</v>
      </c>
    </row>
    <row r="188" spans="1:2" x14ac:dyDescent="0.25">
      <c r="A188" t="s">
        <v>186</v>
      </c>
      <c r="B188">
        <v>618</v>
      </c>
    </row>
    <row r="189" spans="1:2" x14ac:dyDescent="0.25">
      <c r="A189" t="s">
        <v>187</v>
      </c>
      <c r="B189">
        <v>619</v>
      </c>
    </row>
    <row r="190" spans="1:2" x14ac:dyDescent="0.25">
      <c r="A190" t="s">
        <v>188</v>
      </c>
      <c r="B190">
        <v>751</v>
      </c>
    </row>
    <row r="191" spans="1:2" x14ac:dyDescent="0.25">
      <c r="A191" t="s">
        <v>189</v>
      </c>
      <c r="B191">
        <v>752</v>
      </c>
    </row>
    <row r="192" spans="1:2" x14ac:dyDescent="0.25">
      <c r="A192" t="s">
        <v>190</v>
      </c>
      <c r="B192">
        <v>754</v>
      </c>
    </row>
    <row r="193" spans="1:2" x14ac:dyDescent="0.25">
      <c r="A193" t="s">
        <v>191</v>
      </c>
      <c r="B193">
        <v>755</v>
      </c>
    </row>
    <row r="194" spans="1:2" x14ac:dyDescent="0.25">
      <c r="A194" t="s">
        <v>192</v>
      </c>
      <c r="B194">
        <v>756</v>
      </c>
    </row>
    <row r="195" spans="1:2" x14ac:dyDescent="0.25">
      <c r="A195" t="s">
        <v>193</v>
      </c>
      <c r="B195">
        <v>757</v>
      </c>
    </row>
    <row r="196" spans="1:2" x14ac:dyDescent="0.25">
      <c r="A196" t="s">
        <v>194</v>
      </c>
      <c r="B196">
        <v>758</v>
      </c>
    </row>
    <row r="197" spans="1:2" x14ac:dyDescent="0.25">
      <c r="A197" t="s">
        <v>195</v>
      </c>
      <c r="B197">
        <v>857</v>
      </c>
    </row>
    <row r="198" spans="1:2" x14ac:dyDescent="0.25">
      <c r="A198" t="s">
        <v>196</v>
      </c>
      <c r="B198">
        <v>858</v>
      </c>
    </row>
    <row r="199" spans="1:2" x14ac:dyDescent="0.25">
      <c r="A199" t="s">
        <v>197</v>
      </c>
      <c r="B199">
        <v>859</v>
      </c>
    </row>
    <row r="200" spans="1:2" x14ac:dyDescent="0.25">
      <c r="A200" t="s">
        <v>198</v>
      </c>
      <c r="B200">
        <v>884</v>
      </c>
    </row>
    <row r="201" spans="1:2" x14ac:dyDescent="0.25">
      <c r="A201" t="s">
        <v>199</v>
      </c>
      <c r="B201">
        <v>885</v>
      </c>
    </row>
    <row r="202" spans="1:2" x14ac:dyDescent="0.25">
      <c r="A202" t="s">
        <v>200</v>
      </c>
      <c r="B202">
        <v>886</v>
      </c>
    </row>
    <row r="203" spans="1:2" x14ac:dyDescent="0.25">
      <c r="A203" t="s">
        <v>201</v>
      </c>
      <c r="B203">
        <v>887</v>
      </c>
    </row>
    <row r="204" spans="1:2" x14ac:dyDescent="0.25">
      <c r="A204" t="s">
        <v>202</v>
      </c>
      <c r="B204">
        <v>888</v>
      </c>
    </row>
    <row r="205" spans="1:2" x14ac:dyDescent="0.25">
      <c r="A205" t="s">
        <v>203</v>
      </c>
      <c r="B205">
        <v>889</v>
      </c>
    </row>
    <row r="206" spans="1:2" x14ac:dyDescent="0.25">
      <c r="A206" t="s">
        <v>204</v>
      </c>
      <c r="B206">
        <v>890</v>
      </c>
    </row>
    <row r="207" spans="1:2" x14ac:dyDescent="0.25">
      <c r="A207" t="s">
        <v>205</v>
      </c>
      <c r="B207">
        <v>891</v>
      </c>
    </row>
    <row r="208" spans="1:2" x14ac:dyDescent="0.25">
      <c r="A208" t="s">
        <v>206</v>
      </c>
      <c r="B208">
        <v>892</v>
      </c>
    </row>
    <row r="209" spans="1:2" x14ac:dyDescent="0.25">
      <c r="A209" t="s">
        <v>207</v>
      </c>
      <c r="B209">
        <v>894</v>
      </c>
    </row>
    <row r="210" spans="1:2" x14ac:dyDescent="0.25">
      <c r="A210" t="s">
        <v>208</v>
      </c>
      <c r="B210">
        <v>895</v>
      </c>
    </row>
    <row r="211" spans="1:2" x14ac:dyDescent="0.25">
      <c r="A211" t="s">
        <v>209</v>
      </c>
      <c r="B211">
        <v>896</v>
      </c>
    </row>
    <row r="212" spans="1:2" x14ac:dyDescent="0.25">
      <c r="A212" t="s">
        <v>210</v>
      </c>
      <c r="B212">
        <v>29</v>
      </c>
    </row>
    <row r="213" spans="1:2" x14ac:dyDescent="0.25">
      <c r="A213" t="s">
        <v>211</v>
      </c>
      <c r="B213">
        <v>106</v>
      </c>
    </row>
    <row r="214" spans="1:2" x14ac:dyDescent="0.25">
      <c r="A214" t="s">
        <v>212</v>
      </c>
      <c r="B214">
        <v>107</v>
      </c>
    </row>
    <row r="215" spans="1:2" x14ac:dyDescent="0.25">
      <c r="A215" t="s">
        <v>213</v>
      </c>
      <c r="B215">
        <v>108</v>
      </c>
    </row>
    <row r="216" spans="1:2" x14ac:dyDescent="0.25">
      <c r="A216" t="s">
        <v>214</v>
      </c>
      <c r="B216">
        <v>109</v>
      </c>
    </row>
    <row r="217" spans="1:2" x14ac:dyDescent="0.25">
      <c r="A217" t="s">
        <v>215</v>
      </c>
      <c r="B217">
        <v>110</v>
      </c>
    </row>
    <row r="218" spans="1:2" x14ac:dyDescent="0.25">
      <c r="A218" t="s">
        <v>216</v>
      </c>
      <c r="B218">
        <v>111</v>
      </c>
    </row>
    <row r="219" spans="1:2" x14ac:dyDescent="0.25">
      <c r="A219" t="s">
        <v>217</v>
      </c>
      <c r="B219">
        <v>112</v>
      </c>
    </row>
    <row r="220" spans="1:2" x14ac:dyDescent="0.25">
      <c r="A220" t="s">
        <v>218</v>
      </c>
      <c r="B220">
        <v>113</v>
      </c>
    </row>
    <row r="221" spans="1:2" x14ac:dyDescent="0.25">
      <c r="A221" t="s">
        <v>219</v>
      </c>
      <c r="B221">
        <v>114</v>
      </c>
    </row>
    <row r="222" spans="1:2" x14ac:dyDescent="0.25">
      <c r="A222" t="s">
        <v>220</v>
      </c>
      <c r="B222">
        <v>115</v>
      </c>
    </row>
    <row r="223" spans="1:2" x14ac:dyDescent="0.25">
      <c r="A223" t="s">
        <v>221</v>
      </c>
      <c r="B223">
        <v>630</v>
      </c>
    </row>
    <row r="224" spans="1:2" x14ac:dyDescent="0.25">
      <c r="A224" t="s">
        <v>222</v>
      </c>
      <c r="B224">
        <v>631</v>
      </c>
    </row>
    <row r="225" spans="1:2" x14ac:dyDescent="0.25">
      <c r="A225" t="s">
        <v>223</v>
      </c>
      <c r="B225">
        <v>632</v>
      </c>
    </row>
    <row r="226" spans="1:2" x14ac:dyDescent="0.25">
      <c r="A226" t="s">
        <v>224</v>
      </c>
      <c r="B226">
        <v>633</v>
      </c>
    </row>
    <row r="227" spans="1:2" x14ac:dyDescent="0.25">
      <c r="A227" t="s">
        <v>225</v>
      </c>
      <c r="B227">
        <v>634</v>
      </c>
    </row>
    <row r="228" spans="1:2" x14ac:dyDescent="0.25">
      <c r="A228" t="s">
        <v>226</v>
      </c>
      <c r="B228">
        <v>635</v>
      </c>
    </row>
    <row r="229" spans="1:2" x14ac:dyDescent="0.25">
      <c r="A229" t="s">
        <v>227</v>
      </c>
      <c r="B229">
        <v>636</v>
      </c>
    </row>
    <row r="230" spans="1:2" x14ac:dyDescent="0.25">
      <c r="A230" t="s">
        <v>228</v>
      </c>
      <c r="B230">
        <v>637</v>
      </c>
    </row>
    <row r="231" spans="1:2" x14ac:dyDescent="0.25">
      <c r="A231" t="s">
        <v>229</v>
      </c>
      <c r="B231">
        <v>638</v>
      </c>
    </row>
    <row r="232" spans="1:2" x14ac:dyDescent="0.25">
      <c r="A232" t="s">
        <v>230</v>
      </c>
      <c r="B232">
        <v>639</v>
      </c>
    </row>
    <row r="233" spans="1:2" x14ac:dyDescent="0.25">
      <c r="A233" t="s">
        <v>231</v>
      </c>
      <c r="B233">
        <v>640</v>
      </c>
    </row>
    <row r="234" spans="1:2" x14ac:dyDescent="0.25">
      <c r="A234" t="s">
        <v>232</v>
      </c>
      <c r="B234">
        <v>641</v>
      </c>
    </row>
    <row r="235" spans="1:2" x14ac:dyDescent="0.25">
      <c r="A235" t="s">
        <v>233</v>
      </c>
      <c r="B235">
        <v>642</v>
      </c>
    </row>
    <row r="236" spans="1:2" x14ac:dyDescent="0.25">
      <c r="A236" t="s">
        <v>234</v>
      </c>
      <c r="B236">
        <v>643</v>
      </c>
    </row>
    <row r="237" spans="1:2" x14ac:dyDescent="0.25">
      <c r="A237" t="s">
        <v>235</v>
      </c>
      <c r="B237">
        <v>644</v>
      </c>
    </row>
    <row r="238" spans="1:2" x14ac:dyDescent="0.25">
      <c r="A238" t="s">
        <v>236</v>
      </c>
      <c r="B238">
        <v>645</v>
      </c>
    </row>
    <row r="239" spans="1:2" x14ac:dyDescent="0.25">
      <c r="A239" t="s">
        <v>237</v>
      </c>
      <c r="B239">
        <v>646</v>
      </c>
    </row>
    <row r="240" spans="1:2" x14ac:dyDescent="0.25">
      <c r="A240" t="s">
        <v>238</v>
      </c>
      <c r="B240">
        <v>647</v>
      </c>
    </row>
    <row r="241" spans="1:2" x14ac:dyDescent="0.25">
      <c r="A241" t="s">
        <v>239</v>
      </c>
      <c r="B241">
        <v>648</v>
      </c>
    </row>
    <row r="242" spans="1:2" x14ac:dyDescent="0.25">
      <c r="A242" t="s">
        <v>240</v>
      </c>
      <c r="B242">
        <v>649</v>
      </c>
    </row>
    <row r="243" spans="1:2" x14ac:dyDescent="0.25">
      <c r="A243" t="s">
        <v>241</v>
      </c>
      <c r="B243">
        <v>650</v>
      </c>
    </row>
    <row r="244" spans="1:2" x14ac:dyDescent="0.25">
      <c r="A244" t="s">
        <v>242</v>
      </c>
      <c r="B244">
        <v>651</v>
      </c>
    </row>
    <row r="245" spans="1:2" x14ac:dyDescent="0.25">
      <c r="A245" t="s">
        <v>243</v>
      </c>
      <c r="B245">
        <v>652</v>
      </c>
    </row>
    <row r="246" spans="1:2" x14ac:dyDescent="0.25">
      <c r="A246" t="s">
        <v>244</v>
      </c>
      <c r="B246">
        <v>653</v>
      </c>
    </row>
    <row r="247" spans="1:2" x14ac:dyDescent="0.25">
      <c r="A247" t="s">
        <v>245</v>
      </c>
      <c r="B247">
        <v>654</v>
      </c>
    </row>
    <row r="248" spans="1:2" x14ac:dyDescent="0.25">
      <c r="A248" t="s">
        <v>246</v>
      </c>
      <c r="B248">
        <v>655</v>
      </c>
    </row>
    <row r="249" spans="1:2" x14ac:dyDescent="0.25">
      <c r="A249" t="s">
        <v>247</v>
      </c>
      <c r="B249">
        <v>656</v>
      </c>
    </row>
    <row r="250" spans="1:2" x14ac:dyDescent="0.25">
      <c r="A250" t="s">
        <v>248</v>
      </c>
      <c r="B250">
        <v>657</v>
      </c>
    </row>
    <row r="251" spans="1:2" x14ac:dyDescent="0.25">
      <c r="A251" t="s">
        <v>249</v>
      </c>
      <c r="B251">
        <v>658</v>
      </c>
    </row>
    <row r="252" spans="1:2" x14ac:dyDescent="0.25">
      <c r="A252" t="s">
        <v>250</v>
      </c>
      <c r="B252">
        <v>659</v>
      </c>
    </row>
    <row r="253" spans="1:2" x14ac:dyDescent="0.25">
      <c r="A253" t="s">
        <v>251</v>
      </c>
      <c r="B253">
        <v>660</v>
      </c>
    </row>
    <row r="254" spans="1:2" x14ac:dyDescent="0.25">
      <c r="A254" t="s">
        <v>252</v>
      </c>
      <c r="B254">
        <v>661</v>
      </c>
    </row>
    <row r="255" spans="1:2" x14ac:dyDescent="0.25">
      <c r="A255" t="s">
        <v>253</v>
      </c>
      <c r="B255">
        <v>662</v>
      </c>
    </row>
    <row r="256" spans="1:2" x14ac:dyDescent="0.25">
      <c r="A256" t="s">
        <v>254</v>
      </c>
      <c r="B256">
        <v>663</v>
      </c>
    </row>
    <row r="257" spans="1:2" x14ac:dyDescent="0.25">
      <c r="A257" t="s">
        <v>255</v>
      </c>
      <c r="B257">
        <v>664</v>
      </c>
    </row>
    <row r="258" spans="1:2" x14ac:dyDescent="0.25">
      <c r="A258" t="s">
        <v>256</v>
      </c>
      <c r="B258">
        <v>665</v>
      </c>
    </row>
    <row r="259" spans="1:2" x14ac:dyDescent="0.25">
      <c r="A259" t="s">
        <v>257</v>
      </c>
      <c r="B259">
        <v>1358</v>
      </c>
    </row>
    <row r="260" spans="1:2" x14ac:dyDescent="0.25">
      <c r="A260" t="s">
        <v>258</v>
      </c>
      <c r="B260">
        <v>1359</v>
      </c>
    </row>
    <row r="261" spans="1:2" x14ac:dyDescent="0.25">
      <c r="A261" t="s">
        <v>259</v>
      </c>
      <c r="B261">
        <v>1360</v>
      </c>
    </row>
    <row r="262" spans="1:2" x14ac:dyDescent="0.25">
      <c r="A262" t="s">
        <v>260</v>
      </c>
      <c r="B262">
        <v>222</v>
      </c>
    </row>
    <row r="263" spans="1:2" x14ac:dyDescent="0.25">
      <c r="A263" t="s">
        <v>261</v>
      </c>
      <c r="B263">
        <v>1062</v>
      </c>
    </row>
    <row r="264" spans="1:2" x14ac:dyDescent="0.25">
      <c r="A264" t="s">
        <v>262</v>
      </c>
      <c r="B264">
        <v>1063</v>
      </c>
    </row>
    <row r="265" spans="1:2" x14ac:dyDescent="0.25">
      <c r="A265" t="s">
        <v>263</v>
      </c>
      <c r="B265">
        <v>1064</v>
      </c>
    </row>
    <row r="266" spans="1:2" x14ac:dyDescent="0.25">
      <c r="A266" t="s">
        <v>264</v>
      </c>
      <c r="B266">
        <v>1065</v>
      </c>
    </row>
    <row r="267" spans="1:2" x14ac:dyDescent="0.25">
      <c r="A267" t="s">
        <v>265</v>
      </c>
      <c r="B267">
        <v>1066</v>
      </c>
    </row>
    <row r="268" spans="1:2" x14ac:dyDescent="0.25">
      <c r="A268" t="s">
        <v>266</v>
      </c>
      <c r="B268">
        <v>1067</v>
      </c>
    </row>
    <row r="269" spans="1:2" x14ac:dyDescent="0.25">
      <c r="A269" t="s">
        <v>267</v>
      </c>
      <c r="B269">
        <v>1068</v>
      </c>
    </row>
    <row r="270" spans="1:2" x14ac:dyDescent="0.25">
      <c r="A270" t="s">
        <v>268</v>
      </c>
      <c r="B270">
        <v>1069</v>
      </c>
    </row>
    <row r="271" spans="1:2" x14ac:dyDescent="0.25">
      <c r="A271" t="s">
        <v>269</v>
      </c>
      <c r="B271">
        <v>1070</v>
      </c>
    </row>
    <row r="272" spans="1:2" x14ac:dyDescent="0.25">
      <c r="A272" t="s">
        <v>270</v>
      </c>
      <c r="B272">
        <v>1071</v>
      </c>
    </row>
    <row r="273" spans="1:2" x14ac:dyDescent="0.25">
      <c r="A273" t="s">
        <v>271</v>
      </c>
      <c r="B273">
        <v>1072</v>
      </c>
    </row>
    <row r="274" spans="1:2" x14ac:dyDescent="0.25">
      <c r="A274" t="s">
        <v>272</v>
      </c>
      <c r="B274">
        <v>1073</v>
      </c>
    </row>
    <row r="275" spans="1:2" x14ac:dyDescent="0.25">
      <c r="A275" t="s">
        <v>273</v>
      </c>
      <c r="B275">
        <v>1074</v>
      </c>
    </row>
    <row r="276" spans="1:2" x14ac:dyDescent="0.25">
      <c r="A276" t="s">
        <v>274</v>
      </c>
      <c r="B276">
        <v>1075</v>
      </c>
    </row>
    <row r="277" spans="1:2" x14ac:dyDescent="0.25">
      <c r="A277" t="s">
        <v>275</v>
      </c>
      <c r="B277">
        <v>1076</v>
      </c>
    </row>
    <row r="278" spans="1:2" x14ac:dyDescent="0.25">
      <c r="A278" t="s">
        <v>276</v>
      </c>
      <c r="B278">
        <v>1077</v>
      </c>
    </row>
    <row r="279" spans="1:2" x14ac:dyDescent="0.25">
      <c r="A279" t="s">
        <v>277</v>
      </c>
      <c r="B279">
        <v>1333</v>
      </c>
    </row>
    <row r="280" spans="1:2" x14ac:dyDescent="0.25">
      <c r="A280" t="s">
        <v>278</v>
      </c>
      <c r="B280">
        <v>1334</v>
      </c>
    </row>
    <row r="281" spans="1:2" x14ac:dyDescent="0.25">
      <c r="A281" t="s">
        <v>279</v>
      </c>
      <c r="B281">
        <v>1335</v>
      </c>
    </row>
    <row r="282" spans="1:2" x14ac:dyDescent="0.25">
      <c r="A282" t="s">
        <v>280</v>
      </c>
      <c r="B282">
        <v>1336</v>
      </c>
    </row>
    <row r="283" spans="1:2" x14ac:dyDescent="0.25">
      <c r="A283" t="s">
        <v>281</v>
      </c>
      <c r="B283">
        <v>1337</v>
      </c>
    </row>
    <row r="284" spans="1:2" x14ac:dyDescent="0.25">
      <c r="A284" t="s">
        <v>282</v>
      </c>
      <c r="B284">
        <v>1338</v>
      </c>
    </row>
    <row r="285" spans="1:2" x14ac:dyDescent="0.25">
      <c r="A285" t="s">
        <v>283</v>
      </c>
      <c r="B285">
        <v>1339</v>
      </c>
    </row>
    <row r="286" spans="1:2" x14ac:dyDescent="0.25">
      <c r="A286" t="s">
        <v>284</v>
      </c>
      <c r="B286">
        <v>1340</v>
      </c>
    </row>
    <row r="287" spans="1:2" x14ac:dyDescent="0.25">
      <c r="A287" t="s">
        <v>285</v>
      </c>
      <c r="B287">
        <v>1341</v>
      </c>
    </row>
    <row r="288" spans="1:2" x14ac:dyDescent="0.25">
      <c r="A288" t="s">
        <v>286</v>
      </c>
      <c r="B288">
        <v>1342</v>
      </c>
    </row>
    <row r="289" spans="1:2" x14ac:dyDescent="0.25">
      <c r="A289" t="s">
        <v>287</v>
      </c>
      <c r="B289">
        <v>1343</v>
      </c>
    </row>
    <row r="290" spans="1:2" x14ac:dyDescent="0.25">
      <c r="A290" t="s">
        <v>288</v>
      </c>
      <c r="B290">
        <v>1344</v>
      </c>
    </row>
    <row r="291" spans="1:2" x14ac:dyDescent="0.25">
      <c r="A291" t="s">
        <v>289</v>
      </c>
      <c r="B291">
        <v>1345</v>
      </c>
    </row>
    <row r="292" spans="1:2" x14ac:dyDescent="0.25">
      <c r="A292" t="s">
        <v>290</v>
      </c>
      <c r="B292">
        <v>1346</v>
      </c>
    </row>
    <row r="293" spans="1:2" x14ac:dyDescent="0.25">
      <c r="A293" t="s">
        <v>291</v>
      </c>
      <c r="B293">
        <v>1347</v>
      </c>
    </row>
    <row r="294" spans="1:2" x14ac:dyDescent="0.25">
      <c r="A294" t="s">
        <v>292</v>
      </c>
      <c r="B294">
        <v>1348</v>
      </c>
    </row>
    <row r="295" spans="1:2" x14ac:dyDescent="0.25">
      <c r="A295" t="s">
        <v>293</v>
      </c>
      <c r="B295">
        <v>1349</v>
      </c>
    </row>
    <row r="296" spans="1:2" x14ac:dyDescent="0.25">
      <c r="A296" t="s">
        <v>294</v>
      </c>
      <c r="B296">
        <v>1350</v>
      </c>
    </row>
    <row r="297" spans="1:2" x14ac:dyDescent="0.25">
      <c r="A297" t="s">
        <v>295</v>
      </c>
      <c r="B297">
        <v>1351</v>
      </c>
    </row>
    <row r="298" spans="1:2" x14ac:dyDescent="0.25">
      <c r="A298" t="s">
        <v>296</v>
      </c>
      <c r="B298">
        <v>1352</v>
      </c>
    </row>
    <row r="299" spans="1:2" x14ac:dyDescent="0.25">
      <c r="A299" t="s">
        <v>297</v>
      </c>
      <c r="B299">
        <v>1353</v>
      </c>
    </row>
    <row r="300" spans="1:2" x14ac:dyDescent="0.25">
      <c r="A300" t="s">
        <v>298</v>
      </c>
      <c r="B300">
        <v>223</v>
      </c>
    </row>
    <row r="301" spans="1:2" x14ac:dyDescent="0.25">
      <c r="A301" t="s">
        <v>299</v>
      </c>
      <c r="B301">
        <v>224</v>
      </c>
    </row>
    <row r="302" spans="1:2" x14ac:dyDescent="0.25">
      <c r="A302" t="s">
        <v>300</v>
      </c>
      <c r="B302">
        <v>225</v>
      </c>
    </row>
    <row r="303" spans="1:2" x14ac:dyDescent="0.25">
      <c r="A303" t="s">
        <v>301</v>
      </c>
      <c r="B303">
        <v>226</v>
      </c>
    </row>
    <row r="304" spans="1:2" x14ac:dyDescent="0.25">
      <c r="A304" t="s">
        <v>302</v>
      </c>
      <c r="B304">
        <v>227</v>
      </c>
    </row>
    <row r="305" spans="1:2" x14ac:dyDescent="0.25">
      <c r="A305" t="s">
        <v>303</v>
      </c>
      <c r="B305">
        <v>228</v>
      </c>
    </row>
    <row r="306" spans="1:2" x14ac:dyDescent="0.25">
      <c r="A306" t="s">
        <v>304</v>
      </c>
      <c r="B306">
        <v>229</v>
      </c>
    </row>
    <row r="307" spans="1:2" x14ac:dyDescent="0.25">
      <c r="A307" t="s">
        <v>305</v>
      </c>
      <c r="B307">
        <v>230</v>
      </c>
    </row>
    <row r="308" spans="1:2" x14ac:dyDescent="0.25">
      <c r="A308" t="s">
        <v>306</v>
      </c>
      <c r="B308">
        <v>231</v>
      </c>
    </row>
    <row r="309" spans="1:2" x14ac:dyDescent="0.25">
      <c r="A309" t="s">
        <v>307</v>
      </c>
      <c r="B309">
        <v>232</v>
      </c>
    </row>
    <row r="310" spans="1:2" x14ac:dyDescent="0.25">
      <c r="A310" t="s">
        <v>308</v>
      </c>
      <c r="B310">
        <v>233</v>
      </c>
    </row>
    <row r="311" spans="1:2" x14ac:dyDescent="0.25">
      <c r="A311" t="s">
        <v>309</v>
      </c>
      <c r="B311">
        <v>234</v>
      </c>
    </row>
    <row r="312" spans="1:2" x14ac:dyDescent="0.25">
      <c r="A312" t="s">
        <v>310</v>
      </c>
      <c r="B312">
        <v>235</v>
      </c>
    </row>
    <row r="313" spans="1:2" x14ac:dyDescent="0.25">
      <c r="A313" t="s">
        <v>311</v>
      </c>
      <c r="B313">
        <v>236</v>
      </c>
    </row>
    <row r="314" spans="1:2" x14ac:dyDescent="0.25">
      <c r="A314" t="s">
        <v>312</v>
      </c>
      <c r="B314">
        <v>237</v>
      </c>
    </row>
    <row r="315" spans="1:2" x14ac:dyDescent="0.25">
      <c r="A315" t="s">
        <v>313</v>
      </c>
      <c r="B315">
        <v>238</v>
      </c>
    </row>
    <row r="316" spans="1:2" x14ac:dyDescent="0.25">
      <c r="A316" t="s">
        <v>314</v>
      </c>
      <c r="B316">
        <v>269</v>
      </c>
    </row>
    <row r="317" spans="1:2" x14ac:dyDescent="0.25">
      <c r="A317" t="s">
        <v>315</v>
      </c>
      <c r="B317">
        <v>1130</v>
      </c>
    </row>
    <row r="318" spans="1:2" x14ac:dyDescent="0.25">
      <c r="A318" t="s">
        <v>316</v>
      </c>
      <c r="B318">
        <v>1131</v>
      </c>
    </row>
    <row r="319" spans="1:2" x14ac:dyDescent="0.25">
      <c r="A319" t="s">
        <v>317</v>
      </c>
      <c r="B319">
        <v>1132</v>
      </c>
    </row>
    <row r="320" spans="1:2" x14ac:dyDescent="0.25">
      <c r="A320" t="s">
        <v>318</v>
      </c>
      <c r="B320">
        <v>270</v>
      </c>
    </row>
    <row r="321" spans="1:2" x14ac:dyDescent="0.25">
      <c r="A321" t="s">
        <v>319</v>
      </c>
      <c r="B321">
        <v>271</v>
      </c>
    </row>
    <row r="322" spans="1:2" x14ac:dyDescent="0.25">
      <c r="A322" t="s">
        <v>320</v>
      </c>
      <c r="B322">
        <v>272</v>
      </c>
    </row>
    <row r="323" spans="1:2" x14ac:dyDescent="0.25">
      <c r="A323" t="s">
        <v>321</v>
      </c>
      <c r="B323">
        <v>273</v>
      </c>
    </row>
    <row r="324" spans="1:2" x14ac:dyDescent="0.25">
      <c r="A324" t="s">
        <v>322</v>
      </c>
      <c r="B324">
        <v>274</v>
      </c>
    </row>
    <row r="325" spans="1:2" x14ac:dyDescent="0.25">
      <c r="A325" t="s">
        <v>323</v>
      </c>
      <c r="B325">
        <v>275</v>
      </c>
    </row>
    <row r="326" spans="1:2" x14ac:dyDescent="0.25">
      <c r="A326" t="s">
        <v>324</v>
      </c>
      <c r="B326">
        <v>276</v>
      </c>
    </row>
    <row r="327" spans="1:2" x14ac:dyDescent="0.25">
      <c r="A327" t="s">
        <v>325</v>
      </c>
      <c r="B327">
        <v>563</v>
      </c>
    </row>
    <row r="328" spans="1:2" x14ac:dyDescent="0.25">
      <c r="A328" t="s">
        <v>326</v>
      </c>
      <c r="B328">
        <v>564</v>
      </c>
    </row>
    <row r="329" spans="1:2" x14ac:dyDescent="0.25">
      <c r="A329" t="s">
        <v>327</v>
      </c>
      <c r="B329">
        <v>565</v>
      </c>
    </row>
    <row r="330" spans="1:2" x14ac:dyDescent="0.25">
      <c r="A330" t="s">
        <v>328</v>
      </c>
      <c r="B330">
        <v>566</v>
      </c>
    </row>
    <row r="331" spans="1:2" x14ac:dyDescent="0.25">
      <c r="A331" t="s">
        <v>329</v>
      </c>
      <c r="B331">
        <v>280</v>
      </c>
    </row>
    <row r="332" spans="1:2" x14ac:dyDescent="0.25">
      <c r="A332" t="s">
        <v>330</v>
      </c>
      <c r="B332">
        <v>281</v>
      </c>
    </row>
    <row r="333" spans="1:2" x14ac:dyDescent="0.25">
      <c r="A333" t="s">
        <v>331</v>
      </c>
      <c r="B333">
        <v>282</v>
      </c>
    </row>
    <row r="334" spans="1:2" x14ac:dyDescent="0.25">
      <c r="A334" t="s">
        <v>332</v>
      </c>
      <c r="B334">
        <v>283</v>
      </c>
    </row>
    <row r="335" spans="1:2" x14ac:dyDescent="0.25">
      <c r="A335" t="s">
        <v>333</v>
      </c>
      <c r="B335">
        <v>290</v>
      </c>
    </row>
    <row r="336" spans="1:2" x14ac:dyDescent="0.25">
      <c r="A336" t="s">
        <v>334</v>
      </c>
      <c r="B336">
        <v>291</v>
      </c>
    </row>
    <row r="337" spans="1:2" x14ac:dyDescent="0.25">
      <c r="A337" t="s">
        <v>335</v>
      </c>
      <c r="B337">
        <v>292</v>
      </c>
    </row>
    <row r="338" spans="1:2" x14ac:dyDescent="0.25">
      <c r="A338" t="s">
        <v>336</v>
      </c>
      <c r="B338">
        <v>293</v>
      </c>
    </row>
    <row r="339" spans="1:2" x14ac:dyDescent="0.25">
      <c r="A339" t="s">
        <v>337</v>
      </c>
      <c r="B339">
        <v>294</v>
      </c>
    </row>
    <row r="340" spans="1:2" x14ac:dyDescent="0.25">
      <c r="A340" t="s">
        <v>338</v>
      </c>
      <c r="B340">
        <v>295</v>
      </c>
    </row>
    <row r="341" spans="1:2" x14ac:dyDescent="0.25">
      <c r="A341" t="s">
        <v>339</v>
      </c>
      <c r="B341">
        <v>296</v>
      </c>
    </row>
    <row r="342" spans="1:2" x14ac:dyDescent="0.25">
      <c r="A342" t="s">
        <v>340</v>
      </c>
      <c r="B342">
        <v>297</v>
      </c>
    </row>
    <row r="343" spans="1:2" x14ac:dyDescent="0.25">
      <c r="A343" t="s">
        <v>341</v>
      </c>
      <c r="B343">
        <v>30</v>
      </c>
    </row>
    <row r="344" spans="1:2" x14ac:dyDescent="0.25">
      <c r="A344" t="s">
        <v>342</v>
      </c>
      <c r="B344">
        <v>116</v>
      </c>
    </row>
    <row r="345" spans="1:2" x14ac:dyDescent="0.25">
      <c r="A345" t="s">
        <v>343</v>
      </c>
      <c r="B345">
        <v>117</v>
      </c>
    </row>
    <row r="346" spans="1:2" x14ac:dyDescent="0.25">
      <c r="A346" t="s">
        <v>344</v>
      </c>
      <c r="B346">
        <v>118</v>
      </c>
    </row>
    <row r="347" spans="1:2" x14ac:dyDescent="0.25">
      <c r="A347" t="s">
        <v>345</v>
      </c>
      <c r="B347">
        <v>119</v>
      </c>
    </row>
    <row r="348" spans="1:2" x14ac:dyDescent="0.25">
      <c r="A348" t="s">
        <v>346</v>
      </c>
      <c r="B348">
        <v>120</v>
      </c>
    </row>
    <row r="349" spans="1:2" x14ac:dyDescent="0.25">
      <c r="A349" t="s">
        <v>347</v>
      </c>
      <c r="B349">
        <v>121</v>
      </c>
    </row>
    <row r="350" spans="1:2" x14ac:dyDescent="0.25">
      <c r="A350" t="s">
        <v>348</v>
      </c>
      <c r="B350">
        <v>122</v>
      </c>
    </row>
    <row r="351" spans="1:2" x14ac:dyDescent="0.25">
      <c r="A351" t="s">
        <v>349</v>
      </c>
      <c r="B351">
        <v>123</v>
      </c>
    </row>
    <row r="352" spans="1:2" x14ac:dyDescent="0.25">
      <c r="A352" t="s">
        <v>350</v>
      </c>
      <c r="B352">
        <v>124</v>
      </c>
    </row>
    <row r="353" spans="1:2" x14ac:dyDescent="0.25">
      <c r="A353" t="s">
        <v>351</v>
      </c>
      <c r="B353">
        <v>125</v>
      </c>
    </row>
    <row r="354" spans="1:2" x14ac:dyDescent="0.25">
      <c r="A354" t="s">
        <v>352</v>
      </c>
      <c r="B354">
        <v>126</v>
      </c>
    </row>
    <row r="355" spans="1:2" x14ac:dyDescent="0.25">
      <c r="A355" t="s">
        <v>353</v>
      </c>
      <c r="B355">
        <v>127</v>
      </c>
    </row>
    <row r="356" spans="1:2" x14ac:dyDescent="0.25">
      <c r="A356" t="s">
        <v>354</v>
      </c>
      <c r="B356">
        <v>128</v>
      </c>
    </row>
    <row r="357" spans="1:2" x14ac:dyDescent="0.25">
      <c r="A357" t="s">
        <v>355</v>
      </c>
      <c r="B357">
        <v>129</v>
      </c>
    </row>
    <row r="358" spans="1:2" x14ac:dyDescent="0.25">
      <c r="A358" t="s">
        <v>356</v>
      </c>
      <c r="B358">
        <v>130</v>
      </c>
    </row>
    <row r="359" spans="1:2" x14ac:dyDescent="0.25">
      <c r="A359" t="s">
        <v>357</v>
      </c>
      <c r="B359">
        <v>131</v>
      </c>
    </row>
    <row r="360" spans="1:2" x14ac:dyDescent="0.25">
      <c r="A360" t="s">
        <v>358</v>
      </c>
      <c r="B360">
        <v>132</v>
      </c>
    </row>
    <row r="361" spans="1:2" x14ac:dyDescent="0.25">
      <c r="A361" t="s">
        <v>359</v>
      </c>
      <c r="B361">
        <v>133</v>
      </c>
    </row>
    <row r="362" spans="1:2" x14ac:dyDescent="0.25">
      <c r="A362" t="s">
        <v>360</v>
      </c>
      <c r="B362">
        <v>134</v>
      </c>
    </row>
    <row r="363" spans="1:2" x14ac:dyDescent="0.25">
      <c r="A363" t="s">
        <v>361</v>
      </c>
      <c r="B363">
        <v>135</v>
      </c>
    </row>
    <row r="364" spans="1:2" x14ac:dyDescent="0.25">
      <c r="A364" t="s">
        <v>362</v>
      </c>
      <c r="B364">
        <v>136</v>
      </c>
    </row>
    <row r="365" spans="1:2" x14ac:dyDescent="0.25">
      <c r="A365" t="s">
        <v>363</v>
      </c>
      <c r="B365">
        <v>137</v>
      </c>
    </row>
    <row r="366" spans="1:2" x14ac:dyDescent="0.25">
      <c r="A366" t="s">
        <v>364</v>
      </c>
      <c r="B366">
        <v>138</v>
      </c>
    </row>
    <row r="367" spans="1:2" x14ac:dyDescent="0.25">
      <c r="A367" t="s">
        <v>365</v>
      </c>
      <c r="B367">
        <v>139</v>
      </c>
    </row>
    <row r="368" spans="1:2" x14ac:dyDescent="0.25">
      <c r="A368" t="s">
        <v>366</v>
      </c>
      <c r="B368">
        <v>140</v>
      </c>
    </row>
    <row r="369" spans="1:2" x14ac:dyDescent="0.25">
      <c r="A369" t="s">
        <v>367</v>
      </c>
      <c r="B369">
        <v>141</v>
      </c>
    </row>
    <row r="370" spans="1:2" x14ac:dyDescent="0.25">
      <c r="A370" t="s">
        <v>368</v>
      </c>
      <c r="B370">
        <v>142</v>
      </c>
    </row>
    <row r="371" spans="1:2" x14ac:dyDescent="0.25">
      <c r="A371" t="s">
        <v>369</v>
      </c>
      <c r="B371">
        <v>143</v>
      </c>
    </row>
    <row r="372" spans="1:2" x14ac:dyDescent="0.25">
      <c r="A372" t="s">
        <v>370</v>
      </c>
      <c r="B372">
        <v>144</v>
      </c>
    </row>
    <row r="373" spans="1:2" x14ac:dyDescent="0.25">
      <c r="A373" t="s">
        <v>371</v>
      </c>
      <c r="B373">
        <v>145</v>
      </c>
    </row>
    <row r="374" spans="1:2" x14ac:dyDescent="0.25">
      <c r="A374" t="s">
        <v>372</v>
      </c>
      <c r="B374">
        <v>146</v>
      </c>
    </row>
    <row r="375" spans="1:2" x14ac:dyDescent="0.25">
      <c r="A375" t="s">
        <v>373</v>
      </c>
      <c r="B375">
        <v>147</v>
      </c>
    </row>
    <row r="376" spans="1:2" x14ac:dyDescent="0.25">
      <c r="A376" t="s">
        <v>374</v>
      </c>
      <c r="B376">
        <v>148</v>
      </c>
    </row>
    <row r="377" spans="1:2" x14ac:dyDescent="0.25">
      <c r="A377" t="s">
        <v>375</v>
      </c>
      <c r="B377">
        <v>149</v>
      </c>
    </row>
    <row r="378" spans="1:2" x14ac:dyDescent="0.25">
      <c r="A378" t="s">
        <v>376</v>
      </c>
      <c r="B378">
        <v>1201</v>
      </c>
    </row>
    <row r="379" spans="1:2" x14ac:dyDescent="0.25">
      <c r="A379" t="s">
        <v>377</v>
      </c>
      <c r="B379">
        <v>1202</v>
      </c>
    </row>
    <row r="380" spans="1:2" x14ac:dyDescent="0.25">
      <c r="A380" t="s">
        <v>378</v>
      </c>
      <c r="B380">
        <v>1203</v>
      </c>
    </row>
    <row r="381" spans="1:2" x14ac:dyDescent="0.25">
      <c r="A381" t="s">
        <v>379</v>
      </c>
      <c r="B381">
        <v>1204</v>
      </c>
    </row>
    <row r="382" spans="1:2" x14ac:dyDescent="0.25">
      <c r="A382" t="s">
        <v>380</v>
      </c>
      <c r="B382">
        <v>1205</v>
      </c>
    </row>
    <row r="383" spans="1:2" x14ac:dyDescent="0.25">
      <c r="A383" t="s">
        <v>381</v>
      </c>
      <c r="B383">
        <v>1206</v>
      </c>
    </row>
    <row r="384" spans="1:2" x14ac:dyDescent="0.25">
      <c r="A384" t="s">
        <v>382</v>
      </c>
      <c r="B384">
        <v>1207</v>
      </c>
    </row>
    <row r="385" spans="1:2" x14ac:dyDescent="0.25">
      <c r="A385" t="s">
        <v>383</v>
      </c>
      <c r="B385">
        <v>1208</v>
      </c>
    </row>
    <row r="386" spans="1:2" x14ac:dyDescent="0.25">
      <c r="A386" t="s">
        <v>384</v>
      </c>
      <c r="B386">
        <v>1209</v>
      </c>
    </row>
    <row r="387" spans="1:2" x14ac:dyDescent="0.25">
      <c r="A387" t="s">
        <v>385</v>
      </c>
      <c r="B387">
        <v>1210</v>
      </c>
    </row>
    <row r="388" spans="1:2" x14ac:dyDescent="0.25">
      <c r="A388" t="s">
        <v>386</v>
      </c>
      <c r="B388">
        <v>1211</v>
      </c>
    </row>
    <row r="389" spans="1:2" x14ac:dyDescent="0.25">
      <c r="A389" t="s">
        <v>387</v>
      </c>
      <c r="B389">
        <v>1212</v>
      </c>
    </row>
    <row r="390" spans="1:2" x14ac:dyDescent="0.25">
      <c r="A390" t="s">
        <v>388</v>
      </c>
      <c r="B390">
        <v>1213</v>
      </c>
    </row>
    <row r="391" spans="1:2" x14ac:dyDescent="0.25">
      <c r="A391" t="s">
        <v>389</v>
      </c>
      <c r="B391">
        <v>1214</v>
      </c>
    </row>
    <row r="392" spans="1:2" x14ac:dyDescent="0.25">
      <c r="A392" t="s">
        <v>390</v>
      </c>
      <c r="B392">
        <v>1221</v>
      </c>
    </row>
    <row r="393" spans="1:2" x14ac:dyDescent="0.25">
      <c r="A393" t="s">
        <v>391</v>
      </c>
      <c r="B393">
        <v>1222</v>
      </c>
    </row>
    <row r="394" spans="1:2" x14ac:dyDescent="0.25">
      <c r="A394" t="s">
        <v>392</v>
      </c>
      <c r="B394">
        <v>1312</v>
      </c>
    </row>
    <row r="395" spans="1:2" x14ac:dyDescent="0.25">
      <c r="A395" t="s">
        <v>393</v>
      </c>
      <c r="B395">
        <v>1313</v>
      </c>
    </row>
    <row r="396" spans="1:2" x14ac:dyDescent="0.25">
      <c r="A396" t="s">
        <v>394</v>
      </c>
      <c r="B396">
        <v>1420</v>
      </c>
    </row>
    <row r="397" spans="1:2" x14ac:dyDescent="0.25">
      <c r="A397" t="s">
        <v>395</v>
      </c>
      <c r="B397">
        <v>1421</v>
      </c>
    </row>
    <row r="398" spans="1:2" x14ac:dyDescent="0.25">
      <c r="A398" t="s">
        <v>396</v>
      </c>
      <c r="B398">
        <v>1422</v>
      </c>
    </row>
    <row r="399" spans="1:2" x14ac:dyDescent="0.25">
      <c r="A399" t="s">
        <v>397</v>
      </c>
      <c r="B399">
        <v>1423</v>
      </c>
    </row>
    <row r="400" spans="1:2" x14ac:dyDescent="0.25">
      <c r="A400" t="s">
        <v>398</v>
      </c>
      <c r="B400">
        <v>1424</v>
      </c>
    </row>
    <row r="401" spans="1:2" x14ac:dyDescent="0.25">
      <c r="A401" t="s">
        <v>399</v>
      </c>
      <c r="B401">
        <v>1425</v>
      </c>
    </row>
    <row r="402" spans="1:2" x14ac:dyDescent="0.25">
      <c r="A402" t="s">
        <v>400</v>
      </c>
      <c r="B402">
        <v>1426</v>
      </c>
    </row>
    <row r="403" spans="1:2" x14ac:dyDescent="0.25">
      <c r="A403" t="s">
        <v>401</v>
      </c>
      <c r="B403">
        <v>1427</v>
      </c>
    </row>
    <row r="404" spans="1:2" x14ac:dyDescent="0.25">
      <c r="A404" t="s">
        <v>402</v>
      </c>
      <c r="B404">
        <v>1428</v>
      </c>
    </row>
    <row r="405" spans="1:2" x14ac:dyDescent="0.25">
      <c r="A405" t="s">
        <v>403</v>
      </c>
      <c r="B405">
        <v>1429</v>
      </c>
    </row>
    <row r="406" spans="1:2" x14ac:dyDescent="0.25">
      <c r="A406" t="s">
        <v>404</v>
      </c>
      <c r="B406">
        <v>1430</v>
      </c>
    </row>
    <row r="407" spans="1:2" x14ac:dyDescent="0.25">
      <c r="A407" t="s">
        <v>405</v>
      </c>
      <c r="B407">
        <v>1431</v>
      </c>
    </row>
    <row r="408" spans="1:2" x14ac:dyDescent="0.25">
      <c r="A408" t="s">
        <v>406</v>
      </c>
      <c r="B408">
        <v>1432</v>
      </c>
    </row>
    <row r="409" spans="1:2" x14ac:dyDescent="0.25">
      <c r="A409" t="s">
        <v>407</v>
      </c>
      <c r="B409">
        <v>1433</v>
      </c>
    </row>
    <row r="410" spans="1:2" x14ac:dyDescent="0.25">
      <c r="A410" t="s">
        <v>408</v>
      </c>
      <c r="B410">
        <v>1434</v>
      </c>
    </row>
    <row r="411" spans="1:2" x14ac:dyDescent="0.25">
      <c r="A411" t="s">
        <v>409</v>
      </c>
      <c r="B411">
        <v>1435</v>
      </c>
    </row>
    <row r="412" spans="1:2" x14ac:dyDescent="0.25">
      <c r="A412" t="s">
        <v>410</v>
      </c>
      <c r="B412">
        <v>31</v>
      </c>
    </row>
    <row r="413" spans="1:2" x14ac:dyDescent="0.25">
      <c r="A413" t="s">
        <v>411</v>
      </c>
      <c r="B413">
        <v>32</v>
      </c>
    </row>
    <row r="414" spans="1:2" x14ac:dyDescent="0.25">
      <c r="A414" t="s">
        <v>412</v>
      </c>
      <c r="B414">
        <v>33</v>
      </c>
    </row>
    <row r="415" spans="1:2" x14ac:dyDescent="0.25">
      <c r="A415" t="s">
        <v>413</v>
      </c>
      <c r="B415">
        <v>34</v>
      </c>
    </row>
    <row r="416" spans="1:2" x14ac:dyDescent="0.25">
      <c r="A416" t="s">
        <v>414</v>
      </c>
      <c r="B416">
        <v>35</v>
      </c>
    </row>
    <row r="417" spans="1:2" x14ac:dyDescent="0.25">
      <c r="A417" t="s">
        <v>415</v>
      </c>
      <c r="B417">
        <v>36</v>
      </c>
    </row>
    <row r="418" spans="1:2" x14ac:dyDescent="0.25">
      <c r="A418" t="s">
        <v>416</v>
      </c>
      <c r="B418">
        <v>37</v>
      </c>
    </row>
    <row r="419" spans="1:2" x14ac:dyDescent="0.25">
      <c r="A419" t="s">
        <v>417</v>
      </c>
      <c r="B419">
        <v>38</v>
      </c>
    </row>
    <row r="420" spans="1:2" x14ac:dyDescent="0.25">
      <c r="A420" t="s">
        <v>418</v>
      </c>
      <c r="B420">
        <v>39</v>
      </c>
    </row>
    <row r="421" spans="1:2" x14ac:dyDescent="0.25">
      <c r="A421" t="s">
        <v>419</v>
      </c>
      <c r="B421">
        <v>40</v>
      </c>
    </row>
    <row r="422" spans="1:2" x14ac:dyDescent="0.25">
      <c r="A422" t="s">
        <v>420</v>
      </c>
      <c r="B422">
        <v>41</v>
      </c>
    </row>
    <row r="423" spans="1:2" x14ac:dyDescent="0.25">
      <c r="A423" t="s">
        <v>421</v>
      </c>
      <c r="B423">
        <v>42</v>
      </c>
    </row>
    <row r="424" spans="1:2" x14ac:dyDescent="0.25">
      <c r="A424" t="s">
        <v>422</v>
      </c>
      <c r="B424">
        <v>43</v>
      </c>
    </row>
    <row r="425" spans="1:2" x14ac:dyDescent="0.25">
      <c r="A425" t="s">
        <v>423</v>
      </c>
      <c r="B425">
        <v>44</v>
      </c>
    </row>
    <row r="426" spans="1:2" x14ac:dyDescent="0.25">
      <c r="A426" t="s">
        <v>424</v>
      </c>
      <c r="B426">
        <v>45</v>
      </c>
    </row>
    <row r="427" spans="1:2" x14ac:dyDescent="0.25">
      <c r="A427" t="s">
        <v>425</v>
      </c>
      <c r="B427">
        <v>46</v>
      </c>
    </row>
    <row r="428" spans="1:2" x14ac:dyDescent="0.25">
      <c r="A428" t="s">
        <v>426</v>
      </c>
      <c r="B428">
        <v>47</v>
      </c>
    </row>
    <row r="429" spans="1:2" x14ac:dyDescent="0.25">
      <c r="A429" t="s">
        <v>427</v>
      </c>
      <c r="B429">
        <v>446</v>
      </c>
    </row>
    <row r="430" spans="1:2" x14ac:dyDescent="0.25">
      <c r="A430" t="s">
        <v>428</v>
      </c>
      <c r="B430">
        <v>447</v>
      </c>
    </row>
    <row r="431" spans="1:2" x14ac:dyDescent="0.25">
      <c r="A431" t="s">
        <v>429</v>
      </c>
      <c r="B431">
        <v>1393</v>
      </c>
    </row>
    <row r="432" spans="1:2" x14ac:dyDescent="0.25">
      <c r="A432" t="s">
        <v>430</v>
      </c>
      <c r="B432">
        <v>448</v>
      </c>
    </row>
    <row r="433" spans="1:2" x14ac:dyDescent="0.25">
      <c r="A433" t="s">
        <v>431</v>
      </c>
      <c r="B433">
        <v>677</v>
      </c>
    </row>
    <row r="434" spans="1:2" x14ac:dyDescent="0.25">
      <c r="A434" t="s">
        <v>432</v>
      </c>
      <c r="B434">
        <v>678</v>
      </c>
    </row>
    <row r="435" spans="1:2" x14ac:dyDescent="0.25">
      <c r="A435" t="s">
        <v>433</v>
      </c>
      <c r="B435">
        <v>679</v>
      </c>
    </row>
    <row r="436" spans="1:2" x14ac:dyDescent="0.25">
      <c r="A436" t="s">
        <v>434</v>
      </c>
      <c r="B436">
        <v>897</v>
      </c>
    </row>
    <row r="437" spans="1:2" x14ac:dyDescent="0.25">
      <c r="A437" t="s">
        <v>435</v>
      </c>
      <c r="B437">
        <v>898</v>
      </c>
    </row>
    <row r="438" spans="1:2" x14ac:dyDescent="0.25">
      <c r="A438" t="s">
        <v>436</v>
      </c>
      <c r="B438">
        <v>899</v>
      </c>
    </row>
    <row r="439" spans="1:2" x14ac:dyDescent="0.25">
      <c r="A439" t="s">
        <v>437</v>
      </c>
      <c r="B439">
        <v>3</v>
      </c>
    </row>
    <row r="440" spans="1:2" x14ac:dyDescent="0.25">
      <c r="A440" t="s">
        <v>438</v>
      </c>
      <c r="B440">
        <v>1144</v>
      </c>
    </row>
    <row r="441" spans="1:2" x14ac:dyDescent="0.25">
      <c r="A441" t="s">
        <v>439</v>
      </c>
      <c r="B441">
        <v>1145</v>
      </c>
    </row>
    <row r="442" spans="1:2" x14ac:dyDescent="0.25">
      <c r="A442" t="s">
        <v>440</v>
      </c>
      <c r="B442">
        <v>1146</v>
      </c>
    </row>
    <row r="443" spans="1:2" x14ac:dyDescent="0.25">
      <c r="A443" t="s">
        <v>441</v>
      </c>
      <c r="B443">
        <v>1147</v>
      </c>
    </row>
    <row r="444" spans="1:2" x14ac:dyDescent="0.25">
      <c r="A444" t="s">
        <v>442</v>
      </c>
      <c r="B444">
        <v>1148</v>
      </c>
    </row>
    <row r="445" spans="1:2" x14ac:dyDescent="0.25">
      <c r="A445" t="s">
        <v>443</v>
      </c>
      <c r="B445">
        <v>1260</v>
      </c>
    </row>
    <row r="446" spans="1:2" x14ac:dyDescent="0.25">
      <c r="A446" t="s">
        <v>444</v>
      </c>
      <c r="B446">
        <v>1261</v>
      </c>
    </row>
    <row r="447" spans="1:2" x14ac:dyDescent="0.25">
      <c r="A447" t="s">
        <v>445</v>
      </c>
      <c r="B447">
        <v>1262</v>
      </c>
    </row>
    <row r="448" spans="1:2" x14ac:dyDescent="0.25">
      <c r="A448" t="s">
        <v>446</v>
      </c>
      <c r="B448">
        <v>1263</v>
      </c>
    </row>
    <row r="449" spans="1:2" x14ac:dyDescent="0.25">
      <c r="A449" t="s">
        <v>447</v>
      </c>
      <c r="B449">
        <v>1264</v>
      </c>
    </row>
    <row r="450" spans="1:2" x14ac:dyDescent="0.25">
      <c r="A450" t="s">
        <v>448</v>
      </c>
      <c r="B450">
        <v>1265</v>
      </c>
    </row>
    <row r="451" spans="1:2" x14ac:dyDescent="0.25">
      <c r="A451" t="s">
        <v>449</v>
      </c>
      <c r="B451">
        <v>1266</v>
      </c>
    </row>
    <row r="452" spans="1:2" x14ac:dyDescent="0.25">
      <c r="A452" t="s">
        <v>450</v>
      </c>
      <c r="B452">
        <v>1267</v>
      </c>
    </row>
    <row r="453" spans="1:2" x14ac:dyDescent="0.25">
      <c r="A453" t="s">
        <v>451</v>
      </c>
      <c r="B453">
        <v>1268</v>
      </c>
    </row>
    <row r="454" spans="1:2" x14ac:dyDescent="0.25">
      <c r="A454" t="s">
        <v>452</v>
      </c>
      <c r="B454">
        <v>1269</v>
      </c>
    </row>
    <row r="455" spans="1:2" x14ac:dyDescent="0.25">
      <c r="A455" t="s">
        <v>453</v>
      </c>
      <c r="B455">
        <v>1270</v>
      </c>
    </row>
    <row r="456" spans="1:2" x14ac:dyDescent="0.25">
      <c r="A456" t="s">
        <v>454</v>
      </c>
      <c r="B456">
        <v>1271</v>
      </c>
    </row>
    <row r="457" spans="1:2" x14ac:dyDescent="0.25">
      <c r="A457" t="s">
        <v>455</v>
      </c>
      <c r="B457">
        <v>1292</v>
      </c>
    </row>
    <row r="458" spans="1:2" x14ac:dyDescent="0.25">
      <c r="A458" t="s">
        <v>456</v>
      </c>
      <c r="B458">
        <v>1293</v>
      </c>
    </row>
    <row r="459" spans="1:2" x14ac:dyDescent="0.25">
      <c r="A459" t="s">
        <v>457</v>
      </c>
      <c r="B459">
        <v>1294</v>
      </c>
    </row>
    <row r="460" spans="1:2" x14ac:dyDescent="0.25">
      <c r="A460" t="s">
        <v>458</v>
      </c>
      <c r="B460">
        <v>1295</v>
      </c>
    </row>
    <row r="461" spans="1:2" x14ac:dyDescent="0.25">
      <c r="A461" t="s">
        <v>459</v>
      </c>
      <c r="B461">
        <v>239</v>
      </c>
    </row>
    <row r="462" spans="1:2" x14ac:dyDescent="0.25">
      <c r="A462" t="s">
        <v>460</v>
      </c>
      <c r="B462">
        <v>240</v>
      </c>
    </row>
    <row r="463" spans="1:2" x14ac:dyDescent="0.25">
      <c r="A463" t="s">
        <v>461</v>
      </c>
      <c r="B463">
        <v>241</v>
      </c>
    </row>
    <row r="464" spans="1:2" x14ac:dyDescent="0.25">
      <c r="A464" t="s">
        <v>462</v>
      </c>
      <c r="B464">
        <v>242</v>
      </c>
    </row>
    <row r="465" spans="1:2" x14ac:dyDescent="0.25">
      <c r="A465" t="s">
        <v>463</v>
      </c>
      <c r="B465">
        <v>243</v>
      </c>
    </row>
    <row r="466" spans="1:2" x14ac:dyDescent="0.25">
      <c r="A466" t="s">
        <v>464</v>
      </c>
      <c r="B466">
        <v>244</v>
      </c>
    </row>
    <row r="467" spans="1:2" x14ac:dyDescent="0.25">
      <c r="A467" t="s">
        <v>465</v>
      </c>
      <c r="B467">
        <v>245</v>
      </c>
    </row>
    <row r="468" spans="1:2" x14ac:dyDescent="0.25">
      <c r="A468" t="s">
        <v>466</v>
      </c>
      <c r="B468">
        <v>246</v>
      </c>
    </row>
    <row r="469" spans="1:2" x14ac:dyDescent="0.25">
      <c r="A469" t="s">
        <v>467</v>
      </c>
      <c r="B469">
        <v>247</v>
      </c>
    </row>
    <row r="470" spans="1:2" x14ac:dyDescent="0.25">
      <c r="A470" t="s">
        <v>468</v>
      </c>
      <c r="B470">
        <v>248</v>
      </c>
    </row>
    <row r="471" spans="1:2" x14ac:dyDescent="0.25">
      <c r="A471" t="s">
        <v>469</v>
      </c>
      <c r="B471">
        <v>249</v>
      </c>
    </row>
    <row r="472" spans="1:2" x14ac:dyDescent="0.25">
      <c r="A472" t="s">
        <v>470</v>
      </c>
      <c r="B472">
        <v>250</v>
      </c>
    </row>
    <row r="473" spans="1:2" x14ac:dyDescent="0.25">
      <c r="A473" t="s">
        <v>471</v>
      </c>
      <c r="B473">
        <v>251</v>
      </c>
    </row>
    <row r="474" spans="1:2" x14ac:dyDescent="0.25">
      <c r="A474" t="s">
        <v>472</v>
      </c>
      <c r="B474">
        <v>252</v>
      </c>
    </row>
    <row r="475" spans="1:2" x14ac:dyDescent="0.25">
      <c r="A475" t="s">
        <v>473</v>
      </c>
      <c r="B475">
        <v>4</v>
      </c>
    </row>
    <row r="476" spans="1:2" x14ac:dyDescent="0.25">
      <c r="A476" t="s">
        <v>474</v>
      </c>
      <c r="B476">
        <v>14</v>
      </c>
    </row>
    <row r="477" spans="1:2" x14ac:dyDescent="0.25">
      <c r="A477" t="s">
        <v>475</v>
      </c>
      <c r="B477">
        <v>15</v>
      </c>
    </row>
    <row r="478" spans="1:2" x14ac:dyDescent="0.25">
      <c r="A478" t="s">
        <v>476</v>
      </c>
      <c r="B478">
        <v>16</v>
      </c>
    </row>
    <row r="479" spans="1:2" x14ac:dyDescent="0.25">
      <c r="A479" t="s">
        <v>477</v>
      </c>
      <c r="B479">
        <v>17</v>
      </c>
    </row>
    <row r="480" spans="1:2" x14ac:dyDescent="0.25">
      <c r="A480" t="s">
        <v>478</v>
      </c>
      <c r="B480">
        <v>18</v>
      </c>
    </row>
    <row r="481" spans="1:2" x14ac:dyDescent="0.25">
      <c r="A481" t="s">
        <v>479</v>
      </c>
      <c r="B481">
        <v>19</v>
      </c>
    </row>
    <row r="482" spans="1:2" x14ac:dyDescent="0.25">
      <c r="A482" t="s">
        <v>480</v>
      </c>
      <c r="B482">
        <v>20</v>
      </c>
    </row>
    <row r="483" spans="1:2" x14ac:dyDescent="0.25">
      <c r="A483" t="s">
        <v>481</v>
      </c>
      <c r="B483">
        <v>21</v>
      </c>
    </row>
    <row r="484" spans="1:2" x14ac:dyDescent="0.25">
      <c r="A484" t="s">
        <v>482</v>
      </c>
      <c r="B484">
        <v>22</v>
      </c>
    </row>
    <row r="485" spans="1:2" x14ac:dyDescent="0.25">
      <c r="A485" t="s">
        <v>483</v>
      </c>
      <c r="B485">
        <v>23</v>
      </c>
    </row>
    <row r="486" spans="1:2" x14ac:dyDescent="0.25">
      <c r="A486" t="s">
        <v>484</v>
      </c>
      <c r="B486">
        <v>24</v>
      </c>
    </row>
    <row r="487" spans="1:2" x14ac:dyDescent="0.25">
      <c r="A487" t="s">
        <v>485</v>
      </c>
      <c r="B487">
        <v>25</v>
      </c>
    </row>
    <row r="488" spans="1:2" x14ac:dyDescent="0.25">
      <c r="A488" t="s">
        <v>486</v>
      </c>
      <c r="B488">
        <v>26</v>
      </c>
    </row>
    <row r="489" spans="1:2" x14ac:dyDescent="0.25">
      <c r="A489" t="s">
        <v>487</v>
      </c>
      <c r="B489">
        <v>27</v>
      </c>
    </row>
    <row r="490" spans="1:2" x14ac:dyDescent="0.25">
      <c r="A490" t="s">
        <v>488</v>
      </c>
      <c r="B490">
        <v>28</v>
      </c>
    </row>
    <row r="491" spans="1:2" x14ac:dyDescent="0.25">
      <c r="A491" t="s">
        <v>489</v>
      </c>
      <c r="B491">
        <v>5</v>
      </c>
    </row>
    <row r="492" spans="1:2" x14ac:dyDescent="0.25">
      <c r="A492" t="s">
        <v>490</v>
      </c>
      <c r="B492">
        <v>10</v>
      </c>
    </row>
    <row r="493" spans="1:2" x14ac:dyDescent="0.25">
      <c r="A493" t="s">
        <v>491</v>
      </c>
      <c r="B493">
        <v>11</v>
      </c>
    </row>
    <row r="494" spans="1:2" x14ac:dyDescent="0.25">
      <c r="A494" t="s">
        <v>492</v>
      </c>
      <c r="B494">
        <v>12</v>
      </c>
    </row>
    <row r="495" spans="1:2" x14ac:dyDescent="0.25">
      <c r="A495" t="s">
        <v>493</v>
      </c>
      <c r="B495">
        <v>13</v>
      </c>
    </row>
    <row r="496" spans="1:2" x14ac:dyDescent="0.25">
      <c r="A496" t="s">
        <v>494</v>
      </c>
      <c r="B496">
        <v>6</v>
      </c>
    </row>
    <row r="497" spans="1:2" x14ac:dyDescent="0.25">
      <c r="A497" t="s">
        <v>495</v>
      </c>
      <c r="B497">
        <v>7</v>
      </c>
    </row>
    <row r="498" spans="1:2" x14ac:dyDescent="0.25">
      <c r="A498" t="s">
        <v>496</v>
      </c>
      <c r="B498">
        <v>8</v>
      </c>
    </row>
    <row r="499" spans="1:2" x14ac:dyDescent="0.25">
      <c r="A499" t="s">
        <v>497</v>
      </c>
      <c r="B499">
        <v>9</v>
      </c>
    </row>
    <row r="500" spans="1:2" x14ac:dyDescent="0.25">
      <c r="A500" t="s">
        <v>498</v>
      </c>
      <c r="B500">
        <v>579</v>
      </c>
    </row>
    <row r="501" spans="1:2" x14ac:dyDescent="0.25">
      <c r="A501" t="s">
        <v>499</v>
      </c>
      <c r="B501">
        <v>580</v>
      </c>
    </row>
    <row r="502" spans="1:2" x14ac:dyDescent="0.25">
      <c r="A502" t="s">
        <v>500</v>
      </c>
      <c r="B502">
        <v>581</v>
      </c>
    </row>
    <row r="503" spans="1:2" x14ac:dyDescent="0.25">
      <c r="A503" t="s">
        <v>501</v>
      </c>
      <c r="B503">
        <v>582</v>
      </c>
    </row>
    <row r="504" spans="1:2" x14ac:dyDescent="0.25">
      <c r="A504" t="s">
        <v>502</v>
      </c>
      <c r="B504">
        <v>583</v>
      </c>
    </row>
    <row r="505" spans="1:2" x14ac:dyDescent="0.25">
      <c r="A505" t="s">
        <v>503</v>
      </c>
      <c r="B505">
        <v>584</v>
      </c>
    </row>
    <row r="506" spans="1:2" x14ac:dyDescent="0.25">
      <c r="A506" t="s">
        <v>504</v>
      </c>
      <c r="B506">
        <v>585</v>
      </c>
    </row>
    <row r="507" spans="1:2" x14ac:dyDescent="0.25">
      <c r="A507" t="s">
        <v>505</v>
      </c>
      <c r="B507">
        <v>586</v>
      </c>
    </row>
    <row r="508" spans="1:2" x14ac:dyDescent="0.25">
      <c r="A508" t="s">
        <v>506</v>
      </c>
      <c r="B508">
        <v>587</v>
      </c>
    </row>
    <row r="509" spans="1:2" x14ac:dyDescent="0.25">
      <c r="A509" t="s">
        <v>507</v>
      </c>
      <c r="B509">
        <v>588</v>
      </c>
    </row>
    <row r="510" spans="1:2" x14ac:dyDescent="0.25">
      <c r="A510" t="s">
        <v>508</v>
      </c>
      <c r="B510">
        <v>589</v>
      </c>
    </row>
    <row r="511" spans="1:2" x14ac:dyDescent="0.25">
      <c r="A511" t="s">
        <v>509</v>
      </c>
      <c r="B511">
        <v>590</v>
      </c>
    </row>
    <row r="512" spans="1:2" x14ac:dyDescent="0.25">
      <c r="A512" t="s">
        <v>510</v>
      </c>
      <c r="B512">
        <v>591</v>
      </c>
    </row>
    <row r="513" spans="1:2" x14ac:dyDescent="0.25">
      <c r="A513" t="s">
        <v>511</v>
      </c>
      <c r="B513">
        <v>592</v>
      </c>
    </row>
    <row r="514" spans="1:2" x14ac:dyDescent="0.25">
      <c r="A514" t="s">
        <v>512</v>
      </c>
      <c r="B514">
        <v>905</v>
      </c>
    </row>
    <row r="515" spans="1:2" x14ac:dyDescent="0.25">
      <c r="A515" t="s">
        <v>513</v>
      </c>
      <c r="B515">
        <v>1051</v>
      </c>
    </row>
    <row r="516" spans="1:2" x14ac:dyDescent="0.25">
      <c r="A516" t="s">
        <v>514</v>
      </c>
      <c r="B516">
        <v>1052</v>
      </c>
    </row>
    <row r="517" spans="1:2" x14ac:dyDescent="0.25">
      <c r="A517" t="s">
        <v>515</v>
      </c>
      <c r="B517">
        <v>1053</v>
      </c>
    </row>
    <row r="518" spans="1:2" x14ac:dyDescent="0.25">
      <c r="A518" t="s">
        <v>516</v>
      </c>
      <c r="B518">
        <v>1054</v>
      </c>
    </row>
    <row r="519" spans="1:2" x14ac:dyDescent="0.25">
      <c r="A519" t="s">
        <v>517</v>
      </c>
      <c r="B519">
        <v>1055</v>
      </c>
    </row>
    <row r="520" spans="1:2" x14ac:dyDescent="0.25">
      <c r="A520" t="s">
        <v>518</v>
      </c>
      <c r="B520">
        <v>1056</v>
      </c>
    </row>
    <row r="521" spans="1:2" x14ac:dyDescent="0.25">
      <c r="A521" t="s">
        <v>519</v>
      </c>
      <c r="B521">
        <v>1057</v>
      </c>
    </row>
    <row r="522" spans="1:2" x14ac:dyDescent="0.25">
      <c r="A522" t="s">
        <v>520</v>
      </c>
      <c r="B522">
        <v>906</v>
      </c>
    </row>
    <row r="523" spans="1:2" x14ac:dyDescent="0.25">
      <c r="A523" t="s">
        <v>521</v>
      </c>
      <c r="B523">
        <v>907</v>
      </c>
    </row>
    <row r="524" spans="1:2" x14ac:dyDescent="0.25">
      <c r="A524" t="s">
        <v>522</v>
      </c>
      <c r="B524">
        <v>908</v>
      </c>
    </row>
    <row r="525" spans="1:2" x14ac:dyDescent="0.25">
      <c r="A525" t="s">
        <v>523</v>
      </c>
      <c r="B525">
        <v>909</v>
      </c>
    </row>
    <row r="526" spans="1:2" x14ac:dyDescent="0.25">
      <c r="A526" t="s">
        <v>524</v>
      </c>
      <c r="B526">
        <v>910</v>
      </c>
    </row>
    <row r="527" spans="1:2" x14ac:dyDescent="0.25">
      <c r="A527" t="s">
        <v>525</v>
      </c>
      <c r="B527">
        <v>911</v>
      </c>
    </row>
    <row r="528" spans="1:2" x14ac:dyDescent="0.25">
      <c r="A528" t="s">
        <v>526</v>
      </c>
      <c r="B528">
        <v>912</v>
      </c>
    </row>
    <row r="529" spans="1:2" x14ac:dyDescent="0.25">
      <c r="A529" t="s">
        <v>527</v>
      </c>
      <c r="B529">
        <v>913</v>
      </c>
    </row>
    <row r="530" spans="1:2" x14ac:dyDescent="0.25">
      <c r="A530" t="s">
        <v>528</v>
      </c>
      <c r="B530">
        <v>914</v>
      </c>
    </row>
    <row r="531" spans="1:2" x14ac:dyDescent="0.25">
      <c r="A531" t="s">
        <v>529</v>
      </c>
      <c r="B531">
        <v>915</v>
      </c>
    </row>
    <row r="532" spans="1:2" x14ac:dyDescent="0.25">
      <c r="A532" t="s">
        <v>530</v>
      </c>
      <c r="B532">
        <v>916</v>
      </c>
    </row>
    <row r="533" spans="1:2" x14ac:dyDescent="0.25">
      <c r="A533" t="s">
        <v>531</v>
      </c>
      <c r="B533">
        <v>332</v>
      </c>
    </row>
    <row r="534" spans="1:2" x14ac:dyDescent="0.25">
      <c r="A534" t="s">
        <v>532</v>
      </c>
      <c r="B534">
        <v>333</v>
      </c>
    </row>
    <row r="535" spans="1:2" x14ac:dyDescent="0.25">
      <c r="A535" t="s">
        <v>533</v>
      </c>
      <c r="B535">
        <v>334</v>
      </c>
    </row>
    <row r="536" spans="1:2" x14ac:dyDescent="0.25">
      <c r="A536" t="s">
        <v>534</v>
      </c>
      <c r="B536">
        <v>335</v>
      </c>
    </row>
    <row r="537" spans="1:2" x14ac:dyDescent="0.25">
      <c r="A537" t="s">
        <v>535</v>
      </c>
      <c r="B537">
        <v>336</v>
      </c>
    </row>
    <row r="538" spans="1:2" x14ac:dyDescent="0.25">
      <c r="A538" t="s">
        <v>536</v>
      </c>
      <c r="B538">
        <v>337</v>
      </c>
    </row>
    <row r="539" spans="1:2" x14ac:dyDescent="0.25">
      <c r="A539" t="s">
        <v>537</v>
      </c>
      <c r="B539">
        <v>338</v>
      </c>
    </row>
    <row r="540" spans="1:2" x14ac:dyDescent="0.25">
      <c r="A540" t="s">
        <v>538</v>
      </c>
      <c r="B540">
        <v>339</v>
      </c>
    </row>
    <row r="541" spans="1:2" x14ac:dyDescent="0.25">
      <c r="A541" t="s">
        <v>539</v>
      </c>
      <c r="B541">
        <v>340</v>
      </c>
    </row>
    <row r="542" spans="1:2" x14ac:dyDescent="0.25">
      <c r="A542" t="s">
        <v>540</v>
      </c>
      <c r="B542">
        <v>341</v>
      </c>
    </row>
    <row r="543" spans="1:2" x14ac:dyDescent="0.25">
      <c r="A543" t="s">
        <v>541</v>
      </c>
      <c r="B543">
        <v>342</v>
      </c>
    </row>
    <row r="544" spans="1:2" x14ac:dyDescent="0.25">
      <c r="A544" t="s">
        <v>542</v>
      </c>
      <c r="B544">
        <v>343</v>
      </c>
    </row>
    <row r="545" spans="1:2" x14ac:dyDescent="0.25">
      <c r="A545" t="s">
        <v>543</v>
      </c>
      <c r="B545">
        <v>344</v>
      </c>
    </row>
    <row r="546" spans="1:2" x14ac:dyDescent="0.25">
      <c r="A546" t="s">
        <v>544</v>
      </c>
      <c r="B546">
        <v>345</v>
      </c>
    </row>
    <row r="547" spans="1:2" x14ac:dyDescent="0.25">
      <c r="A547" t="s">
        <v>545</v>
      </c>
      <c r="B547">
        <v>346</v>
      </c>
    </row>
    <row r="548" spans="1:2" x14ac:dyDescent="0.25">
      <c r="A548" t="s">
        <v>546</v>
      </c>
      <c r="B548">
        <v>1415</v>
      </c>
    </row>
    <row r="549" spans="1:2" x14ac:dyDescent="0.25">
      <c r="A549" t="s">
        <v>547</v>
      </c>
      <c r="B549">
        <v>1416</v>
      </c>
    </row>
    <row r="550" spans="1:2" x14ac:dyDescent="0.25">
      <c r="A550" t="s">
        <v>548</v>
      </c>
      <c r="B550">
        <v>347</v>
      </c>
    </row>
    <row r="551" spans="1:2" x14ac:dyDescent="0.25">
      <c r="A551" t="s">
        <v>549</v>
      </c>
      <c r="B551">
        <v>348</v>
      </c>
    </row>
    <row r="552" spans="1:2" x14ac:dyDescent="0.25">
      <c r="A552" t="s">
        <v>550</v>
      </c>
      <c r="B552">
        <v>349</v>
      </c>
    </row>
    <row r="553" spans="1:2" x14ac:dyDescent="0.25">
      <c r="A553" t="s">
        <v>551</v>
      </c>
      <c r="B553">
        <v>350</v>
      </c>
    </row>
    <row r="554" spans="1:2" x14ac:dyDescent="0.25">
      <c r="A554" t="s">
        <v>552</v>
      </c>
      <c r="B554">
        <v>351</v>
      </c>
    </row>
    <row r="555" spans="1:2" x14ac:dyDescent="0.25">
      <c r="A555" t="s">
        <v>553</v>
      </c>
      <c r="B555">
        <v>352</v>
      </c>
    </row>
    <row r="556" spans="1:2" x14ac:dyDescent="0.25">
      <c r="A556" t="s">
        <v>554</v>
      </c>
      <c r="B556">
        <v>353</v>
      </c>
    </row>
    <row r="557" spans="1:2" x14ac:dyDescent="0.25">
      <c r="A557" t="s">
        <v>555</v>
      </c>
      <c r="B557">
        <v>354</v>
      </c>
    </row>
    <row r="558" spans="1:2" x14ac:dyDescent="0.25">
      <c r="A558" t="s">
        <v>556</v>
      </c>
      <c r="B558">
        <v>355</v>
      </c>
    </row>
    <row r="559" spans="1:2" x14ac:dyDescent="0.25">
      <c r="A559" t="s">
        <v>557</v>
      </c>
      <c r="B559">
        <v>356</v>
      </c>
    </row>
    <row r="560" spans="1:2" x14ac:dyDescent="0.25">
      <c r="A560" t="s">
        <v>558</v>
      </c>
      <c r="B560">
        <v>357</v>
      </c>
    </row>
    <row r="561" spans="1:2" x14ac:dyDescent="0.25">
      <c r="A561" t="s">
        <v>559</v>
      </c>
      <c r="B561">
        <v>358</v>
      </c>
    </row>
    <row r="562" spans="1:2" x14ac:dyDescent="0.25">
      <c r="A562" t="s">
        <v>560</v>
      </c>
      <c r="B562">
        <v>359</v>
      </c>
    </row>
    <row r="563" spans="1:2" x14ac:dyDescent="0.25">
      <c r="A563" t="s">
        <v>561</v>
      </c>
      <c r="B563">
        <v>360</v>
      </c>
    </row>
    <row r="564" spans="1:2" x14ac:dyDescent="0.25">
      <c r="A564" t="s">
        <v>562</v>
      </c>
      <c r="B564">
        <v>361</v>
      </c>
    </row>
    <row r="565" spans="1:2" x14ac:dyDescent="0.25">
      <c r="A565" t="s">
        <v>563</v>
      </c>
      <c r="B565">
        <v>362</v>
      </c>
    </row>
    <row r="566" spans="1:2" x14ac:dyDescent="0.25">
      <c r="A566" t="s">
        <v>564</v>
      </c>
      <c r="B566">
        <v>363</v>
      </c>
    </row>
    <row r="567" spans="1:2" x14ac:dyDescent="0.25">
      <c r="A567" t="s">
        <v>565</v>
      </c>
      <c r="B567">
        <v>364</v>
      </c>
    </row>
    <row r="568" spans="1:2" x14ac:dyDescent="0.25">
      <c r="A568" t="s">
        <v>566</v>
      </c>
      <c r="B568">
        <v>365</v>
      </c>
    </row>
    <row r="569" spans="1:2" x14ac:dyDescent="0.25">
      <c r="A569" t="s">
        <v>567</v>
      </c>
      <c r="B569">
        <v>1410</v>
      </c>
    </row>
    <row r="570" spans="1:2" x14ac:dyDescent="0.25">
      <c r="A570" t="s">
        <v>568</v>
      </c>
      <c r="B570">
        <v>1411</v>
      </c>
    </row>
    <row r="571" spans="1:2" x14ac:dyDescent="0.25">
      <c r="A571" t="s">
        <v>569</v>
      </c>
      <c r="B571">
        <v>366</v>
      </c>
    </row>
    <row r="572" spans="1:2" x14ac:dyDescent="0.25">
      <c r="A572" t="s">
        <v>570</v>
      </c>
      <c r="B572">
        <v>367</v>
      </c>
    </row>
    <row r="573" spans="1:2" x14ac:dyDescent="0.25">
      <c r="A573" t="s">
        <v>571</v>
      </c>
      <c r="B573">
        <v>368</v>
      </c>
    </row>
    <row r="574" spans="1:2" x14ac:dyDescent="0.25">
      <c r="A574" t="s">
        <v>572</v>
      </c>
      <c r="B574">
        <v>369</v>
      </c>
    </row>
    <row r="575" spans="1:2" x14ac:dyDescent="0.25">
      <c r="A575" t="s">
        <v>573</v>
      </c>
      <c r="B575">
        <v>370</v>
      </c>
    </row>
    <row r="576" spans="1:2" x14ac:dyDescent="0.25">
      <c r="A576" t="s">
        <v>574</v>
      </c>
      <c r="B576">
        <v>371</v>
      </c>
    </row>
    <row r="577" spans="1:2" x14ac:dyDescent="0.25">
      <c r="A577" t="s">
        <v>575</v>
      </c>
      <c r="B577">
        <v>372</v>
      </c>
    </row>
    <row r="578" spans="1:2" x14ac:dyDescent="0.25">
      <c r="A578" t="s">
        <v>576</v>
      </c>
      <c r="B578">
        <v>373</v>
      </c>
    </row>
    <row r="579" spans="1:2" x14ac:dyDescent="0.25">
      <c r="A579" t="s">
        <v>577</v>
      </c>
      <c r="B579">
        <v>374</v>
      </c>
    </row>
    <row r="580" spans="1:2" x14ac:dyDescent="0.25">
      <c r="A580" t="s">
        <v>578</v>
      </c>
      <c r="B580">
        <v>375</v>
      </c>
    </row>
    <row r="581" spans="1:2" x14ac:dyDescent="0.25">
      <c r="A581" t="s">
        <v>579</v>
      </c>
      <c r="B581">
        <v>376</v>
      </c>
    </row>
    <row r="582" spans="1:2" x14ac:dyDescent="0.25">
      <c r="A582" t="s">
        <v>580</v>
      </c>
      <c r="B582">
        <v>377</v>
      </c>
    </row>
    <row r="583" spans="1:2" x14ac:dyDescent="0.25">
      <c r="A583" t="s">
        <v>581</v>
      </c>
      <c r="B583">
        <v>378</v>
      </c>
    </row>
    <row r="584" spans="1:2" x14ac:dyDescent="0.25">
      <c r="A584" t="s">
        <v>582</v>
      </c>
      <c r="B584">
        <v>379</v>
      </c>
    </row>
    <row r="585" spans="1:2" x14ac:dyDescent="0.25">
      <c r="A585" t="s">
        <v>583</v>
      </c>
      <c r="B585">
        <v>380</v>
      </c>
    </row>
    <row r="586" spans="1:2" x14ac:dyDescent="0.25">
      <c r="A586" t="s">
        <v>584</v>
      </c>
      <c r="B586">
        <v>381</v>
      </c>
    </row>
    <row r="587" spans="1:2" x14ac:dyDescent="0.25">
      <c r="A587" t="s">
        <v>585</v>
      </c>
      <c r="B587">
        <v>382</v>
      </c>
    </row>
    <row r="588" spans="1:2" x14ac:dyDescent="0.25">
      <c r="A588" t="s">
        <v>586</v>
      </c>
      <c r="B588">
        <v>383</v>
      </c>
    </row>
    <row r="589" spans="1:2" x14ac:dyDescent="0.25">
      <c r="A589" t="s">
        <v>587</v>
      </c>
      <c r="B589">
        <v>1412</v>
      </c>
    </row>
    <row r="590" spans="1:2" x14ac:dyDescent="0.25">
      <c r="A590" t="s">
        <v>588</v>
      </c>
      <c r="B590">
        <v>1413</v>
      </c>
    </row>
    <row r="591" spans="1:2" x14ac:dyDescent="0.25">
      <c r="A591" t="s">
        <v>589</v>
      </c>
      <c r="B591">
        <v>1414</v>
      </c>
    </row>
    <row r="592" spans="1:2" x14ac:dyDescent="0.25">
      <c r="A592" t="s">
        <v>590</v>
      </c>
      <c r="B592">
        <v>384</v>
      </c>
    </row>
    <row r="593" spans="1:2" x14ac:dyDescent="0.25">
      <c r="A593" t="s">
        <v>591</v>
      </c>
      <c r="B593">
        <v>385</v>
      </c>
    </row>
    <row r="594" spans="1:2" x14ac:dyDescent="0.25">
      <c r="A594" t="s">
        <v>592</v>
      </c>
      <c r="B594">
        <v>386</v>
      </c>
    </row>
    <row r="595" spans="1:2" x14ac:dyDescent="0.25">
      <c r="A595" t="s">
        <v>593</v>
      </c>
      <c r="B595">
        <v>387</v>
      </c>
    </row>
    <row r="596" spans="1:2" x14ac:dyDescent="0.25">
      <c r="A596" t="s">
        <v>594</v>
      </c>
      <c r="B596">
        <v>388</v>
      </c>
    </row>
    <row r="597" spans="1:2" x14ac:dyDescent="0.25">
      <c r="A597" t="s">
        <v>595</v>
      </c>
      <c r="B597">
        <v>389</v>
      </c>
    </row>
    <row r="598" spans="1:2" x14ac:dyDescent="0.25">
      <c r="A598" t="s">
        <v>596</v>
      </c>
      <c r="B598">
        <v>390</v>
      </c>
    </row>
    <row r="599" spans="1:2" x14ac:dyDescent="0.25">
      <c r="A599" t="s">
        <v>597</v>
      </c>
      <c r="B599">
        <v>391</v>
      </c>
    </row>
    <row r="600" spans="1:2" x14ac:dyDescent="0.25">
      <c r="A600" t="s">
        <v>598</v>
      </c>
      <c r="B600">
        <v>392</v>
      </c>
    </row>
    <row r="601" spans="1:2" x14ac:dyDescent="0.25">
      <c r="A601" t="s">
        <v>599</v>
      </c>
      <c r="B601">
        <v>393</v>
      </c>
    </row>
    <row r="602" spans="1:2" x14ac:dyDescent="0.25">
      <c r="A602" t="s">
        <v>600</v>
      </c>
      <c r="B602">
        <v>394</v>
      </c>
    </row>
    <row r="603" spans="1:2" x14ac:dyDescent="0.25">
      <c r="A603" t="s">
        <v>601</v>
      </c>
      <c r="B603">
        <v>395</v>
      </c>
    </row>
    <row r="604" spans="1:2" x14ac:dyDescent="0.25">
      <c r="A604" t="s">
        <v>602</v>
      </c>
      <c r="B604">
        <v>396</v>
      </c>
    </row>
    <row r="605" spans="1:2" x14ac:dyDescent="0.25">
      <c r="A605" t="s">
        <v>603</v>
      </c>
      <c r="B605">
        <v>397</v>
      </c>
    </row>
    <row r="606" spans="1:2" x14ac:dyDescent="0.25">
      <c r="A606" t="s">
        <v>604</v>
      </c>
      <c r="B606">
        <v>398</v>
      </c>
    </row>
    <row r="607" spans="1:2" x14ac:dyDescent="0.25">
      <c r="A607" t="s">
        <v>605</v>
      </c>
      <c r="B607">
        <v>399</v>
      </c>
    </row>
    <row r="608" spans="1:2" x14ac:dyDescent="0.25">
      <c r="A608" t="s">
        <v>606</v>
      </c>
      <c r="B608">
        <v>400</v>
      </c>
    </row>
    <row r="609" spans="1:2" x14ac:dyDescent="0.25">
      <c r="A609" t="s">
        <v>607</v>
      </c>
      <c r="B609">
        <v>401</v>
      </c>
    </row>
    <row r="610" spans="1:2" x14ac:dyDescent="0.25">
      <c r="A610" t="s">
        <v>608</v>
      </c>
      <c r="B610">
        <v>402</v>
      </c>
    </row>
    <row r="611" spans="1:2" x14ac:dyDescent="0.25">
      <c r="A611" t="s">
        <v>609</v>
      </c>
      <c r="B611">
        <v>403</v>
      </c>
    </row>
    <row r="612" spans="1:2" x14ac:dyDescent="0.25">
      <c r="A612" t="s">
        <v>610</v>
      </c>
      <c r="B612">
        <v>404</v>
      </c>
    </row>
    <row r="613" spans="1:2" x14ac:dyDescent="0.25">
      <c r="A613" t="s">
        <v>611</v>
      </c>
      <c r="B613">
        <v>405</v>
      </c>
    </row>
    <row r="614" spans="1:2" x14ac:dyDescent="0.25">
      <c r="A614" t="s">
        <v>612</v>
      </c>
      <c r="B614">
        <v>406</v>
      </c>
    </row>
    <row r="615" spans="1:2" x14ac:dyDescent="0.25">
      <c r="A615" t="s">
        <v>613</v>
      </c>
      <c r="B615">
        <v>407</v>
      </c>
    </row>
    <row r="616" spans="1:2" x14ac:dyDescent="0.25">
      <c r="A616" t="s">
        <v>614</v>
      </c>
      <c r="B616">
        <v>408</v>
      </c>
    </row>
    <row r="617" spans="1:2" x14ac:dyDescent="0.25">
      <c r="A617" t="s">
        <v>615</v>
      </c>
      <c r="B617">
        <v>927</v>
      </c>
    </row>
    <row r="618" spans="1:2" x14ac:dyDescent="0.25">
      <c r="A618" t="s">
        <v>616</v>
      </c>
      <c r="B618">
        <v>1417</v>
      </c>
    </row>
    <row r="619" spans="1:2" x14ac:dyDescent="0.25">
      <c r="A619" t="s">
        <v>617</v>
      </c>
      <c r="B619">
        <v>1418</v>
      </c>
    </row>
    <row r="620" spans="1:2" x14ac:dyDescent="0.25">
      <c r="A620" t="s">
        <v>618</v>
      </c>
      <c r="B620">
        <v>1419</v>
      </c>
    </row>
    <row r="621" spans="1:2" x14ac:dyDescent="0.25">
      <c r="A621" t="s">
        <v>619</v>
      </c>
      <c r="B621">
        <v>928</v>
      </c>
    </row>
    <row r="622" spans="1:2" x14ac:dyDescent="0.25">
      <c r="A622" t="s">
        <v>620</v>
      </c>
      <c r="B622">
        <v>929</v>
      </c>
    </row>
    <row r="623" spans="1:2" x14ac:dyDescent="0.25">
      <c r="A623" t="s">
        <v>621</v>
      </c>
      <c r="B623">
        <v>930</v>
      </c>
    </row>
    <row r="624" spans="1:2" x14ac:dyDescent="0.25">
      <c r="A624" t="s">
        <v>622</v>
      </c>
      <c r="B624">
        <v>931</v>
      </c>
    </row>
    <row r="625" spans="1:2" x14ac:dyDescent="0.25">
      <c r="A625" t="s">
        <v>623</v>
      </c>
      <c r="B625">
        <v>932</v>
      </c>
    </row>
    <row r="626" spans="1:2" x14ac:dyDescent="0.25">
      <c r="A626" t="s">
        <v>624</v>
      </c>
      <c r="B626">
        <v>933</v>
      </c>
    </row>
    <row r="627" spans="1:2" x14ac:dyDescent="0.25">
      <c r="A627" t="s">
        <v>625</v>
      </c>
      <c r="B627">
        <v>934</v>
      </c>
    </row>
    <row r="628" spans="1:2" x14ac:dyDescent="0.25">
      <c r="A628" t="s">
        <v>626</v>
      </c>
      <c r="B628">
        <v>935</v>
      </c>
    </row>
    <row r="629" spans="1:2" x14ac:dyDescent="0.25">
      <c r="A629" t="s">
        <v>627</v>
      </c>
      <c r="B629">
        <v>936</v>
      </c>
    </row>
    <row r="630" spans="1:2" x14ac:dyDescent="0.25">
      <c r="A630" t="s">
        <v>628</v>
      </c>
      <c r="B630">
        <v>937</v>
      </c>
    </row>
    <row r="631" spans="1:2" x14ac:dyDescent="0.25">
      <c r="A631" t="s">
        <v>629</v>
      </c>
      <c r="B631">
        <v>938</v>
      </c>
    </row>
    <row r="632" spans="1:2" x14ac:dyDescent="0.25">
      <c r="A632" t="s">
        <v>630</v>
      </c>
      <c r="B632">
        <v>939</v>
      </c>
    </row>
    <row r="633" spans="1:2" x14ac:dyDescent="0.25">
      <c r="A633" t="s">
        <v>631</v>
      </c>
      <c r="B633">
        <v>940</v>
      </c>
    </row>
    <row r="634" spans="1:2" x14ac:dyDescent="0.25">
      <c r="A634" t="s">
        <v>632</v>
      </c>
      <c r="B634">
        <v>941</v>
      </c>
    </row>
    <row r="635" spans="1:2" x14ac:dyDescent="0.25">
      <c r="A635" t="s">
        <v>633</v>
      </c>
      <c r="B635">
        <v>942</v>
      </c>
    </row>
    <row r="636" spans="1:2" x14ac:dyDescent="0.25">
      <c r="A636" t="s">
        <v>634</v>
      </c>
      <c r="B636">
        <v>943</v>
      </c>
    </row>
    <row r="637" spans="1:2" x14ac:dyDescent="0.25">
      <c r="A637" t="s">
        <v>635</v>
      </c>
      <c r="B637">
        <v>944</v>
      </c>
    </row>
    <row r="638" spans="1:2" x14ac:dyDescent="0.25">
      <c r="A638" t="s">
        <v>636</v>
      </c>
      <c r="B638">
        <v>945</v>
      </c>
    </row>
    <row r="639" spans="1:2" x14ac:dyDescent="0.25">
      <c r="A639" t="s">
        <v>637</v>
      </c>
      <c r="B639">
        <v>48</v>
      </c>
    </row>
    <row r="640" spans="1:2" x14ac:dyDescent="0.25">
      <c r="A640" t="s">
        <v>638</v>
      </c>
      <c r="B640">
        <v>253</v>
      </c>
    </row>
    <row r="641" spans="1:2" x14ac:dyDescent="0.25">
      <c r="A641" t="s">
        <v>639</v>
      </c>
      <c r="B641">
        <v>1115</v>
      </c>
    </row>
    <row r="642" spans="1:2" x14ac:dyDescent="0.25">
      <c r="A642" t="s">
        <v>640</v>
      </c>
      <c r="B642">
        <v>1116</v>
      </c>
    </row>
    <row r="643" spans="1:2" x14ac:dyDescent="0.25">
      <c r="A643" t="s">
        <v>641</v>
      </c>
      <c r="B643">
        <v>1299</v>
      </c>
    </row>
    <row r="644" spans="1:2" x14ac:dyDescent="0.25">
      <c r="A644" t="s">
        <v>642</v>
      </c>
      <c r="B644">
        <v>1300</v>
      </c>
    </row>
    <row r="645" spans="1:2" x14ac:dyDescent="0.25">
      <c r="A645" t="s">
        <v>643</v>
      </c>
      <c r="B645">
        <v>254</v>
      </c>
    </row>
    <row r="646" spans="1:2" x14ac:dyDescent="0.25">
      <c r="A646" t="s">
        <v>644</v>
      </c>
      <c r="B646">
        <v>255</v>
      </c>
    </row>
    <row r="647" spans="1:2" x14ac:dyDescent="0.25">
      <c r="A647" t="s">
        <v>645</v>
      </c>
      <c r="B647">
        <v>256</v>
      </c>
    </row>
    <row r="648" spans="1:2" x14ac:dyDescent="0.25">
      <c r="A648" t="s">
        <v>646</v>
      </c>
      <c r="B648">
        <v>287</v>
      </c>
    </row>
    <row r="649" spans="1:2" x14ac:dyDescent="0.25">
      <c r="A649" t="s">
        <v>647</v>
      </c>
      <c r="B649">
        <v>288</v>
      </c>
    </row>
    <row r="650" spans="1:2" x14ac:dyDescent="0.25">
      <c r="A650" t="s">
        <v>648</v>
      </c>
      <c r="B650">
        <v>289</v>
      </c>
    </row>
    <row r="651" spans="1:2" x14ac:dyDescent="0.25">
      <c r="A651" t="s">
        <v>649</v>
      </c>
      <c r="B651">
        <v>611</v>
      </c>
    </row>
    <row r="652" spans="1:2" x14ac:dyDescent="0.25">
      <c r="A652" t="s">
        <v>650</v>
      </c>
      <c r="B652">
        <v>612</v>
      </c>
    </row>
    <row r="653" spans="1:2" x14ac:dyDescent="0.25">
      <c r="A653" t="s">
        <v>651</v>
      </c>
      <c r="B653">
        <v>316</v>
      </c>
    </row>
    <row r="654" spans="1:2" x14ac:dyDescent="0.25">
      <c r="A654" t="s">
        <v>652</v>
      </c>
      <c r="B654">
        <v>1361</v>
      </c>
    </row>
    <row r="655" spans="1:2" x14ac:dyDescent="0.25">
      <c r="A655" t="s">
        <v>653</v>
      </c>
      <c r="B655">
        <v>1362</v>
      </c>
    </row>
    <row r="656" spans="1:2" x14ac:dyDescent="0.25">
      <c r="A656" t="s">
        <v>654</v>
      </c>
      <c r="B656">
        <v>317</v>
      </c>
    </row>
    <row r="657" spans="1:2" x14ac:dyDescent="0.25">
      <c r="A657" t="s">
        <v>655</v>
      </c>
      <c r="B657">
        <v>318</v>
      </c>
    </row>
    <row r="658" spans="1:2" x14ac:dyDescent="0.25">
      <c r="A658" t="s">
        <v>656</v>
      </c>
      <c r="B658">
        <v>319</v>
      </c>
    </row>
    <row r="659" spans="1:2" x14ac:dyDescent="0.25">
      <c r="A659" t="s">
        <v>657</v>
      </c>
      <c r="B659">
        <v>483</v>
      </c>
    </row>
    <row r="660" spans="1:2" x14ac:dyDescent="0.25">
      <c r="A660" t="s">
        <v>658</v>
      </c>
      <c r="B660">
        <v>484</v>
      </c>
    </row>
    <row r="661" spans="1:2" x14ac:dyDescent="0.25">
      <c r="A661" t="s">
        <v>659</v>
      </c>
      <c r="B661">
        <v>485</v>
      </c>
    </row>
    <row r="662" spans="1:2" x14ac:dyDescent="0.25">
      <c r="A662" t="s">
        <v>660</v>
      </c>
      <c r="B662">
        <v>486</v>
      </c>
    </row>
    <row r="663" spans="1:2" x14ac:dyDescent="0.25">
      <c r="A663" t="s">
        <v>661</v>
      </c>
      <c r="B663">
        <v>487</v>
      </c>
    </row>
    <row r="664" spans="1:2" x14ac:dyDescent="0.25">
      <c r="A664" t="s">
        <v>662</v>
      </c>
      <c r="B664">
        <v>488</v>
      </c>
    </row>
    <row r="665" spans="1:2" x14ac:dyDescent="0.25">
      <c r="A665" t="s">
        <v>663</v>
      </c>
      <c r="B665">
        <v>489</v>
      </c>
    </row>
    <row r="666" spans="1:2" x14ac:dyDescent="0.25">
      <c r="A666" t="s">
        <v>664</v>
      </c>
      <c r="B666">
        <v>490</v>
      </c>
    </row>
    <row r="667" spans="1:2" x14ac:dyDescent="0.25">
      <c r="A667" t="s">
        <v>665</v>
      </c>
      <c r="B667">
        <v>735</v>
      </c>
    </row>
    <row r="668" spans="1:2" x14ac:dyDescent="0.25">
      <c r="A668" t="s">
        <v>666</v>
      </c>
      <c r="B668">
        <v>1436</v>
      </c>
    </row>
    <row r="669" spans="1:2" x14ac:dyDescent="0.25">
      <c r="A669" t="s">
        <v>667</v>
      </c>
      <c r="B669">
        <v>1437</v>
      </c>
    </row>
    <row r="670" spans="1:2" x14ac:dyDescent="0.25">
      <c r="A670" t="s">
        <v>668</v>
      </c>
      <c r="B670">
        <v>1438</v>
      </c>
    </row>
    <row r="671" spans="1:2" x14ac:dyDescent="0.25">
      <c r="A671" t="s">
        <v>669</v>
      </c>
      <c r="B671">
        <v>736</v>
      </c>
    </row>
    <row r="672" spans="1:2" x14ac:dyDescent="0.25">
      <c r="A672" t="s">
        <v>670</v>
      </c>
      <c r="B672">
        <v>737</v>
      </c>
    </row>
    <row r="673" spans="1:2" x14ac:dyDescent="0.25">
      <c r="A673" t="s">
        <v>671</v>
      </c>
      <c r="B673">
        <v>741</v>
      </c>
    </row>
    <row r="674" spans="1:2" x14ac:dyDescent="0.25">
      <c r="A674" t="s">
        <v>672</v>
      </c>
      <c r="B674">
        <v>742</v>
      </c>
    </row>
    <row r="675" spans="1:2" x14ac:dyDescent="0.25">
      <c r="A675" t="s">
        <v>673</v>
      </c>
      <c r="B675">
        <v>743</v>
      </c>
    </row>
    <row r="676" spans="1:2" x14ac:dyDescent="0.25">
      <c r="A676" t="s">
        <v>674</v>
      </c>
      <c r="B676">
        <v>744</v>
      </c>
    </row>
    <row r="677" spans="1:2" x14ac:dyDescent="0.25">
      <c r="A677" t="s">
        <v>675</v>
      </c>
      <c r="B677">
        <v>745</v>
      </c>
    </row>
    <row r="678" spans="1:2" x14ac:dyDescent="0.25">
      <c r="A678" t="s">
        <v>676</v>
      </c>
      <c r="B678">
        <v>746</v>
      </c>
    </row>
    <row r="679" spans="1:2" x14ac:dyDescent="0.25">
      <c r="A679" t="s">
        <v>677</v>
      </c>
      <c r="B679">
        <v>747</v>
      </c>
    </row>
    <row r="680" spans="1:2" x14ac:dyDescent="0.25">
      <c r="A680" t="s">
        <v>678</v>
      </c>
      <c r="B680">
        <v>324</v>
      </c>
    </row>
    <row r="681" spans="1:2" x14ac:dyDescent="0.25">
      <c r="A681" t="s">
        <v>679</v>
      </c>
      <c r="B681">
        <v>1039</v>
      </c>
    </row>
    <row r="682" spans="1:2" x14ac:dyDescent="0.25">
      <c r="A682" t="s">
        <v>680</v>
      </c>
      <c r="B682">
        <v>1040</v>
      </c>
    </row>
    <row r="683" spans="1:2" x14ac:dyDescent="0.25">
      <c r="A683" t="s">
        <v>681</v>
      </c>
      <c r="B683">
        <v>1041</v>
      </c>
    </row>
    <row r="684" spans="1:2" x14ac:dyDescent="0.25">
      <c r="A684" t="s">
        <v>682</v>
      </c>
      <c r="B684">
        <v>1042</v>
      </c>
    </row>
    <row r="685" spans="1:2" x14ac:dyDescent="0.25">
      <c r="A685" t="s">
        <v>683</v>
      </c>
      <c r="B685">
        <v>1043</v>
      </c>
    </row>
    <row r="686" spans="1:2" x14ac:dyDescent="0.25">
      <c r="A686" t="s">
        <v>684</v>
      </c>
      <c r="B686">
        <v>1044</v>
      </c>
    </row>
    <row r="687" spans="1:2" x14ac:dyDescent="0.25">
      <c r="A687" t="s">
        <v>685</v>
      </c>
      <c r="B687">
        <v>1045</v>
      </c>
    </row>
    <row r="688" spans="1:2" x14ac:dyDescent="0.25">
      <c r="A688" t="s">
        <v>686</v>
      </c>
      <c r="B688">
        <v>325</v>
      </c>
    </row>
    <row r="689" spans="1:2" x14ac:dyDescent="0.25">
      <c r="A689" t="s">
        <v>687</v>
      </c>
      <c r="B689">
        <v>326</v>
      </c>
    </row>
    <row r="690" spans="1:2" x14ac:dyDescent="0.25">
      <c r="A690" t="s">
        <v>688</v>
      </c>
      <c r="B690">
        <v>327</v>
      </c>
    </row>
    <row r="691" spans="1:2" x14ac:dyDescent="0.25">
      <c r="A691" t="s">
        <v>689</v>
      </c>
      <c r="B691">
        <v>328</v>
      </c>
    </row>
    <row r="692" spans="1:2" x14ac:dyDescent="0.25">
      <c r="A692" t="s">
        <v>690</v>
      </c>
      <c r="B692">
        <v>329</v>
      </c>
    </row>
    <row r="693" spans="1:2" x14ac:dyDescent="0.25">
      <c r="A693" t="s">
        <v>691</v>
      </c>
      <c r="B693">
        <v>330</v>
      </c>
    </row>
    <row r="694" spans="1:2" x14ac:dyDescent="0.25">
      <c r="A694" t="s">
        <v>692</v>
      </c>
      <c r="B694">
        <v>331</v>
      </c>
    </row>
    <row r="695" spans="1:2" x14ac:dyDescent="0.25">
      <c r="A695" t="s">
        <v>693</v>
      </c>
      <c r="B695">
        <v>554</v>
      </c>
    </row>
    <row r="696" spans="1:2" x14ac:dyDescent="0.25">
      <c r="A696" t="s">
        <v>694</v>
      </c>
      <c r="B696">
        <v>555</v>
      </c>
    </row>
    <row r="697" spans="1:2" x14ac:dyDescent="0.25">
      <c r="A697" t="s">
        <v>695</v>
      </c>
      <c r="B697">
        <v>556</v>
      </c>
    </row>
    <row r="698" spans="1:2" x14ac:dyDescent="0.25">
      <c r="A698" t="s">
        <v>696</v>
      </c>
      <c r="B698">
        <v>557</v>
      </c>
    </row>
    <row r="699" spans="1:2" x14ac:dyDescent="0.25">
      <c r="A699" t="s">
        <v>697</v>
      </c>
      <c r="B699">
        <v>558</v>
      </c>
    </row>
    <row r="700" spans="1:2" x14ac:dyDescent="0.25">
      <c r="A700" t="s">
        <v>698</v>
      </c>
      <c r="B700">
        <v>559</v>
      </c>
    </row>
    <row r="701" spans="1:2" x14ac:dyDescent="0.25">
      <c r="A701" t="s">
        <v>699</v>
      </c>
      <c r="B701">
        <v>560</v>
      </c>
    </row>
    <row r="702" spans="1:2" x14ac:dyDescent="0.25">
      <c r="A702" t="s">
        <v>700</v>
      </c>
      <c r="B702">
        <v>710</v>
      </c>
    </row>
    <row r="703" spans="1:2" x14ac:dyDescent="0.25">
      <c r="A703" t="s">
        <v>701</v>
      </c>
      <c r="B703">
        <v>711</v>
      </c>
    </row>
    <row r="704" spans="1:2" x14ac:dyDescent="0.25">
      <c r="A704" t="s">
        <v>702</v>
      </c>
      <c r="B704">
        <v>712</v>
      </c>
    </row>
    <row r="705" spans="1:2" x14ac:dyDescent="0.25">
      <c r="A705" t="s">
        <v>703</v>
      </c>
      <c r="B705">
        <v>713</v>
      </c>
    </row>
    <row r="706" spans="1:2" x14ac:dyDescent="0.25">
      <c r="A706" t="s">
        <v>704</v>
      </c>
      <c r="B706">
        <v>714</v>
      </c>
    </row>
    <row r="707" spans="1:2" x14ac:dyDescent="0.25">
      <c r="A707" t="s">
        <v>705</v>
      </c>
      <c r="B707">
        <v>874</v>
      </c>
    </row>
    <row r="708" spans="1:2" x14ac:dyDescent="0.25">
      <c r="A708" t="s">
        <v>706</v>
      </c>
      <c r="B708">
        <v>875</v>
      </c>
    </row>
    <row r="709" spans="1:2" x14ac:dyDescent="0.25">
      <c r="A709" t="s">
        <v>707</v>
      </c>
      <c r="B709">
        <v>876</v>
      </c>
    </row>
    <row r="710" spans="1:2" x14ac:dyDescent="0.25">
      <c r="A710" t="s">
        <v>708</v>
      </c>
      <c r="B710">
        <v>49</v>
      </c>
    </row>
    <row r="711" spans="1:2" x14ac:dyDescent="0.25">
      <c r="A711" t="s">
        <v>709</v>
      </c>
      <c r="B711">
        <v>50</v>
      </c>
    </row>
    <row r="712" spans="1:2" x14ac:dyDescent="0.25">
      <c r="A712" t="s">
        <v>710</v>
      </c>
      <c r="B712">
        <v>51</v>
      </c>
    </row>
    <row r="713" spans="1:2" x14ac:dyDescent="0.25">
      <c r="A713" t="s">
        <v>711</v>
      </c>
      <c r="B713">
        <v>52</v>
      </c>
    </row>
    <row r="714" spans="1:2" x14ac:dyDescent="0.25">
      <c r="A714" t="s">
        <v>712</v>
      </c>
      <c r="B714">
        <v>53</v>
      </c>
    </row>
    <row r="715" spans="1:2" x14ac:dyDescent="0.25">
      <c r="A715" t="s">
        <v>713</v>
      </c>
      <c r="B715">
        <v>54</v>
      </c>
    </row>
    <row r="716" spans="1:2" x14ac:dyDescent="0.25">
      <c r="A716" t="s">
        <v>714</v>
      </c>
      <c r="B716">
        <v>55</v>
      </c>
    </row>
    <row r="717" spans="1:2" x14ac:dyDescent="0.25">
      <c r="A717" t="s">
        <v>715</v>
      </c>
      <c r="B717">
        <v>56</v>
      </c>
    </row>
    <row r="718" spans="1:2" x14ac:dyDescent="0.25">
      <c r="A718" t="s">
        <v>716</v>
      </c>
      <c r="B718">
        <v>57</v>
      </c>
    </row>
    <row r="719" spans="1:2" x14ac:dyDescent="0.25">
      <c r="A719" t="s">
        <v>717</v>
      </c>
      <c r="B719">
        <v>58</v>
      </c>
    </row>
    <row r="720" spans="1:2" x14ac:dyDescent="0.25">
      <c r="A720" t="s">
        <v>718</v>
      </c>
      <c r="B720">
        <v>59</v>
      </c>
    </row>
    <row r="721" spans="1:2" x14ac:dyDescent="0.25">
      <c r="A721" t="s">
        <v>719</v>
      </c>
      <c r="B721">
        <v>60</v>
      </c>
    </row>
    <row r="722" spans="1:2" x14ac:dyDescent="0.25">
      <c r="A722" t="s">
        <v>720</v>
      </c>
      <c r="B722">
        <v>61</v>
      </c>
    </row>
    <row r="723" spans="1:2" x14ac:dyDescent="0.25">
      <c r="A723" t="s">
        <v>721</v>
      </c>
      <c r="B723">
        <v>66</v>
      </c>
    </row>
    <row r="724" spans="1:2" x14ac:dyDescent="0.25">
      <c r="A724" t="s">
        <v>722</v>
      </c>
      <c r="B724">
        <v>67</v>
      </c>
    </row>
    <row r="725" spans="1:2" x14ac:dyDescent="0.25">
      <c r="A725" t="s">
        <v>723</v>
      </c>
      <c r="B725">
        <v>502</v>
      </c>
    </row>
    <row r="726" spans="1:2" x14ac:dyDescent="0.25">
      <c r="A726" t="s">
        <v>724</v>
      </c>
      <c r="B726">
        <v>1404</v>
      </c>
    </row>
    <row r="727" spans="1:2" x14ac:dyDescent="0.25">
      <c r="A727" t="s">
        <v>725</v>
      </c>
      <c r="B727">
        <v>503</v>
      </c>
    </row>
    <row r="728" spans="1:2" x14ac:dyDescent="0.25">
      <c r="A728" t="s">
        <v>726</v>
      </c>
      <c r="B728">
        <v>504</v>
      </c>
    </row>
    <row r="729" spans="1:2" x14ac:dyDescent="0.25">
      <c r="A729" t="s">
        <v>727</v>
      </c>
      <c r="B729">
        <v>505</v>
      </c>
    </row>
    <row r="730" spans="1:2" x14ac:dyDescent="0.25">
      <c r="A730" t="s">
        <v>728</v>
      </c>
      <c r="B730">
        <v>506</v>
      </c>
    </row>
    <row r="731" spans="1:2" x14ac:dyDescent="0.25">
      <c r="A731" t="s">
        <v>729</v>
      </c>
      <c r="B731">
        <v>507</v>
      </c>
    </row>
    <row r="732" spans="1:2" x14ac:dyDescent="0.25">
      <c r="A732" t="s">
        <v>730</v>
      </c>
      <c r="B732">
        <v>508</v>
      </c>
    </row>
    <row r="733" spans="1:2" x14ac:dyDescent="0.25">
      <c r="A733" t="s">
        <v>731</v>
      </c>
      <c r="B733">
        <v>509</v>
      </c>
    </row>
    <row r="734" spans="1:2" x14ac:dyDescent="0.25">
      <c r="A734" t="s">
        <v>732</v>
      </c>
      <c r="B734">
        <v>510</v>
      </c>
    </row>
    <row r="735" spans="1:2" x14ac:dyDescent="0.25">
      <c r="A735" t="s">
        <v>733</v>
      </c>
      <c r="B735">
        <v>511</v>
      </c>
    </row>
    <row r="736" spans="1:2" x14ac:dyDescent="0.25">
      <c r="A736" t="s">
        <v>734</v>
      </c>
      <c r="B736">
        <v>512</v>
      </c>
    </row>
    <row r="737" spans="1:2" x14ac:dyDescent="0.25">
      <c r="A737" t="s">
        <v>735</v>
      </c>
      <c r="B737">
        <v>513</v>
      </c>
    </row>
    <row r="738" spans="1:2" x14ac:dyDescent="0.25">
      <c r="A738" t="s">
        <v>736</v>
      </c>
      <c r="B738">
        <v>1012</v>
      </c>
    </row>
    <row r="739" spans="1:2" x14ac:dyDescent="0.25">
      <c r="A739" t="s">
        <v>737</v>
      </c>
      <c r="B739">
        <v>1013</v>
      </c>
    </row>
    <row r="740" spans="1:2" x14ac:dyDescent="0.25">
      <c r="A740" t="s">
        <v>738</v>
      </c>
      <c r="B740">
        <v>1014</v>
      </c>
    </row>
    <row r="741" spans="1:2" x14ac:dyDescent="0.25">
      <c r="A741" t="s">
        <v>739</v>
      </c>
      <c r="B741">
        <v>1015</v>
      </c>
    </row>
    <row r="742" spans="1:2" x14ac:dyDescent="0.25">
      <c r="A742" t="s">
        <v>740</v>
      </c>
      <c r="B742">
        <v>1016</v>
      </c>
    </row>
    <row r="743" spans="1:2" x14ac:dyDescent="0.25">
      <c r="A743" t="s">
        <v>741</v>
      </c>
      <c r="B743">
        <v>1017</v>
      </c>
    </row>
    <row r="744" spans="1:2" x14ac:dyDescent="0.25">
      <c r="A744" t="s">
        <v>742</v>
      </c>
      <c r="B744">
        <v>1018</v>
      </c>
    </row>
    <row r="745" spans="1:2" x14ac:dyDescent="0.25">
      <c r="A745" t="s">
        <v>743</v>
      </c>
      <c r="B745">
        <v>1019</v>
      </c>
    </row>
    <row r="746" spans="1:2" x14ac:dyDescent="0.25">
      <c r="A746" t="s">
        <v>744</v>
      </c>
      <c r="B746">
        <v>1020</v>
      </c>
    </row>
    <row r="747" spans="1:2" x14ac:dyDescent="0.25">
      <c r="A747" t="s">
        <v>745</v>
      </c>
      <c r="B747">
        <v>1021</v>
      </c>
    </row>
    <row r="748" spans="1:2" x14ac:dyDescent="0.25">
      <c r="A748" t="s">
        <v>746</v>
      </c>
      <c r="B748">
        <v>1022</v>
      </c>
    </row>
    <row r="749" spans="1:2" x14ac:dyDescent="0.25">
      <c r="A749" t="s">
        <v>747</v>
      </c>
      <c r="B749">
        <v>1023</v>
      </c>
    </row>
    <row r="750" spans="1:2" x14ac:dyDescent="0.25">
      <c r="A750" t="s">
        <v>748</v>
      </c>
      <c r="B750">
        <v>1025</v>
      </c>
    </row>
    <row r="751" spans="1:2" x14ac:dyDescent="0.25">
      <c r="A751" t="s">
        <v>749</v>
      </c>
      <c r="B751">
        <v>1026</v>
      </c>
    </row>
    <row r="752" spans="1:2" x14ac:dyDescent="0.25">
      <c r="A752" t="s">
        <v>750</v>
      </c>
      <c r="B752">
        <v>1394</v>
      </c>
    </row>
    <row r="753" spans="1:2" x14ac:dyDescent="0.25">
      <c r="A753" t="s">
        <v>751</v>
      </c>
      <c r="B753">
        <v>514</v>
      </c>
    </row>
    <row r="754" spans="1:2" x14ac:dyDescent="0.25">
      <c r="A754" t="s">
        <v>752</v>
      </c>
      <c r="B754">
        <v>515</v>
      </c>
    </row>
    <row r="755" spans="1:2" x14ac:dyDescent="0.25">
      <c r="A755" t="s">
        <v>753</v>
      </c>
      <c r="B755">
        <v>516</v>
      </c>
    </row>
    <row r="756" spans="1:2" x14ac:dyDescent="0.25">
      <c r="A756" t="s">
        <v>754</v>
      </c>
      <c r="B756">
        <v>517</v>
      </c>
    </row>
    <row r="757" spans="1:2" x14ac:dyDescent="0.25">
      <c r="A757" t="s">
        <v>755</v>
      </c>
      <c r="B757">
        <v>518</v>
      </c>
    </row>
    <row r="758" spans="1:2" x14ac:dyDescent="0.25">
      <c r="A758" t="s">
        <v>756</v>
      </c>
      <c r="B758">
        <v>519</v>
      </c>
    </row>
    <row r="759" spans="1:2" x14ac:dyDescent="0.25">
      <c r="A759" t="s">
        <v>757</v>
      </c>
      <c r="B759">
        <v>576</v>
      </c>
    </row>
    <row r="760" spans="1:2" x14ac:dyDescent="0.25">
      <c r="A760" t="s">
        <v>758</v>
      </c>
      <c r="B760">
        <v>577</v>
      </c>
    </row>
    <row r="761" spans="1:2" x14ac:dyDescent="0.25">
      <c r="A761" t="s">
        <v>759</v>
      </c>
      <c r="B761">
        <v>578</v>
      </c>
    </row>
    <row r="762" spans="1:2" x14ac:dyDescent="0.25">
      <c r="A762" t="s">
        <v>760</v>
      </c>
      <c r="B762">
        <v>498</v>
      </c>
    </row>
    <row r="763" spans="1:2" x14ac:dyDescent="0.25">
      <c r="A763" t="s">
        <v>761</v>
      </c>
      <c r="B763">
        <v>1137</v>
      </c>
    </row>
    <row r="764" spans="1:2" x14ac:dyDescent="0.25">
      <c r="A764" t="s">
        <v>762</v>
      </c>
      <c r="B764">
        <v>1138</v>
      </c>
    </row>
    <row r="765" spans="1:2" x14ac:dyDescent="0.25">
      <c r="A765" t="s">
        <v>763</v>
      </c>
      <c r="B765">
        <v>1139</v>
      </c>
    </row>
    <row r="766" spans="1:2" x14ac:dyDescent="0.25">
      <c r="A766" t="s">
        <v>764</v>
      </c>
      <c r="B766">
        <v>1140</v>
      </c>
    </row>
    <row r="767" spans="1:2" x14ac:dyDescent="0.25">
      <c r="A767" t="s">
        <v>765</v>
      </c>
      <c r="B767">
        <v>1141</v>
      </c>
    </row>
    <row r="768" spans="1:2" x14ac:dyDescent="0.25">
      <c r="A768" t="s">
        <v>766</v>
      </c>
      <c r="B768">
        <v>1142</v>
      </c>
    </row>
    <row r="769" spans="1:2" x14ac:dyDescent="0.25">
      <c r="A769" t="s">
        <v>767</v>
      </c>
      <c r="B769">
        <v>1143</v>
      </c>
    </row>
    <row r="770" spans="1:2" x14ac:dyDescent="0.25">
      <c r="A770" t="s">
        <v>768</v>
      </c>
      <c r="B770">
        <v>499</v>
      </c>
    </row>
    <row r="771" spans="1:2" x14ac:dyDescent="0.25">
      <c r="A771" t="s">
        <v>769</v>
      </c>
      <c r="B771">
        <v>500</v>
      </c>
    </row>
    <row r="772" spans="1:2" x14ac:dyDescent="0.25">
      <c r="A772" t="s">
        <v>770</v>
      </c>
      <c r="B772">
        <v>501</v>
      </c>
    </row>
    <row r="773" spans="1:2" x14ac:dyDescent="0.25">
      <c r="A773" t="s">
        <v>771</v>
      </c>
      <c r="B773">
        <v>62</v>
      </c>
    </row>
    <row r="774" spans="1:2" x14ac:dyDescent="0.25">
      <c r="A774" t="s">
        <v>772</v>
      </c>
      <c r="B774">
        <v>1008</v>
      </c>
    </row>
    <row r="775" spans="1:2" x14ac:dyDescent="0.25">
      <c r="A775" t="s">
        <v>773</v>
      </c>
      <c r="B775">
        <v>1009</v>
      </c>
    </row>
    <row r="776" spans="1:2" x14ac:dyDescent="0.25">
      <c r="A776" t="s">
        <v>774</v>
      </c>
      <c r="B776">
        <v>1010</v>
      </c>
    </row>
    <row r="777" spans="1:2" x14ac:dyDescent="0.25">
      <c r="A777" t="s">
        <v>775</v>
      </c>
      <c r="B777">
        <v>1011</v>
      </c>
    </row>
    <row r="778" spans="1:2" x14ac:dyDescent="0.25">
      <c r="A778" t="s">
        <v>776</v>
      </c>
      <c r="B778">
        <v>218</v>
      </c>
    </row>
    <row r="779" spans="1:2" x14ac:dyDescent="0.25">
      <c r="A779" t="s">
        <v>777</v>
      </c>
      <c r="B779">
        <v>1296</v>
      </c>
    </row>
    <row r="780" spans="1:2" x14ac:dyDescent="0.25">
      <c r="A780" t="s">
        <v>778</v>
      </c>
      <c r="B780">
        <v>1297</v>
      </c>
    </row>
    <row r="781" spans="1:2" x14ac:dyDescent="0.25">
      <c r="A781" t="s">
        <v>779</v>
      </c>
      <c r="B781">
        <v>1298</v>
      </c>
    </row>
    <row r="782" spans="1:2" x14ac:dyDescent="0.25">
      <c r="A782" t="s">
        <v>780</v>
      </c>
      <c r="B782">
        <v>219</v>
      </c>
    </row>
    <row r="783" spans="1:2" x14ac:dyDescent="0.25">
      <c r="A783" t="s">
        <v>781</v>
      </c>
      <c r="B783">
        <v>220</v>
      </c>
    </row>
    <row r="784" spans="1:2" x14ac:dyDescent="0.25">
      <c r="A784" t="s">
        <v>782</v>
      </c>
      <c r="B784">
        <v>221</v>
      </c>
    </row>
    <row r="785" spans="1:2" x14ac:dyDescent="0.25">
      <c r="A785" t="s">
        <v>783</v>
      </c>
      <c r="B785">
        <v>462</v>
      </c>
    </row>
    <row r="786" spans="1:2" x14ac:dyDescent="0.25">
      <c r="A786" t="s">
        <v>784</v>
      </c>
      <c r="B786">
        <v>463</v>
      </c>
    </row>
    <row r="787" spans="1:2" x14ac:dyDescent="0.25">
      <c r="A787" t="s">
        <v>785</v>
      </c>
      <c r="B787">
        <v>464</v>
      </c>
    </row>
    <row r="788" spans="1:2" x14ac:dyDescent="0.25">
      <c r="A788" t="s">
        <v>786</v>
      </c>
      <c r="B788">
        <v>465</v>
      </c>
    </row>
    <row r="789" spans="1:2" x14ac:dyDescent="0.25">
      <c r="A789" t="s">
        <v>787</v>
      </c>
      <c r="B789">
        <v>466</v>
      </c>
    </row>
    <row r="790" spans="1:2" x14ac:dyDescent="0.25">
      <c r="A790" t="s">
        <v>788</v>
      </c>
      <c r="B790">
        <v>467</v>
      </c>
    </row>
    <row r="791" spans="1:2" x14ac:dyDescent="0.25">
      <c r="A791" t="s">
        <v>789</v>
      </c>
      <c r="B791">
        <v>468</v>
      </c>
    </row>
    <row r="792" spans="1:2" x14ac:dyDescent="0.25">
      <c r="A792" t="s">
        <v>790</v>
      </c>
      <c r="B792">
        <v>469</v>
      </c>
    </row>
    <row r="793" spans="1:2" x14ac:dyDescent="0.25">
      <c r="A793" t="s">
        <v>791</v>
      </c>
      <c r="B793">
        <v>470</v>
      </c>
    </row>
    <row r="794" spans="1:2" x14ac:dyDescent="0.25">
      <c r="A794" t="s">
        <v>792</v>
      </c>
      <c r="B794">
        <v>471</v>
      </c>
    </row>
    <row r="795" spans="1:2" x14ac:dyDescent="0.25">
      <c r="A795" t="s">
        <v>793</v>
      </c>
      <c r="B795">
        <v>472</v>
      </c>
    </row>
    <row r="796" spans="1:2" x14ac:dyDescent="0.25">
      <c r="A796" t="s">
        <v>794</v>
      </c>
      <c r="B796">
        <v>473</v>
      </c>
    </row>
    <row r="797" spans="1:2" x14ac:dyDescent="0.25">
      <c r="A797" t="s">
        <v>795</v>
      </c>
      <c r="B797">
        <v>474</v>
      </c>
    </row>
    <row r="798" spans="1:2" x14ac:dyDescent="0.25">
      <c r="A798" t="s">
        <v>796</v>
      </c>
      <c r="B798">
        <v>475</v>
      </c>
    </row>
    <row r="799" spans="1:2" x14ac:dyDescent="0.25">
      <c r="A799" t="s">
        <v>797</v>
      </c>
      <c r="B799">
        <v>476</v>
      </c>
    </row>
    <row r="800" spans="1:2" x14ac:dyDescent="0.25">
      <c r="A800" t="s">
        <v>798</v>
      </c>
      <c r="B800">
        <v>477</v>
      </c>
    </row>
    <row r="801" spans="1:2" x14ac:dyDescent="0.25">
      <c r="A801" t="s">
        <v>799</v>
      </c>
      <c r="B801">
        <v>478</v>
      </c>
    </row>
    <row r="802" spans="1:2" x14ac:dyDescent="0.25">
      <c r="A802" t="s">
        <v>800</v>
      </c>
      <c r="B802">
        <v>479</v>
      </c>
    </row>
    <row r="803" spans="1:2" x14ac:dyDescent="0.25">
      <c r="A803" t="s">
        <v>801</v>
      </c>
      <c r="B803">
        <v>480</v>
      </c>
    </row>
    <row r="804" spans="1:2" x14ac:dyDescent="0.25">
      <c r="A804" t="s">
        <v>802</v>
      </c>
      <c r="B804">
        <v>481</v>
      </c>
    </row>
    <row r="805" spans="1:2" x14ac:dyDescent="0.25">
      <c r="A805" t="s">
        <v>803</v>
      </c>
      <c r="B805">
        <v>482</v>
      </c>
    </row>
    <row r="806" spans="1:2" x14ac:dyDescent="0.25">
      <c r="A806" t="s">
        <v>804</v>
      </c>
      <c r="B806">
        <v>491</v>
      </c>
    </row>
    <row r="807" spans="1:2" x14ac:dyDescent="0.25">
      <c r="A807" t="s">
        <v>805</v>
      </c>
      <c r="B807">
        <v>1400</v>
      </c>
    </row>
    <row r="808" spans="1:2" x14ac:dyDescent="0.25">
      <c r="A808" t="s">
        <v>806</v>
      </c>
      <c r="B808">
        <v>492</v>
      </c>
    </row>
    <row r="809" spans="1:2" x14ac:dyDescent="0.25">
      <c r="A809" t="s">
        <v>807</v>
      </c>
      <c r="B809">
        <v>493</v>
      </c>
    </row>
    <row r="810" spans="1:2" x14ac:dyDescent="0.25">
      <c r="A810" t="s">
        <v>808</v>
      </c>
      <c r="B810">
        <v>494</v>
      </c>
    </row>
    <row r="811" spans="1:2" x14ac:dyDescent="0.25">
      <c r="A811" t="s">
        <v>809</v>
      </c>
      <c r="B811">
        <v>495</v>
      </c>
    </row>
    <row r="812" spans="1:2" x14ac:dyDescent="0.25">
      <c r="A812" t="s">
        <v>810</v>
      </c>
      <c r="B812">
        <v>496</v>
      </c>
    </row>
    <row r="813" spans="1:2" x14ac:dyDescent="0.25">
      <c r="A813" t="s">
        <v>811</v>
      </c>
      <c r="B813">
        <v>497</v>
      </c>
    </row>
    <row r="814" spans="1:2" x14ac:dyDescent="0.25">
      <c r="A814" t="s">
        <v>812</v>
      </c>
      <c r="B814">
        <v>561</v>
      </c>
    </row>
    <row r="815" spans="1:2" x14ac:dyDescent="0.25">
      <c r="A815" t="s">
        <v>813</v>
      </c>
      <c r="B815">
        <v>562</v>
      </c>
    </row>
    <row r="816" spans="1:2" x14ac:dyDescent="0.25">
      <c r="A816" t="s">
        <v>814</v>
      </c>
      <c r="B816">
        <v>593</v>
      </c>
    </row>
    <row r="817" spans="1:2" x14ac:dyDescent="0.25">
      <c r="A817" t="s">
        <v>815</v>
      </c>
      <c r="B817">
        <v>594</v>
      </c>
    </row>
    <row r="818" spans="1:2" x14ac:dyDescent="0.25">
      <c r="A818" t="s">
        <v>816</v>
      </c>
      <c r="B818">
        <v>595</v>
      </c>
    </row>
    <row r="819" spans="1:2" x14ac:dyDescent="0.25">
      <c r="A819" t="s">
        <v>817</v>
      </c>
      <c r="B819">
        <v>596</v>
      </c>
    </row>
    <row r="820" spans="1:2" x14ac:dyDescent="0.25">
      <c r="A820" t="s">
        <v>818</v>
      </c>
      <c r="B820">
        <v>597</v>
      </c>
    </row>
    <row r="821" spans="1:2" x14ac:dyDescent="0.25">
      <c r="A821" t="s">
        <v>819</v>
      </c>
      <c r="B821">
        <v>598</v>
      </c>
    </row>
    <row r="822" spans="1:2" x14ac:dyDescent="0.25">
      <c r="A822" t="s">
        <v>820</v>
      </c>
      <c r="B822">
        <v>599</v>
      </c>
    </row>
    <row r="823" spans="1:2" x14ac:dyDescent="0.25">
      <c r="A823" t="s">
        <v>821</v>
      </c>
      <c r="B823">
        <v>600</v>
      </c>
    </row>
    <row r="824" spans="1:2" x14ac:dyDescent="0.25">
      <c r="A824" t="s">
        <v>822</v>
      </c>
      <c r="B824">
        <v>601</v>
      </c>
    </row>
    <row r="825" spans="1:2" x14ac:dyDescent="0.25">
      <c r="A825" t="s">
        <v>823</v>
      </c>
      <c r="B825">
        <v>602</v>
      </c>
    </row>
    <row r="826" spans="1:2" x14ac:dyDescent="0.25">
      <c r="A826" t="s">
        <v>824</v>
      </c>
      <c r="B826">
        <v>705</v>
      </c>
    </row>
    <row r="827" spans="1:2" x14ac:dyDescent="0.25">
      <c r="A827" t="s">
        <v>825</v>
      </c>
      <c r="B827">
        <v>706</v>
      </c>
    </row>
    <row r="828" spans="1:2" x14ac:dyDescent="0.25">
      <c r="A828" t="s">
        <v>826</v>
      </c>
      <c r="B828">
        <v>707</v>
      </c>
    </row>
    <row r="829" spans="1:2" x14ac:dyDescent="0.25">
      <c r="A829" t="s">
        <v>827</v>
      </c>
      <c r="B829">
        <v>708</v>
      </c>
    </row>
    <row r="830" spans="1:2" x14ac:dyDescent="0.25">
      <c r="A830" t="s">
        <v>828</v>
      </c>
      <c r="B830">
        <v>709</v>
      </c>
    </row>
    <row r="831" spans="1:2" x14ac:dyDescent="0.25">
      <c r="A831" t="s">
        <v>829</v>
      </c>
      <c r="B831">
        <v>759</v>
      </c>
    </row>
    <row r="832" spans="1:2" x14ac:dyDescent="0.25">
      <c r="A832" t="s">
        <v>830</v>
      </c>
      <c r="B832">
        <v>760</v>
      </c>
    </row>
    <row r="833" spans="1:2" x14ac:dyDescent="0.25">
      <c r="A833" t="s">
        <v>831</v>
      </c>
      <c r="B833">
        <v>761</v>
      </c>
    </row>
    <row r="834" spans="1:2" x14ac:dyDescent="0.25">
      <c r="A834" t="s">
        <v>832</v>
      </c>
      <c r="B834">
        <v>762</v>
      </c>
    </row>
    <row r="835" spans="1:2" x14ac:dyDescent="0.25">
      <c r="A835" t="s">
        <v>833</v>
      </c>
      <c r="B835">
        <v>781</v>
      </c>
    </row>
    <row r="836" spans="1:2" x14ac:dyDescent="0.25">
      <c r="A836" t="s">
        <v>834</v>
      </c>
      <c r="B836">
        <v>782</v>
      </c>
    </row>
    <row r="837" spans="1:2" x14ac:dyDescent="0.25">
      <c r="A837" t="s">
        <v>835</v>
      </c>
      <c r="B837">
        <v>783</v>
      </c>
    </row>
    <row r="838" spans="1:2" x14ac:dyDescent="0.25">
      <c r="A838" t="s">
        <v>836</v>
      </c>
      <c r="B838">
        <v>784</v>
      </c>
    </row>
    <row r="839" spans="1:2" x14ac:dyDescent="0.25">
      <c r="A839" t="s">
        <v>837</v>
      </c>
      <c r="B839">
        <v>785</v>
      </c>
    </row>
    <row r="840" spans="1:2" x14ac:dyDescent="0.25">
      <c r="A840" t="s">
        <v>838</v>
      </c>
      <c r="B840">
        <v>786</v>
      </c>
    </row>
    <row r="841" spans="1:2" x14ac:dyDescent="0.25">
      <c r="A841" t="s">
        <v>839</v>
      </c>
      <c r="B841">
        <v>787</v>
      </c>
    </row>
    <row r="842" spans="1:2" x14ac:dyDescent="0.25">
      <c r="A842" t="s">
        <v>840</v>
      </c>
      <c r="B842">
        <v>788</v>
      </c>
    </row>
    <row r="843" spans="1:2" x14ac:dyDescent="0.25">
      <c r="A843" t="s">
        <v>841</v>
      </c>
      <c r="B843">
        <v>789</v>
      </c>
    </row>
    <row r="844" spans="1:2" x14ac:dyDescent="0.25">
      <c r="A844" t="s">
        <v>842</v>
      </c>
      <c r="B844">
        <v>790</v>
      </c>
    </row>
    <row r="845" spans="1:2" x14ac:dyDescent="0.25">
      <c r="A845" t="s">
        <v>843</v>
      </c>
      <c r="B845">
        <v>791</v>
      </c>
    </row>
    <row r="846" spans="1:2" x14ac:dyDescent="0.25">
      <c r="A846" t="s">
        <v>844</v>
      </c>
      <c r="B846">
        <v>792</v>
      </c>
    </row>
    <row r="847" spans="1:2" x14ac:dyDescent="0.25">
      <c r="A847" t="s">
        <v>845</v>
      </c>
      <c r="B847">
        <v>793</v>
      </c>
    </row>
    <row r="848" spans="1:2" x14ac:dyDescent="0.25">
      <c r="A848" t="s">
        <v>846</v>
      </c>
      <c r="B848">
        <v>794</v>
      </c>
    </row>
    <row r="849" spans="1:2" x14ac:dyDescent="0.25">
      <c r="A849" t="s">
        <v>847</v>
      </c>
      <c r="B849">
        <v>795</v>
      </c>
    </row>
    <row r="850" spans="1:2" x14ac:dyDescent="0.25">
      <c r="A850" t="s">
        <v>848</v>
      </c>
      <c r="B850">
        <v>796</v>
      </c>
    </row>
    <row r="851" spans="1:2" x14ac:dyDescent="0.25">
      <c r="A851" t="s">
        <v>849</v>
      </c>
      <c r="B851">
        <v>262</v>
      </c>
    </row>
    <row r="852" spans="1:2" x14ac:dyDescent="0.25">
      <c r="A852" t="s">
        <v>850</v>
      </c>
      <c r="B852">
        <v>1149</v>
      </c>
    </row>
    <row r="853" spans="1:2" x14ac:dyDescent="0.25">
      <c r="A853" t="s">
        <v>851</v>
      </c>
      <c r="B853">
        <v>1150</v>
      </c>
    </row>
    <row r="854" spans="1:2" x14ac:dyDescent="0.25">
      <c r="A854" t="s">
        <v>852</v>
      </c>
      <c r="B854">
        <v>1151</v>
      </c>
    </row>
    <row r="855" spans="1:2" x14ac:dyDescent="0.25">
      <c r="A855" t="s">
        <v>853</v>
      </c>
      <c r="B855">
        <v>1152</v>
      </c>
    </row>
    <row r="856" spans="1:2" x14ac:dyDescent="0.25">
      <c r="A856" t="s">
        <v>854</v>
      </c>
      <c r="B856">
        <v>1153</v>
      </c>
    </row>
    <row r="857" spans="1:2" x14ac:dyDescent="0.25">
      <c r="A857" t="s">
        <v>855</v>
      </c>
      <c r="B857">
        <v>1154</v>
      </c>
    </row>
    <row r="858" spans="1:2" x14ac:dyDescent="0.25">
      <c r="A858" t="s">
        <v>856</v>
      </c>
      <c r="B858">
        <v>1155</v>
      </c>
    </row>
    <row r="859" spans="1:2" x14ac:dyDescent="0.25">
      <c r="A859" t="s">
        <v>857</v>
      </c>
      <c r="B859">
        <v>1156</v>
      </c>
    </row>
    <row r="860" spans="1:2" x14ac:dyDescent="0.25">
      <c r="A860" t="s">
        <v>858</v>
      </c>
      <c r="B860">
        <v>1397</v>
      </c>
    </row>
    <row r="861" spans="1:2" x14ac:dyDescent="0.25">
      <c r="A861" t="s">
        <v>859</v>
      </c>
      <c r="B861">
        <v>1246</v>
      </c>
    </row>
    <row r="862" spans="1:2" x14ac:dyDescent="0.25">
      <c r="A862" t="s">
        <v>860</v>
      </c>
      <c r="B862">
        <v>1247</v>
      </c>
    </row>
    <row r="863" spans="1:2" x14ac:dyDescent="0.25">
      <c r="A863" t="s">
        <v>861</v>
      </c>
      <c r="B863">
        <v>1248</v>
      </c>
    </row>
    <row r="864" spans="1:2" x14ac:dyDescent="0.25">
      <c r="A864" t="s">
        <v>862</v>
      </c>
      <c r="B864">
        <v>1249</v>
      </c>
    </row>
    <row r="865" spans="1:2" x14ac:dyDescent="0.25">
      <c r="A865" t="s">
        <v>863</v>
      </c>
      <c r="B865">
        <v>1250</v>
      </c>
    </row>
    <row r="866" spans="1:2" x14ac:dyDescent="0.25">
      <c r="A866" t="s">
        <v>864</v>
      </c>
      <c r="B866">
        <v>1251</v>
      </c>
    </row>
    <row r="867" spans="1:2" x14ac:dyDescent="0.25">
      <c r="A867" t="s">
        <v>865</v>
      </c>
      <c r="B867">
        <v>1252</v>
      </c>
    </row>
    <row r="868" spans="1:2" x14ac:dyDescent="0.25">
      <c r="A868" t="s">
        <v>866</v>
      </c>
      <c r="B868">
        <v>1253</v>
      </c>
    </row>
    <row r="869" spans="1:2" x14ac:dyDescent="0.25">
      <c r="A869" t="s">
        <v>867</v>
      </c>
      <c r="B869">
        <v>1254</v>
      </c>
    </row>
    <row r="870" spans="1:2" x14ac:dyDescent="0.25">
      <c r="A870" t="s">
        <v>868</v>
      </c>
      <c r="B870">
        <v>1255</v>
      </c>
    </row>
    <row r="871" spans="1:2" x14ac:dyDescent="0.25">
      <c r="A871" t="s">
        <v>869</v>
      </c>
      <c r="B871">
        <v>1256</v>
      </c>
    </row>
    <row r="872" spans="1:2" x14ac:dyDescent="0.25">
      <c r="A872" t="s">
        <v>870</v>
      </c>
      <c r="B872">
        <v>1257</v>
      </c>
    </row>
    <row r="873" spans="1:2" x14ac:dyDescent="0.25">
      <c r="A873" t="s">
        <v>871</v>
      </c>
      <c r="B873">
        <v>1258</v>
      </c>
    </row>
    <row r="874" spans="1:2" x14ac:dyDescent="0.25">
      <c r="A874" t="s">
        <v>872</v>
      </c>
      <c r="B874">
        <v>1259</v>
      </c>
    </row>
    <row r="875" spans="1:2" x14ac:dyDescent="0.25">
      <c r="A875" t="s">
        <v>873</v>
      </c>
      <c r="B875">
        <v>1354</v>
      </c>
    </row>
    <row r="876" spans="1:2" x14ac:dyDescent="0.25">
      <c r="A876" t="s">
        <v>874</v>
      </c>
      <c r="B876">
        <v>1355</v>
      </c>
    </row>
    <row r="877" spans="1:2" x14ac:dyDescent="0.25">
      <c r="A877" t="s">
        <v>875</v>
      </c>
      <c r="B877">
        <v>1363</v>
      </c>
    </row>
    <row r="878" spans="1:2" x14ac:dyDescent="0.25">
      <c r="A878" t="s">
        <v>876</v>
      </c>
      <c r="B878">
        <v>1364</v>
      </c>
    </row>
    <row r="879" spans="1:2" x14ac:dyDescent="0.25">
      <c r="A879" t="s">
        <v>877</v>
      </c>
      <c r="B879">
        <v>1365</v>
      </c>
    </row>
    <row r="880" spans="1:2" x14ac:dyDescent="0.25">
      <c r="A880" t="s">
        <v>878</v>
      </c>
      <c r="B880">
        <v>263</v>
      </c>
    </row>
    <row r="881" spans="1:2" x14ac:dyDescent="0.25">
      <c r="A881" t="s">
        <v>879</v>
      </c>
      <c r="B881">
        <v>264</v>
      </c>
    </row>
    <row r="882" spans="1:2" x14ac:dyDescent="0.25">
      <c r="A882" t="s">
        <v>880</v>
      </c>
      <c r="B882">
        <v>265</v>
      </c>
    </row>
    <row r="883" spans="1:2" x14ac:dyDescent="0.25">
      <c r="A883" t="s">
        <v>881</v>
      </c>
      <c r="B883">
        <v>266</v>
      </c>
    </row>
    <row r="884" spans="1:2" x14ac:dyDescent="0.25">
      <c r="A884" t="s">
        <v>882</v>
      </c>
      <c r="B884">
        <v>267</v>
      </c>
    </row>
    <row r="885" spans="1:2" x14ac:dyDescent="0.25">
      <c r="A885" t="s">
        <v>883</v>
      </c>
      <c r="B885">
        <v>268</v>
      </c>
    </row>
    <row r="886" spans="1:2" x14ac:dyDescent="0.25">
      <c r="A886" t="s">
        <v>884</v>
      </c>
      <c r="B886">
        <v>738</v>
      </c>
    </row>
    <row r="887" spans="1:2" x14ac:dyDescent="0.25">
      <c r="A887" t="s">
        <v>885</v>
      </c>
      <c r="B887">
        <v>739</v>
      </c>
    </row>
    <row r="888" spans="1:2" x14ac:dyDescent="0.25">
      <c r="A888" t="s">
        <v>886</v>
      </c>
      <c r="B888">
        <v>740</v>
      </c>
    </row>
    <row r="889" spans="1:2" x14ac:dyDescent="0.25">
      <c r="A889" t="s">
        <v>887</v>
      </c>
      <c r="B889">
        <v>819</v>
      </c>
    </row>
    <row r="890" spans="1:2" x14ac:dyDescent="0.25">
      <c r="A890" t="s">
        <v>888</v>
      </c>
      <c r="B890">
        <v>820</v>
      </c>
    </row>
    <row r="891" spans="1:2" x14ac:dyDescent="0.25">
      <c r="A891" t="s">
        <v>889</v>
      </c>
      <c r="B891">
        <v>821</v>
      </c>
    </row>
    <row r="892" spans="1:2" x14ac:dyDescent="0.25">
      <c r="A892" t="s">
        <v>890</v>
      </c>
      <c r="B892">
        <v>822</v>
      </c>
    </row>
    <row r="893" spans="1:2" x14ac:dyDescent="0.25">
      <c r="A893" t="s">
        <v>891</v>
      </c>
      <c r="B893">
        <v>823</v>
      </c>
    </row>
    <row r="894" spans="1:2" x14ac:dyDescent="0.25">
      <c r="A894" t="s">
        <v>892</v>
      </c>
      <c r="B894">
        <v>824</v>
      </c>
    </row>
    <row r="895" spans="1:2" x14ac:dyDescent="0.25">
      <c r="A895" t="s">
        <v>893</v>
      </c>
      <c r="B895">
        <v>825</v>
      </c>
    </row>
    <row r="896" spans="1:2" x14ac:dyDescent="0.25">
      <c r="A896" t="s">
        <v>894</v>
      </c>
      <c r="B896">
        <v>826</v>
      </c>
    </row>
    <row r="897" spans="1:2" x14ac:dyDescent="0.25">
      <c r="A897" t="s">
        <v>895</v>
      </c>
      <c r="B897">
        <v>827</v>
      </c>
    </row>
    <row r="898" spans="1:2" x14ac:dyDescent="0.25">
      <c r="A898" t="s">
        <v>896</v>
      </c>
      <c r="B898">
        <v>828</v>
      </c>
    </row>
    <row r="899" spans="1:2" x14ac:dyDescent="0.25">
      <c r="A899" t="s">
        <v>897</v>
      </c>
      <c r="B899">
        <v>829</v>
      </c>
    </row>
    <row r="900" spans="1:2" x14ac:dyDescent="0.25">
      <c r="A900" t="s">
        <v>898</v>
      </c>
      <c r="B900">
        <v>837</v>
      </c>
    </row>
    <row r="901" spans="1:2" x14ac:dyDescent="0.25">
      <c r="A901" t="s">
        <v>899</v>
      </c>
      <c r="B901">
        <v>838</v>
      </c>
    </row>
    <row r="902" spans="1:2" x14ac:dyDescent="0.25">
      <c r="A902" t="s">
        <v>900</v>
      </c>
      <c r="B902">
        <v>452</v>
      </c>
    </row>
    <row r="903" spans="1:2" x14ac:dyDescent="0.25">
      <c r="A903" t="s">
        <v>901</v>
      </c>
      <c r="B903">
        <v>1036</v>
      </c>
    </row>
    <row r="904" spans="1:2" x14ac:dyDescent="0.25">
      <c r="A904" t="s">
        <v>902</v>
      </c>
      <c r="B904">
        <v>1037</v>
      </c>
    </row>
    <row r="905" spans="1:2" x14ac:dyDescent="0.25">
      <c r="A905" t="s">
        <v>903</v>
      </c>
      <c r="B905">
        <v>1038</v>
      </c>
    </row>
    <row r="906" spans="1:2" x14ac:dyDescent="0.25">
      <c r="A906" t="s">
        <v>904</v>
      </c>
      <c r="B906">
        <v>1223</v>
      </c>
    </row>
    <row r="907" spans="1:2" x14ac:dyDescent="0.25">
      <c r="A907" t="s">
        <v>905</v>
      </c>
      <c r="B907">
        <v>1224</v>
      </c>
    </row>
    <row r="908" spans="1:2" x14ac:dyDescent="0.25">
      <c r="A908" t="s">
        <v>906</v>
      </c>
      <c r="B908">
        <v>1225</v>
      </c>
    </row>
    <row r="909" spans="1:2" x14ac:dyDescent="0.25">
      <c r="A909" t="s">
        <v>907</v>
      </c>
      <c r="B909">
        <v>1226</v>
      </c>
    </row>
    <row r="910" spans="1:2" x14ac:dyDescent="0.25">
      <c r="A910" t="s">
        <v>908</v>
      </c>
      <c r="B910">
        <v>1235</v>
      </c>
    </row>
    <row r="911" spans="1:2" x14ac:dyDescent="0.25">
      <c r="A911" t="s">
        <v>909</v>
      </c>
      <c r="B911">
        <v>1236</v>
      </c>
    </row>
    <row r="912" spans="1:2" x14ac:dyDescent="0.25">
      <c r="A912" t="s">
        <v>910</v>
      </c>
      <c r="B912">
        <v>1237</v>
      </c>
    </row>
    <row r="913" spans="1:2" x14ac:dyDescent="0.25">
      <c r="A913" t="s">
        <v>911</v>
      </c>
      <c r="B913">
        <v>1238</v>
      </c>
    </row>
    <row r="914" spans="1:2" x14ac:dyDescent="0.25">
      <c r="A914" t="s">
        <v>912</v>
      </c>
      <c r="B914">
        <v>1314</v>
      </c>
    </row>
    <row r="915" spans="1:2" x14ac:dyDescent="0.25">
      <c r="A915" t="s">
        <v>913</v>
      </c>
      <c r="B915">
        <v>1315</v>
      </c>
    </row>
    <row r="916" spans="1:2" x14ac:dyDescent="0.25">
      <c r="A916" t="s">
        <v>914</v>
      </c>
      <c r="B916">
        <v>1386</v>
      </c>
    </row>
    <row r="917" spans="1:2" x14ac:dyDescent="0.25">
      <c r="A917" t="s">
        <v>915</v>
      </c>
      <c r="B917">
        <v>1387</v>
      </c>
    </row>
    <row r="918" spans="1:2" x14ac:dyDescent="0.25">
      <c r="A918" t="s">
        <v>916</v>
      </c>
      <c r="B918">
        <v>1388</v>
      </c>
    </row>
    <row r="919" spans="1:2" x14ac:dyDescent="0.25">
      <c r="A919" t="s">
        <v>917</v>
      </c>
      <c r="B919">
        <v>1389</v>
      </c>
    </row>
    <row r="920" spans="1:2" x14ac:dyDescent="0.25">
      <c r="A920" t="s">
        <v>918</v>
      </c>
      <c r="B920">
        <v>453</v>
      </c>
    </row>
    <row r="921" spans="1:2" x14ac:dyDescent="0.25">
      <c r="A921" t="s">
        <v>919</v>
      </c>
      <c r="B921">
        <v>454</v>
      </c>
    </row>
    <row r="922" spans="1:2" x14ac:dyDescent="0.25">
      <c r="A922" t="s">
        <v>920</v>
      </c>
      <c r="B922">
        <v>455</v>
      </c>
    </row>
    <row r="923" spans="1:2" x14ac:dyDescent="0.25">
      <c r="A923" t="s">
        <v>921</v>
      </c>
      <c r="B923">
        <v>456</v>
      </c>
    </row>
    <row r="924" spans="1:2" x14ac:dyDescent="0.25">
      <c r="A924" t="s">
        <v>922</v>
      </c>
      <c r="B924">
        <v>520</v>
      </c>
    </row>
    <row r="925" spans="1:2" x14ac:dyDescent="0.25">
      <c r="A925" t="s">
        <v>923</v>
      </c>
      <c r="B925">
        <v>521</v>
      </c>
    </row>
    <row r="926" spans="1:2" x14ac:dyDescent="0.25">
      <c r="A926" t="s">
        <v>924</v>
      </c>
      <c r="B926">
        <v>522</v>
      </c>
    </row>
    <row r="927" spans="1:2" x14ac:dyDescent="0.25">
      <c r="A927" t="s">
        <v>925</v>
      </c>
      <c r="B927">
        <v>523</v>
      </c>
    </row>
    <row r="928" spans="1:2" x14ac:dyDescent="0.25">
      <c r="A928" t="s">
        <v>926</v>
      </c>
      <c r="B928">
        <v>524</v>
      </c>
    </row>
    <row r="929" spans="1:2" x14ac:dyDescent="0.25">
      <c r="A929" t="s">
        <v>927</v>
      </c>
      <c r="B929">
        <v>525</v>
      </c>
    </row>
    <row r="930" spans="1:2" x14ac:dyDescent="0.25">
      <c r="A930" t="s">
        <v>928</v>
      </c>
      <c r="B930">
        <v>526</v>
      </c>
    </row>
    <row r="931" spans="1:2" x14ac:dyDescent="0.25">
      <c r="A931" t="s">
        <v>929</v>
      </c>
      <c r="B931">
        <v>527</v>
      </c>
    </row>
    <row r="932" spans="1:2" x14ac:dyDescent="0.25">
      <c r="A932" t="s">
        <v>930</v>
      </c>
      <c r="B932">
        <v>900</v>
      </c>
    </row>
    <row r="933" spans="1:2" x14ac:dyDescent="0.25">
      <c r="A933" t="s">
        <v>931</v>
      </c>
      <c r="B933">
        <v>901</v>
      </c>
    </row>
    <row r="934" spans="1:2" x14ac:dyDescent="0.25">
      <c r="A934" t="s">
        <v>932</v>
      </c>
      <c r="B934">
        <v>902</v>
      </c>
    </row>
    <row r="935" spans="1:2" x14ac:dyDescent="0.25">
      <c r="A935" t="s">
        <v>933</v>
      </c>
      <c r="B935">
        <v>903</v>
      </c>
    </row>
    <row r="936" spans="1:2" x14ac:dyDescent="0.25">
      <c r="A936" t="s">
        <v>934</v>
      </c>
      <c r="B936">
        <v>904</v>
      </c>
    </row>
    <row r="937" spans="1:2" x14ac:dyDescent="0.25">
      <c r="A937" t="s">
        <v>935</v>
      </c>
      <c r="B937">
        <v>973</v>
      </c>
    </row>
    <row r="938" spans="1:2" x14ac:dyDescent="0.25">
      <c r="A938" t="s">
        <v>936</v>
      </c>
      <c r="B938">
        <v>974</v>
      </c>
    </row>
    <row r="939" spans="1:2" x14ac:dyDescent="0.25">
      <c r="A939" t="s">
        <v>937</v>
      </c>
      <c r="B939">
        <v>975</v>
      </c>
    </row>
    <row r="940" spans="1:2" x14ac:dyDescent="0.25">
      <c r="A940" t="s">
        <v>938</v>
      </c>
      <c r="B940">
        <v>976</v>
      </c>
    </row>
    <row r="941" spans="1:2" x14ac:dyDescent="0.25">
      <c r="A941" t="s">
        <v>939</v>
      </c>
      <c r="B941">
        <v>977</v>
      </c>
    </row>
    <row r="942" spans="1:2" x14ac:dyDescent="0.25">
      <c r="A942" t="s">
        <v>940</v>
      </c>
      <c r="B942">
        <v>978</v>
      </c>
    </row>
    <row r="943" spans="1:2" x14ac:dyDescent="0.25">
      <c r="A943" t="s">
        <v>941</v>
      </c>
      <c r="B943">
        <v>979</v>
      </c>
    </row>
    <row r="944" spans="1:2" x14ac:dyDescent="0.25">
      <c r="A944" t="s">
        <v>942</v>
      </c>
      <c r="B944">
        <v>980</v>
      </c>
    </row>
    <row r="945" spans="1:2" x14ac:dyDescent="0.25">
      <c r="A945" t="s">
        <v>943</v>
      </c>
      <c r="B945">
        <v>457</v>
      </c>
    </row>
    <row r="946" spans="1:2" x14ac:dyDescent="0.25">
      <c r="A946" t="s">
        <v>944</v>
      </c>
      <c r="B946">
        <v>1046</v>
      </c>
    </row>
    <row r="947" spans="1:2" x14ac:dyDescent="0.25">
      <c r="A947" t="s">
        <v>945</v>
      </c>
      <c r="B947">
        <v>1047</v>
      </c>
    </row>
    <row r="948" spans="1:2" x14ac:dyDescent="0.25">
      <c r="A948" t="s">
        <v>946</v>
      </c>
      <c r="B948">
        <v>1176</v>
      </c>
    </row>
    <row r="949" spans="1:2" x14ac:dyDescent="0.25">
      <c r="A949" t="s">
        <v>947</v>
      </c>
      <c r="B949">
        <v>1177</v>
      </c>
    </row>
    <row r="950" spans="1:2" x14ac:dyDescent="0.25">
      <c r="A950" t="s">
        <v>948</v>
      </c>
      <c r="B950">
        <v>1178</v>
      </c>
    </row>
    <row r="951" spans="1:2" x14ac:dyDescent="0.25">
      <c r="A951" t="s">
        <v>949</v>
      </c>
      <c r="B951">
        <v>458</v>
      </c>
    </row>
    <row r="952" spans="1:2" x14ac:dyDescent="0.25">
      <c r="A952" t="s">
        <v>950</v>
      </c>
      <c r="B952">
        <v>1301</v>
      </c>
    </row>
    <row r="953" spans="1:2" x14ac:dyDescent="0.25">
      <c r="A953" t="s">
        <v>951</v>
      </c>
      <c r="B953">
        <v>1302</v>
      </c>
    </row>
    <row r="954" spans="1:2" x14ac:dyDescent="0.25">
      <c r="A954" t="s">
        <v>952</v>
      </c>
      <c r="B954">
        <v>1303</v>
      </c>
    </row>
    <row r="955" spans="1:2" x14ac:dyDescent="0.25">
      <c r="A955" t="s">
        <v>953</v>
      </c>
      <c r="B955">
        <v>1304</v>
      </c>
    </row>
    <row r="956" spans="1:2" x14ac:dyDescent="0.25">
      <c r="A956" t="s">
        <v>954</v>
      </c>
      <c r="B956">
        <v>1305</v>
      </c>
    </row>
    <row r="957" spans="1:2" x14ac:dyDescent="0.25">
      <c r="A957" t="s">
        <v>955</v>
      </c>
      <c r="B957">
        <v>1306</v>
      </c>
    </row>
    <row r="958" spans="1:2" x14ac:dyDescent="0.25">
      <c r="A958" t="s">
        <v>956</v>
      </c>
      <c r="B958">
        <v>1307</v>
      </c>
    </row>
    <row r="959" spans="1:2" x14ac:dyDescent="0.25">
      <c r="A959" t="s">
        <v>957</v>
      </c>
      <c r="B959">
        <v>1308</v>
      </c>
    </row>
    <row r="960" spans="1:2" x14ac:dyDescent="0.25">
      <c r="A960" t="s">
        <v>958</v>
      </c>
      <c r="B960">
        <v>1309</v>
      </c>
    </row>
    <row r="961" spans="1:2" x14ac:dyDescent="0.25">
      <c r="A961" t="s">
        <v>959</v>
      </c>
      <c r="B961">
        <v>1310</v>
      </c>
    </row>
    <row r="962" spans="1:2" x14ac:dyDescent="0.25">
      <c r="A962" t="s">
        <v>960</v>
      </c>
      <c r="B962">
        <v>1311</v>
      </c>
    </row>
    <row r="963" spans="1:2" x14ac:dyDescent="0.25">
      <c r="A963" t="s">
        <v>961</v>
      </c>
      <c r="B963">
        <v>459</v>
      </c>
    </row>
    <row r="964" spans="1:2" x14ac:dyDescent="0.25">
      <c r="A964" t="s">
        <v>962</v>
      </c>
      <c r="B964">
        <v>607</v>
      </c>
    </row>
    <row r="965" spans="1:2" x14ac:dyDescent="0.25">
      <c r="A965" t="s">
        <v>963</v>
      </c>
      <c r="B965">
        <v>608</v>
      </c>
    </row>
    <row r="966" spans="1:2" x14ac:dyDescent="0.25">
      <c r="A966" t="s">
        <v>964</v>
      </c>
      <c r="B966">
        <v>609</v>
      </c>
    </row>
    <row r="967" spans="1:2" x14ac:dyDescent="0.25">
      <c r="A967" t="s">
        <v>965</v>
      </c>
      <c r="B967">
        <v>610</v>
      </c>
    </row>
    <row r="968" spans="1:2" x14ac:dyDescent="0.25">
      <c r="A968" t="s">
        <v>966</v>
      </c>
      <c r="B968">
        <v>63</v>
      </c>
    </row>
    <row r="969" spans="1:2" x14ac:dyDescent="0.25">
      <c r="A969" t="s">
        <v>967</v>
      </c>
      <c r="B969">
        <v>1049</v>
      </c>
    </row>
    <row r="970" spans="1:2" x14ac:dyDescent="0.25">
      <c r="A970" t="s">
        <v>968</v>
      </c>
      <c r="B970">
        <v>1050</v>
      </c>
    </row>
    <row r="971" spans="1:2" x14ac:dyDescent="0.25">
      <c r="A971" t="s">
        <v>969</v>
      </c>
      <c r="B971">
        <v>460</v>
      </c>
    </row>
    <row r="972" spans="1:2" x14ac:dyDescent="0.25">
      <c r="A972" t="s">
        <v>970</v>
      </c>
      <c r="B972">
        <v>1439</v>
      </c>
    </row>
    <row r="973" spans="1:2" x14ac:dyDescent="0.25">
      <c r="A973" t="s">
        <v>971</v>
      </c>
      <c r="B973">
        <v>1440</v>
      </c>
    </row>
    <row r="974" spans="1:2" x14ac:dyDescent="0.25">
      <c r="A974" t="s">
        <v>972</v>
      </c>
      <c r="B974">
        <v>1441</v>
      </c>
    </row>
    <row r="975" spans="1:2" x14ac:dyDescent="0.25">
      <c r="A975" t="s">
        <v>973</v>
      </c>
      <c r="B975">
        <v>1442</v>
      </c>
    </row>
    <row r="976" spans="1:2" x14ac:dyDescent="0.25">
      <c r="A976" t="s">
        <v>974</v>
      </c>
      <c r="B976">
        <v>1443</v>
      </c>
    </row>
    <row r="977" spans="1:2" x14ac:dyDescent="0.25">
      <c r="A977" t="s">
        <v>975</v>
      </c>
      <c r="B977">
        <v>461</v>
      </c>
    </row>
    <row r="978" spans="1:2" x14ac:dyDescent="0.25">
      <c r="A978" t="s">
        <v>976</v>
      </c>
      <c r="B978">
        <v>533</v>
      </c>
    </row>
    <row r="979" spans="1:2" x14ac:dyDescent="0.25">
      <c r="A979" t="s">
        <v>977</v>
      </c>
      <c r="B979">
        <v>534</v>
      </c>
    </row>
    <row r="980" spans="1:2" x14ac:dyDescent="0.25">
      <c r="A980" t="s">
        <v>978</v>
      </c>
      <c r="B980">
        <v>535</v>
      </c>
    </row>
    <row r="981" spans="1:2" x14ac:dyDescent="0.25">
      <c r="A981" t="s">
        <v>979</v>
      </c>
      <c r="B981">
        <v>536</v>
      </c>
    </row>
    <row r="982" spans="1:2" x14ac:dyDescent="0.25">
      <c r="A982" t="s">
        <v>980</v>
      </c>
      <c r="B982">
        <v>537</v>
      </c>
    </row>
    <row r="983" spans="1:2" x14ac:dyDescent="0.25">
      <c r="A983" t="s">
        <v>981</v>
      </c>
      <c r="B983">
        <v>538</v>
      </c>
    </row>
    <row r="984" spans="1:2" x14ac:dyDescent="0.25">
      <c r="A984" t="s">
        <v>982</v>
      </c>
      <c r="B984">
        <v>539</v>
      </c>
    </row>
    <row r="985" spans="1:2" x14ac:dyDescent="0.25">
      <c r="A985" t="s">
        <v>983</v>
      </c>
      <c r="B985">
        <v>540</v>
      </c>
    </row>
    <row r="986" spans="1:2" x14ac:dyDescent="0.25">
      <c r="A986" t="s">
        <v>984</v>
      </c>
      <c r="B986">
        <v>541</v>
      </c>
    </row>
    <row r="987" spans="1:2" x14ac:dyDescent="0.25">
      <c r="A987" t="s">
        <v>985</v>
      </c>
      <c r="B987">
        <v>542</v>
      </c>
    </row>
    <row r="988" spans="1:2" x14ac:dyDescent="0.25">
      <c r="A988" t="s">
        <v>986</v>
      </c>
      <c r="B988">
        <v>543</v>
      </c>
    </row>
    <row r="989" spans="1:2" x14ac:dyDescent="0.25">
      <c r="A989" t="s">
        <v>987</v>
      </c>
      <c r="B989">
        <v>544</v>
      </c>
    </row>
    <row r="990" spans="1:2" x14ac:dyDescent="0.25">
      <c r="A990" t="s">
        <v>988</v>
      </c>
      <c r="B990">
        <v>545</v>
      </c>
    </row>
    <row r="991" spans="1:2" x14ac:dyDescent="0.25">
      <c r="A991" t="s">
        <v>989</v>
      </c>
      <c r="B991">
        <v>546</v>
      </c>
    </row>
    <row r="992" spans="1:2" x14ac:dyDescent="0.25">
      <c r="A992" t="s">
        <v>990</v>
      </c>
      <c r="B992">
        <v>547</v>
      </c>
    </row>
    <row r="993" spans="1:2" x14ac:dyDescent="0.25">
      <c r="A993" t="s">
        <v>991</v>
      </c>
      <c r="B993">
        <v>548</v>
      </c>
    </row>
    <row r="994" spans="1:2" x14ac:dyDescent="0.25">
      <c r="A994" t="s">
        <v>992</v>
      </c>
      <c r="B994">
        <v>549</v>
      </c>
    </row>
    <row r="995" spans="1:2" x14ac:dyDescent="0.25">
      <c r="A995" t="s">
        <v>993</v>
      </c>
      <c r="B995">
        <v>550</v>
      </c>
    </row>
    <row r="996" spans="1:2" x14ac:dyDescent="0.25">
      <c r="A996" t="s">
        <v>994</v>
      </c>
      <c r="B996">
        <v>551</v>
      </c>
    </row>
    <row r="997" spans="1:2" x14ac:dyDescent="0.25">
      <c r="A997" t="s">
        <v>995</v>
      </c>
      <c r="B997">
        <v>552</v>
      </c>
    </row>
    <row r="998" spans="1:2" x14ac:dyDescent="0.25">
      <c r="A998" t="s">
        <v>996</v>
      </c>
      <c r="B998">
        <v>553</v>
      </c>
    </row>
    <row r="999" spans="1:2" x14ac:dyDescent="0.25">
      <c r="A999" t="s">
        <v>997</v>
      </c>
      <c r="B999">
        <v>64</v>
      </c>
    </row>
    <row r="1000" spans="1:2" x14ac:dyDescent="0.25">
      <c r="A1000" t="s">
        <v>998</v>
      </c>
      <c r="B1000">
        <v>65</v>
      </c>
    </row>
    <row r="1001" spans="1:2" x14ac:dyDescent="0.25">
      <c r="A1001" t="s">
        <v>999</v>
      </c>
      <c r="B1001">
        <v>839</v>
      </c>
    </row>
    <row r="1002" spans="1:2" x14ac:dyDescent="0.25">
      <c r="A1002" t="s">
        <v>1000</v>
      </c>
      <c r="B1002">
        <v>840</v>
      </c>
    </row>
    <row r="1003" spans="1:2" x14ac:dyDescent="0.25">
      <c r="A1003" t="s">
        <v>1001</v>
      </c>
      <c r="B1003">
        <v>68</v>
      </c>
    </row>
    <row r="1004" spans="1:2" x14ac:dyDescent="0.25">
      <c r="A1004" t="s">
        <v>1002</v>
      </c>
      <c r="B1004">
        <v>1366</v>
      </c>
    </row>
    <row r="1005" spans="1:2" x14ac:dyDescent="0.25">
      <c r="A1005" t="s">
        <v>1003</v>
      </c>
      <c r="B1005">
        <v>1367</v>
      </c>
    </row>
    <row r="1006" spans="1:2" x14ac:dyDescent="0.25">
      <c r="A1006" t="s">
        <v>1004</v>
      </c>
      <c r="B1006">
        <v>1368</v>
      </c>
    </row>
    <row r="1007" spans="1:2" x14ac:dyDescent="0.25">
      <c r="A1007" t="s">
        <v>1005</v>
      </c>
      <c r="B1007">
        <v>1369</v>
      </c>
    </row>
    <row r="1008" spans="1:2" x14ac:dyDescent="0.25">
      <c r="A1008" t="s">
        <v>1006</v>
      </c>
      <c r="B1008">
        <v>1370</v>
      </c>
    </row>
    <row r="1009" spans="1:2" x14ac:dyDescent="0.25">
      <c r="A1009" t="s">
        <v>1007</v>
      </c>
      <c r="B1009">
        <v>1371</v>
      </c>
    </row>
    <row r="1010" spans="1:2" x14ac:dyDescent="0.25">
      <c r="A1010" t="s">
        <v>1008</v>
      </c>
      <c r="B1010">
        <v>1372</v>
      </c>
    </row>
    <row r="1011" spans="1:2" x14ac:dyDescent="0.25">
      <c r="A1011" t="s">
        <v>1009</v>
      </c>
      <c r="B1011">
        <v>1407</v>
      </c>
    </row>
    <row r="1012" spans="1:2" x14ac:dyDescent="0.25">
      <c r="A1012" t="s">
        <v>1010</v>
      </c>
      <c r="B1012">
        <v>194</v>
      </c>
    </row>
    <row r="1013" spans="1:2" x14ac:dyDescent="0.25">
      <c r="A1013" t="s">
        <v>1011</v>
      </c>
      <c r="B1013">
        <v>1127</v>
      </c>
    </row>
    <row r="1014" spans="1:2" x14ac:dyDescent="0.25">
      <c r="A1014" t="s">
        <v>1012</v>
      </c>
      <c r="B1014">
        <v>1128</v>
      </c>
    </row>
    <row r="1015" spans="1:2" x14ac:dyDescent="0.25">
      <c r="A1015" t="s">
        <v>1013</v>
      </c>
      <c r="B1015">
        <v>1129</v>
      </c>
    </row>
    <row r="1016" spans="1:2" x14ac:dyDescent="0.25">
      <c r="A1016" t="s">
        <v>1014</v>
      </c>
      <c r="B1016">
        <v>1243</v>
      </c>
    </row>
    <row r="1017" spans="1:2" x14ac:dyDescent="0.25">
      <c r="A1017" t="s">
        <v>1015</v>
      </c>
      <c r="B1017">
        <v>1244</v>
      </c>
    </row>
    <row r="1018" spans="1:2" x14ac:dyDescent="0.25">
      <c r="A1018" t="s">
        <v>1016</v>
      </c>
      <c r="B1018">
        <v>1245</v>
      </c>
    </row>
    <row r="1019" spans="1:2" x14ac:dyDescent="0.25">
      <c r="A1019" t="s">
        <v>1017</v>
      </c>
      <c r="B1019">
        <v>1319</v>
      </c>
    </row>
    <row r="1020" spans="1:2" x14ac:dyDescent="0.25">
      <c r="A1020" t="s">
        <v>1018</v>
      </c>
      <c r="B1020">
        <v>1320</v>
      </c>
    </row>
    <row r="1021" spans="1:2" x14ac:dyDescent="0.25">
      <c r="A1021" t="s">
        <v>1019</v>
      </c>
      <c r="B1021">
        <v>1321</v>
      </c>
    </row>
    <row r="1022" spans="1:2" x14ac:dyDescent="0.25">
      <c r="A1022" t="s">
        <v>1020</v>
      </c>
      <c r="B1022">
        <v>1322</v>
      </c>
    </row>
    <row r="1023" spans="1:2" x14ac:dyDescent="0.25">
      <c r="A1023" t="s">
        <v>1021</v>
      </c>
      <c r="B1023">
        <v>1323</v>
      </c>
    </row>
    <row r="1024" spans="1:2" x14ac:dyDescent="0.25">
      <c r="A1024" t="s">
        <v>1022</v>
      </c>
      <c r="B1024">
        <v>1324</v>
      </c>
    </row>
    <row r="1025" spans="1:2" x14ac:dyDescent="0.25">
      <c r="A1025" t="s">
        <v>1023</v>
      </c>
      <c r="B1025">
        <v>1325</v>
      </c>
    </row>
    <row r="1026" spans="1:2" x14ac:dyDescent="0.25">
      <c r="A1026" t="s">
        <v>1024</v>
      </c>
      <c r="B1026">
        <v>1326</v>
      </c>
    </row>
    <row r="1027" spans="1:2" x14ac:dyDescent="0.25">
      <c r="A1027" t="s">
        <v>1025</v>
      </c>
      <c r="B1027">
        <v>1327</v>
      </c>
    </row>
    <row r="1028" spans="1:2" x14ac:dyDescent="0.25">
      <c r="A1028" t="s">
        <v>1026</v>
      </c>
      <c r="B1028">
        <v>1328</v>
      </c>
    </row>
    <row r="1029" spans="1:2" x14ac:dyDescent="0.25">
      <c r="A1029" t="s">
        <v>1027</v>
      </c>
      <c r="B1029">
        <v>1329</v>
      </c>
    </row>
    <row r="1030" spans="1:2" x14ac:dyDescent="0.25">
      <c r="A1030" t="s">
        <v>1028</v>
      </c>
      <c r="B1030">
        <v>1330</v>
      </c>
    </row>
    <row r="1031" spans="1:2" x14ac:dyDescent="0.25">
      <c r="A1031" t="s">
        <v>1029</v>
      </c>
      <c r="B1031">
        <v>1331</v>
      </c>
    </row>
    <row r="1032" spans="1:2" x14ac:dyDescent="0.25">
      <c r="A1032" t="s">
        <v>1030</v>
      </c>
      <c r="B1032">
        <v>1332</v>
      </c>
    </row>
    <row r="1033" spans="1:2" x14ac:dyDescent="0.25">
      <c r="A1033" t="s">
        <v>1031</v>
      </c>
      <c r="B1033">
        <v>1391</v>
      </c>
    </row>
    <row r="1034" spans="1:2" x14ac:dyDescent="0.25">
      <c r="A1034" t="s">
        <v>1032</v>
      </c>
      <c r="B1034">
        <v>1392</v>
      </c>
    </row>
    <row r="1035" spans="1:2" x14ac:dyDescent="0.25">
      <c r="A1035" t="s">
        <v>1033</v>
      </c>
      <c r="B1035">
        <v>1398</v>
      </c>
    </row>
    <row r="1036" spans="1:2" x14ac:dyDescent="0.25">
      <c r="A1036" t="s">
        <v>1034</v>
      </c>
      <c r="B1036">
        <v>1399</v>
      </c>
    </row>
    <row r="1037" spans="1:2" x14ac:dyDescent="0.25">
      <c r="A1037" t="s">
        <v>1035</v>
      </c>
      <c r="B1037">
        <v>1401</v>
      </c>
    </row>
    <row r="1038" spans="1:2" x14ac:dyDescent="0.25">
      <c r="A1038" t="s">
        <v>1036</v>
      </c>
      <c r="B1038">
        <v>1402</v>
      </c>
    </row>
    <row r="1039" spans="1:2" x14ac:dyDescent="0.25">
      <c r="A1039" t="s">
        <v>1037</v>
      </c>
      <c r="B1039">
        <v>195</v>
      </c>
    </row>
    <row r="1040" spans="1:2" x14ac:dyDescent="0.25">
      <c r="A1040" t="s">
        <v>1038</v>
      </c>
      <c r="B1040">
        <v>196</v>
      </c>
    </row>
    <row r="1041" spans="1:2" x14ac:dyDescent="0.25">
      <c r="A1041" t="s">
        <v>1039</v>
      </c>
      <c r="B1041">
        <v>197</v>
      </c>
    </row>
    <row r="1042" spans="1:2" x14ac:dyDescent="0.25">
      <c r="A1042" t="s">
        <v>1040</v>
      </c>
      <c r="B1042">
        <v>198</v>
      </c>
    </row>
    <row r="1043" spans="1:2" x14ac:dyDescent="0.25">
      <c r="A1043" t="s">
        <v>1041</v>
      </c>
      <c r="B1043">
        <v>199</v>
      </c>
    </row>
    <row r="1044" spans="1:2" x14ac:dyDescent="0.25">
      <c r="A1044" t="s">
        <v>1042</v>
      </c>
      <c r="B1044">
        <v>200</v>
      </c>
    </row>
    <row r="1045" spans="1:2" x14ac:dyDescent="0.25">
      <c r="A1045" t="s">
        <v>1043</v>
      </c>
      <c r="B1045">
        <v>201</v>
      </c>
    </row>
    <row r="1046" spans="1:2" x14ac:dyDescent="0.25">
      <c r="A1046" t="s">
        <v>1044</v>
      </c>
      <c r="B1046">
        <v>431</v>
      </c>
    </row>
    <row r="1047" spans="1:2" x14ac:dyDescent="0.25">
      <c r="A1047" t="s">
        <v>1045</v>
      </c>
      <c r="B1047">
        <v>432</v>
      </c>
    </row>
    <row r="1048" spans="1:2" x14ac:dyDescent="0.25">
      <c r="A1048" t="s">
        <v>1046</v>
      </c>
      <c r="B1048">
        <v>433</v>
      </c>
    </row>
    <row r="1049" spans="1:2" x14ac:dyDescent="0.25">
      <c r="A1049" t="s">
        <v>1047</v>
      </c>
      <c r="B1049">
        <v>434</v>
      </c>
    </row>
    <row r="1050" spans="1:2" x14ac:dyDescent="0.25">
      <c r="A1050" t="s">
        <v>1048</v>
      </c>
      <c r="B1050">
        <v>435</v>
      </c>
    </row>
    <row r="1051" spans="1:2" x14ac:dyDescent="0.25">
      <c r="A1051" t="s">
        <v>1049</v>
      </c>
      <c r="B1051">
        <v>436</v>
      </c>
    </row>
    <row r="1052" spans="1:2" x14ac:dyDescent="0.25">
      <c r="A1052" t="s">
        <v>1050</v>
      </c>
      <c r="B1052">
        <v>437</v>
      </c>
    </row>
    <row r="1053" spans="1:2" x14ac:dyDescent="0.25">
      <c r="A1053" t="s">
        <v>1051</v>
      </c>
      <c r="B1053">
        <v>438</v>
      </c>
    </row>
    <row r="1054" spans="1:2" x14ac:dyDescent="0.25">
      <c r="A1054" t="s">
        <v>1052</v>
      </c>
      <c r="B1054">
        <v>439</v>
      </c>
    </row>
    <row r="1055" spans="1:2" x14ac:dyDescent="0.25">
      <c r="A1055" t="s">
        <v>1053</v>
      </c>
      <c r="B1055">
        <v>440</v>
      </c>
    </row>
    <row r="1056" spans="1:2" x14ac:dyDescent="0.25">
      <c r="A1056" t="s">
        <v>1054</v>
      </c>
      <c r="B1056">
        <v>449</v>
      </c>
    </row>
    <row r="1057" spans="1:2" x14ac:dyDescent="0.25">
      <c r="A1057" t="s">
        <v>1055</v>
      </c>
      <c r="B1057">
        <v>450</v>
      </c>
    </row>
    <row r="1058" spans="1:2" x14ac:dyDescent="0.25">
      <c r="A1058" t="s">
        <v>1056</v>
      </c>
      <c r="B1058">
        <v>451</v>
      </c>
    </row>
    <row r="1059" spans="1:2" x14ac:dyDescent="0.25">
      <c r="A1059" t="s">
        <v>1057</v>
      </c>
      <c r="B1059">
        <v>702</v>
      </c>
    </row>
    <row r="1060" spans="1:2" x14ac:dyDescent="0.25">
      <c r="A1060" t="s">
        <v>1058</v>
      </c>
      <c r="B1060">
        <v>703</v>
      </c>
    </row>
    <row r="1061" spans="1:2" x14ac:dyDescent="0.25">
      <c r="A1061" t="s">
        <v>1059</v>
      </c>
      <c r="B1061">
        <v>704</v>
      </c>
    </row>
    <row r="1062" spans="1:2" x14ac:dyDescent="0.25">
      <c r="A1062" t="s">
        <v>1060</v>
      </c>
      <c r="B1062">
        <v>748</v>
      </c>
    </row>
    <row r="1063" spans="1:2" x14ac:dyDescent="0.25">
      <c r="A1063" t="s">
        <v>1061</v>
      </c>
      <c r="B1063">
        <v>749</v>
      </c>
    </row>
    <row r="1064" spans="1:2" x14ac:dyDescent="0.25">
      <c r="A1064" t="s">
        <v>1062</v>
      </c>
      <c r="B1064">
        <v>750</v>
      </c>
    </row>
    <row r="1065" spans="1:2" x14ac:dyDescent="0.25">
      <c r="A1065" t="s">
        <v>1063</v>
      </c>
      <c r="B1065">
        <v>830</v>
      </c>
    </row>
    <row r="1066" spans="1:2" x14ac:dyDescent="0.25">
      <c r="A1066" t="s">
        <v>1064</v>
      </c>
      <c r="B1066">
        <v>831</v>
      </c>
    </row>
    <row r="1067" spans="1:2" x14ac:dyDescent="0.25">
      <c r="A1067" t="s">
        <v>1065</v>
      </c>
      <c r="B1067">
        <v>832</v>
      </c>
    </row>
    <row r="1068" spans="1:2" x14ac:dyDescent="0.25">
      <c r="A1068" t="s">
        <v>1066</v>
      </c>
      <c r="B1068">
        <v>833</v>
      </c>
    </row>
    <row r="1069" spans="1:2" x14ac:dyDescent="0.25">
      <c r="A1069" t="s">
        <v>1067</v>
      </c>
      <c r="B1069">
        <v>834</v>
      </c>
    </row>
    <row r="1070" spans="1:2" x14ac:dyDescent="0.25">
      <c r="A1070" t="s">
        <v>1068</v>
      </c>
      <c r="B1070">
        <v>835</v>
      </c>
    </row>
    <row r="1071" spans="1:2" x14ac:dyDescent="0.25">
      <c r="A1071" t="s">
        <v>1069</v>
      </c>
      <c r="B1071">
        <v>836</v>
      </c>
    </row>
    <row r="1072" spans="1:2" x14ac:dyDescent="0.25">
      <c r="A1072" t="s">
        <v>1070</v>
      </c>
      <c r="B1072">
        <v>959</v>
      </c>
    </row>
    <row r="1073" spans="1:2" x14ac:dyDescent="0.25">
      <c r="A1073" t="s">
        <v>1071</v>
      </c>
      <c r="B1073">
        <v>960</v>
      </c>
    </row>
    <row r="1074" spans="1:2" x14ac:dyDescent="0.25">
      <c r="A1074" t="s">
        <v>1072</v>
      </c>
      <c r="B1074">
        <v>961</v>
      </c>
    </row>
    <row r="1075" spans="1:2" x14ac:dyDescent="0.25">
      <c r="A1075" t="s">
        <v>1073</v>
      </c>
      <c r="B1075">
        <v>962</v>
      </c>
    </row>
    <row r="1076" spans="1:2" x14ac:dyDescent="0.25">
      <c r="A1076" t="s">
        <v>1074</v>
      </c>
      <c r="B1076">
        <v>963</v>
      </c>
    </row>
    <row r="1077" spans="1:2" x14ac:dyDescent="0.25">
      <c r="A1077" t="s">
        <v>1075</v>
      </c>
      <c r="B1077">
        <v>964</v>
      </c>
    </row>
    <row r="1078" spans="1:2" x14ac:dyDescent="0.25">
      <c r="A1078" t="s">
        <v>1076</v>
      </c>
      <c r="B1078">
        <v>965</v>
      </c>
    </row>
    <row r="1079" spans="1:2" x14ac:dyDescent="0.25">
      <c r="A1079" t="s">
        <v>1077</v>
      </c>
      <c r="B1079">
        <v>966</v>
      </c>
    </row>
    <row r="1080" spans="1:2" x14ac:dyDescent="0.25">
      <c r="A1080" t="s">
        <v>1078</v>
      </c>
      <c r="B1080">
        <v>967</v>
      </c>
    </row>
    <row r="1081" spans="1:2" x14ac:dyDescent="0.25">
      <c r="A1081" t="s">
        <v>1079</v>
      </c>
      <c r="B1081">
        <v>968</v>
      </c>
    </row>
    <row r="1082" spans="1:2" x14ac:dyDescent="0.25">
      <c r="A1082" t="s">
        <v>1080</v>
      </c>
      <c r="B1082">
        <v>969</v>
      </c>
    </row>
    <row r="1083" spans="1:2" x14ac:dyDescent="0.25">
      <c r="A1083" t="s">
        <v>1081</v>
      </c>
      <c r="B1083">
        <v>970</v>
      </c>
    </row>
    <row r="1084" spans="1:2" x14ac:dyDescent="0.25">
      <c r="A1084" t="s">
        <v>1082</v>
      </c>
      <c r="B1084">
        <v>971</v>
      </c>
    </row>
    <row r="1085" spans="1:2" x14ac:dyDescent="0.25">
      <c r="A1085" t="s">
        <v>1083</v>
      </c>
      <c r="B1085">
        <v>972</v>
      </c>
    </row>
    <row r="1086" spans="1:2" x14ac:dyDescent="0.25">
      <c r="A1086" t="s">
        <v>1084</v>
      </c>
      <c r="B1086">
        <v>277</v>
      </c>
    </row>
    <row r="1087" spans="1:2" x14ac:dyDescent="0.25">
      <c r="A1087" t="s">
        <v>1085</v>
      </c>
      <c r="B1087">
        <v>1117</v>
      </c>
    </row>
    <row r="1088" spans="1:2" x14ac:dyDescent="0.25">
      <c r="A1088" t="s">
        <v>1086</v>
      </c>
      <c r="B1088">
        <v>1118</v>
      </c>
    </row>
    <row r="1089" spans="1:2" x14ac:dyDescent="0.25">
      <c r="A1089" t="s">
        <v>1087</v>
      </c>
      <c r="B1089">
        <v>1119</v>
      </c>
    </row>
    <row r="1090" spans="1:2" x14ac:dyDescent="0.25">
      <c r="A1090" t="s">
        <v>1088</v>
      </c>
      <c r="B1090">
        <v>1120</v>
      </c>
    </row>
    <row r="1091" spans="1:2" x14ac:dyDescent="0.25">
      <c r="A1091" t="s">
        <v>1089</v>
      </c>
      <c r="B1091">
        <v>1121</v>
      </c>
    </row>
    <row r="1092" spans="1:2" x14ac:dyDescent="0.25">
      <c r="A1092" t="s">
        <v>1090</v>
      </c>
      <c r="B1092">
        <v>1122</v>
      </c>
    </row>
    <row r="1093" spans="1:2" x14ac:dyDescent="0.25">
      <c r="A1093" t="s">
        <v>1091</v>
      </c>
      <c r="B1093">
        <v>1123</v>
      </c>
    </row>
    <row r="1094" spans="1:2" x14ac:dyDescent="0.25">
      <c r="A1094" t="s">
        <v>1092</v>
      </c>
      <c r="B1094">
        <v>1124</v>
      </c>
    </row>
    <row r="1095" spans="1:2" x14ac:dyDescent="0.25">
      <c r="A1095" t="s">
        <v>1093</v>
      </c>
      <c r="B1095">
        <v>1125</v>
      </c>
    </row>
    <row r="1096" spans="1:2" x14ac:dyDescent="0.25">
      <c r="A1096" t="s">
        <v>1094</v>
      </c>
      <c r="B1096">
        <v>1126</v>
      </c>
    </row>
    <row r="1097" spans="1:2" x14ac:dyDescent="0.25">
      <c r="A1097" t="s">
        <v>1095</v>
      </c>
      <c r="B1097">
        <v>278</v>
      </c>
    </row>
    <row r="1098" spans="1:2" x14ac:dyDescent="0.25">
      <c r="A1098" t="s">
        <v>1096</v>
      </c>
      <c r="B1098">
        <v>279</v>
      </c>
    </row>
    <row r="1099" spans="1:2" x14ac:dyDescent="0.25">
      <c r="A1099" t="s">
        <v>1097</v>
      </c>
      <c r="B1099">
        <v>797</v>
      </c>
    </row>
    <row r="1100" spans="1:2" x14ac:dyDescent="0.25">
      <c r="A1100" t="s">
        <v>1098</v>
      </c>
      <c r="B1100">
        <v>798</v>
      </c>
    </row>
    <row r="1101" spans="1:2" x14ac:dyDescent="0.25">
      <c r="A1101" t="s">
        <v>1099</v>
      </c>
      <c r="B1101">
        <v>799</v>
      </c>
    </row>
    <row r="1102" spans="1:2" x14ac:dyDescent="0.25">
      <c r="A1102" t="s">
        <v>1100</v>
      </c>
      <c r="B1102">
        <v>800</v>
      </c>
    </row>
    <row r="1103" spans="1:2" x14ac:dyDescent="0.25">
      <c r="A1103" t="s">
        <v>1101</v>
      </c>
      <c r="B1103">
        <v>801</v>
      </c>
    </row>
    <row r="1104" spans="1:2" x14ac:dyDescent="0.25">
      <c r="A1104" t="s">
        <v>1102</v>
      </c>
      <c r="B1104">
        <v>802</v>
      </c>
    </row>
    <row r="1105" spans="1:2" x14ac:dyDescent="0.25">
      <c r="A1105" t="s">
        <v>1103</v>
      </c>
      <c r="B1105">
        <v>803</v>
      </c>
    </row>
    <row r="1106" spans="1:2" x14ac:dyDescent="0.25">
      <c r="A1106" t="s">
        <v>1104</v>
      </c>
      <c r="B1106">
        <v>804</v>
      </c>
    </row>
    <row r="1107" spans="1:2" x14ac:dyDescent="0.25">
      <c r="A1107" t="s">
        <v>1105</v>
      </c>
      <c r="B1107">
        <v>805</v>
      </c>
    </row>
    <row r="1108" spans="1:2" x14ac:dyDescent="0.25">
      <c r="A1108" t="s">
        <v>1106</v>
      </c>
      <c r="B1108">
        <v>806</v>
      </c>
    </row>
    <row r="1109" spans="1:2" x14ac:dyDescent="0.25">
      <c r="A1109" t="s">
        <v>1107</v>
      </c>
      <c r="B1109">
        <v>807</v>
      </c>
    </row>
    <row r="1110" spans="1:2" x14ac:dyDescent="0.25">
      <c r="A1110" t="s">
        <v>1108</v>
      </c>
      <c r="B1110">
        <v>808</v>
      </c>
    </row>
    <row r="1111" spans="1:2" x14ac:dyDescent="0.25">
      <c r="A1111" t="s">
        <v>1109</v>
      </c>
      <c r="B1111">
        <v>809</v>
      </c>
    </row>
    <row r="1112" spans="1:2" x14ac:dyDescent="0.25">
      <c r="A1112" t="s">
        <v>1110</v>
      </c>
      <c r="B1112">
        <v>810</v>
      </c>
    </row>
    <row r="1113" spans="1:2" x14ac:dyDescent="0.25">
      <c r="A1113" t="s">
        <v>1111</v>
      </c>
      <c r="B1113">
        <v>811</v>
      </c>
    </row>
    <row r="1114" spans="1:2" x14ac:dyDescent="0.25">
      <c r="A1114" t="s">
        <v>1112</v>
      </c>
      <c r="B1114">
        <v>812</v>
      </c>
    </row>
    <row r="1115" spans="1:2" x14ac:dyDescent="0.25">
      <c r="A1115" t="s">
        <v>1113</v>
      </c>
      <c r="B1115">
        <v>813</v>
      </c>
    </row>
    <row r="1116" spans="1:2" x14ac:dyDescent="0.25">
      <c r="A1116" t="s">
        <v>1114</v>
      </c>
      <c r="B1116">
        <v>814</v>
      </c>
    </row>
    <row r="1117" spans="1:2" x14ac:dyDescent="0.25">
      <c r="A1117" t="s">
        <v>1115</v>
      </c>
      <c r="B1117">
        <v>815</v>
      </c>
    </row>
    <row r="1118" spans="1:2" x14ac:dyDescent="0.25">
      <c r="A1118" t="s">
        <v>1116</v>
      </c>
      <c r="B1118">
        <v>816</v>
      </c>
    </row>
    <row r="1119" spans="1:2" x14ac:dyDescent="0.25">
      <c r="A1119" t="s">
        <v>1117</v>
      </c>
      <c r="B1119">
        <v>817</v>
      </c>
    </row>
    <row r="1120" spans="1:2" x14ac:dyDescent="0.25">
      <c r="A1120" t="s">
        <v>1118</v>
      </c>
      <c r="B1120">
        <v>818</v>
      </c>
    </row>
    <row r="1121" spans="1:2" x14ac:dyDescent="0.25">
      <c r="A1121" t="s">
        <v>1119</v>
      </c>
      <c r="B1121">
        <v>860</v>
      </c>
    </row>
    <row r="1122" spans="1:2" x14ac:dyDescent="0.25">
      <c r="A1122" t="s">
        <v>1120</v>
      </c>
      <c r="B1122">
        <v>861</v>
      </c>
    </row>
    <row r="1123" spans="1:2" x14ac:dyDescent="0.25">
      <c r="A1123" t="s">
        <v>1121</v>
      </c>
      <c r="B1123">
        <v>862</v>
      </c>
    </row>
    <row r="1124" spans="1:2" x14ac:dyDescent="0.25">
      <c r="A1124" t="s">
        <v>1122</v>
      </c>
      <c r="B1124">
        <v>863</v>
      </c>
    </row>
    <row r="1125" spans="1:2" x14ac:dyDescent="0.25">
      <c r="A1125" t="s">
        <v>1123</v>
      </c>
      <c r="B1125">
        <v>981</v>
      </c>
    </row>
    <row r="1126" spans="1:2" x14ac:dyDescent="0.25">
      <c r="A1126" t="s">
        <v>1124</v>
      </c>
      <c r="B1126">
        <v>1408</v>
      </c>
    </row>
    <row r="1127" spans="1:2" x14ac:dyDescent="0.25">
      <c r="A1127" t="s">
        <v>1125</v>
      </c>
      <c r="B1127">
        <v>982</v>
      </c>
    </row>
    <row r="1128" spans="1:2" x14ac:dyDescent="0.25">
      <c r="A1128" t="s">
        <v>1126</v>
      </c>
      <c r="B1128">
        <v>983</v>
      </c>
    </row>
    <row r="1129" spans="1:2" x14ac:dyDescent="0.25">
      <c r="A1129" t="s">
        <v>1127</v>
      </c>
      <c r="B1129">
        <v>984</v>
      </c>
    </row>
    <row r="1130" spans="1:2" x14ac:dyDescent="0.25">
      <c r="A1130" t="s">
        <v>1128</v>
      </c>
      <c r="B1130">
        <v>985</v>
      </c>
    </row>
    <row r="1131" spans="1:2" x14ac:dyDescent="0.25">
      <c r="A1131" t="s">
        <v>1129</v>
      </c>
      <c r="B1131">
        <v>986</v>
      </c>
    </row>
    <row r="1132" spans="1:2" x14ac:dyDescent="0.25">
      <c r="A1132" t="s">
        <v>1130</v>
      </c>
      <c r="B1132">
        <v>987</v>
      </c>
    </row>
    <row r="1133" spans="1:2" x14ac:dyDescent="0.25">
      <c r="A1133" t="s">
        <v>1131</v>
      </c>
      <c r="B1133">
        <v>988</v>
      </c>
    </row>
    <row r="1134" spans="1:2" x14ac:dyDescent="0.25">
      <c r="A1134" t="s">
        <v>1132</v>
      </c>
      <c r="B1134">
        <v>989</v>
      </c>
    </row>
    <row r="1135" spans="1:2" x14ac:dyDescent="0.25">
      <c r="A1135" t="s">
        <v>1133</v>
      </c>
      <c r="B1135">
        <v>990</v>
      </c>
    </row>
    <row r="1136" spans="1:2" x14ac:dyDescent="0.25">
      <c r="A1136" t="s">
        <v>1134</v>
      </c>
      <c r="B1136">
        <v>991</v>
      </c>
    </row>
    <row r="1137" spans="1:2" x14ac:dyDescent="0.25">
      <c r="A1137" t="s">
        <v>1135</v>
      </c>
      <c r="B1137">
        <v>992</v>
      </c>
    </row>
    <row r="1138" spans="1:2" x14ac:dyDescent="0.25">
      <c r="A1138" t="s">
        <v>1136</v>
      </c>
      <c r="B1138">
        <v>993</v>
      </c>
    </row>
    <row r="1139" spans="1:2" x14ac:dyDescent="0.25">
      <c r="A1139" t="s">
        <v>1137</v>
      </c>
      <c r="B1139">
        <v>994</v>
      </c>
    </row>
    <row r="1140" spans="1:2" x14ac:dyDescent="0.25">
      <c r="A1140" t="s">
        <v>1138</v>
      </c>
      <c r="B1140">
        <v>995</v>
      </c>
    </row>
    <row r="1141" spans="1:2" x14ac:dyDescent="0.25">
      <c r="A1141" t="s">
        <v>1139</v>
      </c>
      <c r="B1141">
        <v>996</v>
      </c>
    </row>
    <row r="1142" spans="1:2" x14ac:dyDescent="0.25">
      <c r="A1142" t="s">
        <v>1140</v>
      </c>
      <c r="B1142">
        <v>997</v>
      </c>
    </row>
    <row r="1143" spans="1:2" x14ac:dyDescent="0.25">
      <c r="A1143" t="s">
        <v>1141</v>
      </c>
      <c r="B1143">
        <v>998</v>
      </c>
    </row>
    <row r="1144" spans="1:2" x14ac:dyDescent="0.25">
      <c r="A1144" t="s">
        <v>1142</v>
      </c>
      <c r="B1144">
        <v>999</v>
      </c>
    </row>
    <row r="1145" spans="1:2" x14ac:dyDescent="0.25">
      <c r="A1145" t="s">
        <v>1143</v>
      </c>
      <c r="B1145">
        <v>309</v>
      </c>
    </row>
    <row r="1146" spans="1:2" x14ac:dyDescent="0.25">
      <c r="A1146" t="s">
        <v>1144</v>
      </c>
      <c r="B1146">
        <v>1027</v>
      </c>
    </row>
    <row r="1147" spans="1:2" x14ac:dyDescent="0.25">
      <c r="A1147" t="s">
        <v>1145</v>
      </c>
      <c r="B1147">
        <v>1028</v>
      </c>
    </row>
    <row r="1148" spans="1:2" x14ac:dyDescent="0.25">
      <c r="A1148" t="s">
        <v>1146</v>
      </c>
      <c r="B1148">
        <v>1029</v>
      </c>
    </row>
    <row r="1149" spans="1:2" x14ac:dyDescent="0.25">
      <c r="A1149" t="s">
        <v>1147</v>
      </c>
      <c r="B1149">
        <v>1030</v>
      </c>
    </row>
    <row r="1150" spans="1:2" x14ac:dyDescent="0.25">
      <c r="A1150" t="s">
        <v>1148</v>
      </c>
      <c r="B1150">
        <v>1078</v>
      </c>
    </row>
    <row r="1151" spans="1:2" x14ac:dyDescent="0.25">
      <c r="A1151" t="s">
        <v>1149</v>
      </c>
      <c r="B1151">
        <v>1079</v>
      </c>
    </row>
    <row r="1152" spans="1:2" x14ac:dyDescent="0.25">
      <c r="A1152" t="s">
        <v>1150</v>
      </c>
      <c r="B1152">
        <v>1080</v>
      </c>
    </row>
    <row r="1153" spans="1:2" x14ac:dyDescent="0.25">
      <c r="A1153" t="s">
        <v>1151</v>
      </c>
      <c r="B1153">
        <v>1081</v>
      </c>
    </row>
    <row r="1154" spans="1:2" x14ac:dyDescent="0.25">
      <c r="A1154" t="s">
        <v>1152</v>
      </c>
      <c r="B1154">
        <v>1082</v>
      </c>
    </row>
    <row r="1155" spans="1:2" x14ac:dyDescent="0.25">
      <c r="A1155" t="s">
        <v>1153</v>
      </c>
      <c r="B1155">
        <v>1083</v>
      </c>
    </row>
    <row r="1156" spans="1:2" x14ac:dyDescent="0.25">
      <c r="A1156" t="s">
        <v>1154</v>
      </c>
      <c r="B1156">
        <v>1084</v>
      </c>
    </row>
    <row r="1157" spans="1:2" x14ac:dyDescent="0.25">
      <c r="A1157" t="s">
        <v>1155</v>
      </c>
      <c r="B1157">
        <v>1085</v>
      </c>
    </row>
    <row r="1158" spans="1:2" x14ac:dyDescent="0.25">
      <c r="A1158" t="s">
        <v>1156</v>
      </c>
      <c r="B1158">
        <v>1086</v>
      </c>
    </row>
    <row r="1159" spans="1:2" x14ac:dyDescent="0.25">
      <c r="A1159" t="s">
        <v>1157</v>
      </c>
      <c r="B1159">
        <v>1087</v>
      </c>
    </row>
    <row r="1160" spans="1:2" x14ac:dyDescent="0.25">
      <c r="A1160" t="s">
        <v>1158</v>
      </c>
      <c r="B1160">
        <v>1088</v>
      </c>
    </row>
    <row r="1161" spans="1:2" x14ac:dyDescent="0.25">
      <c r="A1161" t="s">
        <v>1159</v>
      </c>
      <c r="B1161">
        <v>1089</v>
      </c>
    </row>
    <row r="1162" spans="1:2" x14ac:dyDescent="0.25">
      <c r="A1162" t="s">
        <v>1160</v>
      </c>
      <c r="B1162">
        <v>1090</v>
      </c>
    </row>
    <row r="1163" spans="1:2" x14ac:dyDescent="0.25">
      <c r="A1163" t="s">
        <v>1161</v>
      </c>
      <c r="B1163">
        <v>1091</v>
      </c>
    </row>
    <row r="1164" spans="1:2" x14ac:dyDescent="0.25">
      <c r="A1164" t="s">
        <v>1162</v>
      </c>
      <c r="B1164">
        <v>1092</v>
      </c>
    </row>
    <row r="1165" spans="1:2" x14ac:dyDescent="0.25">
      <c r="A1165" t="s">
        <v>1163</v>
      </c>
      <c r="B1165">
        <v>1093</v>
      </c>
    </row>
    <row r="1166" spans="1:2" x14ac:dyDescent="0.25">
      <c r="A1166" t="s">
        <v>1164</v>
      </c>
      <c r="B1166">
        <v>1094</v>
      </c>
    </row>
    <row r="1167" spans="1:2" x14ac:dyDescent="0.25">
      <c r="A1167" t="s">
        <v>1165</v>
      </c>
      <c r="B1167">
        <v>1095</v>
      </c>
    </row>
    <row r="1168" spans="1:2" x14ac:dyDescent="0.25">
      <c r="A1168" t="s">
        <v>1166</v>
      </c>
      <c r="B1168">
        <v>1096</v>
      </c>
    </row>
    <row r="1169" spans="1:2" x14ac:dyDescent="0.25">
      <c r="A1169" t="s">
        <v>1167</v>
      </c>
      <c r="B1169">
        <v>1133</v>
      </c>
    </row>
    <row r="1170" spans="1:2" x14ac:dyDescent="0.25">
      <c r="A1170" t="s">
        <v>1168</v>
      </c>
      <c r="B1170">
        <v>1134</v>
      </c>
    </row>
    <row r="1171" spans="1:2" x14ac:dyDescent="0.25">
      <c r="A1171" t="s">
        <v>1169</v>
      </c>
      <c r="B1171">
        <v>1135</v>
      </c>
    </row>
    <row r="1172" spans="1:2" x14ac:dyDescent="0.25">
      <c r="A1172" t="s">
        <v>1170</v>
      </c>
      <c r="B1172">
        <v>1136</v>
      </c>
    </row>
    <row r="1173" spans="1:2" x14ac:dyDescent="0.25">
      <c r="A1173" t="s">
        <v>1171</v>
      </c>
      <c r="B1173">
        <v>1215</v>
      </c>
    </row>
    <row r="1174" spans="1:2" x14ac:dyDescent="0.25">
      <c r="A1174" t="s">
        <v>1172</v>
      </c>
      <c r="B1174">
        <v>1216</v>
      </c>
    </row>
    <row r="1175" spans="1:2" x14ac:dyDescent="0.25">
      <c r="A1175" t="s">
        <v>1173</v>
      </c>
      <c r="B1175">
        <v>1217</v>
      </c>
    </row>
    <row r="1176" spans="1:2" x14ac:dyDescent="0.25">
      <c r="A1176" t="s">
        <v>1174</v>
      </c>
      <c r="B1176">
        <v>1218</v>
      </c>
    </row>
    <row r="1177" spans="1:2" x14ac:dyDescent="0.25">
      <c r="A1177" t="s">
        <v>1175</v>
      </c>
      <c r="B1177">
        <v>1219</v>
      </c>
    </row>
    <row r="1178" spans="1:2" x14ac:dyDescent="0.25">
      <c r="A1178" t="s">
        <v>1176</v>
      </c>
      <c r="B1178">
        <v>1220</v>
      </c>
    </row>
    <row r="1179" spans="1:2" x14ac:dyDescent="0.25">
      <c r="A1179" t="s">
        <v>1177</v>
      </c>
      <c r="B1179">
        <v>1373</v>
      </c>
    </row>
    <row r="1180" spans="1:2" x14ac:dyDescent="0.25">
      <c r="A1180" t="s">
        <v>1178</v>
      </c>
      <c r="B1180">
        <v>1374</v>
      </c>
    </row>
    <row r="1181" spans="1:2" x14ac:dyDescent="0.25">
      <c r="A1181" t="s">
        <v>1179</v>
      </c>
      <c r="B1181">
        <v>1375</v>
      </c>
    </row>
    <row r="1182" spans="1:2" x14ac:dyDescent="0.25">
      <c r="A1182" t="s">
        <v>1180</v>
      </c>
      <c r="B1182">
        <v>1376</v>
      </c>
    </row>
    <row r="1183" spans="1:2" x14ac:dyDescent="0.25">
      <c r="A1183" t="s">
        <v>1181</v>
      </c>
      <c r="B1183">
        <v>1377</v>
      </c>
    </row>
    <row r="1184" spans="1:2" x14ac:dyDescent="0.25">
      <c r="A1184" t="s">
        <v>1182</v>
      </c>
      <c r="B1184">
        <v>1378</v>
      </c>
    </row>
    <row r="1185" spans="1:2" x14ac:dyDescent="0.25">
      <c r="A1185" t="s">
        <v>1183</v>
      </c>
      <c r="B1185">
        <v>1379</v>
      </c>
    </row>
    <row r="1186" spans="1:2" x14ac:dyDescent="0.25">
      <c r="A1186" t="s">
        <v>1184</v>
      </c>
      <c r="B1186">
        <v>1380</v>
      </c>
    </row>
    <row r="1187" spans="1:2" x14ac:dyDescent="0.25">
      <c r="A1187" t="s">
        <v>1185</v>
      </c>
      <c r="B1187">
        <v>1381</v>
      </c>
    </row>
    <row r="1188" spans="1:2" x14ac:dyDescent="0.25">
      <c r="A1188" t="s">
        <v>1186</v>
      </c>
      <c r="B1188">
        <v>1382</v>
      </c>
    </row>
    <row r="1189" spans="1:2" x14ac:dyDescent="0.25">
      <c r="A1189" t="s">
        <v>1187</v>
      </c>
      <c r="B1189">
        <v>1405</v>
      </c>
    </row>
    <row r="1190" spans="1:2" x14ac:dyDescent="0.25">
      <c r="A1190" t="s">
        <v>1188</v>
      </c>
      <c r="B1190">
        <v>1406</v>
      </c>
    </row>
    <row r="1191" spans="1:2" x14ac:dyDescent="0.25">
      <c r="A1191" t="s">
        <v>1189</v>
      </c>
      <c r="B1191">
        <v>310</v>
      </c>
    </row>
    <row r="1192" spans="1:2" x14ac:dyDescent="0.25">
      <c r="A1192" t="s">
        <v>1190</v>
      </c>
      <c r="B1192">
        <v>311</v>
      </c>
    </row>
    <row r="1193" spans="1:2" x14ac:dyDescent="0.25">
      <c r="A1193" t="s">
        <v>1191</v>
      </c>
      <c r="B1193">
        <v>312</v>
      </c>
    </row>
    <row r="1194" spans="1:2" x14ac:dyDescent="0.25">
      <c r="A1194" t="s">
        <v>1192</v>
      </c>
      <c r="B1194">
        <v>313</v>
      </c>
    </row>
    <row r="1195" spans="1:2" x14ac:dyDescent="0.25">
      <c r="A1195" t="s">
        <v>1193</v>
      </c>
      <c r="B1195">
        <v>314</v>
      </c>
    </row>
    <row r="1196" spans="1:2" x14ac:dyDescent="0.25">
      <c r="A1196" t="s">
        <v>1194</v>
      </c>
      <c r="B1196">
        <v>315</v>
      </c>
    </row>
    <row r="1197" spans="1:2" x14ac:dyDescent="0.25">
      <c r="A1197" t="s">
        <v>1195</v>
      </c>
      <c r="B1197">
        <v>409</v>
      </c>
    </row>
    <row r="1198" spans="1:2" x14ac:dyDescent="0.25">
      <c r="A1198" t="s">
        <v>1196</v>
      </c>
      <c r="B1198">
        <v>410</v>
      </c>
    </row>
    <row r="1199" spans="1:2" x14ac:dyDescent="0.25">
      <c r="A1199" t="s">
        <v>1197</v>
      </c>
      <c r="B1199">
        <v>411</v>
      </c>
    </row>
    <row r="1200" spans="1:2" x14ac:dyDescent="0.25">
      <c r="A1200" t="s">
        <v>1198</v>
      </c>
      <c r="B1200">
        <v>412</v>
      </c>
    </row>
    <row r="1201" spans="1:2" x14ac:dyDescent="0.25">
      <c r="A1201" t="s">
        <v>1199</v>
      </c>
      <c r="B1201">
        <v>413</v>
      </c>
    </row>
    <row r="1202" spans="1:2" x14ac:dyDescent="0.25">
      <c r="A1202" t="s">
        <v>1200</v>
      </c>
      <c r="B1202">
        <v>414</v>
      </c>
    </row>
    <row r="1203" spans="1:2" x14ac:dyDescent="0.25">
      <c r="A1203" t="s">
        <v>1201</v>
      </c>
      <c r="B1203">
        <v>415</v>
      </c>
    </row>
    <row r="1204" spans="1:2" x14ac:dyDescent="0.25">
      <c r="A1204" t="s">
        <v>1202</v>
      </c>
      <c r="B1204">
        <v>416</v>
      </c>
    </row>
    <row r="1205" spans="1:2" x14ac:dyDescent="0.25">
      <c r="A1205" t="s">
        <v>1203</v>
      </c>
      <c r="B1205">
        <v>417</v>
      </c>
    </row>
    <row r="1206" spans="1:2" x14ac:dyDescent="0.25">
      <c r="A1206" t="s">
        <v>1204</v>
      </c>
      <c r="B1206">
        <v>418</v>
      </c>
    </row>
    <row r="1207" spans="1:2" x14ac:dyDescent="0.25">
      <c r="A1207" t="s">
        <v>1205</v>
      </c>
      <c r="B1207">
        <v>419</v>
      </c>
    </row>
    <row r="1208" spans="1:2" x14ac:dyDescent="0.25">
      <c r="A1208" t="s">
        <v>1206</v>
      </c>
      <c r="B1208">
        <v>420</v>
      </c>
    </row>
    <row r="1209" spans="1:2" x14ac:dyDescent="0.25">
      <c r="A1209" t="s">
        <v>1207</v>
      </c>
      <c r="B1209">
        <v>421</v>
      </c>
    </row>
    <row r="1210" spans="1:2" x14ac:dyDescent="0.25">
      <c r="A1210" t="s">
        <v>1208</v>
      </c>
      <c r="B1210">
        <v>422</v>
      </c>
    </row>
    <row r="1211" spans="1:2" x14ac:dyDescent="0.25">
      <c r="A1211" t="s">
        <v>1209</v>
      </c>
      <c r="B1211">
        <v>423</v>
      </c>
    </row>
    <row r="1212" spans="1:2" x14ac:dyDescent="0.25">
      <c r="A1212" t="s">
        <v>1210</v>
      </c>
      <c r="B1212">
        <v>424</v>
      </c>
    </row>
    <row r="1213" spans="1:2" x14ac:dyDescent="0.25">
      <c r="A1213" t="s">
        <v>1211</v>
      </c>
      <c r="B1213">
        <v>425</v>
      </c>
    </row>
    <row r="1214" spans="1:2" x14ac:dyDescent="0.25">
      <c r="A1214" t="s">
        <v>1212</v>
      </c>
      <c r="B1214">
        <v>426</v>
      </c>
    </row>
    <row r="1215" spans="1:2" x14ac:dyDescent="0.25">
      <c r="A1215" t="s">
        <v>1213</v>
      </c>
      <c r="B1215">
        <v>427</v>
      </c>
    </row>
    <row r="1216" spans="1:2" x14ac:dyDescent="0.25">
      <c r="A1216" t="s">
        <v>1214</v>
      </c>
      <c r="B1216">
        <v>441</v>
      </c>
    </row>
    <row r="1217" spans="1:2" x14ac:dyDescent="0.25">
      <c r="A1217" t="s">
        <v>1215</v>
      </c>
      <c r="B1217">
        <v>442</v>
      </c>
    </row>
    <row r="1218" spans="1:2" x14ac:dyDescent="0.25">
      <c r="A1218" t="s">
        <v>1216</v>
      </c>
      <c r="B1218">
        <v>443</v>
      </c>
    </row>
    <row r="1219" spans="1:2" x14ac:dyDescent="0.25">
      <c r="A1219" t="s">
        <v>1217</v>
      </c>
      <c r="B1219">
        <v>444</v>
      </c>
    </row>
    <row r="1220" spans="1:2" x14ac:dyDescent="0.25">
      <c r="A1220" t="s">
        <v>1218</v>
      </c>
      <c r="B1220">
        <v>445</v>
      </c>
    </row>
    <row r="1221" spans="1:2" x14ac:dyDescent="0.25">
      <c r="A1221" t="s">
        <v>1219</v>
      </c>
      <c r="B1221">
        <v>864</v>
      </c>
    </row>
    <row r="1222" spans="1:2" x14ac:dyDescent="0.25">
      <c r="A1222" t="s">
        <v>1220</v>
      </c>
      <c r="B1222">
        <v>1444</v>
      </c>
    </row>
    <row r="1223" spans="1:2" x14ac:dyDescent="0.25">
      <c r="A1223" t="s">
        <v>1221</v>
      </c>
      <c r="B1223">
        <v>865</v>
      </c>
    </row>
    <row r="1224" spans="1:2" x14ac:dyDescent="0.25">
      <c r="A1224" t="s">
        <v>1222</v>
      </c>
      <c r="B1224">
        <v>866</v>
      </c>
    </row>
    <row r="1225" spans="1:2" x14ac:dyDescent="0.25">
      <c r="A1225" t="s">
        <v>1223</v>
      </c>
      <c r="B1225">
        <v>867</v>
      </c>
    </row>
    <row r="1226" spans="1:2" x14ac:dyDescent="0.25">
      <c r="A1226" t="s">
        <v>1224</v>
      </c>
      <c r="B1226">
        <v>868</v>
      </c>
    </row>
    <row r="1227" spans="1:2" x14ac:dyDescent="0.25">
      <c r="A1227" t="s">
        <v>1225</v>
      </c>
      <c r="B1227">
        <v>869</v>
      </c>
    </row>
    <row r="1228" spans="1:2" x14ac:dyDescent="0.25">
      <c r="A1228" t="s">
        <v>1226</v>
      </c>
      <c r="B1228">
        <v>870</v>
      </c>
    </row>
    <row r="1229" spans="1:2" x14ac:dyDescent="0.25">
      <c r="A1229" t="s">
        <v>1227</v>
      </c>
      <c r="B1229">
        <v>871</v>
      </c>
    </row>
    <row r="1230" spans="1:2" x14ac:dyDescent="0.25">
      <c r="A1230" t="s">
        <v>1228</v>
      </c>
      <c r="B1230">
        <v>872</v>
      </c>
    </row>
    <row r="1231" spans="1:2" x14ac:dyDescent="0.25">
      <c r="A1231" t="s">
        <v>1229</v>
      </c>
      <c r="B1231">
        <v>873</v>
      </c>
    </row>
    <row r="1232" spans="1:2" x14ac:dyDescent="0.25">
      <c r="A1232" t="s">
        <v>1230</v>
      </c>
      <c r="B1232">
        <v>949</v>
      </c>
    </row>
    <row r="1233" spans="1:2" x14ac:dyDescent="0.25">
      <c r="A1233" t="s">
        <v>1231</v>
      </c>
      <c r="B1233">
        <v>950</v>
      </c>
    </row>
    <row r="1234" spans="1:2" x14ac:dyDescent="0.25">
      <c r="A1234" t="s">
        <v>1232</v>
      </c>
      <c r="B1234">
        <v>951</v>
      </c>
    </row>
    <row r="1235" spans="1:2" x14ac:dyDescent="0.25">
      <c r="A1235" t="s">
        <v>1233</v>
      </c>
      <c r="B1235">
        <v>952</v>
      </c>
    </row>
    <row r="1236" spans="1:2" x14ac:dyDescent="0.25">
      <c r="A1236" t="s">
        <v>1234</v>
      </c>
      <c r="B1236">
        <v>567</v>
      </c>
    </row>
    <row r="1237" spans="1:2" x14ac:dyDescent="0.25">
      <c r="A1237" t="s">
        <v>1235</v>
      </c>
      <c r="B1237">
        <v>568</v>
      </c>
    </row>
    <row r="1238" spans="1:2" x14ac:dyDescent="0.25">
      <c r="A1238" t="s">
        <v>1236</v>
      </c>
      <c r="B1238">
        <v>569</v>
      </c>
    </row>
    <row r="1239" spans="1:2" x14ac:dyDescent="0.25">
      <c r="A1239" t="s">
        <v>1237</v>
      </c>
      <c r="B1239">
        <v>570</v>
      </c>
    </row>
    <row r="1240" spans="1:2" x14ac:dyDescent="0.25">
      <c r="A1240" t="s">
        <v>1238</v>
      </c>
      <c r="B1240">
        <v>571</v>
      </c>
    </row>
    <row r="1241" spans="1:2" x14ac:dyDescent="0.25">
      <c r="A1241" t="s">
        <v>1239</v>
      </c>
      <c r="B1241">
        <v>572</v>
      </c>
    </row>
    <row r="1242" spans="1:2" x14ac:dyDescent="0.25">
      <c r="A1242" t="s">
        <v>1240</v>
      </c>
      <c r="B1242">
        <v>573</v>
      </c>
    </row>
    <row r="1243" spans="1:2" x14ac:dyDescent="0.25">
      <c r="A1243" t="s">
        <v>1241</v>
      </c>
      <c r="B1243">
        <v>574</v>
      </c>
    </row>
    <row r="1244" spans="1:2" x14ac:dyDescent="0.25">
      <c r="A1244" t="s">
        <v>1242</v>
      </c>
      <c r="B1244">
        <v>575</v>
      </c>
    </row>
    <row r="1245" spans="1:2" x14ac:dyDescent="0.25">
      <c r="A1245" t="s">
        <v>1243</v>
      </c>
      <c r="B1245">
        <v>620</v>
      </c>
    </row>
    <row r="1246" spans="1:2" x14ac:dyDescent="0.25">
      <c r="A1246" t="s">
        <v>1244</v>
      </c>
      <c r="B1246">
        <v>1278</v>
      </c>
    </row>
    <row r="1247" spans="1:2" x14ac:dyDescent="0.25">
      <c r="A1247" t="s">
        <v>1245</v>
      </c>
      <c r="B1247">
        <v>1279</v>
      </c>
    </row>
    <row r="1248" spans="1:2" x14ac:dyDescent="0.25">
      <c r="A1248" t="s">
        <v>1246</v>
      </c>
      <c r="B1248">
        <v>1280</v>
      </c>
    </row>
    <row r="1249" spans="1:2" x14ac:dyDescent="0.25">
      <c r="A1249" t="s">
        <v>1247</v>
      </c>
      <c r="B1249">
        <v>1281</v>
      </c>
    </row>
    <row r="1250" spans="1:2" x14ac:dyDescent="0.25">
      <c r="A1250" t="s">
        <v>1248</v>
      </c>
      <c r="B1250">
        <v>1282</v>
      </c>
    </row>
    <row r="1251" spans="1:2" x14ac:dyDescent="0.25">
      <c r="A1251" t="s">
        <v>1249</v>
      </c>
      <c r="B1251">
        <v>1283</v>
      </c>
    </row>
    <row r="1252" spans="1:2" x14ac:dyDescent="0.25">
      <c r="A1252" t="s">
        <v>1250</v>
      </c>
      <c r="B1252">
        <v>1284</v>
      </c>
    </row>
    <row r="1253" spans="1:2" x14ac:dyDescent="0.25">
      <c r="A1253" t="s">
        <v>1251</v>
      </c>
      <c r="B1253">
        <v>1285</v>
      </c>
    </row>
    <row r="1254" spans="1:2" x14ac:dyDescent="0.25">
      <c r="A1254" t="s">
        <v>1252</v>
      </c>
      <c r="B1254">
        <v>1286</v>
      </c>
    </row>
    <row r="1255" spans="1:2" x14ac:dyDescent="0.25">
      <c r="A1255" t="s">
        <v>1253</v>
      </c>
      <c r="B1255">
        <v>1287</v>
      </c>
    </row>
    <row r="1256" spans="1:2" x14ac:dyDescent="0.25">
      <c r="A1256" t="s">
        <v>1254</v>
      </c>
      <c r="B1256">
        <v>1288</v>
      </c>
    </row>
    <row r="1257" spans="1:2" x14ac:dyDescent="0.25">
      <c r="A1257" t="s">
        <v>1255</v>
      </c>
      <c r="B1257">
        <v>1289</v>
      </c>
    </row>
    <row r="1258" spans="1:2" x14ac:dyDescent="0.25">
      <c r="A1258" t="s">
        <v>1256</v>
      </c>
      <c r="B1258">
        <v>1290</v>
      </c>
    </row>
    <row r="1259" spans="1:2" x14ac:dyDescent="0.25">
      <c r="A1259" t="s">
        <v>1257</v>
      </c>
      <c r="B1259">
        <v>1291</v>
      </c>
    </row>
    <row r="1260" spans="1:2" x14ac:dyDescent="0.25">
      <c r="A1260" t="s">
        <v>1258</v>
      </c>
      <c r="B1260">
        <v>621</v>
      </c>
    </row>
    <row r="1261" spans="1:2" x14ac:dyDescent="0.25">
      <c r="A1261" t="s">
        <v>1259</v>
      </c>
      <c r="B1261">
        <v>622</v>
      </c>
    </row>
    <row r="1262" spans="1:2" x14ac:dyDescent="0.25">
      <c r="A1262" t="s">
        <v>1260</v>
      </c>
      <c r="B1262">
        <v>623</v>
      </c>
    </row>
    <row r="1263" spans="1:2" x14ac:dyDescent="0.25">
      <c r="A1263" t="s">
        <v>1261</v>
      </c>
      <c r="B1263">
        <v>624</v>
      </c>
    </row>
    <row r="1264" spans="1:2" x14ac:dyDescent="0.25">
      <c r="A1264" t="s">
        <v>1262</v>
      </c>
      <c r="B1264">
        <v>625</v>
      </c>
    </row>
    <row r="1265" spans="1:2" x14ac:dyDescent="0.25">
      <c r="A1265" t="s">
        <v>1263</v>
      </c>
      <c r="B1265">
        <v>626</v>
      </c>
    </row>
    <row r="1266" spans="1:2" x14ac:dyDescent="0.25">
      <c r="A1266" t="s">
        <v>1264</v>
      </c>
      <c r="B1266">
        <v>627</v>
      </c>
    </row>
    <row r="1267" spans="1:2" x14ac:dyDescent="0.25">
      <c r="A1267" t="s">
        <v>1265</v>
      </c>
      <c r="B1267">
        <v>628</v>
      </c>
    </row>
    <row r="1268" spans="1:2" x14ac:dyDescent="0.25">
      <c r="A1268" t="s">
        <v>1266</v>
      </c>
      <c r="B1268">
        <v>629</v>
      </c>
    </row>
    <row r="1269" spans="1:2" x14ac:dyDescent="0.25">
      <c r="A1269" t="s">
        <v>1267</v>
      </c>
      <c r="B1269">
        <v>882</v>
      </c>
    </row>
    <row r="1270" spans="1:2" x14ac:dyDescent="0.25">
      <c r="A1270" t="s">
        <v>1268</v>
      </c>
      <c r="B1270">
        <v>883</v>
      </c>
    </row>
    <row r="1271" spans="1:2" x14ac:dyDescent="0.25">
      <c r="A1271" t="s">
        <v>1269</v>
      </c>
      <c r="B1271">
        <v>666</v>
      </c>
    </row>
    <row r="1272" spans="1:2" x14ac:dyDescent="0.25">
      <c r="A1272" t="s">
        <v>1270</v>
      </c>
      <c r="B1272">
        <v>1396</v>
      </c>
    </row>
    <row r="1273" spans="1:2" x14ac:dyDescent="0.25">
      <c r="A1273" t="s">
        <v>1271</v>
      </c>
      <c r="B1273">
        <v>667</v>
      </c>
    </row>
    <row r="1274" spans="1:2" x14ac:dyDescent="0.25">
      <c r="A1274" t="s">
        <v>1272</v>
      </c>
      <c r="B1274">
        <v>668</v>
      </c>
    </row>
    <row r="1275" spans="1:2" x14ac:dyDescent="0.25">
      <c r="A1275" t="s">
        <v>1273</v>
      </c>
      <c r="B1275">
        <v>669</v>
      </c>
    </row>
    <row r="1276" spans="1:2" x14ac:dyDescent="0.25">
      <c r="A1276" t="s">
        <v>1274</v>
      </c>
      <c r="B1276">
        <v>670</v>
      </c>
    </row>
    <row r="1277" spans="1:2" x14ac:dyDescent="0.25">
      <c r="A1277" t="s">
        <v>1275</v>
      </c>
      <c r="B1277">
        <v>671</v>
      </c>
    </row>
    <row r="1278" spans="1:2" x14ac:dyDescent="0.25">
      <c r="A1278" t="s">
        <v>1276</v>
      </c>
      <c r="B1278">
        <v>672</v>
      </c>
    </row>
    <row r="1279" spans="1:2" x14ac:dyDescent="0.25">
      <c r="A1279" t="s">
        <v>1277</v>
      </c>
      <c r="B1279">
        <v>673</v>
      </c>
    </row>
    <row r="1280" spans="1:2" x14ac:dyDescent="0.25">
      <c r="A1280" t="s">
        <v>1278</v>
      </c>
      <c r="B1280">
        <v>674</v>
      </c>
    </row>
    <row r="1281" spans="1:2" x14ac:dyDescent="0.25">
      <c r="A1281" t="s">
        <v>1279</v>
      </c>
      <c r="B1281">
        <v>675</v>
      </c>
    </row>
    <row r="1282" spans="1:2" x14ac:dyDescent="0.25">
      <c r="A1282" t="s">
        <v>1280</v>
      </c>
      <c r="B1282">
        <v>676</v>
      </c>
    </row>
    <row r="1283" spans="1:2" x14ac:dyDescent="0.25">
      <c r="A1283" t="s">
        <v>1281</v>
      </c>
      <c r="B1283">
        <v>680</v>
      </c>
    </row>
    <row r="1284" spans="1:2" x14ac:dyDescent="0.25">
      <c r="A1284" t="s">
        <v>1282</v>
      </c>
      <c r="B1284">
        <v>1102</v>
      </c>
    </row>
    <row r="1285" spans="1:2" x14ac:dyDescent="0.25">
      <c r="A1285" t="s">
        <v>1283</v>
      </c>
      <c r="B1285">
        <v>1103</v>
      </c>
    </row>
    <row r="1286" spans="1:2" x14ac:dyDescent="0.25">
      <c r="A1286" t="s">
        <v>1284</v>
      </c>
      <c r="B1286">
        <v>1104</v>
      </c>
    </row>
    <row r="1287" spans="1:2" x14ac:dyDescent="0.25">
      <c r="A1287" t="s">
        <v>1285</v>
      </c>
      <c r="B1287">
        <v>1105</v>
      </c>
    </row>
    <row r="1288" spans="1:2" x14ac:dyDescent="0.25">
      <c r="A1288" t="s">
        <v>1286</v>
      </c>
      <c r="B1288">
        <v>1106</v>
      </c>
    </row>
    <row r="1289" spans="1:2" x14ac:dyDescent="0.25">
      <c r="A1289" t="s">
        <v>1287</v>
      </c>
      <c r="B1289">
        <v>1107</v>
      </c>
    </row>
    <row r="1290" spans="1:2" x14ac:dyDescent="0.25">
      <c r="A1290" t="s">
        <v>1288</v>
      </c>
      <c r="B1290">
        <v>1108</v>
      </c>
    </row>
    <row r="1291" spans="1:2" x14ac:dyDescent="0.25">
      <c r="A1291" t="s">
        <v>1289</v>
      </c>
      <c r="B1291">
        <v>1409</v>
      </c>
    </row>
    <row r="1292" spans="1:2" x14ac:dyDescent="0.25">
      <c r="A1292" t="s">
        <v>1290</v>
      </c>
      <c r="B1292">
        <v>681</v>
      </c>
    </row>
    <row r="1293" spans="1:2" x14ac:dyDescent="0.25">
      <c r="A1293" t="s">
        <v>1291</v>
      </c>
      <c r="B1293">
        <v>682</v>
      </c>
    </row>
    <row r="1294" spans="1:2" x14ac:dyDescent="0.25">
      <c r="A1294" t="s">
        <v>1292</v>
      </c>
      <c r="B1294">
        <v>683</v>
      </c>
    </row>
    <row r="1295" spans="1:2" x14ac:dyDescent="0.25">
      <c r="A1295" t="s">
        <v>1293</v>
      </c>
      <c r="B1295">
        <v>684</v>
      </c>
    </row>
    <row r="1296" spans="1:2" x14ac:dyDescent="0.25">
      <c r="A1296" t="s">
        <v>1294</v>
      </c>
      <c r="B1296">
        <v>685</v>
      </c>
    </row>
    <row r="1297" spans="1:2" x14ac:dyDescent="0.25">
      <c r="A1297" t="s">
        <v>1295</v>
      </c>
      <c r="B1297">
        <v>686</v>
      </c>
    </row>
    <row r="1298" spans="1:2" x14ac:dyDescent="0.25">
      <c r="A1298" t="s">
        <v>1296</v>
      </c>
      <c r="B1298">
        <v>687</v>
      </c>
    </row>
    <row r="1299" spans="1:2" x14ac:dyDescent="0.25">
      <c r="A1299" t="s">
        <v>1297</v>
      </c>
      <c r="B1299">
        <v>688</v>
      </c>
    </row>
    <row r="1300" spans="1:2" x14ac:dyDescent="0.25">
      <c r="A1300" t="s">
        <v>1298</v>
      </c>
      <c r="B1300">
        <v>689</v>
      </c>
    </row>
    <row r="1301" spans="1:2" x14ac:dyDescent="0.25">
      <c r="A1301" t="s">
        <v>1299</v>
      </c>
      <c r="B1301">
        <v>690</v>
      </c>
    </row>
    <row r="1302" spans="1:2" x14ac:dyDescent="0.25">
      <c r="A1302" t="s">
        <v>1300</v>
      </c>
      <c r="B1302">
        <v>691</v>
      </c>
    </row>
    <row r="1303" spans="1:2" x14ac:dyDescent="0.25">
      <c r="A1303" t="s">
        <v>1301</v>
      </c>
      <c r="B1303">
        <v>692</v>
      </c>
    </row>
    <row r="1304" spans="1:2" x14ac:dyDescent="0.25">
      <c r="A1304" t="s">
        <v>1302</v>
      </c>
      <c r="B1304">
        <v>693</v>
      </c>
    </row>
    <row r="1305" spans="1:2" x14ac:dyDescent="0.25">
      <c r="A1305" t="s">
        <v>1303</v>
      </c>
      <c r="B1305">
        <v>694</v>
      </c>
    </row>
    <row r="1306" spans="1:2" x14ac:dyDescent="0.25">
      <c r="A1306" t="s">
        <v>1304</v>
      </c>
      <c r="B1306">
        <v>695</v>
      </c>
    </row>
    <row r="1307" spans="1:2" x14ac:dyDescent="0.25">
      <c r="A1307" t="s">
        <v>1305</v>
      </c>
      <c r="B1307">
        <v>696</v>
      </c>
    </row>
    <row r="1308" spans="1:2" x14ac:dyDescent="0.25">
      <c r="A1308" t="s">
        <v>1306</v>
      </c>
      <c r="B1308">
        <v>697</v>
      </c>
    </row>
    <row r="1309" spans="1:2" x14ac:dyDescent="0.25">
      <c r="A1309" t="s">
        <v>1307</v>
      </c>
      <c r="B1309">
        <v>698</v>
      </c>
    </row>
    <row r="1310" spans="1:2" x14ac:dyDescent="0.25">
      <c r="A1310" t="s">
        <v>1308</v>
      </c>
      <c r="B1310">
        <v>699</v>
      </c>
    </row>
    <row r="1311" spans="1:2" x14ac:dyDescent="0.25">
      <c r="A1311" t="s">
        <v>1309</v>
      </c>
      <c r="B1311">
        <v>700</v>
      </c>
    </row>
    <row r="1312" spans="1:2" x14ac:dyDescent="0.25">
      <c r="A1312" t="s">
        <v>1310</v>
      </c>
      <c r="B1312">
        <v>701</v>
      </c>
    </row>
    <row r="1313" spans="1:2" x14ac:dyDescent="0.25">
      <c r="A1313" t="s">
        <v>1311</v>
      </c>
      <c r="B1313">
        <v>715</v>
      </c>
    </row>
    <row r="1314" spans="1:2" x14ac:dyDescent="0.25">
      <c r="A1314" t="s">
        <v>1312</v>
      </c>
      <c r="B1314">
        <v>716</v>
      </c>
    </row>
    <row r="1315" spans="1:2" x14ac:dyDescent="0.25">
      <c r="A1315" t="s">
        <v>1313</v>
      </c>
      <c r="B1315">
        <v>717</v>
      </c>
    </row>
    <row r="1316" spans="1:2" x14ac:dyDescent="0.25">
      <c r="A1316" t="s">
        <v>1314</v>
      </c>
      <c r="B1316">
        <v>718</v>
      </c>
    </row>
    <row r="1317" spans="1:2" x14ac:dyDescent="0.25">
      <c r="A1317" t="s">
        <v>1315</v>
      </c>
      <c r="B1317">
        <v>719</v>
      </c>
    </row>
    <row r="1318" spans="1:2" x14ac:dyDescent="0.25">
      <c r="A1318" t="s">
        <v>1316</v>
      </c>
      <c r="B1318">
        <v>720</v>
      </c>
    </row>
    <row r="1319" spans="1:2" x14ac:dyDescent="0.25">
      <c r="A1319" t="s">
        <v>1317</v>
      </c>
      <c r="B1319">
        <v>721</v>
      </c>
    </row>
    <row r="1320" spans="1:2" x14ac:dyDescent="0.25">
      <c r="A1320" t="s">
        <v>1318</v>
      </c>
      <c r="B1320">
        <v>722</v>
      </c>
    </row>
    <row r="1321" spans="1:2" x14ac:dyDescent="0.25">
      <c r="A1321" t="s">
        <v>1319</v>
      </c>
      <c r="B1321">
        <v>723</v>
      </c>
    </row>
    <row r="1322" spans="1:2" x14ac:dyDescent="0.25">
      <c r="A1322" t="s">
        <v>1320</v>
      </c>
      <c r="B1322">
        <v>724</v>
      </c>
    </row>
    <row r="1323" spans="1:2" x14ac:dyDescent="0.25">
      <c r="A1323" t="s">
        <v>1321</v>
      </c>
      <c r="B1323">
        <v>725</v>
      </c>
    </row>
    <row r="1324" spans="1:2" x14ac:dyDescent="0.25">
      <c r="A1324" t="s">
        <v>1322</v>
      </c>
      <c r="B1324">
        <v>726</v>
      </c>
    </row>
    <row r="1325" spans="1:2" x14ac:dyDescent="0.25">
      <c r="A1325" t="s">
        <v>1323</v>
      </c>
      <c r="B1325">
        <v>727</v>
      </c>
    </row>
    <row r="1326" spans="1:2" x14ac:dyDescent="0.25">
      <c r="A1326" t="s">
        <v>1324</v>
      </c>
      <c r="B1326">
        <v>728</v>
      </c>
    </row>
    <row r="1327" spans="1:2" x14ac:dyDescent="0.25">
      <c r="A1327" t="s">
        <v>1325</v>
      </c>
      <c r="B1327">
        <v>729</v>
      </c>
    </row>
    <row r="1328" spans="1:2" x14ac:dyDescent="0.25">
      <c r="A1328" t="s">
        <v>1326</v>
      </c>
      <c r="B1328">
        <v>730</v>
      </c>
    </row>
    <row r="1329" spans="1:2" x14ac:dyDescent="0.25">
      <c r="A1329" t="s">
        <v>1327</v>
      </c>
      <c r="B1329">
        <v>731</v>
      </c>
    </row>
    <row r="1330" spans="1:2" x14ac:dyDescent="0.25">
      <c r="A1330" t="s">
        <v>1328</v>
      </c>
      <c r="B1330">
        <v>732</v>
      </c>
    </row>
    <row r="1331" spans="1:2" x14ac:dyDescent="0.25">
      <c r="A1331" t="s">
        <v>1329</v>
      </c>
      <c r="B1331">
        <v>733</v>
      </c>
    </row>
    <row r="1332" spans="1:2" x14ac:dyDescent="0.25">
      <c r="A1332" t="s">
        <v>1330</v>
      </c>
      <c r="B1332">
        <v>734</v>
      </c>
    </row>
    <row r="1333" spans="1:2" x14ac:dyDescent="0.25">
      <c r="A1333" t="s">
        <v>1331</v>
      </c>
      <c r="B1333">
        <v>841</v>
      </c>
    </row>
    <row r="1334" spans="1:2" x14ac:dyDescent="0.25">
      <c r="A1334" t="s">
        <v>1332</v>
      </c>
      <c r="B1334">
        <v>842</v>
      </c>
    </row>
    <row r="1335" spans="1:2" x14ac:dyDescent="0.25">
      <c r="A1335" t="s">
        <v>1333</v>
      </c>
      <c r="B1335">
        <v>843</v>
      </c>
    </row>
    <row r="1336" spans="1:2" x14ac:dyDescent="0.25">
      <c r="A1336" t="s">
        <v>1334</v>
      </c>
      <c r="B1336">
        <v>844</v>
      </c>
    </row>
    <row r="1337" spans="1:2" x14ac:dyDescent="0.25">
      <c r="A1337" t="s">
        <v>1335</v>
      </c>
      <c r="B1337">
        <v>845</v>
      </c>
    </row>
    <row r="1338" spans="1:2" x14ac:dyDescent="0.25">
      <c r="A1338" t="s">
        <v>1336</v>
      </c>
      <c r="B1338">
        <v>846</v>
      </c>
    </row>
    <row r="1339" spans="1:2" x14ac:dyDescent="0.25">
      <c r="A1339" t="s">
        <v>1337</v>
      </c>
      <c r="B1339">
        <v>847</v>
      </c>
    </row>
    <row r="1340" spans="1:2" x14ac:dyDescent="0.25">
      <c r="A1340" t="s">
        <v>1338</v>
      </c>
      <c r="B1340">
        <v>848</v>
      </c>
    </row>
    <row r="1341" spans="1:2" x14ac:dyDescent="0.25">
      <c r="A1341" t="s">
        <v>1339</v>
      </c>
      <c r="B1341">
        <v>849</v>
      </c>
    </row>
    <row r="1342" spans="1:2" x14ac:dyDescent="0.25">
      <c r="A1342" t="s">
        <v>1340</v>
      </c>
      <c r="B1342">
        <v>850</v>
      </c>
    </row>
    <row r="1343" spans="1:2" x14ac:dyDescent="0.25">
      <c r="A1343" t="s">
        <v>1341</v>
      </c>
      <c r="B1343">
        <v>851</v>
      </c>
    </row>
    <row r="1344" spans="1:2" x14ac:dyDescent="0.25">
      <c r="A1344" t="s">
        <v>1342</v>
      </c>
      <c r="B1344">
        <v>852</v>
      </c>
    </row>
    <row r="1345" spans="1:2" x14ac:dyDescent="0.25">
      <c r="A1345" t="s">
        <v>1343</v>
      </c>
      <c r="B1345">
        <v>853</v>
      </c>
    </row>
    <row r="1346" spans="1:2" x14ac:dyDescent="0.25">
      <c r="A1346" t="s">
        <v>1344</v>
      </c>
      <c r="B1346">
        <v>854</v>
      </c>
    </row>
    <row r="1347" spans="1:2" x14ac:dyDescent="0.25">
      <c r="A1347" t="s">
        <v>1345</v>
      </c>
      <c r="B1347">
        <v>855</v>
      </c>
    </row>
    <row r="1348" spans="1:2" x14ac:dyDescent="0.25">
      <c r="A1348" t="s">
        <v>1346</v>
      </c>
      <c r="B1348">
        <v>856</v>
      </c>
    </row>
    <row r="1349" spans="1:2" x14ac:dyDescent="0.25">
      <c r="A1349" t="s">
        <v>1347</v>
      </c>
      <c r="B1349">
        <v>69</v>
      </c>
    </row>
    <row r="1350" spans="1:2" x14ac:dyDescent="0.25">
      <c r="A1350" t="s">
        <v>1348</v>
      </c>
      <c r="B1350">
        <v>104</v>
      </c>
    </row>
    <row r="1351" spans="1:2" x14ac:dyDescent="0.25">
      <c r="A1351" t="s">
        <v>1349</v>
      </c>
      <c r="B1351">
        <v>105</v>
      </c>
    </row>
    <row r="1352" spans="1:2" x14ac:dyDescent="0.25">
      <c r="A1352" t="s">
        <v>1350</v>
      </c>
      <c r="B1352">
        <v>150</v>
      </c>
    </row>
    <row r="1353" spans="1:2" x14ac:dyDescent="0.25">
      <c r="A1353" t="s">
        <v>1351</v>
      </c>
      <c r="B1353">
        <v>151</v>
      </c>
    </row>
    <row r="1354" spans="1:2" x14ac:dyDescent="0.25">
      <c r="A1354" t="s">
        <v>1352</v>
      </c>
      <c r="B1354">
        <v>152</v>
      </c>
    </row>
    <row r="1355" spans="1:2" x14ac:dyDescent="0.25">
      <c r="A1355" t="s">
        <v>1353</v>
      </c>
      <c r="B1355">
        <v>153</v>
      </c>
    </row>
    <row r="1356" spans="1:2" x14ac:dyDescent="0.25">
      <c r="A1356" t="s">
        <v>1354</v>
      </c>
      <c r="B1356">
        <v>154</v>
      </c>
    </row>
    <row r="1357" spans="1:2" x14ac:dyDescent="0.25">
      <c r="A1357" t="s">
        <v>1355</v>
      </c>
      <c r="B1357">
        <v>155</v>
      </c>
    </row>
    <row r="1358" spans="1:2" x14ac:dyDescent="0.25">
      <c r="A1358" t="s">
        <v>1356</v>
      </c>
      <c r="B1358">
        <v>156</v>
      </c>
    </row>
    <row r="1359" spans="1:2" x14ac:dyDescent="0.25">
      <c r="A1359" t="s">
        <v>1357</v>
      </c>
      <c r="B1359">
        <v>157</v>
      </c>
    </row>
    <row r="1360" spans="1:2" x14ac:dyDescent="0.25">
      <c r="A1360" t="s">
        <v>1358</v>
      </c>
      <c r="B1360">
        <v>158</v>
      </c>
    </row>
    <row r="1361" spans="1:2" x14ac:dyDescent="0.25">
      <c r="A1361" t="s">
        <v>1359</v>
      </c>
      <c r="B1361">
        <v>159</v>
      </c>
    </row>
    <row r="1362" spans="1:2" x14ac:dyDescent="0.25">
      <c r="A1362" t="s">
        <v>1360</v>
      </c>
      <c r="B1362">
        <v>160</v>
      </c>
    </row>
    <row r="1363" spans="1:2" x14ac:dyDescent="0.25">
      <c r="A1363" t="s">
        <v>1361</v>
      </c>
      <c r="B1363">
        <v>161</v>
      </c>
    </row>
    <row r="1364" spans="1:2" x14ac:dyDescent="0.25">
      <c r="A1364" t="s">
        <v>1362</v>
      </c>
      <c r="B1364">
        <v>162</v>
      </c>
    </row>
    <row r="1365" spans="1:2" x14ac:dyDescent="0.25">
      <c r="A1365" t="s">
        <v>1363</v>
      </c>
      <c r="B1365">
        <v>163</v>
      </c>
    </row>
    <row r="1366" spans="1:2" x14ac:dyDescent="0.25">
      <c r="A1366" t="s">
        <v>1364</v>
      </c>
      <c r="B1366">
        <v>164</v>
      </c>
    </row>
    <row r="1367" spans="1:2" x14ac:dyDescent="0.25">
      <c r="A1367" t="s">
        <v>1365</v>
      </c>
      <c r="B1367">
        <v>165</v>
      </c>
    </row>
    <row r="1368" spans="1:2" x14ac:dyDescent="0.25">
      <c r="A1368" t="s">
        <v>1366</v>
      </c>
      <c r="B1368">
        <v>1390</v>
      </c>
    </row>
    <row r="1369" spans="1:2" x14ac:dyDescent="0.25">
      <c r="A1369" t="s">
        <v>1367</v>
      </c>
      <c r="B1369">
        <v>166</v>
      </c>
    </row>
    <row r="1370" spans="1:2" x14ac:dyDescent="0.25">
      <c r="A1370" t="s">
        <v>1368</v>
      </c>
      <c r="B1370">
        <v>167</v>
      </c>
    </row>
    <row r="1371" spans="1:2" x14ac:dyDescent="0.25">
      <c r="A1371" t="s">
        <v>1369</v>
      </c>
      <c r="B1371">
        <v>168</v>
      </c>
    </row>
    <row r="1372" spans="1:2" x14ac:dyDescent="0.25">
      <c r="A1372" t="s">
        <v>1370</v>
      </c>
      <c r="B1372">
        <v>169</v>
      </c>
    </row>
    <row r="1373" spans="1:2" x14ac:dyDescent="0.25">
      <c r="A1373" t="s">
        <v>1371</v>
      </c>
      <c r="B1373">
        <v>170</v>
      </c>
    </row>
    <row r="1374" spans="1:2" x14ac:dyDescent="0.25">
      <c r="A1374" t="s">
        <v>1372</v>
      </c>
      <c r="B1374">
        <v>171</v>
      </c>
    </row>
    <row r="1375" spans="1:2" x14ac:dyDescent="0.25">
      <c r="A1375" t="s">
        <v>1373</v>
      </c>
      <c r="B1375">
        <v>172</v>
      </c>
    </row>
    <row r="1376" spans="1:2" x14ac:dyDescent="0.25">
      <c r="A1376" t="s">
        <v>1374</v>
      </c>
      <c r="B1376">
        <v>173</v>
      </c>
    </row>
    <row r="1377" spans="1:2" x14ac:dyDescent="0.25">
      <c r="A1377" t="s">
        <v>1375</v>
      </c>
      <c r="B1377">
        <v>174</v>
      </c>
    </row>
    <row r="1378" spans="1:2" x14ac:dyDescent="0.25">
      <c r="A1378" t="s">
        <v>1376</v>
      </c>
      <c r="B1378">
        <v>175</v>
      </c>
    </row>
    <row r="1379" spans="1:2" x14ac:dyDescent="0.25">
      <c r="A1379" t="s">
        <v>1377</v>
      </c>
      <c r="B1379">
        <v>176</v>
      </c>
    </row>
    <row r="1380" spans="1:2" x14ac:dyDescent="0.25">
      <c r="A1380" t="s">
        <v>1378</v>
      </c>
      <c r="B1380">
        <v>177</v>
      </c>
    </row>
    <row r="1381" spans="1:2" x14ac:dyDescent="0.25">
      <c r="A1381" t="s">
        <v>1379</v>
      </c>
      <c r="B1381">
        <v>178</v>
      </c>
    </row>
    <row r="1382" spans="1:2" x14ac:dyDescent="0.25">
      <c r="A1382" t="s">
        <v>1380</v>
      </c>
      <c r="B1382">
        <v>179</v>
      </c>
    </row>
    <row r="1383" spans="1:2" x14ac:dyDescent="0.25">
      <c r="A1383" t="s">
        <v>1381</v>
      </c>
      <c r="B1383">
        <v>180</v>
      </c>
    </row>
    <row r="1384" spans="1:2" x14ac:dyDescent="0.25">
      <c r="A1384" t="s">
        <v>1382</v>
      </c>
      <c r="B1384">
        <v>70</v>
      </c>
    </row>
    <row r="1385" spans="1:2" x14ac:dyDescent="0.25">
      <c r="A1385" t="s">
        <v>1383</v>
      </c>
      <c r="B1385">
        <v>71</v>
      </c>
    </row>
    <row r="1386" spans="1:2" x14ac:dyDescent="0.25">
      <c r="A1386" t="s">
        <v>1384</v>
      </c>
      <c r="B1386">
        <v>72</v>
      </c>
    </row>
    <row r="1387" spans="1:2" x14ac:dyDescent="0.25">
      <c r="A1387" t="s">
        <v>1385</v>
      </c>
      <c r="B1387">
        <v>73</v>
      </c>
    </row>
    <row r="1388" spans="1:2" x14ac:dyDescent="0.25">
      <c r="A1388" t="s">
        <v>1386</v>
      </c>
      <c r="B1388">
        <v>74</v>
      </c>
    </row>
    <row r="1389" spans="1:2" x14ac:dyDescent="0.25">
      <c r="A1389" t="s">
        <v>1387</v>
      </c>
      <c r="B1389">
        <v>75</v>
      </c>
    </row>
    <row r="1390" spans="1:2" x14ac:dyDescent="0.25">
      <c r="A1390" t="s">
        <v>1388</v>
      </c>
      <c r="B1390">
        <v>76</v>
      </c>
    </row>
    <row r="1391" spans="1:2" x14ac:dyDescent="0.25">
      <c r="A1391" t="s">
        <v>1389</v>
      </c>
      <c r="B1391">
        <v>77</v>
      </c>
    </row>
    <row r="1392" spans="1:2" x14ac:dyDescent="0.25">
      <c r="A1392" t="s">
        <v>1390</v>
      </c>
      <c r="B1392">
        <v>78</v>
      </c>
    </row>
    <row r="1393" spans="1:2" x14ac:dyDescent="0.25">
      <c r="A1393" t="s">
        <v>1391</v>
      </c>
      <c r="B1393">
        <v>79</v>
      </c>
    </row>
    <row r="1394" spans="1:2" x14ac:dyDescent="0.25">
      <c r="A1394" t="s">
        <v>1392</v>
      </c>
      <c r="B1394">
        <v>80</v>
      </c>
    </row>
    <row r="1395" spans="1:2" x14ac:dyDescent="0.25">
      <c r="A1395" t="s">
        <v>1393</v>
      </c>
      <c r="B1395">
        <v>81</v>
      </c>
    </row>
    <row r="1396" spans="1:2" x14ac:dyDescent="0.25">
      <c r="A1396" t="s">
        <v>1394</v>
      </c>
      <c r="B1396">
        <v>82</v>
      </c>
    </row>
    <row r="1397" spans="1:2" x14ac:dyDescent="0.25">
      <c r="A1397" t="s">
        <v>1395</v>
      </c>
      <c r="B1397">
        <v>83</v>
      </c>
    </row>
    <row r="1398" spans="1:2" x14ac:dyDescent="0.25">
      <c r="A1398" t="s">
        <v>1396</v>
      </c>
      <c r="B1398">
        <v>84</v>
      </c>
    </row>
    <row r="1399" spans="1:2" x14ac:dyDescent="0.25">
      <c r="A1399" t="s">
        <v>1397</v>
      </c>
      <c r="B1399">
        <v>763</v>
      </c>
    </row>
    <row r="1400" spans="1:2" x14ac:dyDescent="0.25">
      <c r="A1400" t="s">
        <v>1398</v>
      </c>
      <c r="B1400">
        <v>764</v>
      </c>
    </row>
    <row r="1401" spans="1:2" x14ac:dyDescent="0.25">
      <c r="A1401" t="s">
        <v>1399</v>
      </c>
      <c r="B1401">
        <v>765</v>
      </c>
    </row>
    <row r="1402" spans="1:2" x14ac:dyDescent="0.25">
      <c r="A1402" t="s">
        <v>1400</v>
      </c>
      <c r="B1402">
        <v>766</v>
      </c>
    </row>
    <row r="1403" spans="1:2" x14ac:dyDescent="0.25">
      <c r="A1403" t="s">
        <v>1401</v>
      </c>
      <c r="B1403">
        <v>767</v>
      </c>
    </row>
    <row r="1404" spans="1:2" x14ac:dyDescent="0.25">
      <c r="A1404" t="s">
        <v>1402</v>
      </c>
      <c r="B1404">
        <v>768</v>
      </c>
    </row>
    <row r="1405" spans="1:2" x14ac:dyDescent="0.25">
      <c r="A1405" t="s">
        <v>1403</v>
      </c>
      <c r="B1405">
        <v>769</v>
      </c>
    </row>
    <row r="1406" spans="1:2" x14ac:dyDescent="0.25">
      <c r="A1406" t="s">
        <v>1404</v>
      </c>
      <c r="B1406">
        <v>770</v>
      </c>
    </row>
    <row r="1407" spans="1:2" x14ac:dyDescent="0.25">
      <c r="A1407" t="s">
        <v>1405</v>
      </c>
      <c r="B1407">
        <v>771</v>
      </c>
    </row>
    <row r="1408" spans="1:2" x14ac:dyDescent="0.25">
      <c r="A1408" t="s">
        <v>1406</v>
      </c>
      <c r="B1408">
        <v>772</v>
      </c>
    </row>
    <row r="1409" spans="1:2" x14ac:dyDescent="0.25">
      <c r="A1409" t="s">
        <v>1407</v>
      </c>
      <c r="B1409">
        <v>773</v>
      </c>
    </row>
    <row r="1410" spans="1:2" x14ac:dyDescent="0.25">
      <c r="A1410" t="s">
        <v>1408</v>
      </c>
      <c r="B1410">
        <v>774</v>
      </c>
    </row>
    <row r="1411" spans="1:2" x14ac:dyDescent="0.25">
      <c r="A1411" t="s">
        <v>1409</v>
      </c>
      <c r="B1411">
        <v>775</v>
      </c>
    </row>
    <row r="1412" spans="1:2" x14ac:dyDescent="0.25">
      <c r="A1412" t="s">
        <v>1410</v>
      </c>
      <c r="B1412">
        <v>776</v>
      </c>
    </row>
    <row r="1413" spans="1:2" x14ac:dyDescent="0.25">
      <c r="A1413" t="s">
        <v>1411</v>
      </c>
      <c r="B1413">
        <v>777</v>
      </c>
    </row>
    <row r="1414" spans="1:2" x14ac:dyDescent="0.25">
      <c r="A1414" t="s">
        <v>1412</v>
      </c>
      <c r="B1414">
        <v>778</v>
      </c>
    </row>
    <row r="1415" spans="1:2" x14ac:dyDescent="0.25">
      <c r="A1415" t="s">
        <v>1413</v>
      </c>
      <c r="B1415">
        <v>779</v>
      </c>
    </row>
    <row r="1416" spans="1:2" x14ac:dyDescent="0.25">
      <c r="A1416" t="s">
        <v>1414</v>
      </c>
      <c r="B1416">
        <v>780</v>
      </c>
    </row>
    <row r="1417" spans="1:2" x14ac:dyDescent="0.25">
      <c r="A1417" t="s">
        <v>1415</v>
      </c>
      <c r="B1417">
        <v>85</v>
      </c>
    </row>
    <row r="1418" spans="1:2" x14ac:dyDescent="0.25">
      <c r="A1418" t="s">
        <v>1416</v>
      </c>
      <c r="B1418">
        <v>100</v>
      </c>
    </row>
    <row r="1419" spans="1:2" x14ac:dyDescent="0.25">
      <c r="A1419" t="s">
        <v>1417</v>
      </c>
      <c r="B1419">
        <v>101</v>
      </c>
    </row>
    <row r="1420" spans="1:2" x14ac:dyDescent="0.25">
      <c r="A1420" t="s">
        <v>1418</v>
      </c>
      <c r="B1420">
        <v>102</v>
      </c>
    </row>
    <row r="1421" spans="1:2" x14ac:dyDescent="0.25">
      <c r="A1421" t="s">
        <v>1419</v>
      </c>
      <c r="B1421">
        <v>103</v>
      </c>
    </row>
    <row r="1422" spans="1:2" x14ac:dyDescent="0.25">
      <c r="A1422" t="s">
        <v>1420</v>
      </c>
      <c r="B1422">
        <v>86</v>
      </c>
    </row>
    <row r="1423" spans="1:2" x14ac:dyDescent="0.25">
      <c r="A1423" t="s">
        <v>1421</v>
      </c>
      <c r="B1423">
        <v>87</v>
      </c>
    </row>
    <row r="1424" spans="1:2" x14ac:dyDescent="0.25">
      <c r="A1424" t="s">
        <v>1422</v>
      </c>
      <c r="B1424">
        <v>88</v>
      </c>
    </row>
    <row r="1425" spans="1:2" x14ac:dyDescent="0.25">
      <c r="A1425" t="s">
        <v>1423</v>
      </c>
      <c r="B1425">
        <v>89</v>
      </c>
    </row>
    <row r="1426" spans="1:2" x14ac:dyDescent="0.25">
      <c r="A1426" t="s">
        <v>1424</v>
      </c>
      <c r="B1426">
        <v>90</v>
      </c>
    </row>
    <row r="1427" spans="1:2" x14ac:dyDescent="0.25">
      <c r="A1427" t="s">
        <v>1425</v>
      </c>
      <c r="B1427">
        <v>91</v>
      </c>
    </row>
    <row r="1428" spans="1:2" x14ac:dyDescent="0.25">
      <c r="A1428" t="s">
        <v>1426</v>
      </c>
      <c r="B1428">
        <v>92</v>
      </c>
    </row>
    <row r="1429" spans="1:2" x14ac:dyDescent="0.25">
      <c r="A1429" t="s">
        <v>1427</v>
      </c>
      <c r="B1429">
        <v>93</v>
      </c>
    </row>
    <row r="1430" spans="1:2" x14ac:dyDescent="0.25">
      <c r="A1430" t="s">
        <v>1428</v>
      </c>
      <c r="B1430">
        <v>94</v>
      </c>
    </row>
    <row r="1431" spans="1:2" x14ac:dyDescent="0.25">
      <c r="A1431" t="s">
        <v>1429</v>
      </c>
      <c r="B1431">
        <v>95</v>
      </c>
    </row>
    <row r="1432" spans="1:2" x14ac:dyDescent="0.25">
      <c r="A1432" t="s">
        <v>1430</v>
      </c>
      <c r="B1432">
        <v>96</v>
      </c>
    </row>
    <row r="1433" spans="1:2" x14ac:dyDescent="0.25">
      <c r="A1433" t="s">
        <v>1431</v>
      </c>
      <c r="B1433">
        <v>97</v>
      </c>
    </row>
    <row r="1434" spans="1:2" x14ac:dyDescent="0.25">
      <c r="A1434" t="s">
        <v>1432</v>
      </c>
      <c r="B1434">
        <v>98</v>
      </c>
    </row>
    <row r="1435" spans="1:2" x14ac:dyDescent="0.25">
      <c r="A1435" t="s">
        <v>1433</v>
      </c>
      <c r="B1435">
        <v>99</v>
      </c>
    </row>
    <row r="1436" spans="1:2" x14ac:dyDescent="0.25">
      <c r="A1436" t="s">
        <v>1434</v>
      </c>
      <c r="B1436">
        <v>922</v>
      </c>
    </row>
    <row r="1437" spans="1:2" x14ac:dyDescent="0.25">
      <c r="A1437" t="s">
        <v>1435</v>
      </c>
      <c r="B1437">
        <v>923</v>
      </c>
    </row>
    <row r="1438" spans="1:2" x14ac:dyDescent="0.25">
      <c r="A1438" t="s">
        <v>1436</v>
      </c>
      <c r="B1438">
        <v>924</v>
      </c>
    </row>
    <row r="1439" spans="1:2" x14ac:dyDescent="0.25">
      <c r="A1439" t="s">
        <v>1437</v>
      </c>
      <c r="B1439">
        <v>925</v>
      </c>
    </row>
    <row r="1440" spans="1:2" x14ac:dyDescent="0.25">
      <c r="A1440" t="s">
        <v>1438</v>
      </c>
      <c r="B1440">
        <v>926</v>
      </c>
    </row>
    <row r="1441" spans="1:2" x14ac:dyDescent="0.25">
      <c r="A1441" t="s">
        <v>1439</v>
      </c>
      <c r="B1441">
        <v>877</v>
      </c>
    </row>
    <row r="1442" spans="1:2" x14ac:dyDescent="0.25">
      <c r="A1442" t="s">
        <v>1440</v>
      </c>
      <c r="B1442">
        <v>1383</v>
      </c>
    </row>
    <row r="1443" spans="1:2" x14ac:dyDescent="0.25">
      <c r="A1443" t="s">
        <v>1441</v>
      </c>
      <c r="B1443">
        <v>1384</v>
      </c>
    </row>
    <row r="1444" spans="1:2" x14ac:dyDescent="0.25">
      <c r="A1444" t="s">
        <v>1442</v>
      </c>
      <c r="B1444">
        <v>1385</v>
      </c>
    </row>
    <row r="1445" spans="1:2" x14ac:dyDescent="0.25">
      <c r="A1445" t="s">
        <v>1443</v>
      </c>
      <c r="B1445">
        <v>878</v>
      </c>
    </row>
    <row r="1446" spans="1:2" x14ac:dyDescent="0.25">
      <c r="A1446" t="s">
        <v>1444</v>
      </c>
      <c r="B1446">
        <v>879</v>
      </c>
    </row>
    <row r="1447" spans="1:2" x14ac:dyDescent="0.25">
      <c r="A1447" t="s">
        <v>1445</v>
      </c>
      <c r="B1447">
        <v>880</v>
      </c>
    </row>
    <row r="1448" spans="1:2" x14ac:dyDescent="0.25">
      <c r="A1448" t="s">
        <v>1446</v>
      </c>
      <c r="B1448">
        <v>881</v>
      </c>
    </row>
    <row r="1449" spans="1:2" x14ac:dyDescent="0.25">
      <c r="A1449" t="s">
        <v>1447</v>
      </c>
      <c r="B1449">
        <v>917</v>
      </c>
    </row>
    <row r="1450" spans="1:2" x14ac:dyDescent="0.25">
      <c r="A1450" t="s">
        <v>1448</v>
      </c>
      <c r="B1450">
        <v>918</v>
      </c>
    </row>
    <row r="1451" spans="1:2" x14ac:dyDescent="0.25">
      <c r="A1451" t="s">
        <v>1449</v>
      </c>
      <c r="B1451">
        <v>919</v>
      </c>
    </row>
    <row r="1452" spans="1:2" x14ac:dyDescent="0.25">
      <c r="A1452" t="s">
        <v>1450</v>
      </c>
      <c r="B1452">
        <v>920</v>
      </c>
    </row>
    <row r="1453" spans="1:2" x14ac:dyDescent="0.25">
      <c r="A1453" t="s">
        <v>1451</v>
      </c>
      <c r="B1453">
        <v>921</v>
      </c>
    </row>
    <row r="1454" spans="1:2" x14ac:dyDescent="0.25">
      <c r="A1454" t="s">
        <v>1452</v>
      </c>
      <c r="B1454">
        <v>953</v>
      </c>
    </row>
    <row r="1455" spans="1:2" x14ac:dyDescent="0.25">
      <c r="A1455" t="s">
        <v>1453</v>
      </c>
      <c r="B1455">
        <v>954</v>
      </c>
    </row>
    <row r="1456" spans="1:2" x14ac:dyDescent="0.25">
      <c r="A1456" t="s">
        <v>1454</v>
      </c>
      <c r="B1456">
        <v>955</v>
      </c>
    </row>
    <row r="1457" spans="1:2" x14ac:dyDescent="0.25">
      <c r="A1457" t="s">
        <v>1455</v>
      </c>
      <c r="B1457">
        <v>956</v>
      </c>
    </row>
    <row r="1458" spans="1:2" x14ac:dyDescent="0.25">
      <c r="A1458" t="s">
        <v>1456</v>
      </c>
      <c r="B1458">
        <v>957</v>
      </c>
    </row>
    <row r="1459" spans="1:2" x14ac:dyDescent="0.25">
      <c r="A1459" t="s">
        <v>1457</v>
      </c>
      <c r="B1459">
        <v>958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categories-old</vt:lpstr>
      <vt:lpstr>categories</vt:lpstr>
      <vt:lpstr>url_rewrite</vt:lpstr>
      <vt:lpstr>Description</vt:lpstr>
      <vt:lpstr>image_url</vt:lpstr>
      <vt:lpstr>copy_images</vt:lpstr>
      <vt:lpstr>art_category_path_name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smohan</dc:creator>
  <cp:lastModifiedBy>smohan</cp:lastModifiedBy>
  <dcterms:created xsi:type="dcterms:W3CDTF">2017-05-11T04:17:48Z</dcterms:created>
  <dcterms:modified xsi:type="dcterms:W3CDTF">2017-06-07T05:04:05Z</dcterms:modified>
</cp:coreProperties>
</file>